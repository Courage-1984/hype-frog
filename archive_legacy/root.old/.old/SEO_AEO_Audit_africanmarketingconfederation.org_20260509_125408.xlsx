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0DDED168-7737-47E2-A031-9692544AAEB3}" xr6:coauthVersionLast="47" xr6:coauthVersionMax="47" xr10:uidLastSave="{00000000-0000-0000-0000-000000000000}"/>
  <bookViews>
    <workbookView xWindow="-120" yWindow="-120" windowWidth="29040" windowHeight="16440" activeTab="1"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Link Inventory" sheetId="10" r:id="rId10"/>
    <sheet name="Template &amp; Duplication Risks" sheetId="11" r:id="rId11"/>
    <sheet name="Playbook" sheetId="12" r:id="rId12"/>
    <sheet name="AIOSEO" sheetId="13" r:id="rId13"/>
    <sheet name="SitemapQA" sheetId="14" r:id="rId14"/>
    <sheet name="ResolvedIssues" sheetId="15" r:id="rId15"/>
    <sheet name="DeltaFromPreviousRun" sheetId="16" state="hidden" r:id="rId16"/>
    <sheet name="RunMetadata" sheetId="17" state="hidden" r:id="rId17"/>
    <sheet name="Main" sheetId="18" r:id="rId18"/>
  </sheets>
  <definedNames>
    <definedName name="_xlnm._FilterDatabase" localSheetId="12" hidden="1">AIOSEO!$A$1:$U$165</definedName>
    <definedName name="_xlnm._FilterDatabase" localSheetId="7" hidden="1">'Content &amp; AI Readiness'!$A$1:$Z$21</definedName>
    <definedName name="_xlnm._FilterDatabase" localSheetId="4" hidden="1">'Content Optimisation Hub'!$A$2:$AD$22</definedName>
    <definedName name="_xlnm._FilterDatabase" localSheetId="1" hidden="1">Dashboard!$A$1:$O$69</definedName>
    <definedName name="_xlnm._FilterDatabase" localSheetId="2" hidden="1">FixPlan!$A$1:$AA$35</definedName>
    <definedName name="_xlnm._FilterDatabase" localSheetId="5" hidden="1">'Issue Register'!$A$1:$P$205</definedName>
    <definedName name="_xlnm._FilterDatabase" localSheetId="8" hidden="1">'Link Intelligence'!$A$1:$V$1380</definedName>
    <definedName name="_xlnm._FilterDatabase" localSheetId="9" hidden="1">'Link Inventory'!$A$1:$H$1340</definedName>
    <definedName name="_xlnm._FilterDatabase" localSheetId="17" hidden="1">Main!$A$1:$BD$21</definedName>
    <definedName name="_xlnm._FilterDatabase" localSheetId="11" hidden="1">Playbook!$A$1:$E$35</definedName>
    <definedName name="_xlnm._FilterDatabase" localSheetId="3" hidden="1">'Priority URLs'!$A$1:$T$21</definedName>
    <definedName name="_xlnm._FilterDatabase" localSheetId="13" hidden="1">SitemapQA!$A$1:$Q$86</definedName>
    <definedName name="_xlnm._FilterDatabase" localSheetId="6" hidden="1">'Technical Diagnostics'!$A$1:$AC$21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21" i="18" l="1"/>
  <c r="BA21" i="18"/>
  <c r="AX21" i="18"/>
  <c r="BC20" i="18"/>
  <c r="BA20" i="18"/>
  <c r="AX20" i="18"/>
  <c r="BC19" i="18"/>
  <c r="BA19" i="18"/>
  <c r="AX19" i="18"/>
  <c r="BC18" i="18"/>
  <c r="BA18" i="18"/>
  <c r="AX18" i="18"/>
  <c r="BC17" i="18"/>
  <c r="BA17" i="18"/>
  <c r="AX17" i="18"/>
  <c r="BC16" i="18"/>
  <c r="BA16" i="18"/>
  <c r="AX16" i="18"/>
  <c r="BC15" i="18"/>
  <c r="BA15" i="18"/>
  <c r="AX15" i="18"/>
  <c r="BC14" i="18"/>
  <c r="BA14" i="18"/>
  <c r="AX14" i="18"/>
  <c r="BC13" i="18"/>
  <c r="BA13" i="18"/>
  <c r="AX13" i="18"/>
  <c r="BC12" i="18"/>
  <c r="BA12" i="18"/>
  <c r="AX12" i="18"/>
  <c r="BC11" i="18"/>
  <c r="BA11" i="18"/>
  <c r="AX11" i="18"/>
  <c r="BC10" i="18"/>
  <c r="BA10" i="18"/>
  <c r="AX10" i="18"/>
  <c r="BC9" i="18"/>
  <c r="BA9" i="18"/>
  <c r="AX9" i="18"/>
  <c r="BC8" i="18"/>
  <c r="BA8" i="18"/>
  <c r="AX8" i="18"/>
  <c r="BC7" i="18"/>
  <c r="BA7" i="18"/>
  <c r="AX7" i="18"/>
  <c r="BC6" i="18"/>
  <c r="BA6" i="18"/>
  <c r="AX6" i="18"/>
  <c r="BC5" i="18"/>
  <c r="BA5" i="18"/>
  <c r="AX5" i="18"/>
  <c r="BC4" i="18"/>
  <c r="BA4" i="18"/>
  <c r="AX4" i="18"/>
  <c r="BC3" i="18"/>
  <c r="BA3" i="18"/>
  <c r="AX3" i="18"/>
  <c r="BC2" i="18"/>
  <c r="BA2" i="18"/>
  <c r="AX2" i="18"/>
  <c r="D2" i="15"/>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S127" i="13"/>
  <c r="T126" i="13"/>
  <c r="S126" i="13"/>
  <c r="T125" i="13"/>
  <c r="S125" i="13"/>
  <c r="T124" i="13"/>
  <c r="S124" i="13"/>
  <c r="T123" i="13"/>
  <c r="S123" i="13"/>
  <c r="T122" i="13"/>
  <c r="S122" i="13"/>
  <c r="T121" i="13"/>
  <c r="S121" i="13"/>
  <c r="T120" i="13"/>
  <c r="S120" i="13"/>
  <c r="T119" i="13"/>
  <c r="S119" i="13"/>
  <c r="T118" i="13"/>
  <c r="S118" i="13"/>
  <c r="T117" i="13"/>
  <c r="S117" i="13"/>
  <c r="T116" i="13"/>
  <c r="S116" i="13"/>
  <c r="T115" i="13"/>
  <c r="S115" i="13"/>
  <c r="T114" i="13"/>
  <c r="S114" i="13"/>
  <c r="T113" i="13"/>
  <c r="S113" i="13"/>
  <c r="T112" i="13"/>
  <c r="S112" i="13"/>
  <c r="T111" i="13"/>
  <c r="S111" i="13"/>
  <c r="T110" i="13"/>
  <c r="S110" i="13"/>
  <c r="T109" i="13"/>
  <c r="S109" i="13"/>
  <c r="T108" i="13"/>
  <c r="S108" i="13"/>
  <c r="T107" i="13"/>
  <c r="S107" i="13"/>
  <c r="T106" i="13"/>
  <c r="S106" i="13"/>
  <c r="T105" i="13"/>
  <c r="S105" i="13"/>
  <c r="T104" i="13"/>
  <c r="S104" i="13"/>
  <c r="T103" i="13"/>
  <c r="S103" i="13"/>
  <c r="T102" i="13"/>
  <c r="S102" i="13"/>
  <c r="T101" i="13"/>
  <c r="S101" i="13"/>
  <c r="T100" i="13"/>
  <c r="S100" i="13"/>
  <c r="T99" i="13"/>
  <c r="S99" i="13"/>
  <c r="T98" i="13"/>
  <c r="S98" i="13"/>
  <c r="T97" i="13"/>
  <c r="S97" i="13"/>
  <c r="T96" i="13"/>
  <c r="S96" i="13"/>
  <c r="T95" i="13"/>
  <c r="S95" i="13"/>
  <c r="T94" i="13"/>
  <c r="S94" i="13"/>
  <c r="T93" i="13"/>
  <c r="S93" i="13"/>
  <c r="T92" i="13"/>
  <c r="S92" i="13"/>
  <c r="T91" i="13"/>
  <c r="S91" i="13"/>
  <c r="T90" i="13"/>
  <c r="S90" i="13"/>
  <c r="T89" i="13"/>
  <c r="S89" i="13"/>
  <c r="T88" i="13"/>
  <c r="S88" i="13"/>
  <c r="T87" i="13"/>
  <c r="S87" i="13"/>
  <c r="T86" i="13"/>
  <c r="S86" i="13"/>
  <c r="T85" i="13"/>
  <c r="S85" i="13"/>
  <c r="T84" i="13"/>
  <c r="S84" i="13"/>
  <c r="T83" i="13"/>
  <c r="S83" i="13"/>
  <c r="T82" i="13"/>
  <c r="S82" i="13"/>
  <c r="T81" i="13"/>
  <c r="S81" i="13"/>
  <c r="T80" i="13"/>
  <c r="S80" i="13"/>
  <c r="T79" i="13"/>
  <c r="S79" i="13"/>
  <c r="T78" i="13"/>
  <c r="S78" i="13"/>
  <c r="T77" i="13"/>
  <c r="S77" i="13"/>
  <c r="T76" i="13"/>
  <c r="S76" i="13"/>
  <c r="T75" i="13"/>
  <c r="S75" i="13"/>
  <c r="T74" i="13"/>
  <c r="S74" i="13"/>
  <c r="T73" i="13"/>
  <c r="S73" i="13"/>
  <c r="T72" i="13"/>
  <c r="S72" i="13"/>
  <c r="T71" i="13"/>
  <c r="S71" i="13"/>
  <c r="T70" i="13"/>
  <c r="S70" i="13"/>
  <c r="T69" i="13"/>
  <c r="S69" i="13"/>
  <c r="T68" i="13"/>
  <c r="S68" i="13"/>
  <c r="T67" i="13"/>
  <c r="S67" i="13"/>
  <c r="T66" i="13"/>
  <c r="S66" i="13"/>
  <c r="T65" i="13"/>
  <c r="S65" i="13"/>
  <c r="T64" i="13"/>
  <c r="S64" i="13"/>
  <c r="T63" i="13"/>
  <c r="S63" i="13"/>
  <c r="T62" i="13"/>
  <c r="S62" i="13"/>
  <c r="T61" i="13"/>
  <c r="S61" i="13"/>
  <c r="T60" i="13"/>
  <c r="S60" i="13"/>
  <c r="T59" i="13"/>
  <c r="S59" i="13"/>
  <c r="T58" i="13"/>
  <c r="S58" i="13"/>
  <c r="T57" i="13"/>
  <c r="S57" i="13"/>
  <c r="T56" i="13"/>
  <c r="S56" i="13"/>
  <c r="T55" i="13"/>
  <c r="S55" i="13"/>
  <c r="T54" i="13"/>
  <c r="S54" i="13"/>
  <c r="T53" i="13"/>
  <c r="S53" i="13"/>
  <c r="T52" i="13"/>
  <c r="S52" i="13"/>
  <c r="T51" i="13"/>
  <c r="S51" i="13"/>
  <c r="T50" i="13"/>
  <c r="S50" i="13"/>
  <c r="T49" i="13"/>
  <c r="S49" i="13"/>
  <c r="T48" i="13"/>
  <c r="S48" i="13"/>
  <c r="T47" i="13"/>
  <c r="S47" i="13"/>
  <c r="T46" i="13"/>
  <c r="S46" i="13"/>
  <c r="T45" i="13"/>
  <c r="S45" i="13"/>
  <c r="T44" i="13"/>
  <c r="S44" i="13"/>
  <c r="T43" i="13"/>
  <c r="S43" i="13"/>
  <c r="T42" i="13"/>
  <c r="S42" i="13"/>
  <c r="T41" i="13"/>
  <c r="S41" i="13"/>
  <c r="T40" i="13"/>
  <c r="S40" i="13"/>
  <c r="T39" i="13"/>
  <c r="S39" i="13"/>
  <c r="T38" i="13"/>
  <c r="S38" i="13"/>
  <c r="T37" i="13"/>
  <c r="S37" i="13"/>
  <c r="T36" i="13"/>
  <c r="S36" i="13"/>
  <c r="T35" i="13"/>
  <c r="S35" i="13"/>
  <c r="T34" i="13"/>
  <c r="S34" i="13"/>
  <c r="T33" i="13"/>
  <c r="S33" i="13"/>
  <c r="T32" i="13"/>
  <c r="S32" i="13"/>
  <c r="T31" i="13"/>
  <c r="S31" i="13"/>
  <c r="T30" i="13"/>
  <c r="S30" i="13"/>
  <c r="T29" i="13"/>
  <c r="S29" i="13"/>
  <c r="T28" i="13"/>
  <c r="S28" i="13"/>
  <c r="T27" i="13"/>
  <c r="S27" i="13"/>
  <c r="T26" i="13"/>
  <c r="S26" i="13"/>
  <c r="T25" i="13"/>
  <c r="S25" i="13"/>
  <c r="T24" i="13"/>
  <c r="S24" i="13"/>
  <c r="T23" i="13"/>
  <c r="S23" i="13"/>
  <c r="T22" i="13"/>
  <c r="S22" i="13"/>
  <c r="T21" i="13"/>
  <c r="S21" i="13"/>
  <c r="T20" i="13"/>
  <c r="S20" i="13"/>
  <c r="T19" i="13"/>
  <c r="S19" i="13"/>
  <c r="T18" i="13"/>
  <c r="S18" i="13"/>
  <c r="T17" i="13"/>
  <c r="S17" i="13"/>
  <c r="T16" i="13"/>
  <c r="S16" i="13"/>
  <c r="T15" i="13"/>
  <c r="S15" i="13"/>
  <c r="T14" i="13"/>
  <c r="S14" i="13"/>
  <c r="T13" i="13"/>
  <c r="S13" i="13"/>
  <c r="T12" i="13"/>
  <c r="S12" i="13"/>
  <c r="T11" i="13"/>
  <c r="S11" i="13"/>
  <c r="T10" i="13"/>
  <c r="S10" i="13"/>
  <c r="T9" i="13"/>
  <c r="S9" i="13"/>
  <c r="T8" i="13"/>
  <c r="S8" i="13"/>
  <c r="T7" i="13"/>
  <c r="S7" i="13"/>
  <c r="T6" i="13"/>
  <c r="S6" i="13"/>
  <c r="T5" i="13"/>
  <c r="S5" i="13"/>
  <c r="T4" i="13"/>
  <c r="S4" i="13"/>
  <c r="T3" i="13"/>
  <c r="S3" i="13"/>
  <c r="T2" i="13"/>
  <c r="S2" i="13"/>
  <c r="K4" i="11"/>
  <c r="K3" i="11"/>
  <c r="K2" i="11"/>
  <c r="U1380" i="9"/>
  <c r="U1379" i="9"/>
  <c r="U1378" i="9"/>
  <c r="U1377" i="9"/>
  <c r="U1376" i="9"/>
  <c r="U1375" i="9"/>
  <c r="U1374" i="9"/>
  <c r="U1373" i="9"/>
  <c r="U1372" i="9"/>
  <c r="U1371" i="9"/>
  <c r="U1370" i="9"/>
  <c r="U1369" i="9"/>
  <c r="U1368" i="9"/>
  <c r="U1367" i="9"/>
  <c r="U1366" i="9"/>
  <c r="U1365" i="9"/>
  <c r="U1364" i="9"/>
  <c r="U1363" i="9"/>
  <c r="U1362" i="9"/>
  <c r="U1361" i="9"/>
  <c r="U1360" i="9"/>
  <c r="U1359" i="9"/>
  <c r="U1358" i="9"/>
  <c r="U1357" i="9"/>
  <c r="U1356" i="9"/>
  <c r="U1355" i="9"/>
  <c r="U1354" i="9"/>
  <c r="U1353" i="9"/>
  <c r="U1352" i="9"/>
  <c r="U1351" i="9"/>
  <c r="U1350" i="9"/>
  <c r="U1349" i="9"/>
  <c r="U1348" i="9"/>
  <c r="U1347" i="9"/>
  <c r="U1346" i="9"/>
  <c r="U1345" i="9"/>
  <c r="U1344" i="9"/>
  <c r="U1343" i="9"/>
  <c r="U1342" i="9"/>
  <c r="U1341" i="9"/>
  <c r="U1340" i="9"/>
  <c r="U1339" i="9"/>
  <c r="U1338" i="9"/>
  <c r="U1337" i="9"/>
  <c r="U1336" i="9"/>
  <c r="U1335" i="9"/>
  <c r="U1334" i="9"/>
  <c r="U1333" i="9"/>
  <c r="U1332" i="9"/>
  <c r="U1331" i="9"/>
  <c r="U1330" i="9"/>
  <c r="U1329" i="9"/>
  <c r="U1328" i="9"/>
  <c r="U1327" i="9"/>
  <c r="U1326" i="9"/>
  <c r="U1325" i="9"/>
  <c r="U1324" i="9"/>
  <c r="U1323" i="9"/>
  <c r="U1322" i="9"/>
  <c r="U1321" i="9"/>
  <c r="U1320" i="9"/>
  <c r="U1319" i="9"/>
  <c r="U1318" i="9"/>
  <c r="U1317" i="9"/>
  <c r="U1316" i="9"/>
  <c r="U1315" i="9"/>
  <c r="U1314" i="9"/>
  <c r="U1313" i="9"/>
  <c r="U1312" i="9"/>
  <c r="U1311" i="9"/>
  <c r="U1310" i="9"/>
  <c r="U1309" i="9"/>
  <c r="U1308" i="9"/>
  <c r="U1307" i="9"/>
  <c r="U1306" i="9"/>
  <c r="U1305" i="9"/>
  <c r="U1304" i="9"/>
  <c r="U1303" i="9"/>
  <c r="U1302" i="9"/>
  <c r="U1301" i="9"/>
  <c r="U1300" i="9"/>
  <c r="U1299" i="9"/>
  <c r="U1298" i="9"/>
  <c r="U1297" i="9"/>
  <c r="U1296" i="9"/>
  <c r="U1295" i="9"/>
  <c r="U1294" i="9"/>
  <c r="U1293" i="9"/>
  <c r="U1292" i="9"/>
  <c r="U1291" i="9"/>
  <c r="U1290" i="9"/>
  <c r="U1289" i="9"/>
  <c r="U1288" i="9"/>
  <c r="U1287" i="9"/>
  <c r="U1286" i="9"/>
  <c r="U1285" i="9"/>
  <c r="U1284" i="9"/>
  <c r="U1283" i="9"/>
  <c r="U1282" i="9"/>
  <c r="U1281" i="9"/>
  <c r="U1280" i="9"/>
  <c r="U1279" i="9"/>
  <c r="U1278" i="9"/>
  <c r="U1277" i="9"/>
  <c r="U1276" i="9"/>
  <c r="U1275" i="9"/>
  <c r="U1274" i="9"/>
  <c r="U1273" i="9"/>
  <c r="U1272" i="9"/>
  <c r="U1271" i="9"/>
  <c r="U1270" i="9"/>
  <c r="U1269" i="9"/>
  <c r="U1268" i="9"/>
  <c r="U1267" i="9"/>
  <c r="U1266" i="9"/>
  <c r="U1265" i="9"/>
  <c r="U1264" i="9"/>
  <c r="U1263" i="9"/>
  <c r="U1262" i="9"/>
  <c r="U1261" i="9"/>
  <c r="U1260" i="9"/>
  <c r="U1259" i="9"/>
  <c r="U1258" i="9"/>
  <c r="U1257" i="9"/>
  <c r="U1256" i="9"/>
  <c r="U1255" i="9"/>
  <c r="U1254" i="9"/>
  <c r="U1253" i="9"/>
  <c r="U1252" i="9"/>
  <c r="U1251" i="9"/>
  <c r="U1250" i="9"/>
  <c r="U1249" i="9"/>
  <c r="U1248" i="9"/>
  <c r="U1247" i="9"/>
  <c r="U1246" i="9"/>
  <c r="U1245" i="9"/>
  <c r="U1244" i="9"/>
  <c r="U1243" i="9"/>
  <c r="U1242" i="9"/>
  <c r="U1241" i="9"/>
  <c r="U1240" i="9"/>
  <c r="U1239" i="9"/>
  <c r="U1238" i="9"/>
  <c r="U1237" i="9"/>
  <c r="U1236" i="9"/>
  <c r="U1235" i="9"/>
  <c r="U1234" i="9"/>
  <c r="U1233" i="9"/>
  <c r="U1232" i="9"/>
  <c r="U1231" i="9"/>
  <c r="U1230" i="9"/>
  <c r="U1229" i="9"/>
  <c r="U1228" i="9"/>
  <c r="U1227" i="9"/>
  <c r="U1226" i="9"/>
  <c r="U1225" i="9"/>
  <c r="U1224" i="9"/>
  <c r="U1223" i="9"/>
  <c r="U1222" i="9"/>
  <c r="U1221" i="9"/>
  <c r="U1220" i="9"/>
  <c r="U1219" i="9"/>
  <c r="U1218" i="9"/>
  <c r="U1217" i="9"/>
  <c r="U1216" i="9"/>
  <c r="U1215" i="9"/>
  <c r="U1214" i="9"/>
  <c r="U1213" i="9"/>
  <c r="U1212" i="9"/>
  <c r="U1211" i="9"/>
  <c r="U1210" i="9"/>
  <c r="U1209" i="9"/>
  <c r="U1208" i="9"/>
  <c r="U1207" i="9"/>
  <c r="U1206" i="9"/>
  <c r="U1205" i="9"/>
  <c r="U1204" i="9"/>
  <c r="U1203" i="9"/>
  <c r="U1202" i="9"/>
  <c r="U1201" i="9"/>
  <c r="U1200" i="9"/>
  <c r="U1199" i="9"/>
  <c r="U1198" i="9"/>
  <c r="U1197" i="9"/>
  <c r="U1196" i="9"/>
  <c r="U1195" i="9"/>
  <c r="U1194" i="9"/>
  <c r="U1193" i="9"/>
  <c r="U1192" i="9"/>
  <c r="U1191" i="9"/>
  <c r="U1190" i="9"/>
  <c r="U1189" i="9"/>
  <c r="U1188" i="9"/>
  <c r="U1187" i="9"/>
  <c r="U1186" i="9"/>
  <c r="U1185" i="9"/>
  <c r="U1184" i="9"/>
  <c r="U1183" i="9"/>
  <c r="U1182" i="9"/>
  <c r="U1181" i="9"/>
  <c r="U1180" i="9"/>
  <c r="U1179" i="9"/>
  <c r="U1178" i="9"/>
  <c r="U1177" i="9"/>
  <c r="U1176" i="9"/>
  <c r="U1175" i="9"/>
  <c r="U1174" i="9"/>
  <c r="U1173" i="9"/>
  <c r="U1172" i="9"/>
  <c r="U1171" i="9"/>
  <c r="U1170" i="9"/>
  <c r="U1169" i="9"/>
  <c r="U1168" i="9"/>
  <c r="U1167" i="9"/>
  <c r="U1166" i="9"/>
  <c r="U1165" i="9"/>
  <c r="U1164" i="9"/>
  <c r="U1163" i="9"/>
  <c r="U1162" i="9"/>
  <c r="U1161" i="9"/>
  <c r="U1160" i="9"/>
  <c r="U1159" i="9"/>
  <c r="U1158" i="9"/>
  <c r="U1157" i="9"/>
  <c r="U1156" i="9"/>
  <c r="U1155" i="9"/>
  <c r="U1154" i="9"/>
  <c r="U1153" i="9"/>
  <c r="U1152" i="9"/>
  <c r="U1151" i="9"/>
  <c r="U1150" i="9"/>
  <c r="U1149" i="9"/>
  <c r="U1148" i="9"/>
  <c r="U1147" i="9"/>
  <c r="U1146" i="9"/>
  <c r="U1145" i="9"/>
  <c r="U1144" i="9"/>
  <c r="U1143" i="9"/>
  <c r="U1142" i="9"/>
  <c r="U1141" i="9"/>
  <c r="U1140" i="9"/>
  <c r="U1139" i="9"/>
  <c r="U1138" i="9"/>
  <c r="U1137" i="9"/>
  <c r="U1136" i="9"/>
  <c r="U1135" i="9"/>
  <c r="U1134" i="9"/>
  <c r="U1133" i="9"/>
  <c r="U1132" i="9"/>
  <c r="U1131" i="9"/>
  <c r="U1130" i="9"/>
  <c r="U1129" i="9"/>
  <c r="U1128" i="9"/>
  <c r="U1127" i="9"/>
  <c r="U1126" i="9"/>
  <c r="U1125" i="9"/>
  <c r="U1124" i="9"/>
  <c r="U1123" i="9"/>
  <c r="U1122" i="9"/>
  <c r="U1121" i="9"/>
  <c r="U1120" i="9"/>
  <c r="U1119" i="9"/>
  <c r="U1118" i="9"/>
  <c r="U1117" i="9"/>
  <c r="U1116" i="9"/>
  <c r="U1115" i="9"/>
  <c r="U1114" i="9"/>
  <c r="U1113" i="9"/>
  <c r="U1112" i="9"/>
  <c r="U1111" i="9"/>
  <c r="U1110" i="9"/>
  <c r="U1109" i="9"/>
  <c r="U1108" i="9"/>
  <c r="U1107" i="9"/>
  <c r="U1106" i="9"/>
  <c r="U1105" i="9"/>
  <c r="U1104" i="9"/>
  <c r="U1103" i="9"/>
  <c r="U1102" i="9"/>
  <c r="U1101" i="9"/>
  <c r="U1100" i="9"/>
  <c r="U1099" i="9"/>
  <c r="U1098" i="9"/>
  <c r="U1097" i="9"/>
  <c r="U1096" i="9"/>
  <c r="U1095" i="9"/>
  <c r="U1094" i="9"/>
  <c r="U1093" i="9"/>
  <c r="U1092" i="9"/>
  <c r="U1091" i="9"/>
  <c r="U1090" i="9"/>
  <c r="U1089" i="9"/>
  <c r="U1088" i="9"/>
  <c r="U1087" i="9"/>
  <c r="U1086" i="9"/>
  <c r="U1085" i="9"/>
  <c r="U1084" i="9"/>
  <c r="U1083" i="9"/>
  <c r="U1082" i="9"/>
  <c r="U1081" i="9"/>
  <c r="U1080" i="9"/>
  <c r="U1079" i="9"/>
  <c r="U1078" i="9"/>
  <c r="U1077" i="9"/>
  <c r="U1076" i="9"/>
  <c r="U1075" i="9"/>
  <c r="U1074" i="9"/>
  <c r="U1073" i="9"/>
  <c r="U1072" i="9"/>
  <c r="U1071" i="9"/>
  <c r="U1070" i="9"/>
  <c r="U1069" i="9"/>
  <c r="U1068" i="9"/>
  <c r="U1067" i="9"/>
  <c r="U1066" i="9"/>
  <c r="U1065" i="9"/>
  <c r="U1064" i="9"/>
  <c r="U1063" i="9"/>
  <c r="U1062" i="9"/>
  <c r="U1061" i="9"/>
  <c r="U1060" i="9"/>
  <c r="U1059" i="9"/>
  <c r="U1058" i="9"/>
  <c r="U1057" i="9"/>
  <c r="U1056" i="9"/>
  <c r="U1055" i="9"/>
  <c r="U1054" i="9"/>
  <c r="U1053" i="9"/>
  <c r="U1052" i="9"/>
  <c r="U1051" i="9"/>
  <c r="U1050" i="9"/>
  <c r="U1049" i="9"/>
  <c r="U1048" i="9"/>
  <c r="U1047" i="9"/>
  <c r="U1046" i="9"/>
  <c r="U1045" i="9"/>
  <c r="U1044" i="9"/>
  <c r="U1043" i="9"/>
  <c r="U1042" i="9"/>
  <c r="U1041" i="9"/>
  <c r="U1040" i="9"/>
  <c r="U1039" i="9"/>
  <c r="U1038" i="9"/>
  <c r="U1037" i="9"/>
  <c r="U1036" i="9"/>
  <c r="U1035" i="9"/>
  <c r="U1034" i="9"/>
  <c r="U1033" i="9"/>
  <c r="U1032" i="9"/>
  <c r="U1031" i="9"/>
  <c r="U1030" i="9"/>
  <c r="U1029" i="9"/>
  <c r="U1028" i="9"/>
  <c r="U1027" i="9"/>
  <c r="U1026" i="9"/>
  <c r="U1025" i="9"/>
  <c r="U1024" i="9"/>
  <c r="U1023" i="9"/>
  <c r="U1022" i="9"/>
  <c r="U1021" i="9"/>
  <c r="U1020" i="9"/>
  <c r="U1019" i="9"/>
  <c r="U1018" i="9"/>
  <c r="U1017" i="9"/>
  <c r="U1016" i="9"/>
  <c r="U1015" i="9"/>
  <c r="U1014" i="9"/>
  <c r="U1013" i="9"/>
  <c r="U1012" i="9"/>
  <c r="U1011" i="9"/>
  <c r="U1010" i="9"/>
  <c r="U1009" i="9"/>
  <c r="U1008" i="9"/>
  <c r="U1007" i="9"/>
  <c r="U1006" i="9"/>
  <c r="U1005" i="9"/>
  <c r="U1004" i="9"/>
  <c r="U1003" i="9"/>
  <c r="U1002" i="9"/>
  <c r="U1001" i="9"/>
  <c r="U1000" i="9"/>
  <c r="U999" i="9"/>
  <c r="U998" i="9"/>
  <c r="U997" i="9"/>
  <c r="U996" i="9"/>
  <c r="U995" i="9"/>
  <c r="U994" i="9"/>
  <c r="U993" i="9"/>
  <c r="U992" i="9"/>
  <c r="U991" i="9"/>
  <c r="U990" i="9"/>
  <c r="U989" i="9"/>
  <c r="U988" i="9"/>
  <c r="U987" i="9"/>
  <c r="U986" i="9"/>
  <c r="U985" i="9"/>
  <c r="U984" i="9"/>
  <c r="U983" i="9"/>
  <c r="U982" i="9"/>
  <c r="U981" i="9"/>
  <c r="U980" i="9"/>
  <c r="U979" i="9"/>
  <c r="U978" i="9"/>
  <c r="U977" i="9"/>
  <c r="U976" i="9"/>
  <c r="U975" i="9"/>
  <c r="U974" i="9"/>
  <c r="U973" i="9"/>
  <c r="U972" i="9"/>
  <c r="U971" i="9"/>
  <c r="U970" i="9"/>
  <c r="U969" i="9"/>
  <c r="U968" i="9"/>
  <c r="U967" i="9"/>
  <c r="U966" i="9"/>
  <c r="U965" i="9"/>
  <c r="U964" i="9"/>
  <c r="U963" i="9"/>
  <c r="U962" i="9"/>
  <c r="U961" i="9"/>
  <c r="U960" i="9"/>
  <c r="U959" i="9"/>
  <c r="U958" i="9"/>
  <c r="U957" i="9"/>
  <c r="U956" i="9"/>
  <c r="U955" i="9"/>
  <c r="U954" i="9"/>
  <c r="U953" i="9"/>
  <c r="U952" i="9"/>
  <c r="U951" i="9"/>
  <c r="U950" i="9"/>
  <c r="U949" i="9"/>
  <c r="U948" i="9"/>
  <c r="U947" i="9"/>
  <c r="U946" i="9"/>
  <c r="U945" i="9"/>
  <c r="U944" i="9"/>
  <c r="U943" i="9"/>
  <c r="U942" i="9"/>
  <c r="U941" i="9"/>
  <c r="U940" i="9"/>
  <c r="U939" i="9"/>
  <c r="U938" i="9"/>
  <c r="U937" i="9"/>
  <c r="U936" i="9"/>
  <c r="U935" i="9"/>
  <c r="U934" i="9"/>
  <c r="U933" i="9"/>
  <c r="U932" i="9"/>
  <c r="U931" i="9"/>
  <c r="U930" i="9"/>
  <c r="U929" i="9"/>
  <c r="U928" i="9"/>
  <c r="U927" i="9"/>
  <c r="U926" i="9"/>
  <c r="U925" i="9"/>
  <c r="U924" i="9"/>
  <c r="U923" i="9"/>
  <c r="U922" i="9"/>
  <c r="U921" i="9"/>
  <c r="U920" i="9"/>
  <c r="U919" i="9"/>
  <c r="U918" i="9"/>
  <c r="U917" i="9"/>
  <c r="U916" i="9"/>
  <c r="U915" i="9"/>
  <c r="U914" i="9"/>
  <c r="U913" i="9"/>
  <c r="U912" i="9"/>
  <c r="U911" i="9"/>
  <c r="U910" i="9"/>
  <c r="U909" i="9"/>
  <c r="U908" i="9"/>
  <c r="U907" i="9"/>
  <c r="U906" i="9"/>
  <c r="U905" i="9"/>
  <c r="U904" i="9"/>
  <c r="U903" i="9"/>
  <c r="U902" i="9"/>
  <c r="U901" i="9"/>
  <c r="U900" i="9"/>
  <c r="U899" i="9"/>
  <c r="U898" i="9"/>
  <c r="U897" i="9"/>
  <c r="U896" i="9"/>
  <c r="U895" i="9"/>
  <c r="U894" i="9"/>
  <c r="U893" i="9"/>
  <c r="U892" i="9"/>
  <c r="U891" i="9"/>
  <c r="U890" i="9"/>
  <c r="U889" i="9"/>
  <c r="U888" i="9"/>
  <c r="U887" i="9"/>
  <c r="U886" i="9"/>
  <c r="U885" i="9"/>
  <c r="U884" i="9"/>
  <c r="U883" i="9"/>
  <c r="U882" i="9"/>
  <c r="U881" i="9"/>
  <c r="U880" i="9"/>
  <c r="U879" i="9"/>
  <c r="U878" i="9"/>
  <c r="U877" i="9"/>
  <c r="U876" i="9"/>
  <c r="U875" i="9"/>
  <c r="U874" i="9"/>
  <c r="U873" i="9"/>
  <c r="U872" i="9"/>
  <c r="U871" i="9"/>
  <c r="U870" i="9"/>
  <c r="U869" i="9"/>
  <c r="U868" i="9"/>
  <c r="U867" i="9"/>
  <c r="U866" i="9"/>
  <c r="U865" i="9"/>
  <c r="U864" i="9"/>
  <c r="U863" i="9"/>
  <c r="U862" i="9"/>
  <c r="U861" i="9"/>
  <c r="U860" i="9"/>
  <c r="U859" i="9"/>
  <c r="U858" i="9"/>
  <c r="U857" i="9"/>
  <c r="U856" i="9"/>
  <c r="U855" i="9"/>
  <c r="U854" i="9"/>
  <c r="U853" i="9"/>
  <c r="U852" i="9"/>
  <c r="U851" i="9"/>
  <c r="U850" i="9"/>
  <c r="U849" i="9"/>
  <c r="U848" i="9"/>
  <c r="U847" i="9"/>
  <c r="U846" i="9"/>
  <c r="U845" i="9"/>
  <c r="U844" i="9"/>
  <c r="U843" i="9"/>
  <c r="U842" i="9"/>
  <c r="U841" i="9"/>
  <c r="U840" i="9"/>
  <c r="U839" i="9"/>
  <c r="U838" i="9"/>
  <c r="U837" i="9"/>
  <c r="U836" i="9"/>
  <c r="U835" i="9"/>
  <c r="U834" i="9"/>
  <c r="U833" i="9"/>
  <c r="U832" i="9"/>
  <c r="U831" i="9"/>
  <c r="U830" i="9"/>
  <c r="U829" i="9"/>
  <c r="U828" i="9"/>
  <c r="U827" i="9"/>
  <c r="U826" i="9"/>
  <c r="U825" i="9"/>
  <c r="U824" i="9"/>
  <c r="U823" i="9"/>
  <c r="U822" i="9"/>
  <c r="U821" i="9"/>
  <c r="U820" i="9"/>
  <c r="U819" i="9"/>
  <c r="U818" i="9"/>
  <c r="U817" i="9"/>
  <c r="U816" i="9"/>
  <c r="U815" i="9"/>
  <c r="U814" i="9"/>
  <c r="U813" i="9"/>
  <c r="U812" i="9"/>
  <c r="U811" i="9"/>
  <c r="U810" i="9"/>
  <c r="U809" i="9"/>
  <c r="U808" i="9"/>
  <c r="U807" i="9"/>
  <c r="U806" i="9"/>
  <c r="U805" i="9"/>
  <c r="U804" i="9"/>
  <c r="U803" i="9"/>
  <c r="U802" i="9"/>
  <c r="U801" i="9"/>
  <c r="U800" i="9"/>
  <c r="U799" i="9"/>
  <c r="U798" i="9"/>
  <c r="U797" i="9"/>
  <c r="U796" i="9"/>
  <c r="U795" i="9"/>
  <c r="U794" i="9"/>
  <c r="U793" i="9"/>
  <c r="U792" i="9"/>
  <c r="U791" i="9"/>
  <c r="U790" i="9"/>
  <c r="U789" i="9"/>
  <c r="U788" i="9"/>
  <c r="U787" i="9"/>
  <c r="U786" i="9"/>
  <c r="U785" i="9"/>
  <c r="U784" i="9"/>
  <c r="U783" i="9"/>
  <c r="U782" i="9"/>
  <c r="U781" i="9"/>
  <c r="U780" i="9"/>
  <c r="U779" i="9"/>
  <c r="U778" i="9"/>
  <c r="U777" i="9"/>
  <c r="U776" i="9"/>
  <c r="U775" i="9"/>
  <c r="U774" i="9"/>
  <c r="U773" i="9"/>
  <c r="U772" i="9"/>
  <c r="U771" i="9"/>
  <c r="U770" i="9"/>
  <c r="U769" i="9"/>
  <c r="U768" i="9"/>
  <c r="U767" i="9"/>
  <c r="U766" i="9"/>
  <c r="U765" i="9"/>
  <c r="U764" i="9"/>
  <c r="U763" i="9"/>
  <c r="U762" i="9"/>
  <c r="U761" i="9"/>
  <c r="U760" i="9"/>
  <c r="U759" i="9"/>
  <c r="U758" i="9"/>
  <c r="U757" i="9"/>
  <c r="U756" i="9"/>
  <c r="U755" i="9"/>
  <c r="U754" i="9"/>
  <c r="U753" i="9"/>
  <c r="U752" i="9"/>
  <c r="U751" i="9"/>
  <c r="U750" i="9"/>
  <c r="U749" i="9"/>
  <c r="U748" i="9"/>
  <c r="U747" i="9"/>
  <c r="U746" i="9"/>
  <c r="U745" i="9"/>
  <c r="U744" i="9"/>
  <c r="U743" i="9"/>
  <c r="U742" i="9"/>
  <c r="U741" i="9"/>
  <c r="U740" i="9"/>
  <c r="U739" i="9"/>
  <c r="U738" i="9"/>
  <c r="U737" i="9"/>
  <c r="U736" i="9"/>
  <c r="U735" i="9"/>
  <c r="U734" i="9"/>
  <c r="U733" i="9"/>
  <c r="U732" i="9"/>
  <c r="U731" i="9"/>
  <c r="U730" i="9"/>
  <c r="U729" i="9"/>
  <c r="U728" i="9"/>
  <c r="U727" i="9"/>
  <c r="U726" i="9"/>
  <c r="U725" i="9"/>
  <c r="U724" i="9"/>
  <c r="U723" i="9"/>
  <c r="U722" i="9"/>
  <c r="U721" i="9"/>
  <c r="U720" i="9"/>
  <c r="U719" i="9"/>
  <c r="U718" i="9"/>
  <c r="U717" i="9"/>
  <c r="U716" i="9"/>
  <c r="U715" i="9"/>
  <c r="U714" i="9"/>
  <c r="U713" i="9"/>
  <c r="U712" i="9"/>
  <c r="U711" i="9"/>
  <c r="U710" i="9"/>
  <c r="U709" i="9"/>
  <c r="U708" i="9"/>
  <c r="U707" i="9"/>
  <c r="U706" i="9"/>
  <c r="U705" i="9"/>
  <c r="U704" i="9"/>
  <c r="U703" i="9"/>
  <c r="U702" i="9"/>
  <c r="U701" i="9"/>
  <c r="U700" i="9"/>
  <c r="U699" i="9"/>
  <c r="U698" i="9"/>
  <c r="U697" i="9"/>
  <c r="U696" i="9"/>
  <c r="U695" i="9"/>
  <c r="U694" i="9"/>
  <c r="U693" i="9"/>
  <c r="U692" i="9"/>
  <c r="U691" i="9"/>
  <c r="U690" i="9"/>
  <c r="U689" i="9"/>
  <c r="U688" i="9"/>
  <c r="U687" i="9"/>
  <c r="U686" i="9"/>
  <c r="U685" i="9"/>
  <c r="U684" i="9"/>
  <c r="U683" i="9"/>
  <c r="U682" i="9"/>
  <c r="U681" i="9"/>
  <c r="U680" i="9"/>
  <c r="U679" i="9"/>
  <c r="U678" i="9"/>
  <c r="U677" i="9"/>
  <c r="U676" i="9"/>
  <c r="U675" i="9"/>
  <c r="U674" i="9"/>
  <c r="U673" i="9"/>
  <c r="U672" i="9"/>
  <c r="U671" i="9"/>
  <c r="U670" i="9"/>
  <c r="U669" i="9"/>
  <c r="U668" i="9"/>
  <c r="U667" i="9"/>
  <c r="U666" i="9"/>
  <c r="U665" i="9"/>
  <c r="U664" i="9"/>
  <c r="U663" i="9"/>
  <c r="U662" i="9"/>
  <c r="U661" i="9"/>
  <c r="U660" i="9"/>
  <c r="U659" i="9"/>
  <c r="U658" i="9"/>
  <c r="U657" i="9"/>
  <c r="U656" i="9"/>
  <c r="U655" i="9"/>
  <c r="U654" i="9"/>
  <c r="U653" i="9"/>
  <c r="U652" i="9"/>
  <c r="U651" i="9"/>
  <c r="U650" i="9"/>
  <c r="U649" i="9"/>
  <c r="U648" i="9"/>
  <c r="U647" i="9"/>
  <c r="U646" i="9"/>
  <c r="U645" i="9"/>
  <c r="U644" i="9"/>
  <c r="U643" i="9"/>
  <c r="U642" i="9"/>
  <c r="U641" i="9"/>
  <c r="U640" i="9"/>
  <c r="U639" i="9"/>
  <c r="U638" i="9"/>
  <c r="U637" i="9"/>
  <c r="U636" i="9"/>
  <c r="U635" i="9"/>
  <c r="U634" i="9"/>
  <c r="U633" i="9"/>
  <c r="U632" i="9"/>
  <c r="U631" i="9"/>
  <c r="U630" i="9"/>
  <c r="U629" i="9"/>
  <c r="U628" i="9"/>
  <c r="U627" i="9"/>
  <c r="U626" i="9"/>
  <c r="U625" i="9"/>
  <c r="U624" i="9"/>
  <c r="U623" i="9"/>
  <c r="U622" i="9"/>
  <c r="U621" i="9"/>
  <c r="U620" i="9"/>
  <c r="U619" i="9"/>
  <c r="U618" i="9"/>
  <c r="U617" i="9"/>
  <c r="U616" i="9"/>
  <c r="U615" i="9"/>
  <c r="U614" i="9"/>
  <c r="U613" i="9"/>
  <c r="U612" i="9"/>
  <c r="U611" i="9"/>
  <c r="U610" i="9"/>
  <c r="U609" i="9"/>
  <c r="U608" i="9"/>
  <c r="U607" i="9"/>
  <c r="U606" i="9"/>
  <c r="U605" i="9"/>
  <c r="U604" i="9"/>
  <c r="U603" i="9"/>
  <c r="U602" i="9"/>
  <c r="U601" i="9"/>
  <c r="U600" i="9"/>
  <c r="U599" i="9"/>
  <c r="U598" i="9"/>
  <c r="U597" i="9"/>
  <c r="U596" i="9"/>
  <c r="U595" i="9"/>
  <c r="U594" i="9"/>
  <c r="U593" i="9"/>
  <c r="U592" i="9"/>
  <c r="U591" i="9"/>
  <c r="U590" i="9"/>
  <c r="U589" i="9"/>
  <c r="U588" i="9"/>
  <c r="U587" i="9"/>
  <c r="U586" i="9"/>
  <c r="U585" i="9"/>
  <c r="U584" i="9"/>
  <c r="U583" i="9"/>
  <c r="U582" i="9"/>
  <c r="U581" i="9"/>
  <c r="U580" i="9"/>
  <c r="U579" i="9"/>
  <c r="U578" i="9"/>
  <c r="U577" i="9"/>
  <c r="U576" i="9"/>
  <c r="U575" i="9"/>
  <c r="U574" i="9"/>
  <c r="U573" i="9"/>
  <c r="U572" i="9"/>
  <c r="U571" i="9"/>
  <c r="U570" i="9"/>
  <c r="U569" i="9"/>
  <c r="U568" i="9"/>
  <c r="U567" i="9"/>
  <c r="U566" i="9"/>
  <c r="U565" i="9"/>
  <c r="U564" i="9"/>
  <c r="U563" i="9"/>
  <c r="U562" i="9"/>
  <c r="U561" i="9"/>
  <c r="U560" i="9"/>
  <c r="U559" i="9"/>
  <c r="U558" i="9"/>
  <c r="U557" i="9"/>
  <c r="U556" i="9"/>
  <c r="U555" i="9"/>
  <c r="U554" i="9"/>
  <c r="U553" i="9"/>
  <c r="U552" i="9"/>
  <c r="U551" i="9"/>
  <c r="U550" i="9"/>
  <c r="U549" i="9"/>
  <c r="U548" i="9"/>
  <c r="U547" i="9"/>
  <c r="U546" i="9"/>
  <c r="U545" i="9"/>
  <c r="U544" i="9"/>
  <c r="U543" i="9"/>
  <c r="U542" i="9"/>
  <c r="U541" i="9"/>
  <c r="U540" i="9"/>
  <c r="U539" i="9"/>
  <c r="U538" i="9"/>
  <c r="U537" i="9"/>
  <c r="U536" i="9"/>
  <c r="U535" i="9"/>
  <c r="U534" i="9"/>
  <c r="U533" i="9"/>
  <c r="U532" i="9"/>
  <c r="U531" i="9"/>
  <c r="U530" i="9"/>
  <c r="U529" i="9"/>
  <c r="U528" i="9"/>
  <c r="U527" i="9"/>
  <c r="U526" i="9"/>
  <c r="U525" i="9"/>
  <c r="U524" i="9"/>
  <c r="U523" i="9"/>
  <c r="U522" i="9"/>
  <c r="U521" i="9"/>
  <c r="U520" i="9"/>
  <c r="U519" i="9"/>
  <c r="U518" i="9"/>
  <c r="U517" i="9"/>
  <c r="U516" i="9"/>
  <c r="U515" i="9"/>
  <c r="U514" i="9"/>
  <c r="U513" i="9"/>
  <c r="U512" i="9"/>
  <c r="U511" i="9"/>
  <c r="U510" i="9"/>
  <c r="U509" i="9"/>
  <c r="U508" i="9"/>
  <c r="U507" i="9"/>
  <c r="U506" i="9"/>
  <c r="U505" i="9"/>
  <c r="U504" i="9"/>
  <c r="U503" i="9"/>
  <c r="U502" i="9"/>
  <c r="U501" i="9"/>
  <c r="U500" i="9"/>
  <c r="U499" i="9"/>
  <c r="U498" i="9"/>
  <c r="U497" i="9"/>
  <c r="U496" i="9"/>
  <c r="U495" i="9"/>
  <c r="U494" i="9"/>
  <c r="U493" i="9"/>
  <c r="U492" i="9"/>
  <c r="U491" i="9"/>
  <c r="U490" i="9"/>
  <c r="U489" i="9"/>
  <c r="U488" i="9"/>
  <c r="U487" i="9"/>
  <c r="U486" i="9"/>
  <c r="U485" i="9"/>
  <c r="U484" i="9"/>
  <c r="U483" i="9"/>
  <c r="U482" i="9"/>
  <c r="U481" i="9"/>
  <c r="U480" i="9"/>
  <c r="U479" i="9"/>
  <c r="U478" i="9"/>
  <c r="U477" i="9"/>
  <c r="U476" i="9"/>
  <c r="U475" i="9"/>
  <c r="U474" i="9"/>
  <c r="U473" i="9"/>
  <c r="U472" i="9"/>
  <c r="U471" i="9"/>
  <c r="U470" i="9"/>
  <c r="U469" i="9"/>
  <c r="U468" i="9"/>
  <c r="U467" i="9"/>
  <c r="U466" i="9"/>
  <c r="U465" i="9"/>
  <c r="U464" i="9"/>
  <c r="U463" i="9"/>
  <c r="U462" i="9"/>
  <c r="U461" i="9"/>
  <c r="U460" i="9"/>
  <c r="U459" i="9"/>
  <c r="U458" i="9"/>
  <c r="U457" i="9"/>
  <c r="U456" i="9"/>
  <c r="U455" i="9"/>
  <c r="U454" i="9"/>
  <c r="U453" i="9"/>
  <c r="U452" i="9"/>
  <c r="U451" i="9"/>
  <c r="U450" i="9"/>
  <c r="U449" i="9"/>
  <c r="U448" i="9"/>
  <c r="U447" i="9"/>
  <c r="U446" i="9"/>
  <c r="U445" i="9"/>
  <c r="U444" i="9"/>
  <c r="U443" i="9"/>
  <c r="U442" i="9"/>
  <c r="U441" i="9"/>
  <c r="U440" i="9"/>
  <c r="U439" i="9"/>
  <c r="U438" i="9"/>
  <c r="U437" i="9"/>
  <c r="U436" i="9"/>
  <c r="U435" i="9"/>
  <c r="U434" i="9"/>
  <c r="U433" i="9"/>
  <c r="U432" i="9"/>
  <c r="U431" i="9"/>
  <c r="U430" i="9"/>
  <c r="U429" i="9"/>
  <c r="U428" i="9"/>
  <c r="U427" i="9"/>
  <c r="U426" i="9"/>
  <c r="U425" i="9"/>
  <c r="U424" i="9"/>
  <c r="U423" i="9"/>
  <c r="U422" i="9"/>
  <c r="U421" i="9"/>
  <c r="U420" i="9"/>
  <c r="U419" i="9"/>
  <c r="U418" i="9"/>
  <c r="U417" i="9"/>
  <c r="U416" i="9"/>
  <c r="U415" i="9"/>
  <c r="U414" i="9"/>
  <c r="U413" i="9"/>
  <c r="U412" i="9"/>
  <c r="U411" i="9"/>
  <c r="U410" i="9"/>
  <c r="U409" i="9"/>
  <c r="U408" i="9"/>
  <c r="U407" i="9"/>
  <c r="U406" i="9"/>
  <c r="U405" i="9"/>
  <c r="U404" i="9"/>
  <c r="U403" i="9"/>
  <c r="U402" i="9"/>
  <c r="U401" i="9"/>
  <c r="U400" i="9"/>
  <c r="U399" i="9"/>
  <c r="U398" i="9"/>
  <c r="U397" i="9"/>
  <c r="U396" i="9"/>
  <c r="U395" i="9"/>
  <c r="U394" i="9"/>
  <c r="U393" i="9"/>
  <c r="U392" i="9"/>
  <c r="U391" i="9"/>
  <c r="U390" i="9"/>
  <c r="U389" i="9"/>
  <c r="U388" i="9"/>
  <c r="U387" i="9"/>
  <c r="U386" i="9"/>
  <c r="U385" i="9"/>
  <c r="U384" i="9"/>
  <c r="U383" i="9"/>
  <c r="U382" i="9"/>
  <c r="U381" i="9"/>
  <c r="U380" i="9"/>
  <c r="U379" i="9"/>
  <c r="U378" i="9"/>
  <c r="U377" i="9"/>
  <c r="U376" i="9"/>
  <c r="U375" i="9"/>
  <c r="U374" i="9"/>
  <c r="U373" i="9"/>
  <c r="U372" i="9"/>
  <c r="U371" i="9"/>
  <c r="U370" i="9"/>
  <c r="U369" i="9"/>
  <c r="U368" i="9"/>
  <c r="U367" i="9"/>
  <c r="U366" i="9"/>
  <c r="U365" i="9"/>
  <c r="U364" i="9"/>
  <c r="U363" i="9"/>
  <c r="U362" i="9"/>
  <c r="U361" i="9"/>
  <c r="U360" i="9"/>
  <c r="U359" i="9"/>
  <c r="U358" i="9"/>
  <c r="U357" i="9"/>
  <c r="U356" i="9"/>
  <c r="U355" i="9"/>
  <c r="U354" i="9"/>
  <c r="U353" i="9"/>
  <c r="U352" i="9"/>
  <c r="U351" i="9"/>
  <c r="U350" i="9"/>
  <c r="U349" i="9"/>
  <c r="U348" i="9"/>
  <c r="U347" i="9"/>
  <c r="U346" i="9"/>
  <c r="U345" i="9"/>
  <c r="U344" i="9"/>
  <c r="U343" i="9"/>
  <c r="U342" i="9"/>
  <c r="U341" i="9"/>
  <c r="U340" i="9"/>
  <c r="U339" i="9"/>
  <c r="U338" i="9"/>
  <c r="U337" i="9"/>
  <c r="U336" i="9"/>
  <c r="U335" i="9"/>
  <c r="U334" i="9"/>
  <c r="U333" i="9"/>
  <c r="U332" i="9"/>
  <c r="U331" i="9"/>
  <c r="U330" i="9"/>
  <c r="U329" i="9"/>
  <c r="U328" i="9"/>
  <c r="U327" i="9"/>
  <c r="U326" i="9"/>
  <c r="U325" i="9"/>
  <c r="U324" i="9"/>
  <c r="U323" i="9"/>
  <c r="U322" i="9"/>
  <c r="U321" i="9"/>
  <c r="U320" i="9"/>
  <c r="U319" i="9"/>
  <c r="U318" i="9"/>
  <c r="U317" i="9"/>
  <c r="U316" i="9"/>
  <c r="U315" i="9"/>
  <c r="U314" i="9"/>
  <c r="U313" i="9"/>
  <c r="U312" i="9"/>
  <c r="U311" i="9"/>
  <c r="U310" i="9"/>
  <c r="U309" i="9"/>
  <c r="U308" i="9"/>
  <c r="U307" i="9"/>
  <c r="U306" i="9"/>
  <c r="U305" i="9"/>
  <c r="U304" i="9"/>
  <c r="U303" i="9"/>
  <c r="U302" i="9"/>
  <c r="U301" i="9"/>
  <c r="U300" i="9"/>
  <c r="U299" i="9"/>
  <c r="U298" i="9"/>
  <c r="U297" i="9"/>
  <c r="U296" i="9"/>
  <c r="U295" i="9"/>
  <c r="U294" i="9"/>
  <c r="U293" i="9"/>
  <c r="U292" i="9"/>
  <c r="U291" i="9"/>
  <c r="U290" i="9"/>
  <c r="U289" i="9"/>
  <c r="U288" i="9"/>
  <c r="U287" i="9"/>
  <c r="U286" i="9"/>
  <c r="U285" i="9"/>
  <c r="U284" i="9"/>
  <c r="U283" i="9"/>
  <c r="U282" i="9"/>
  <c r="U281" i="9"/>
  <c r="U280" i="9"/>
  <c r="U279" i="9"/>
  <c r="U278" i="9"/>
  <c r="U277" i="9"/>
  <c r="U276" i="9"/>
  <c r="U275" i="9"/>
  <c r="U274" i="9"/>
  <c r="U273" i="9"/>
  <c r="U272" i="9"/>
  <c r="U271" i="9"/>
  <c r="U270" i="9"/>
  <c r="U269" i="9"/>
  <c r="U268" i="9"/>
  <c r="U267" i="9"/>
  <c r="U266" i="9"/>
  <c r="U265" i="9"/>
  <c r="U264" i="9"/>
  <c r="U263" i="9"/>
  <c r="U262" i="9"/>
  <c r="U261" i="9"/>
  <c r="U260" i="9"/>
  <c r="U259" i="9"/>
  <c r="U258" i="9"/>
  <c r="U257" i="9"/>
  <c r="U256" i="9"/>
  <c r="U255" i="9"/>
  <c r="U254" i="9"/>
  <c r="U253" i="9"/>
  <c r="U252" i="9"/>
  <c r="U251" i="9"/>
  <c r="U250" i="9"/>
  <c r="U249" i="9"/>
  <c r="U248" i="9"/>
  <c r="U247" i="9"/>
  <c r="U246" i="9"/>
  <c r="U245" i="9"/>
  <c r="U244" i="9"/>
  <c r="U243" i="9"/>
  <c r="U242" i="9"/>
  <c r="U241" i="9"/>
  <c r="U240" i="9"/>
  <c r="U239" i="9"/>
  <c r="U238" i="9"/>
  <c r="U237" i="9"/>
  <c r="U236" i="9"/>
  <c r="U235" i="9"/>
  <c r="U234" i="9"/>
  <c r="U233" i="9"/>
  <c r="U232" i="9"/>
  <c r="U231" i="9"/>
  <c r="U230" i="9"/>
  <c r="U229" i="9"/>
  <c r="U228" i="9"/>
  <c r="U227" i="9"/>
  <c r="U226" i="9"/>
  <c r="U225" i="9"/>
  <c r="U224" i="9"/>
  <c r="U223" i="9"/>
  <c r="U222" i="9"/>
  <c r="U221" i="9"/>
  <c r="U220" i="9"/>
  <c r="U219" i="9"/>
  <c r="U218" i="9"/>
  <c r="U217" i="9"/>
  <c r="U216" i="9"/>
  <c r="U215" i="9"/>
  <c r="U214" i="9"/>
  <c r="U213" i="9"/>
  <c r="U212" i="9"/>
  <c r="U211" i="9"/>
  <c r="U210" i="9"/>
  <c r="U209" i="9"/>
  <c r="U208" i="9"/>
  <c r="U207" i="9"/>
  <c r="U206" i="9"/>
  <c r="U205" i="9"/>
  <c r="U204" i="9"/>
  <c r="U203" i="9"/>
  <c r="U202" i="9"/>
  <c r="U201" i="9"/>
  <c r="U200" i="9"/>
  <c r="U199" i="9"/>
  <c r="U198" i="9"/>
  <c r="U197" i="9"/>
  <c r="U196" i="9"/>
  <c r="U195" i="9"/>
  <c r="U194" i="9"/>
  <c r="U193" i="9"/>
  <c r="U192" i="9"/>
  <c r="U191" i="9"/>
  <c r="U190" i="9"/>
  <c r="U189" i="9"/>
  <c r="U188" i="9"/>
  <c r="U187" i="9"/>
  <c r="U186" i="9"/>
  <c r="U185" i="9"/>
  <c r="U184" i="9"/>
  <c r="U183" i="9"/>
  <c r="U182" i="9"/>
  <c r="U181" i="9"/>
  <c r="U180" i="9"/>
  <c r="U179" i="9"/>
  <c r="U178" i="9"/>
  <c r="U177" i="9"/>
  <c r="U176" i="9"/>
  <c r="U175" i="9"/>
  <c r="U174" i="9"/>
  <c r="U173" i="9"/>
  <c r="U172" i="9"/>
  <c r="U171" i="9"/>
  <c r="U170" i="9"/>
  <c r="U169" i="9"/>
  <c r="U168" i="9"/>
  <c r="U167" i="9"/>
  <c r="U166" i="9"/>
  <c r="U165" i="9"/>
  <c r="U164" i="9"/>
  <c r="U163" i="9"/>
  <c r="U162" i="9"/>
  <c r="U161" i="9"/>
  <c r="U160" i="9"/>
  <c r="U159" i="9"/>
  <c r="U158" i="9"/>
  <c r="U157" i="9"/>
  <c r="U156" i="9"/>
  <c r="U155" i="9"/>
  <c r="U154" i="9"/>
  <c r="U153" i="9"/>
  <c r="U152" i="9"/>
  <c r="U151" i="9"/>
  <c r="U150" i="9"/>
  <c r="U149" i="9"/>
  <c r="U148" i="9"/>
  <c r="U147" i="9"/>
  <c r="U146" i="9"/>
  <c r="U145" i="9"/>
  <c r="U144" i="9"/>
  <c r="U143" i="9"/>
  <c r="U142" i="9"/>
  <c r="U141" i="9"/>
  <c r="U140" i="9"/>
  <c r="U139" i="9"/>
  <c r="U138" i="9"/>
  <c r="U137" i="9"/>
  <c r="U136" i="9"/>
  <c r="U135" i="9"/>
  <c r="U134" i="9"/>
  <c r="U133" i="9"/>
  <c r="U132" i="9"/>
  <c r="U131" i="9"/>
  <c r="U130" i="9"/>
  <c r="U129" i="9"/>
  <c r="U128" i="9"/>
  <c r="U127" i="9"/>
  <c r="U126" i="9"/>
  <c r="U125" i="9"/>
  <c r="U124" i="9"/>
  <c r="U123" i="9"/>
  <c r="U122" i="9"/>
  <c r="U121" i="9"/>
  <c r="U120" i="9"/>
  <c r="U119" i="9"/>
  <c r="U118" i="9"/>
  <c r="U117" i="9"/>
  <c r="U116" i="9"/>
  <c r="U115" i="9"/>
  <c r="U114" i="9"/>
  <c r="U113" i="9"/>
  <c r="U112" i="9"/>
  <c r="U111" i="9"/>
  <c r="U110" i="9"/>
  <c r="U109" i="9"/>
  <c r="U108" i="9"/>
  <c r="U107" i="9"/>
  <c r="U106" i="9"/>
  <c r="U105" i="9"/>
  <c r="U104" i="9"/>
  <c r="U103" i="9"/>
  <c r="U102" i="9"/>
  <c r="U101" i="9"/>
  <c r="U100" i="9"/>
  <c r="U99" i="9"/>
  <c r="U98" i="9"/>
  <c r="U97" i="9"/>
  <c r="U96" i="9"/>
  <c r="U95" i="9"/>
  <c r="U94" i="9"/>
  <c r="U93" i="9"/>
  <c r="U92" i="9"/>
  <c r="U91" i="9"/>
  <c r="U90" i="9"/>
  <c r="U89" i="9"/>
  <c r="U88" i="9"/>
  <c r="U87" i="9"/>
  <c r="U86" i="9"/>
  <c r="U85" i="9"/>
  <c r="U84" i="9"/>
  <c r="U83" i="9"/>
  <c r="U82" i="9"/>
  <c r="U81" i="9"/>
  <c r="U80" i="9"/>
  <c r="U79" i="9"/>
  <c r="U78" i="9"/>
  <c r="U77" i="9"/>
  <c r="U76" i="9"/>
  <c r="U75" i="9"/>
  <c r="U74" i="9"/>
  <c r="U73" i="9"/>
  <c r="U72" i="9"/>
  <c r="U71" i="9"/>
  <c r="U70" i="9"/>
  <c r="U69" i="9"/>
  <c r="U68" i="9"/>
  <c r="U67" i="9"/>
  <c r="U66" i="9"/>
  <c r="U65" i="9"/>
  <c r="U64" i="9"/>
  <c r="U63" i="9"/>
  <c r="U62" i="9"/>
  <c r="U61" i="9"/>
  <c r="U60" i="9"/>
  <c r="U59" i="9"/>
  <c r="U58" i="9"/>
  <c r="U57" i="9"/>
  <c r="U56" i="9"/>
  <c r="U55" i="9"/>
  <c r="U54" i="9"/>
  <c r="U53" i="9"/>
  <c r="U52" i="9"/>
  <c r="U51" i="9"/>
  <c r="U50" i="9"/>
  <c r="U49" i="9"/>
  <c r="U48" i="9"/>
  <c r="U47" i="9"/>
  <c r="U46" i="9"/>
  <c r="U45" i="9"/>
  <c r="U44" i="9"/>
  <c r="U43" i="9"/>
  <c r="U42" i="9"/>
  <c r="U41" i="9"/>
  <c r="U40" i="9"/>
  <c r="U39" i="9"/>
  <c r="U38" i="9"/>
  <c r="U37" i="9"/>
  <c r="U36" i="9"/>
  <c r="U35" i="9"/>
  <c r="U34" i="9"/>
  <c r="U33" i="9"/>
  <c r="U32" i="9"/>
  <c r="U31" i="9"/>
  <c r="U30" i="9"/>
  <c r="U29" i="9"/>
  <c r="U28" i="9"/>
  <c r="U27" i="9"/>
  <c r="U26" i="9"/>
  <c r="U25" i="9"/>
  <c r="U24" i="9"/>
  <c r="U23" i="9"/>
  <c r="U22" i="9"/>
  <c r="U21" i="9"/>
  <c r="H21" i="9"/>
  <c r="S21" i="9" s="1"/>
  <c r="U20" i="9"/>
  <c r="H20" i="9"/>
  <c r="S20" i="9" s="1"/>
  <c r="U19" i="9"/>
  <c r="H19" i="9"/>
  <c r="S19" i="9" s="1"/>
  <c r="U18" i="9"/>
  <c r="H18" i="9"/>
  <c r="S18" i="9" s="1"/>
  <c r="U17" i="9"/>
  <c r="H17" i="9"/>
  <c r="S17" i="9" s="1"/>
  <c r="U16" i="9"/>
  <c r="H16" i="9"/>
  <c r="S16" i="9" s="1"/>
  <c r="U15" i="9"/>
  <c r="H15" i="9"/>
  <c r="S15" i="9" s="1"/>
  <c r="U14" i="9"/>
  <c r="H14" i="9"/>
  <c r="S14" i="9" s="1"/>
  <c r="U13" i="9"/>
  <c r="H13" i="9"/>
  <c r="S13" i="9" s="1"/>
  <c r="U12" i="9"/>
  <c r="H12" i="9"/>
  <c r="S12" i="9" s="1"/>
  <c r="U11" i="9"/>
  <c r="H11" i="9"/>
  <c r="S11" i="9" s="1"/>
  <c r="U10" i="9"/>
  <c r="H10" i="9"/>
  <c r="S10" i="9" s="1"/>
  <c r="U9" i="9"/>
  <c r="H9" i="9"/>
  <c r="S9" i="9" s="1"/>
  <c r="U8" i="9"/>
  <c r="H8" i="9"/>
  <c r="S8" i="9" s="1"/>
  <c r="U7" i="9"/>
  <c r="H7" i="9"/>
  <c r="S7" i="9" s="1"/>
  <c r="U6" i="9"/>
  <c r="H6" i="9"/>
  <c r="S6" i="9" s="1"/>
  <c r="U5" i="9"/>
  <c r="H5" i="9"/>
  <c r="S5" i="9" s="1"/>
  <c r="U4" i="9"/>
  <c r="H4" i="9"/>
  <c r="S4" i="9" s="1"/>
  <c r="U3" i="9"/>
  <c r="H3" i="9"/>
  <c r="S3" i="9" s="1"/>
  <c r="U2" i="9"/>
  <c r="H2" i="9"/>
  <c r="S2" i="9" s="1"/>
  <c r="Y21" i="8"/>
  <c r="Y20" i="8"/>
  <c r="Y19" i="8"/>
  <c r="Y18" i="8"/>
  <c r="Y17" i="8"/>
  <c r="Y16" i="8"/>
  <c r="Y15" i="8"/>
  <c r="Y14" i="8"/>
  <c r="Y13" i="8"/>
  <c r="Y12" i="8"/>
  <c r="Y11" i="8"/>
  <c r="Y10" i="8"/>
  <c r="Y9" i="8"/>
  <c r="Y8" i="8"/>
  <c r="Y7" i="8"/>
  <c r="Y6" i="8"/>
  <c r="Y5" i="8"/>
  <c r="Y4" i="8"/>
  <c r="Y3" i="8"/>
  <c r="Y2" i="8"/>
  <c r="AB21" i="7"/>
  <c r="AB20" i="7"/>
  <c r="AB19" i="7"/>
  <c r="AB18" i="7"/>
  <c r="AB17" i="7"/>
  <c r="AB16" i="7"/>
  <c r="AB15" i="7"/>
  <c r="AB14" i="7"/>
  <c r="AB13" i="7"/>
  <c r="AB12" i="7"/>
  <c r="AB11" i="7"/>
  <c r="AB10" i="7"/>
  <c r="AB9" i="7"/>
  <c r="AB8" i="7"/>
  <c r="AB7" i="7"/>
  <c r="AB6" i="7"/>
  <c r="AB5" i="7"/>
  <c r="AB4" i="7"/>
  <c r="AB3" i="7"/>
  <c r="AB2" i="7"/>
  <c r="O205" i="6"/>
  <c r="N205" i="6"/>
  <c r="O204" i="6"/>
  <c r="N204" i="6"/>
  <c r="O203" i="6"/>
  <c r="N203" i="6"/>
  <c r="O202" i="6"/>
  <c r="N202" i="6"/>
  <c r="O201" i="6"/>
  <c r="N201" i="6"/>
  <c r="O200" i="6"/>
  <c r="N200" i="6"/>
  <c r="O199" i="6"/>
  <c r="N199" i="6"/>
  <c r="O198" i="6"/>
  <c r="N198" i="6"/>
  <c r="O197" i="6"/>
  <c r="N197" i="6"/>
  <c r="O196" i="6"/>
  <c r="N196" i="6"/>
  <c r="O195" i="6"/>
  <c r="N195" i="6"/>
  <c r="O194" i="6"/>
  <c r="N194" i="6"/>
  <c r="O193" i="6"/>
  <c r="N193" i="6"/>
  <c r="O192" i="6"/>
  <c r="N192" i="6"/>
  <c r="O191" i="6"/>
  <c r="N191" i="6"/>
  <c r="O190" i="6"/>
  <c r="N190" i="6"/>
  <c r="O189" i="6"/>
  <c r="N189" i="6"/>
  <c r="O188" i="6"/>
  <c r="N188" i="6"/>
  <c r="O187" i="6"/>
  <c r="N187" i="6"/>
  <c r="O186" i="6"/>
  <c r="N186" i="6"/>
  <c r="O185" i="6"/>
  <c r="N185" i="6"/>
  <c r="O184" i="6"/>
  <c r="N184" i="6"/>
  <c r="O183" i="6"/>
  <c r="N183" i="6"/>
  <c r="O182" i="6"/>
  <c r="N182" i="6"/>
  <c r="O181" i="6"/>
  <c r="N181" i="6"/>
  <c r="O180" i="6"/>
  <c r="N180" i="6"/>
  <c r="O179" i="6"/>
  <c r="N179" i="6"/>
  <c r="O178" i="6"/>
  <c r="N178" i="6"/>
  <c r="O177" i="6"/>
  <c r="N177" i="6"/>
  <c r="O176" i="6"/>
  <c r="N176" i="6"/>
  <c r="O175" i="6"/>
  <c r="N175" i="6"/>
  <c r="O174" i="6"/>
  <c r="N174" i="6"/>
  <c r="O173" i="6"/>
  <c r="N173" i="6"/>
  <c r="O172" i="6"/>
  <c r="N172" i="6"/>
  <c r="O171" i="6"/>
  <c r="N171" i="6"/>
  <c r="O170" i="6"/>
  <c r="N170" i="6"/>
  <c r="O169" i="6"/>
  <c r="N169" i="6"/>
  <c r="O168" i="6"/>
  <c r="N168" i="6"/>
  <c r="O167" i="6"/>
  <c r="N167" i="6"/>
  <c r="O166" i="6"/>
  <c r="N166" i="6"/>
  <c r="O165" i="6"/>
  <c r="N165" i="6"/>
  <c r="O164" i="6"/>
  <c r="N164" i="6"/>
  <c r="O163" i="6"/>
  <c r="N163" i="6"/>
  <c r="O162" i="6"/>
  <c r="N162" i="6"/>
  <c r="O161" i="6"/>
  <c r="N161" i="6"/>
  <c r="O160" i="6"/>
  <c r="N160" i="6"/>
  <c r="O159" i="6"/>
  <c r="N159" i="6"/>
  <c r="O158" i="6"/>
  <c r="N158" i="6"/>
  <c r="O157" i="6"/>
  <c r="N157" i="6"/>
  <c r="O156" i="6"/>
  <c r="N156" i="6"/>
  <c r="O155" i="6"/>
  <c r="N155" i="6"/>
  <c r="O154" i="6"/>
  <c r="N154" i="6"/>
  <c r="O153" i="6"/>
  <c r="N153" i="6"/>
  <c r="O152" i="6"/>
  <c r="N152" i="6"/>
  <c r="O151" i="6"/>
  <c r="N151" i="6"/>
  <c r="O150" i="6"/>
  <c r="N150" i="6"/>
  <c r="O149" i="6"/>
  <c r="N149" i="6"/>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C22" i="5"/>
  <c r="AB22" i="5"/>
  <c r="AA22" i="5"/>
  <c r="Z22" i="5"/>
  <c r="X22" i="5"/>
  <c r="V22" i="5"/>
  <c r="T22" i="5"/>
  <c r="R22" i="5"/>
  <c r="P22" i="5"/>
  <c r="N22" i="5"/>
  <c r="L22" i="5"/>
  <c r="I22" i="5"/>
  <c r="H22" i="5"/>
  <c r="AD22" i="5" s="1"/>
  <c r="B22" i="5"/>
  <c r="A22" i="5" s="1"/>
  <c r="AC21" i="5"/>
  <c r="AB21" i="5"/>
  <c r="AA21" i="5"/>
  <c r="Z21" i="5"/>
  <c r="X21" i="5"/>
  <c r="V21" i="5"/>
  <c r="T21" i="5"/>
  <c r="R21" i="5"/>
  <c r="P21" i="5"/>
  <c r="N21" i="5"/>
  <c r="L21" i="5"/>
  <c r="I21" i="5"/>
  <c r="H21" i="5"/>
  <c r="AD21" i="5" s="1"/>
  <c r="B21" i="5"/>
  <c r="A21" i="5" s="1"/>
  <c r="AC20" i="5"/>
  <c r="AB20" i="5"/>
  <c r="AA20" i="5"/>
  <c r="Z20" i="5"/>
  <c r="X20" i="5"/>
  <c r="V20" i="5"/>
  <c r="T20" i="5"/>
  <c r="R20" i="5"/>
  <c r="P20" i="5"/>
  <c r="N20" i="5"/>
  <c r="L20" i="5"/>
  <c r="I20" i="5"/>
  <c r="H20" i="5"/>
  <c r="AD20" i="5" s="1"/>
  <c r="B20" i="5"/>
  <c r="A20" i="5" s="1"/>
  <c r="AC19" i="5"/>
  <c r="AB19" i="5"/>
  <c r="AA19" i="5"/>
  <c r="Z19" i="5"/>
  <c r="X19" i="5"/>
  <c r="V19" i="5"/>
  <c r="T19" i="5"/>
  <c r="R19" i="5"/>
  <c r="P19" i="5"/>
  <c r="N19" i="5"/>
  <c r="L19" i="5"/>
  <c r="I19" i="5"/>
  <c r="H19" i="5"/>
  <c r="AD19" i="5" s="1"/>
  <c r="B19" i="5"/>
  <c r="A19" i="5" s="1"/>
  <c r="AC18" i="5"/>
  <c r="AB18" i="5"/>
  <c r="AA18" i="5"/>
  <c r="Z18" i="5"/>
  <c r="X18" i="5"/>
  <c r="V18" i="5"/>
  <c r="T18" i="5"/>
  <c r="R18" i="5"/>
  <c r="P18" i="5"/>
  <c r="N18" i="5"/>
  <c r="L18" i="5"/>
  <c r="I18" i="5"/>
  <c r="H18" i="5"/>
  <c r="AD18" i="5" s="1"/>
  <c r="B18" i="5"/>
  <c r="A18" i="5" s="1"/>
  <c r="AD17" i="5"/>
  <c r="AC17" i="5"/>
  <c r="AB17" i="5"/>
  <c r="AA17" i="5"/>
  <c r="Z17" i="5"/>
  <c r="X17" i="5"/>
  <c r="V17" i="5"/>
  <c r="T17" i="5"/>
  <c r="R17" i="5"/>
  <c r="P17" i="5"/>
  <c r="N17" i="5"/>
  <c r="L17" i="5"/>
  <c r="I17" i="5"/>
  <c r="H17" i="5"/>
  <c r="B17" i="5"/>
  <c r="A17" i="5" s="1"/>
  <c r="AC16" i="5"/>
  <c r="AB16" i="5"/>
  <c r="AA16" i="5"/>
  <c r="Z16" i="5"/>
  <c r="X16" i="5"/>
  <c r="V16" i="5"/>
  <c r="T16" i="5"/>
  <c r="R16" i="5"/>
  <c r="P16" i="5"/>
  <c r="N16" i="5"/>
  <c r="L16" i="5"/>
  <c r="I16" i="5"/>
  <c r="H16" i="5"/>
  <c r="AD16" i="5" s="1"/>
  <c r="B16" i="5"/>
  <c r="A16" i="5" s="1"/>
  <c r="AC15" i="5"/>
  <c r="AB15" i="5"/>
  <c r="AA15" i="5"/>
  <c r="Z15" i="5"/>
  <c r="X15" i="5"/>
  <c r="V15" i="5"/>
  <c r="T15" i="5"/>
  <c r="R15" i="5"/>
  <c r="P15" i="5"/>
  <c r="N15" i="5"/>
  <c r="L15" i="5"/>
  <c r="I15" i="5"/>
  <c r="H15" i="5"/>
  <c r="AD15" i="5" s="1"/>
  <c r="B15" i="5"/>
  <c r="A15" i="5"/>
  <c r="AC14" i="5"/>
  <c r="AB14" i="5"/>
  <c r="AA14" i="5"/>
  <c r="Z14" i="5"/>
  <c r="X14" i="5"/>
  <c r="V14" i="5"/>
  <c r="T14" i="5"/>
  <c r="R14" i="5"/>
  <c r="P14" i="5"/>
  <c r="N14" i="5"/>
  <c r="L14" i="5"/>
  <c r="B14" i="5" s="1"/>
  <c r="A14" i="5" s="1"/>
  <c r="I14" i="5"/>
  <c r="H14" i="5"/>
  <c r="AD14" i="5" s="1"/>
  <c r="AC13" i="5"/>
  <c r="AB13" i="5"/>
  <c r="AA13" i="5"/>
  <c r="Z13" i="5"/>
  <c r="X13" i="5"/>
  <c r="V13" i="5"/>
  <c r="T13" i="5"/>
  <c r="R13" i="5"/>
  <c r="P13" i="5"/>
  <c r="N13" i="5"/>
  <c r="L13" i="5"/>
  <c r="I13" i="5"/>
  <c r="H13" i="5"/>
  <c r="AD13" i="5" s="1"/>
  <c r="B13" i="5"/>
  <c r="A13" i="5"/>
  <c r="AD12" i="5"/>
  <c r="AC12" i="5"/>
  <c r="AB12" i="5"/>
  <c r="AA12" i="5"/>
  <c r="Z12" i="5"/>
  <c r="X12" i="5"/>
  <c r="V12" i="5"/>
  <c r="T12" i="5"/>
  <c r="R12" i="5"/>
  <c r="B12" i="5" s="1"/>
  <c r="A12" i="5" s="1"/>
  <c r="P12" i="5"/>
  <c r="N12" i="5"/>
  <c r="L12" i="5"/>
  <c r="I12" i="5"/>
  <c r="H12" i="5"/>
  <c r="AC11" i="5"/>
  <c r="AB11" i="5"/>
  <c r="AA11" i="5"/>
  <c r="Z11" i="5"/>
  <c r="X11" i="5"/>
  <c r="V11" i="5"/>
  <c r="T11" i="5"/>
  <c r="R11" i="5"/>
  <c r="P11" i="5"/>
  <c r="N11" i="5"/>
  <c r="L11" i="5"/>
  <c r="I11" i="5"/>
  <c r="H11" i="5"/>
  <c r="AD11" i="5" s="1"/>
  <c r="B11" i="5"/>
  <c r="A11" i="5"/>
  <c r="AC10" i="5"/>
  <c r="AB10" i="5"/>
  <c r="AA10" i="5"/>
  <c r="Z10" i="5"/>
  <c r="X10" i="5"/>
  <c r="V10" i="5"/>
  <c r="T10" i="5"/>
  <c r="R10" i="5"/>
  <c r="P10" i="5"/>
  <c r="N10" i="5"/>
  <c r="L10" i="5"/>
  <c r="I10" i="5"/>
  <c r="H10" i="5"/>
  <c r="AD10" i="5" s="1"/>
  <c r="B10" i="5"/>
  <c r="A10" i="5"/>
  <c r="AC9" i="5"/>
  <c r="AB9" i="5"/>
  <c r="AA9" i="5"/>
  <c r="Z9" i="5"/>
  <c r="X9" i="5"/>
  <c r="V9" i="5"/>
  <c r="T9" i="5"/>
  <c r="R9" i="5"/>
  <c r="P9" i="5"/>
  <c r="N9" i="5"/>
  <c r="L9" i="5"/>
  <c r="I9" i="5"/>
  <c r="H9" i="5"/>
  <c r="AD9" i="5" s="1"/>
  <c r="B9" i="5"/>
  <c r="A9" i="5"/>
  <c r="AC8" i="5"/>
  <c r="AB8" i="5"/>
  <c r="AA8" i="5"/>
  <c r="Z8" i="5"/>
  <c r="X8" i="5"/>
  <c r="V8" i="5"/>
  <c r="T8" i="5"/>
  <c r="R8" i="5"/>
  <c r="P8" i="5"/>
  <c r="N8" i="5"/>
  <c r="L8" i="5"/>
  <c r="I8" i="5"/>
  <c r="H8" i="5"/>
  <c r="AD8" i="5" s="1"/>
  <c r="B8" i="5"/>
  <c r="A8" i="5" s="1"/>
  <c r="AC7" i="5"/>
  <c r="AB7" i="5"/>
  <c r="AA7" i="5"/>
  <c r="Z7" i="5"/>
  <c r="X7" i="5"/>
  <c r="V7" i="5"/>
  <c r="T7" i="5"/>
  <c r="R7" i="5"/>
  <c r="P7" i="5"/>
  <c r="N7" i="5"/>
  <c r="L7" i="5"/>
  <c r="I7" i="5"/>
  <c r="H7" i="5"/>
  <c r="AD7" i="5" s="1"/>
  <c r="B7" i="5"/>
  <c r="A7" i="5" s="1"/>
  <c r="AC6" i="5"/>
  <c r="AB6" i="5"/>
  <c r="AA6" i="5"/>
  <c r="Z6" i="5"/>
  <c r="X6" i="5"/>
  <c r="V6" i="5"/>
  <c r="T6" i="5"/>
  <c r="R6" i="5"/>
  <c r="P6" i="5"/>
  <c r="N6" i="5"/>
  <c r="L6" i="5"/>
  <c r="B6" i="5" s="1"/>
  <c r="A6" i="5" s="1"/>
  <c r="I6" i="5"/>
  <c r="H6" i="5"/>
  <c r="AD6" i="5" s="1"/>
  <c r="AC5" i="5"/>
  <c r="AB5" i="5"/>
  <c r="AA5" i="5"/>
  <c r="Z5" i="5"/>
  <c r="X5" i="5"/>
  <c r="V5" i="5"/>
  <c r="T5" i="5"/>
  <c r="R5" i="5"/>
  <c r="P5" i="5"/>
  <c r="N5" i="5"/>
  <c r="L5" i="5"/>
  <c r="I5" i="5"/>
  <c r="H5" i="5"/>
  <c r="AD5" i="5" s="1"/>
  <c r="B5" i="5"/>
  <c r="A5" i="5"/>
  <c r="AC4" i="5"/>
  <c r="AB4" i="5"/>
  <c r="AA4" i="5"/>
  <c r="Z4" i="5"/>
  <c r="X4" i="5"/>
  <c r="V4" i="5"/>
  <c r="T4" i="5"/>
  <c r="R4" i="5"/>
  <c r="P4" i="5"/>
  <c r="N4" i="5"/>
  <c r="L4" i="5"/>
  <c r="I4" i="5"/>
  <c r="H4" i="5"/>
  <c r="AD4" i="5" s="1"/>
  <c r="B4" i="5"/>
  <c r="A4" i="5"/>
  <c r="AC3" i="5"/>
  <c r="AB3" i="5"/>
  <c r="AA3" i="5"/>
  <c r="Z3" i="5"/>
  <c r="X3" i="5"/>
  <c r="V3" i="5"/>
  <c r="T3" i="5"/>
  <c r="R3" i="5"/>
  <c r="P3" i="5"/>
  <c r="N3" i="5"/>
  <c r="L3" i="5"/>
  <c r="I3" i="5"/>
  <c r="H3" i="5"/>
  <c r="AD3" i="5" s="1"/>
  <c r="B3" i="5"/>
  <c r="A3" i="5"/>
  <c r="S21" i="4"/>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B28" i="2"/>
  <c r="B27" i="2"/>
  <c r="G26" i="2"/>
  <c r="B26" i="2"/>
  <c r="G25" i="2"/>
  <c r="G24" i="2"/>
  <c r="B22" i="2"/>
  <c r="A22" i="2"/>
  <c r="J21" i="2"/>
  <c r="B21" i="2"/>
  <c r="A21" i="2"/>
  <c r="J20" i="2"/>
  <c r="B20" i="2"/>
  <c r="A20" i="2"/>
  <c r="J19" i="2"/>
  <c r="G19" i="2"/>
  <c r="B19" i="2"/>
  <c r="A19" i="2"/>
  <c r="J18" i="2"/>
  <c r="G18" i="2"/>
  <c r="B18" i="2"/>
  <c r="A18" i="2"/>
  <c r="J17" i="2"/>
  <c r="G17" i="2"/>
  <c r="B17" i="2"/>
  <c r="A17" i="2"/>
  <c r="J16" i="2"/>
  <c r="G16" i="2"/>
  <c r="J15" i="2"/>
  <c r="G15" i="2"/>
  <c r="J14" i="2"/>
  <c r="A14" i="2"/>
  <c r="J13" i="2"/>
  <c r="A13" i="2"/>
  <c r="B12" i="2"/>
  <c r="A12" i="2"/>
  <c r="B11" i="2"/>
  <c r="A11" i="2"/>
  <c r="B10" i="2"/>
  <c r="B14" i="2" s="1"/>
  <c r="A10" i="2"/>
  <c r="B9" i="2"/>
  <c r="B13" i="2" s="1"/>
  <c r="A9" i="2"/>
  <c r="B8" i="2"/>
  <c r="A8" i="2"/>
  <c r="B7" i="2"/>
  <c r="B16" i="2" s="1"/>
  <c r="A7" i="2"/>
  <c r="B6" i="2"/>
  <c r="A6" i="2"/>
  <c r="B5" i="2"/>
  <c r="B15" i="2" s="1"/>
  <c r="A5" i="2"/>
  <c r="B19" i="1"/>
  <c r="A19" i="1"/>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5" authorId="0" shapeId="0" xr:uid="{00000000-0006-0000-0100-000001000000}">
      <text>
        <r>
          <rPr>
            <sz val="11"/>
            <color theme="1"/>
            <rFont val="Calibri"/>
            <family val="2"/>
            <scheme val="minor"/>
          </rPr>
          <t>Aggregated organic visibility score based on metadata, indexing, and keyword footprint.</t>
        </r>
      </text>
    </comment>
    <comment ref="C5" authorId="0" shapeId="0" xr:uid="{00000000-0006-0000-0100-000002000000}">
      <text>
        <r>
          <rPr>
            <sz val="11"/>
            <color theme="1"/>
            <rFont val="Calibri"/>
            <family val="2"/>
            <scheme val="minor"/>
          </rPr>
          <t>KPI C5
Total URLs crawled in this run. Calculated as the number of audited URL rows.</t>
        </r>
      </text>
    </comment>
    <comment ref="O5" authorId="0" shapeId="0" xr:uid="{00000000-0006-0000-0100-000003000000}">
      <text>
        <r>
          <rPr>
            <sz val="11"/>
            <color theme="1"/>
            <rFont val="Calibri"/>
            <family val="2"/>
            <scheme val="minor"/>
          </rPr>
          <t>KPI O5
Most widespread issue from FixPlan by affected URL count (primary blocker).</t>
        </r>
      </text>
    </comment>
    <comment ref="A6" authorId="0" shapeId="0" xr:uid="{00000000-0006-0000-0100-000004000000}">
      <text>
        <r>
          <rPr>
            <sz val="11"/>
            <color theme="1"/>
            <rFont val="Calibri"/>
            <family val="2"/>
            <scheme val="minor"/>
          </rPr>
          <t>Summary of crawlability, status codes, and HTTPS security.</t>
        </r>
      </text>
    </comment>
    <comment ref="C6" authorId="0" shapeId="0" xr:uid="{00000000-0006-0000-0100-000005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6000000}">
      <text>
        <r>
          <rPr>
            <sz val="11"/>
            <color theme="1"/>
            <rFont val="Calibri"/>
            <family val="2"/>
            <scheme val="minor"/>
          </rPr>
          <t>KPI O6
Number of URLs impacted by the top blocking issue.</t>
        </r>
      </text>
    </comment>
    <comment ref="A7" authorId="0" shapeId="0" xr:uid="{00000000-0006-0000-0100-000007000000}">
      <text>
        <r>
          <rPr>
            <sz val="11"/>
            <color theme="1"/>
            <rFont val="Calibri"/>
            <family val="2"/>
            <scheme val="minor"/>
          </rPr>
          <t>Core Web Vitals and PageSpeed Insights (Mobile/Desktop) averages.</t>
        </r>
      </text>
    </comment>
    <comment ref="C7" authorId="0" shapeId="0" xr:uid="{00000000-0006-0000-0100-000008000000}">
      <text>
        <r>
          <rPr>
            <sz val="11"/>
            <color theme="1"/>
            <rFont val="Calibri"/>
            <family val="2"/>
            <scheme val="minor"/>
          </rPr>
          <t>KPI C7
SEO Pass Rate %. Calculated as Pass URLs divided by Total URLs.</t>
        </r>
      </text>
    </comment>
    <comment ref="O7" authorId="0" shapeId="0" xr:uid="{00000000-0006-0000-0100-000009000000}">
      <text>
        <r>
          <rPr>
            <sz val="11"/>
            <color theme="1"/>
            <rFont val="Calibri"/>
            <family val="2"/>
            <scheme val="minor"/>
          </rPr>
          <t>KPI O7
Total URLs returning client/server errors (4xx + 5xx).</t>
        </r>
      </text>
    </comment>
    <comment ref="C8" authorId="0" shapeId="0" xr:uid="{00000000-0006-0000-0100-00000A000000}">
      <text>
        <r>
          <rPr>
            <sz val="11"/>
            <color theme="1"/>
            <rFont val="Calibri"/>
            <family val="2"/>
            <scheme val="minor"/>
          </rPr>
          <t>KPI C8
Pass URL count. URL is pass when it has no Critical and no Warning issues.</t>
        </r>
      </text>
    </comment>
    <comment ref="O8" authorId="0" shapeId="0" xr:uid="{00000000-0006-0000-0100-00000B000000}">
      <text>
        <r>
          <rPr>
            <sz val="11"/>
            <color theme="1"/>
            <rFont val="Calibri"/>
            <family val="2"/>
            <scheme val="minor"/>
          </rPr>
          <t>KPI O8
Average Time to First Byte across Technical URLs (ms).</t>
        </r>
      </text>
    </comment>
    <comment ref="C9" authorId="0" shapeId="0" xr:uid="{00000000-0006-0000-0100-00000C000000}">
      <text>
        <r>
          <rPr>
            <sz val="11"/>
            <color theme="1"/>
            <rFont val="Calibri"/>
            <family val="2"/>
            <scheme val="minor"/>
          </rPr>
          <t>KPI C9
Critical URL count from Technical severity badge.</t>
        </r>
      </text>
    </comment>
    <comment ref="C10" authorId="0" shapeId="0" xr:uid="{00000000-0006-0000-0100-00000D000000}">
      <text>
        <r>
          <rPr>
            <sz val="11"/>
            <color theme="1"/>
            <rFont val="Calibri"/>
            <family val="2"/>
            <scheme val="minor"/>
          </rPr>
          <t>KPI C10
Warning URL count from Technical severity badge.</t>
        </r>
      </text>
    </comment>
    <comment ref="C11" authorId="0" shapeId="0" xr:uid="{00000000-0006-0000-0100-00000E000000}">
      <text>
        <r>
          <rPr>
            <sz val="11"/>
            <color theme="1"/>
            <rFont val="Calibri"/>
            <family val="2"/>
            <scheme val="minor"/>
          </rPr>
          <t>KPI C11
HTTP Error Rate %. Calculated as (4xx URLs + 5xx URLs) / Total URLs.</t>
        </r>
      </text>
    </comment>
    <comment ref="C12" authorId="0" shapeId="0" xr:uid="{00000000-0006-0000-0100-00000F000000}">
      <text>
        <r>
          <rPr>
            <sz val="11"/>
            <color theme="1"/>
            <rFont val="Calibri"/>
            <family val="2"/>
            <scheme val="minor"/>
          </rPr>
          <t>KPI C12
Crawl Success Rate %. Calculated as 2xx URLs / Total URLs.</t>
        </r>
      </text>
    </comment>
    <comment ref="C13" authorId="0" shapeId="0" xr:uid="{00000000-0006-0000-0100-000010000000}">
      <text>
        <r>
          <rPr>
            <sz val="11"/>
            <color theme="1"/>
            <rFont val="Calibri"/>
            <family val="2"/>
            <scheme val="minor"/>
          </rPr>
          <t>KPI C13
Critical URL Rate %. Calculated as Critical URLs / Total URLs.</t>
        </r>
      </text>
    </comment>
    <comment ref="C14" authorId="0" shapeId="0" xr:uid="{00000000-0006-0000-0100-000011000000}">
      <text>
        <r>
          <rPr>
            <sz val="11"/>
            <color theme="1"/>
            <rFont val="Calibri"/>
            <family val="2"/>
            <scheme val="minor"/>
          </rPr>
          <t>KPI C14
Warning URL Rate %. Calculated as Warning URLs / Total URLs.</t>
        </r>
      </text>
    </comment>
    <comment ref="C15" authorId="0" shapeId="0" xr:uid="{00000000-0006-0000-0100-000012000000}">
      <text>
        <r>
          <rPr>
            <sz val="11"/>
            <color theme="1"/>
            <rFont val="Calibri"/>
            <family val="2"/>
            <scheme val="minor"/>
          </rPr>
          <t>KPI C15
Projected Health Score if all current To Do items are completed in this cycle.</t>
        </r>
      </text>
    </comment>
    <comment ref="H15" authorId="0" shapeId="0" xr:uid="{00000000-0006-0000-0100-000013000000}">
      <text>
        <r>
          <rPr>
            <sz val="11"/>
            <color theme="1"/>
            <rFont val="Calibri"/>
            <family val="2"/>
            <scheme val="minor"/>
          </rPr>
          <t>KPI H15
Affected URL count for the highest-priority issue (linked to FixPlan).</t>
        </r>
      </text>
    </comment>
    <comment ref="C16" authorId="0" shapeId="0" xr:uid="{00000000-0006-0000-0100-000014000000}">
      <text>
        <r>
          <rPr>
            <sz val="11"/>
            <color theme="1"/>
            <rFont val="Calibri"/>
            <family val="2"/>
            <scheme val="minor"/>
          </rPr>
          <t>KPI C16
Projected Pass Rate if all current To Do items are completed in this cycle.</t>
        </r>
      </text>
    </comment>
    <comment ref="H16" authorId="0" shapeId="0" xr:uid="{00000000-0006-0000-0100-000015000000}">
      <text>
        <r>
          <rPr>
            <sz val="11"/>
            <color theme="1"/>
            <rFont val="Calibri"/>
            <family val="2"/>
            <scheme val="minor"/>
          </rPr>
          <t>KPI H16
Affected URL count for the next issue in the priority list.</t>
        </r>
      </text>
    </comment>
    <comment ref="C17" authorId="0" shapeId="0" xr:uid="{00000000-0006-0000-0100-000016000000}">
      <text>
        <r>
          <rPr>
            <sz val="11"/>
            <color theme="1"/>
            <rFont val="Calibri"/>
            <family val="2"/>
            <scheme val="minor"/>
          </rPr>
          <t>KPI C17
Content Hub Readiness %. Share of Hub rows with Status ``Completed`` (column F, data from row 3).</t>
        </r>
      </text>
    </comment>
    <comment ref="H17" authorId="0" shapeId="0" xr:uid="{00000000-0006-0000-0100-000017000000}">
      <text>
        <r>
          <rPr>
            <sz val="11"/>
            <color theme="1"/>
            <rFont val="Calibri"/>
            <family val="2"/>
            <scheme val="minor"/>
          </rPr>
          <t>KPI H17
Affected URL count for the next issue in the priority list.</t>
        </r>
      </text>
    </comment>
    <comment ref="A18" authorId="0" shapeId="0" xr:uid="{00000000-0006-0000-0100-000018000000}">
      <text>
        <r>
          <rPr>
            <sz val="11"/>
            <color theme="1"/>
            <rFont val="Calibri"/>
            <family val="2"/>
            <scheme val="minor"/>
          </rPr>
          <t>Count of URLs on Main with valid JSON-LD (Has Valid JSON-LD = TRUE).</t>
        </r>
      </text>
    </comment>
    <comment ref="H18" authorId="0" shapeId="0" xr:uid="{00000000-0006-0000-0100-000019000000}">
      <text>
        <r>
          <rPr>
            <sz val="11"/>
            <color theme="1"/>
            <rFont val="Calibri"/>
            <family val="2"/>
            <scheme val="minor"/>
          </rPr>
          <t>KPI H18
Affected URL count for the next issue in the priority list.</t>
        </r>
      </text>
    </comment>
    <comment ref="A19" authorId="0" shapeId="0" xr:uid="{00000000-0006-0000-0100-00001A000000}">
      <text>
        <r>
          <rPr>
            <sz val="11"/>
            <color theme="1"/>
            <rFont val="Calibri"/>
            <family val="2"/>
            <scheme val="minor"/>
          </rPr>
          <t>Room for AEO improvement (0–100): when extractability averages exist, 100 minus average AEO Extractability Score; otherwise (1 minus Average SEO Score %) × 100.</t>
        </r>
      </text>
    </comment>
    <comment ref="H19" authorId="0" shapeId="0" xr:uid="{00000000-0006-0000-0100-00001B000000}">
      <text>
        <r>
          <rPr>
            <sz val="11"/>
            <color theme="1"/>
            <rFont val="Calibri"/>
            <family val="2"/>
            <scheme val="minor"/>
          </rPr>
          <t>KPI H19
Affected URL count for the next issue in the priority list.</t>
        </r>
      </text>
    </comment>
    <comment ref="A21" authorId="0" shapeId="0" xr:uid="{00000000-0006-0000-0100-00001C000000}">
      <text>
        <r>
          <rPr>
            <sz val="11"/>
            <color theme="1"/>
            <rFont val="Calibri"/>
            <family val="2"/>
            <scheme val="minor"/>
          </rPr>
          <t>Sum of generic anchor-text occurrences per URL (Link Intelligence Summary rows). Improve anchors for answer-engine clarity.</t>
        </r>
      </text>
    </comment>
    <comment ref="A22" authorId="0" shapeId="0" xr:uid="{00000000-0006-0000-0100-00001D000000}">
      <text>
        <r>
          <rPr>
            <sz val="11"/>
            <color theme="1"/>
            <rFont val="Calibri"/>
            <family val="2"/>
            <scheme val="minor"/>
          </rPr>
          <t>Share of unique external target URLs returning HTTP 200 after optional HEAD sniff (RunMetadata keys External Sniff Performed / External Link Unique *). Blank when sniff was skipped.</t>
        </r>
      </text>
    </comment>
    <comment ref="G23" authorId="0" shapeId="0" xr:uid="{00000000-0006-0000-0100-00001E000000}">
      <text>
        <r>
          <rPr>
            <sz val="11"/>
            <color theme="1"/>
            <rFont val="Calibri"/>
            <family val="2"/>
            <scheme val="minor"/>
          </rPr>
          <t>KPI G23
Owner responsible for remediation. Click to open FixPlan.</t>
        </r>
      </text>
    </comment>
    <comment ref="H23" authorId="0" shapeId="0" xr:uid="{00000000-0006-0000-0100-00001F000000}">
      <text>
        <r>
          <rPr>
            <sz val="11"/>
            <color theme="1"/>
            <rFont val="Calibri"/>
            <family val="2"/>
            <scheme val="minor"/>
          </rPr>
          <t>KPI H23
Number of issue rows assigned to this owner.</t>
        </r>
      </text>
    </comment>
    <comment ref="I23" authorId="0" shapeId="0" xr:uid="{00000000-0006-0000-0100-000020000000}">
      <text>
        <r>
          <rPr>
            <sz val="11"/>
            <color theme="1"/>
            <rFont val="Calibri"/>
            <family val="2"/>
            <scheme val="minor"/>
          </rPr>
          <t>KPI I23
Total affected URLs across this owner's assigned issues.</t>
        </r>
      </text>
    </comment>
    <comment ref="J23" authorId="0" shapeId="0" xr:uid="{00000000-0006-0000-0100-000021000000}">
      <text>
        <r>
          <rPr>
            <sz val="11"/>
            <color theme="1"/>
            <rFont val="Calibri"/>
            <family val="2"/>
            <scheme val="minor"/>
          </rPr>
          <t>KPI J23
Count of critical issue types assigned to this owner.</t>
        </r>
      </text>
    </comment>
    <comment ref="K23" authorId="0" shapeId="0" xr:uid="{00000000-0006-0000-0100-000022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Source Legacy Tab
Source Legacy Tab. Review this metric to identify risk, then use linked tabs for details and remediation.</t>
        </r>
      </text>
    </comment>
    <comment ref="AB1" authorId="0" shapeId="0" xr:uid="{00000000-0006-0000-0600-00001C000000}">
      <text>
        <r>
          <rPr>
            <sz val="11"/>
            <color theme="1"/>
            <rFont val="Calibri"/>
            <family val="2"/>
            <scheme val="minor"/>
          </rPr>
          <t>Open in Main
Navigation helper. Click to jump directly to the related record in another tab.</t>
        </r>
      </text>
    </comment>
    <comment ref="AC1" authorId="0" shapeId="0" xr:uid="{00000000-0006-0000-0600-00001D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Flesch-Kincaid Grade (Est.)
Flesch-Kincaid Grade (Est.). Review this metric to identify risk, then use linked tabs for details and remediation.</t>
        </r>
      </text>
    </comment>
    <comment ref="F1" authorId="0" shapeId="0" xr:uid="{00000000-0006-0000-0700-000006000000}">
      <text>
        <r>
          <rPr>
            <sz val="11"/>
            <color theme="1"/>
            <rFont val="Calibri"/>
            <family val="2"/>
            <scheme val="minor"/>
          </rPr>
          <t>Thin Content Flag
Thin Content Flag. Review this metric to identify risk, then use linked tabs for details and remediation.</t>
        </r>
      </text>
    </comment>
    <comment ref="G1" authorId="0" shapeId="0" xr:uid="{00000000-0006-0000-0700-000007000000}">
      <text>
        <r>
          <rPr>
            <sz val="11"/>
            <color theme="1"/>
            <rFont val="Calibri"/>
            <family val="2"/>
            <scheme val="minor"/>
          </rPr>
          <t>H1 Count
H1 Count. Review this metric to identify risk, then use linked tabs for details and remediation.</t>
        </r>
      </text>
    </comment>
    <comment ref="H1" authorId="0" shapeId="0" xr:uid="{00000000-0006-0000-0700-000008000000}">
      <text>
        <r>
          <rPr>
            <sz val="11"/>
            <color theme="1"/>
            <rFont val="Calibri"/>
            <family val="2"/>
            <scheme val="minor"/>
          </rPr>
          <t>Missing H1 Flag
Missing H1 Flag. Review this metric to identify risk, then use linked tabs for details and remediation.</t>
        </r>
      </text>
    </comment>
    <comment ref="I1" authorId="0" shapeId="0" xr:uid="{00000000-0006-0000-0700-000009000000}">
      <text>
        <r>
          <rPr>
            <sz val="11"/>
            <color theme="1"/>
            <rFont val="Calibri"/>
            <family val="2"/>
            <scheme val="minor"/>
          </rPr>
          <t>Meta Description Missing
Meta Description Missing. Review this metric to identify risk, then use linked tabs for details and remediation.</t>
        </r>
      </text>
    </comment>
    <comment ref="J1" authorId="0" shapeId="0" xr:uid="{00000000-0006-0000-0700-00000A000000}">
      <text>
        <r>
          <rPr>
            <sz val="11"/>
            <color theme="1"/>
            <rFont val="Calibri"/>
            <family val="2"/>
            <scheme val="minor"/>
          </rPr>
          <t>AEO Readiness Score
Weighted score based on 5 signals (Answer Blocks, Schema, Readability, Fragments, and AI Bot access). A score of 70+ is required for high extraction probability by Perplexity/SearchGPT.</t>
        </r>
      </text>
    </comment>
    <comment ref="K1" authorId="0" shapeId="0" xr:uid="{00000000-0006-0000-0700-00000B000000}">
      <text>
        <r>
          <rPr>
            <sz val="11"/>
            <color theme="1"/>
            <rFont val="Calibri"/>
            <family val="2"/>
            <scheme val="minor"/>
          </rPr>
          <t>AEO Badge
AEO Badge. Review this metric to identify risk, then use linked tabs for details and remediation.</t>
        </r>
      </text>
    </comment>
    <comment ref="L1" authorId="0" shapeId="0" xr:uid="{00000000-0006-0000-0700-00000C000000}">
      <text>
        <r>
          <rPr>
            <sz val="11"/>
            <color theme="1"/>
            <rFont val="Calibri"/>
            <family val="2"/>
            <scheme val="minor"/>
          </rPr>
          <t>Schema Types Count
Structured data signal. Fix: add valid schema types and correct parsing/validation errors.</t>
        </r>
      </text>
    </comment>
    <comment ref="M1" authorId="0" shapeId="0" xr:uid="{00000000-0006-0000-0700-00000D000000}">
      <text>
        <r>
          <rPr>
            <sz val="11"/>
            <color theme="1"/>
            <rFont val="Calibri"/>
            <family val="2"/>
            <scheme val="minor"/>
          </rPr>
          <t>Schema Types Found
Structured data signal. Fix: add valid schema types and correct parsing/validation errors.</t>
        </r>
      </text>
    </comment>
    <comment ref="N1" authorId="0" shapeId="0" xr:uid="{00000000-0006-0000-0700-00000E000000}">
      <text>
        <r>
          <rPr>
            <sz val="11"/>
            <color theme="1"/>
            <rFont val="Calibri"/>
            <family val="2"/>
            <scheme val="minor"/>
          </rPr>
          <t>Schema Parse Errors
Structured data signal. Fix: add valid schema types and correct parsing/validation errors.</t>
        </r>
      </text>
    </comment>
    <comment ref="O1" authorId="0" shapeId="0" xr:uid="{00000000-0006-0000-0700-00000F000000}">
      <text>
        <r>
          <rPr>
            <sz val="11"/>
            <color theme="1"/>
            <rFont val="Calibri"/>
            <family val="2"/>
            <scheme val="minor"/>
          </rPr>
          <t>Question Heading Count
Question Heading Count. Review this metric to identify risk, then use linked tabs for details and remediation.</t>
        </r>
      </text>
    </comment>
    <comment ref="P1" authorId="0" shapeId="0" xr:uid="{00000000-0006-0000-0700-000010000000}">
      <text>
        <r>
          <rPr>
            <sz val="11"/>
            <color theme="1"/>
            <rFont val="Calibri"/>
            <family val="2"/>
            <scheme val="minor"/>
          </rPr>
          <t>Answer Blocks
Concise 40-60 word factual paragraphs. This is the optimal length for LLM citations.</t>
        </r>
      </text>
    </comment>
    <comment ref="Q1" authorId="0" shapeId="0" xr:uid="{00000000-0006-0000-0700-000011000000}">
      <text>
        <r>
          <rPr>
            <sz val="11"/>
            <color theme="1"/>
            <rFont val="Calibri"/>
            <family val="2"/>
            <scheme val="minor"/>
          </rPr>
          <t>FAQ Section Count
Summary grouping/navigation field. Use with hyperlinks to jump into detailed tabs.</t>
        </r>
      </text>
    </comment>
    <comment ref="R1" authorId="0" shapeId="0" xr:uid="{00000000-0006-0000-0700-000012000000}">
      <text>
        <r>
          <rPr>
            <sz val="11"/>
            <color theme="1"/>
            <rFont val="Calibri"/>
            <family val="2"/>
            <scheme val="minor"/>
          </rPr>
          <t>Image Count
Image Count. Review this metric to identify risk, then use linked tabs for details and remediation.</t>
        </r>
      </text>
    </comment>
    <comment ref="S1" authorId="0" shapeId="0" xr:uid="{00000000-0006-0000-0700-000013000000}">
      <text>
        <r>
          <rPr>
            <sz val="11"/>
            <color theme="1"/>
            <rFont val="Calibri"/>
            <family val="2"/>
            <scheme val="minor"/>
          </rPr>
          <t>Images Missing Alt
Images Missing Alt. Review this metric to identify risk, then use linked tabs for details and remediation.</t>
        </r>
      </text>
    </comment>
    <comment ref="T1" authorId="0" shapeId="0" xr:uid="{00000000-0006-0000-0700-000014000000}">
      <text>
        <r>
          <rPr>
            <sz val="11"/>
            <color theme="1"/>
            <rFont val="Calibri"/>
            <family val="2"/>
            <scheme val="minor"/>
          </rPr>
          <t>Image Alt Coverage (%)
Image Alt Coverage (%). Review this metric to identify risk, then use linked tabs for details and remediation.</t>
        </r>
      </text>
    </comment>
    <comment ref="U1" authorId="0" shapeId="0" xr:uid="{00000000-0006-0000-0700-000015000000}">
      <text>
        <r>
          <rPr>
            <sz val="11"/>
            <color theme="1"/>
            <rFont val="Calibri"/>
            <family val="2"/>
            <scheme val="minor"/>
          </rPr>
          <t>AEO Extractability Score
Measures how easily an LLM can parse this page. High scores indicate clear Question-Heading to Answer-Paragraph mapping.</t>
        </r>
      </text>
    </comment>
    <comment ref="V1" authorId="0" shapeId="0" xr:uid="{00000000-0006-0000-0700-000016000000}">
      <text>
        <r>
          <rPr>
            <sz val="11"/>
            <color theme="1"/>
            <rFont val="Calibri"/>
            <family val="2"/>
            <scheme val="minor"/>
          </rPr>
          <t>Title Missing
Title Missing. Review this metric to identify risk, then use linked tabs for details and remediation.</t>
        </r>
      </text>
    </comment>
    <comment ref="W1" authorId="0" shapeId="0" xr:uid="{00000000-0006-0000-0700-000017000000}">
      <text>
        <r>
          <rPr>
            <sz val="11"/>
            <color theme="1"/>
            <rFont val="Calibri"/>
            <family val="2"/>
            <scheme val="minor"/>
          </rPr>
          <t>Media Mixed Content Detected
Media Mixed Content Detected. Review this metric to identify risk, then use linked tabs for details and remediation.</t>
        </r>
      </text>
    </comment>
    <comment ref="X1" authorId="0" shapeId="0" xr:uid="{00000000-0006-0000-0700-000018000000}">
      <text>
        <r>
          <rPr>
            <sz val="11"/>
            <color theme="1"/>
            <rFont val="Calibri"/>
            <family val="2"/>
            <scheme val="minor"/>
          </rPr>
          <t>Source Legacy Tab
Source Legacy Tab. Review this metric to identify risk, then use linked tabs for details and remediation.</t>
        </r>
      </text>
    </comment>
    <comment ref="Y1" authorId="0" shapeId="0" xr:uid="{00000000-0006-0000-0700-000019000000}">
      <text>
        <r>
          <rPr>
            <sz val="11"/>
            <color theme="1"/>
            <rFont val="Calibri"/>
            <family val="2"/>
            <scheme val="minor"/>
          </rPr>
          <t>Open in Main
Navigation helper. Click to jump directly to the related record in another tab.</t>
        </r>
      </text>
    </comment>
    <comment ref="Z1" authorId="0" shapeId="0" xr:uid="{00000000-0006-0000-0700-00001A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Actionable Fixes
Actionable Fixes. Review this metric to identify risk, then use linked tabs for details and remediation.</t>
        </r>
      </text>
    </comment>
    <comment ref="T1" authorId="0" shapeId="0" xr:uid="{00000000-0006-0000-0800-000014000000}">
      <text>
        <r>
          <rPr>
            <sz val="11"/>
            <color theme="1"/>
            <rFont val="Calibri"/>
            <family val="2"/>
            <scheme val="minor"/>
          </rPr>
          <t>Source Legacy Tab
Source Legacy Tab. Review this metric to identify risk, then use linked tabs for details and remediation.</t>
        </r>
      </text>
    </comment>
    <comment ref="U1" authorId="0" shapeId="0" xr:uid="{00000000-0006-0000-0800-000015000000}">
      <text>
        <r>
          <rPr>
            <sz val="11"/>
            <color theme="1"/>
            <rFont val="Calibri"/>
            <family val="2"/>
            <scheme val="minor"/>
          </rPr>
          <t>Open in Main
Navigation helper. Click to jump directly to the related record in another tab.</t>
        </r>
      </text>
    </comment>
    <comment ref="V1" authorId="0" shapeId="0" xr:uid="{00000000-0006-0000-0800-000016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Source URL
Source URL. Use this URL to inspect the page directly or jump to related tabs.</t>
        </r>
      </text>
    </comment>
    <comment ref="B1" authorId="0" shapeId="0" xr:uid="{00000000-0006-0000-0900-000002000000}">
      <text>
        <r>
          <rPr>
            <sz val="11"/>
            <color theme="1"/>
            <rFont val="Calibri"/>
            <family val="2"/>
            <scheme val="minor"/>
          </rPr>
          <t>Target URL
Target URL. Use this URL to inspect the page directly or jump to related tabs.</t>
        </r>
      </text>
    </comment>
    <comment ref="C1" authorId="0" shapeId="0" xr:uid="{00000000-0006-0000-0900-000003000000}">
      <text>
        <r>
          <rPr>
            <sz val="11"/>
            <color theme="1"/>
            <rFont val="Calibri"/>
            <family val="2"/>
            <scheme val="minor"/>
          </rPr>
          <t>Anchor Text
Link quality and crawl-path metric. Fix: repair broken links and improve internal linking relevance.</t>
        </r>
      </text>
    </comment>
    <comment ref="D1" authorId="0" shapeId="0" xr:uid="{00000000-0006-0000-0900-000004000000}">
      <text>
        <r>
          <rPr>
            <sz val="11"/>
            <color theme="1"/>
            <rFont val="Calibri"/>
            <family val="2"/>
            <scheme val="minor"/>
          </rPr>
          <t>Rel Attribute
Rel Attribute. Review this metric to identify risk, then use linked tabs for details and remediation.</t>
        </r>
      </text>
    </comment>
    <comment ref="E1" authorId="0" shapeId="0" xr:uid="{00000000-0006-0000-0900-000005000000}">
      <text>
        <r>
          <rPr>
            <sz val="11"/>
            <color theme="1"/>
            <rFont val="Calibri"/>
            <family val="2"/>
            <scheme val="minor"/>
          </rPr>
          <t>Link Type
Link quality and crawl-path metric. Fix: repair broken links and improve internal linking relevance.</t>
        </r>
      </text>
    </comment>
    <comment ref="F1" authorId="0" shapeId="0" xr:uid="{00000000-0006-0000-0900-000006000000}">
      <text>
        <r>
          <rPr>
            <sz val="11"/>
            <color theme="1"/>
            <rFont val="Calibri"/>
            <family val="2"/>
            <scheme val="minor"/>
          </rPr>
          <t>Status Code
HTTP response code returned for this page/resource. Fix: Resolve 4xx/5xx errors and reduce unnecessary redirects.</t>
        </r>
      </text>
    </comment>
    <comment ref="G1" authorId="0" shapeId="0" xr:uid="{00000000-0006-0000-0900-000007000000}">
      <text>
        <r>
          <rPr>
            <sz val="11"/>
            <color theme="1"/>
            <rFont val="Calibri"/>
            <family val="2"/>
            <scheme val="minor"/>
          </rPr>
          <t>Generic Anchor
Link quality and crawl-path metric. Fix: repair broken links and improve internal linking relevance.</t>
        </r>
      </text>
    </comment>
    <comment ref="H1" authorId="0" shapeId="0" xr:uid="{00000000-0006-0000-0900-000008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URL
URL. Use this URL to inspect the page directly or jump to related tabs.</t>
        </r>
      </text>
    </comment>
    <comment ref="B1" authorId="0" shapeId="0" xr:uid="{00000000-0006-0000-0A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A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A00-000004000000}">
      <text>
        <r>
          <rPr>
            <sz val="11"/>
            <color theme="1"/>
            <rFont val="Calibri"/>
            <family val="2"/>
            <scheme val="minor"/>
          </rPr>
          <t>Issue
Issue. Review this metric to identify risk, then use linked tabs for details and remediation.</t>
        </r>
      </text>
    </comment>
    <comment ref="E1" authorId="0" shapeId="0" xr:uid="{00000000-0006-0000-0A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A00-000006000000}">
      <text>
        <r>
          <rPr>
            <sz val="11"/>
            <color theme="1"/>
            <rFont val="Calibri"/>
            <family val="2"/>
            <scheme val="minor"/>
          </rPr>
          <t>Affected URL Count
Affected URL Count. Use this URL to inspect the page directly or jump to related tabs.</t>
        </r>
      </text>
    </comment>
    <comment ref="G1" authorId="0" shapeId="0" xr:uid="{00000000-0006-0000-0A00-000007000000}">
      <text>
        <r>
          <rPr>
            <sz val="11"/>
            <color theme="1"/>
            <rFont val="Calibri"/>
            <family val="2"/>
            <scheme val="minor"/>
          </rPr>
          <t>Example URLs
Example URLs. Use this URL to inspect the page directly or jump to related tabs.</t>
        </r>
      </text>
    </comment>
    <comment ref="H1" authorId="0" shapeId="0" xr:uid="{00000000-0006-0000-0A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A00-000009000000}">
      <text>
        <r>
          <rPr>
            <sz val="11"/>
            <color theme="1"/>
            <rFont val="Calibri"/>
            <family val="2"/>
            <scheme val="minor"/>
          </rPr>
          <t>Severity
Issue impact level. Fix: Resolve Critical first, then Warning, then improvement opportunities.</t>
        </r>
      </text>
    </comment>
    <comment ref="J1" authorId="0" shapeId="0" xr:uid="{00000000-0006-0000-0A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A00-00000B000000}">
      <text>
        <r>
          <rPr>
            <sz val="11"/>
            <color theme="1"/>
            <rFont val="Calibri"/>
            <family val="2"/>
            <scheme val="minor"/>
          </rPr>
          <t>Open in Main
Navigation helper. Click to jump directly to the related record in another tab.</t>
        </r>
      </text>
    </comment>
    <comment ref="L1" authorId="0" shapeId="0" xr:uid="{00000000-0006-0000-0A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Section
Summary grouping/navigation field. Use with hyperlinks to jump into detailed tabs.</t>
        </r>
      </text>
    </comment>
    <comment ref="B1" authorId="0" shapeId="0" xr:uid="{00000000-0006-0000-0B00-000002000000}">
      <text>
        <r>
          <rPr>
            <sz val="11"/>
            <color theme="1"/>
            <rFont val="Calibri"/>
            <family val="2"/>
            <scheme val="minor"/>
          </rPr>
          <t>Item
Item. Review this metric to identify risk, then use linked tabs for details and remediation.</t>
        </r>
      </text>
    </comment>
    <comment ref="C1" authorId="0" shapeId="0" xr:uid="{00000000-0006-0000-0B00-000003000000}">
      <text>
        <r>
          <rPr>
            <sz val="11"/>
            <color theme="1"/>
            <rFont val="Calibri"/>
            <family val="2"/>
            <scheme val="minor"/>
          </rPr>
          <t>Guideline
Guideline. Review this metric to identify risk, then use linked tabs for details and remediation.</t>
        </r>
      </text>
    </comment>
    <comment ref="D1" authorId="0" shapeId="0" xr:uid="{00000000-0006-0000-0B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B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URL
URL. Use this URL to inspect the page directly or jump to related tabs.</t>
        </r>
      </text>
    </comment>
    <comment ref="B1" authorId="0" shapeId="0" xr:uid="{00000000-0006-0000-0C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C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C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C00-000005000000}">
      <text>
        <r>
          <rPr>
            <sz val="11"/>
            <color theme="1"/>
            <rFont val="Calibri"/>
            <family val="2"/>
            <scheme val="minor"/>
          </rPr>
          <t>Severity
Impact level of the issue. Fix: Resolve Critical first, then Warning, then Observation opportunities.</t>
        </r>
      </text>
    </comment>
    <comment ref="F1" authorId="0" shapeId="0" xr:uid="{00000000-0006-0000-0C00-000006000000}">
      <text>
        <r>
          <rPr>
            <sz val="11"/>
            <color theme="1"/>
            <rFont val="Calibri"/>
            <family val="2"/>
            <scheme val="minor"/>
          </rPr>
          <t>Issue
Issue. Review this metric to identify risk, then use linked tabs for details and remediation.</t>
        </r>
      </text>
    </comment>
    <comment ref="G1" authorId="0" shapeId="0" xr:uid="{00000000-0006-0000-0C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C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C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C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C00-00000B000000}">
      <text>
        <r>
          <rPr>
            <sz val="11"/>
            <color theme="1"/>
            <rFont val="Calibri"/>
            <family val="2"/>
            <scheme val="minor"/>
          </rPr>
          <t>Reference Tab
Summary grouping/navigation field. Use with hyperlinks to jump into detailed tabs.</t>
        </r>
      </text>
    </comment>
    <comment ref="L1" authorId="0" shapeId="0" xr:uid="{00000000-0006-0000-0C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C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C00-00000E000000}">
      <text>
        <r>
          <rPr>
            <sz val="11"/>
            <color theme="1"/>
            <rFont val="Calibri"/>
            <family val="2"/>
            <scheme val="minor"/>
          </rPr>
          <t>Owner
Workflow management field for planning and tracking remediation progress.</t>
        </r>
      </text>
    </comment>
    <comment ref="O1" authorId="0" shapeId="0" xr:uid="{00000000-0006-0000-0C00-00000F000000}">
      <text>
        <r>
          <rPr>
            <sz val="11"/>
            <color theme="1"/>
            <rFont val="Calibri"/>
            <family val="2"/>
            <scheme val="minor"/>
          </rPr>
          <t>Status
Workflow management field for planning and tracking remediation progress.</t>
        </r>
      </text>
    </comment>
    <comment ref="P1" authorId="0" shapeId="0" xr:uid="{00000000-0006-0000-0C00-000010000000}">
      <text>
        <r>
          <rPr>
            <sz val="11"/>
            <color theme="1"/>
            <rFont val="Calibri"/>
            <family val="2"/>
            <scheme val="minor"/>
          </rPr>
          <t>Est. Hours
Est. Hours. Review this metric to identify risk, then use linked tabs for details and remediation.</t>
        </r>
      </text>
    </comment>
    <comment ref="Q1" authorId="0" shapeId="0" xr:uid="{00000000-0006-0000-0C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C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C00-000013000000}">
      <text>
        <r>
          <rPr>
            <sz val="11"/>
            <color theme="1"/>
            <rFont val="Calibri"/>
            <family val="2"/>
            <scheme val="minor"/>
          </rPr>
          <t>Open in Main
Navigation helper. Click to jump directly to the related record in another tab.</t>
        </r>
      </text>
    </comment>
    <comment ref="T1" authorId="0" shapeId="0" xr:uid="{00000000-0006-0000-0C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C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Sitemap URL
Sitemap URL. Use this URL to inspect the page directly or jump to related tabs.</t>
        </r>
      </text>
    </comment>
    <comment ref="B1" authorId="0" shapeId="0" xr:uid="{00000000-0006-0000-0D00-000002000000}">
      <text>
        <r>
          <rPr>
            <sz val="11"/>
            <color theme="1"/>
            <rFont val="Calibri"/>
            <family val="2"/>
            <scheme val="minor"/>
          </rPr>
          <t>Final URL
Final URL. Use this URL to inspect the page directly or jump to related tabs.</t>
        </r>
      </text>
    </comment>
    <comment ref="C1" authorId="0" shapeId="0" xr:uid="{00000000-0006-0000-0D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D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D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D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D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D00-000008000000}">
      <text>
        <r>
          <rPr>
            <sz val="11"/>
            <color theme="1"/>
            <rFont val="Calibri"/>
            <family val="2"/>
            <scheme val="minor"/>
          </rPr>
          <t>Sitemap URL Redirects
Sitemap URL Redirects. Use this URL to inspect the page directly or jump to related tabs.</t>
        </r>
      </text>
    </comment>
    <comment ref="I1" authorId="0" shapeId="0" xr:uid="{00000000-0006-0000-0D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D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D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D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D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D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D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D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D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E00-000002000000}">
      <text>
        <r>
          <rPr>
            <sz val="11"/>
            <color theme="1"/>
            <rFont val="Calibri"/>
            <family val="2"/>
            <scheme val="minor"/>
          </rPr>
          <t>Issue
Issue. Review this metric to identify risk, then use linked tabs for details and remediation.</t>
        </r>
      </text>
    </comment>
    <comment ref="C1" authorId="0" shapeId="0" xr:uid="{00000000-0006-0000-0E00-000003000000}">
      <text>
        <r>
          <rPr>
            <sz val="11"/>
            <color theme="1"/>
            <rFont val="Calibri"/>
            <family val="2"/>
            <scheme val="minor"/>
          </rPr>
          <t>URL
URL. Use this URL to inspect the page directly or jump to related tabs.</t>
        </r>
      </text>
    </comment>
    <comment ref="D1" authorId="0" shapeId="0" xr:uid="{00000000-0006-0000-0E00-000004000000}">
      <text>
        <r>
          <rPr>
            <sz val="11"/>
            <color theme="1"/>
            <rFont val="Calibri"/>
            <family val="2"/>
            <scheme val="minor"/>
          </rPr>
          <t>Open in Main
Navigation helper. Click to jump directly to the related record in another tab.</t>
        </r>
      </text>
    </comment>
    <comment ref="E1" authorId="0" shapeId="0" xr:uid="{00000000-0006-0000-0E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Metric
Metric. Review this metric to identify risk, then use linked tabs for details and remediation.</t>
        </r>
      </text>
    </comment>
    <comment ref="B1" authorId="0" shapeId="0" xr:uid="{00000000-0006-0000-0F00-000002000000}">
      <text>
        <r>
          <rPr>
            <sz val="11"/>
            <color theme="1"/>
            <rFont val="Calibri"/>
            <family val="2"/>
            <scheme val="minor"/>
          </rPr>
          <t>Count
Count.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Key
Key. Review this metric to identify risk, then use linked tabs for details and remediation.</t>
        </r>
      </text>
    </comment>
    <comment ref="B1" authorId="0" shapeId="0" xr:uid="{00000000-0006-0000-1000-000002000000}">
      <text>
        <r>
          <rPr>
            <sz val="11"/>
            <color theme="1"/>
            <rFont val="Calibri"/>
            <family val="2"/>
            <scheme val="minor"/>
          </rPr>
          <t>Value
Value. Review this metric to identify risk, then use linked tabs for details and remediation.</t>
        </r>
      </text>
    </comment>
    <comment ref="C1" authorId="0" shapeId="0" xr:uid="{00000000-0006-0000-10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100-000001000000}">
      <text>
        <r>
          <rPr>
            <sz val="11"/>
            <color theme="1"/>
            <rFont val="Calibri"/>
            <family val="2"/>
            <scheme val="minor"/>
          </rPr>
          <t>Health Icon
Health Icon. Review this metric to identify risk, then use linked tabs for details and remediation.</t>
        </r>
      </text>
    </comment>
    <comment ref="B1" authorId="0" shapeId="0" xr:uid="{00000000-0006-0000-1100-000002000000}">
      <text>
        <r>
          <rPr>
            <sz val="11"/>
            <color theme="1"/>
            <rFont val="Calibri"/>
            <family val="2"/>
            <scheme val="minor"/>
          </rPr>
          <t>Canonical audited URL. Use links to open the live page or related tabs.</t>
        </r>
      </text>
    </comment>
    <comment ref="C1" authorId="0" shapeId="0" xr:uid="{00000000-0006-0000-1100-000003000000}">
      <text>
        <r>
          <rPr>
            <sz val="11"/>
            <color theme="1"/>
            <rFont val="Calibri"/>
            <family val="2"/>
            <scheme val="minor"/>
          </rPr>
          <t>Status Code
HTTP status returned for the URL. Fix: Resolve 4xx/5xx errors and remove unnecessary redirect chains.</t>
        </r>
      </text>
    </comment>
    <comment ref="D1" authorId="0" shapeId="0" xr:uid="{00000000-0006-0000-11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100-000005000000}">
      <text>
        <r>
          <rPr>
            <sz val="11"/>
            <color theme="1"/>
            <rFont val="Calibri"/>
            <family val="2"/>
            <scheme val="minor"/>
          </rPr>
          <t>Load Time (s)
Page/request speed metric. Fix: optimise assets, server response time, and blocking resources.</t>
        </r>
      </text>
    </comment>
    <comment ref="F1" authorId="0" shapeId="0" xr:uid="{00000000-0006-0000-1100-000006000000}">
      <text>
        <r>
          <rPr>
            <sz val="11"/>
            <color theme="1"/>
            <rFont val="Calibri"/>
            <family val="2"/>
            <scheme val="minor"/>
          </rPr>
          <t>Title
Title. Review this metric to identify risk, then use linked tabs for details and remediation.</t>
        </r>
      </text>
    </comment>
    <comment ref="G1" authorId="0" shapeId="0" xr:uid="{00000000-0006-0000-11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100-000008000000}">
      <text>
        <r>
          <rPr>
            <sz val="11"/>
            <color theme="1"/>
            <rFont val="Calibri"/>
            <family val="2"/>
            <scheme val="minor"/>
          </rPr>
          <t>Word Count (Body)
Content quality depth metric. Fix: expand thin content and improve clarity for search intent.</t>
        </r>
      </text>
    </comment>
    <comment ref="I1" authorId="0" shapeId="0" xr:uid="{00000000-0006-0000-11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100-00000A000000}">
      <text>
        <r>
          <rPr>
            <sz val="11"/>
            <color theme="1"/>
            <rFont val="Calibri"/>
            <family val="2"/>
            <scheme val="minor"/>
          </rPr>
          <t>Severity Badge
Issue impact level. Fix: Resolve Critical first, then Warning, then improvement opportunities.</t>
        </r>
      </text>
    </comment>
    <comment ref="K1" authorId="0" shapeId="0" xr:uid="{00000000-0006-0000-11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1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1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1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1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100-000010000000}">
      <text>
        <r>
          <rPr>
            <sz val="11"/>
            <color theme="1"/>
            <rFont val="Calibri"/>
            <family val="2"/>
            <scheme val="minor"/>
          </rPr>
          <t>OG-Image
OG-Image. Review this metric to identify risk, then use linked tabs for details and remediation.</t>
        </r>
      </text>
    </comment>
    <comment ref="Q1" authorId="0" shapeId="0" xr:uid="{00000000-0006-0000-1100-000011000000}">
      <text>
        <r>
          <rPr>
            <sz val="11"/>
            <color theme="1"/>
            <rFont val="Calibri"/>
            <family val="2"/>
            <scheme val="minor"/>
          </rPr>
          <t>Has Valid JSON-LD
Structured data signal. Fix: add valid schema types and correct parsing/validation errors.</t>
        </r>
      </text>
    </comment>
    <comment ref="R1" authorId="0" shapeId="0" xr:uid="{00000000-0006-0000-11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100-000013000000}">
      <text>
        <r>
          <rPr>
            <sz val="11"/>
            <color theme="1"/>
            <rFont val="Calibri"/>
            <family val="2"/>
            <scheme val="minor"/>
          </rPr>
          <t>H1 Content
H1 Content. Review this metric to identify risk, then use linked tabs for details and remediation.</t>
        </r>
      </text>
    </comment>
    <comment ref="T1" authorId="0" shapeId="0" xr:uid="{00000000-0006-0000-1100-000014000000}">
      <text>
        <r>
          <rPr>
            <sz val="11"/>
            <color theme="1"/>
            <rFont val="Calibri"/>
            <family val="2"/>
            <scheme val="minor"/>
          </rPr>
          <t>H1 Length
H1 Length. Review this metric to identify risk, then use linked tabs for details and remediation.</t>
        </r>
      </text>
    </comment>
    <comment ref="U1" authorId="0" shapeId="0" xr:uid="{00000000-0006-0000-1100-000015000000}">
      <text>
        <r>
          <rPr>
            <sz val="11"/>
            <color theme="1"/>
            <rFont val="Calibri"/>
            <family val="2"/>
            <scheme val="minor"/>
          </rPr>
          <t>H2 Content
H2 Content. Review this metric to identify risk, then use linked tabs for details and remediation.</t>
        </r>
      </text>
    </comment>
    <comment ref="V1" authorId="0" shapeId="0" xr:uid="{00000000-0006-0000-1100-000016000000}">
      <text>
        <r>
          <rPr>
            <sz val="11"/>
            <color theme="1"/>
            <rFont val="Calibri"/>
            <family val="2"/>
            <scheme val="minor"/>
          </rPr>
          <t>H2 Length
H2 Length. Review this metric to identify risk, then use linked tabs for details and remediation.</t>
        </r>
      </text>
    </comment>
    <comment ref="W1" authorId="0" shapeId="0" xr:uid="{00000000-0006-0000-1100-000017000000}">
      <text>
        <r>
          <rPr>
            <sz val="11"/>
            <color theme="1"/>
            <rFont val="Calibri"/>
            <family val="2"/>
            <scheme val="minor"/>
          </rPr>
          <t>H3 Content
H3 Content. Review this metric to identify risk, then use linked tabs for details and remediation.</t>
        </r>
      </text>
    </comment>
    <comment ref="X1" authorId="0" shapeId="0" xr:uid="{00000000-0006-0000-1100-000018000000}">
      <text>
        <r>
          <rPr>
            <sz val="11"/>
            <color theme="1"/>
            <rFont val="Calibri"/>
            <family val="2"/>
            <scheme val="minor"/>
          </rPr>
          <t>H3 Length
H3 Length. Review this metric to identify risk, then use linked tabs for details and remediation.</t>
        </r>
      </text>
    </comment>
    <comment ref="Y1" authorId="0" shapeId="0" xr:uid="{00000000-0006-0000-1100-000019000000}">
      <text>
        <r>
          <rPr>
            <sz val="11"/>
            <color theme="1"/>
            <rFont val="Calibri"/>
            <family val="2"/>
            <scheme val="minor"/>
          </rPr>
          <t>H4 Content
H4 Content. Review this metric to identify risk, then use linked tabs for details and remediation.</t>
        </r>
      </text>
    </comment>
    <comment ref="Z1" authorId="0" shapeId="0" xr:uid="{00000000-0006-0000-1100-00001A000000}">
      <text>
        <r>
          <rPr>
            <sz val="11"/>
            <color theme="1"/>
            <rFont val="Calibri"/>
            <family val="2"/>
            <scheme val="minor"/>
          </rPr>
          <t>H4 Length
H4 Length. Review this metric to identify risk, then use linked tabs for details and remediation.</t>
        </r>
      </text>
    </comment>
    <comment ref="AA1" authorId="0" shapeId="0" xr:uid="{00000000-0006-0000-1100-00001B000000}">
      <text>
        <r>
          <rPr>
            <sz val="11"/>
            <color theme="1"/>
            <rFont val="Calibri"/>
            <family val="2"/>
            <scheme val="minor"/>
          </rPr>
          <t>H5 Content
H5 Content. Review this metric to identify risk, then use linked tabs for details and remediation.</t>
        </r>
      </text>
    </comment>
    <comment ref="AB1" authorId="0" shapeId="0" xr:uid="{00000000-0006-0000-1100-00001C000000}">
      <text>
        <r>
          <rPr>
            <sz val="11"/>
            <color theme="1"/>
            <rFont val="Calibri"/>
            <family val="2"/>
            <scheme val="minor"/>
          </rPr>
          <t>H5 Length
H5 Length. Review this metric to identify risk, then use linked tabs for details and remediation.</t>
        </r>
      </text>
    </comment>
    <comment ref="AC1" authorId="0" shapeId="0" xr:uid="{00000000-0006-0000-1100-00001D000000}">
      <text>
        <r>
          <rPr>
            <sz val="11"/>
            <color theme="1"/>
            <rFont val="Calibri"/>
            <family val="2"/>
            <scheme val="minor"/>
          </rPr>
          <t>H6 Content
H6 Content. Review this metric to identify risk, then use linked tabs for details and remediation.</t>
        </r>
      </text>
    </comment>
    <comment ref="AD1" authorId="0" shapeId="0" xr:uid="{00000000-0006-0000-1100-00001E000000}">
      <text>
        <r>
          <rPr>
            <sz val="11"/>
            <color theme="1"/>
            <rFont val="Calibri"/>
            <family val="2"/>
            <scheme val="minor"/>
          </rPr>
          <t>H6 Length
H6 Length. Review this metric to identify risk, then use linked tabs for details and remediation.</t>
        </r>
      </text>
    </comment>
    <comment ref="AE1" authorId="0" shapeId="0" xr:uid="{00000000-0006-0000-1100-00001F000000}">
      <text>
        <r>
          <rPr>
            <sz val="11"/>
            <color theme="1"/>
            <rFont val="Calibri"/>
            <family val="2"/>
            <scheme val="minor"/>
          </rPr>
          <t>Largest Contentful Paint: Measures perceived load speed.</t>
        </r>
      </text>
    </comment>
    <comment ref="AF1" authorId="0" shapeId="0" xr:uid="{00000000-0006-0000-1100-000020000000}">
      <text>
        <r>
          <rPr>
            <sz val="11"/>
            <color theme="1"/>
            <rFont val="Calibri"/>
            <family val="2"/>
            <scheme val="minor"/>
          </rPr>
          <t>CWV CLS
CWV CLS. Review this metric to identify risk, then use linked tabs for details and remediation.</t>
        </r>
      </text>
    </comment>
    <comment ref="AG1" authorId="0" shapeId="0" xr:uid="{00000000-0006-0000-11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1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1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1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100-000025000000}">
      <text>
        <r>
          <rPr>
            <sz val="11"/>
            <color theme="1"/>
            <rFont val="Calibri"/>
            <family val="2"/>
            <scheme val="minor"/>
          </rPr>
          <t>Largest Contentful Paint: Measures perceived load speed.</t>
        </r>
      </text>
    </comment>
    <comment ref="AL1" authorId="0" shapeId="0" xr:uid="{00000000-0006-0000-1100-000026000000}">
      <text>
        <r>
          <rPr>
            <sz val="11"/>
            <color theme="1"/>
            <rFont val="Calibri"/>
            <family val="2"/>
            <scheme val="minor"/>
          </rPr>
          <t>Mobile CLS
Mobile CLS. Review this metric to identify risk, then use linked tabs for details and remediation.</t>
        </r>
      </text>
    </comment>
    <comment ref="AM1" authorId="0" shapeId="0" xr:uid="{00000000-0006-0000-11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100-000028000000}">
      <text>
        <r>
          <rPr>
            <sz val="11"/>
            <color theme="1"/>
            <rFont val="Calibri"/>
            <family val="2"/>
            <scheme val="minor"/>
          </rPr>
          <t>GSC Clicks
GSC Clicks. Review this metric to identify risk, then use linked tabs for details and remediation.</t>
        </r>
      </text>
    </comment>
    <comment ref="AO1" authorId="0" shapeId="0" xr:uid="{00000000-0006-0000-11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100-00002A000000}">
      <text>
        <r>
          <rPr>
            <sz val="11"/>
            <color theme="1"/>
            <rFont val="Calibri"/>
            <family val="2"/>
            <scheme val="minor"/>
          </rPr>
          <t>GSC CTR
GSC CTR. Review this metric to identify risk, then use linked tabs for details and remediation.</t>
        </r>
      </text>
    </comment>
    <comment ref="AQ1" authorId="0" shapeId="0" xr:uid="{00000000-0006-0000-11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100-00002C000000}">
      <text>
        <r>
          <rPr>
            <sz val="11"/>
            <color theme="1"/>
            <rFont val="Calibri"/>
            <family val="2"/>
            <scheme val="minor"/>
          </rPr>
          <t>Number of clicks required to reach this URL from the homepage.</t>
        </r>
      </text>
    </comment>
    <comment ref="AS1" authorId="0" shapeId="0" xr:uid="{00000000-0006-0000-1100-00002D000000}">
      <text>
        <r>
          <rPr>
            <sz val="11"/>
            <color theme="1"/>
            <rFont val="Calibri"/>
            <family val="2"/>
            <scheme val="minor"/>
          </rPr>
          <t>Pages with zero internal incoming links; difficult for search engines to discover and value.</t>
        </r>
      </text>
    </comment>
    <comment ref="AT1" authorId="0" shapeId="0" xr:uid="{00000000-0006-0000-1100-00002E000000}">
      <text>
        <r>
          <rPr>
            <sz val="11"/>
            <color theme="1"/>
            <rFont val="Calibri"/>
            <family val="2"/>
            <scheme val="minor"/>
          </rPr>
          <t>Authority score based on internal linking structure.</t>
        </r>
      </text>
    </comment>
    <comment ref="AU1" authorId="0" shapeId="0" xr:uid="{00000000-0006-0000-11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1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1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1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100-000033000000}">
      <text>
        <r>
          <rPr>
            <sz val="11"/>
            <color theme="1"/>
            <rFont val="Calibri"/>
            <family val="2"/>
            <scheme val="minor"/>
          </rPr>
          <t>Live copy readiness from proposed title and meta description length checks.</t>
        </r>
      </text>
    </comment>
    <comment ref="AZ1" authorId="0" shapeId="0" xr:uid="{00000000-0006-0000-11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100-000035000000}">
      <text>
        <r>
          <rPr>
            <sz val="11"/>
            <color theme="1"/>
            <rFont val="Calibri"/>
            <family val="2"/>
            <scheme val="minor"/>
          </rPr>
          <t>Technical View
Navigation helper. Click to jump directly to the related record in another tab.</t>
        </r>
      </text>
    </comment>
    <comment ref="BB1" authorId="0" shapeId="0" xr:uid="{00000000-0006-0000-11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100-000037000000}">
      <text>
        <r>
          <rPr>
            <sz val="11"/>
            <color theme="1"/>
            <rFont val="Calibri"/>
            <family val="2"/>
            <scheme val="minor"/>
          </rPr>
          <t>Technical View
Navigation helper. Click to jump directly to the related record in another tab.</t>
        </r>
      </text>
    </comment>
    <comment ref="BD1" authorId="0" shapeId="0" xr:uid="{00000000-0006-0000-11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<sst xmlns="http://schemas.openxmlformats.org/spreadsheetml/2006/main" count="18587" uniqueCount="2127">
  <si>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</si>
  <si>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</si>
  <si>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</si>
  <si>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</si>
  <si>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</si>
  <si>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</si>
  <si>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</si>
  <si>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</si>
  <si>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</si>
  <si>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</si>
  <si>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Every anchor-level outbound link with type, rel attributes, status codes, and generic-anchor flags.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</si>
  <si>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</si>
  <si>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</si>
  <si>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</si>
  <si>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</si>
  <si>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</si>
  <si>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</si>
  <si>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</si>
  <si>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</si>
  <si>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</si>
  <si>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</si>
  <si>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</si>
  <si>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</si>
  <si>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</si>
  <si>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</si>
  <si>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</si>
  <si>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</si>
  <si>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</si>
  <si>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</si>
  <si>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</si>
  <si>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</si>
  <si>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</si>
  <si>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</si>
  <si>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 Link Integrity Risk: 47 broken links found. The most impacted destination is https://africanmarketingconfederation.org/amc-confer
ence-2025-delegate-packages.
⚡ Performance Audit: PSI data was not collected in this run. A full Performance Pass is recommended to identify mobile load-time bottlenecks.
🤖 AEO Opportunity: Your content is currently 55% optimized for AI-Search, leaving a 45% opportunity for improvement.</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</si>
  <si>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</si>
  <si>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</si>
  <si>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</si>
  <si>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</si>
  <si>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</si>
  <si>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</si>
  <si>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</si>
  <si>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</si>
  <si>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</si>
  <si>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</si>
  <si>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</si>
  <si>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</si>
  <si>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Critical technical debt is currently the primary barrier to growth.</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</si>
  <si>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</si>
  <si>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</si>
  <si>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</si>
  <si>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</si>
  <si>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</si>
  <si>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</si>
  <si>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</si>
  <si>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</si>
  <si>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</si>
  <si>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</si>
  <si>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</si>
  <si>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</si>
  <si>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</si>
  <si>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</si>
  <si>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</si>
  <si>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</si>
  <si>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Content Hub</t>
  </si>
  <si>
    <t>Tech Diagnostics</t>
  </si>
  <si>
    <t>Issue Register</t>
  </si>
  <si>
    <t>OWNER ISSUE SUMMARY</t>
  </si>
  <si>
    <t>Owner</t>
  </si>
  <si>
    <t>Issue Rows</t>
  </si>
  <si>
    <t>CRAWL METADATA</t>
  </si>
  <si>
    <t>Run Date</t>
  </si>
  <si>
    <t>URL Count</t>
  </si>
  <si>
    <t>Duration</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</si>
  <si>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</si>
  <si>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</si>
  <si>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</si>
  <si>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</si>
  <si>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</si>
  <si>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</si>
  <si>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</si>
  <si>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</si>
  <si>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</si>
  <si>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</si>
  <si>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</si>
  <si>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</si>
  <si>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</si>
  <si>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</si>
  <si>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</si>
  <si>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</si>
  <si>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</si>
  <si>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</si>
  <si>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</si>
  <si>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</si>
  <si>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</si>
  <si>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</si>
  <si>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</si>
  <si>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</si>
  <si>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</si>
  <si>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</si>
  <si>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</si>
  <si>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</si>
  <si>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</si>
  <si>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</si>
  <si>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</si>
  <si>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</si>
  <si>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</si>
  <si>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</si>
  <si>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</si>
  <si>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</si>
  <si>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</si>
  <si>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</si>
  <si>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</si>
  <si>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</si>
  <si>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</si>
  <si>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</si>
  <si>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</si>
  <si>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</si>
  <si>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</si>
  <si>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</si>
  <si>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</si>
  <si>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</si>
  <si>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</si>
  <si>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</si>
  <si>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</si>
  <si>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</si>
  <si>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</si>
  <si>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</si>
  <si>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</si>
  <si>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</si>
  <si>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</si>
  <si>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</si>
  <si>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</si>
  <si>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CWV LCP Needs Improvement (2.5-4.0s)</t>
  </si>
  <si>
    <t>Missing FAQ/QA Schema</t>
  </si>
  <si>
    <t>Content &amp; AI Readiness</t>
  </si>
  <si>
    <t>Publish machine-readable FAQPage or QAPage JSON-LD that mirrors visible Q&amp;A text so answer engines can treat schema as a stable API surface.</t>
  </si>
  <si>
    <t>Question-style content without matching FAQPage/QAPage JSON-LD.</t>
  </si>
  <si>
    <t>AEO</t>
  </si>
  <si>
    <t>Deep URL (&gt;3 clicks)</t>
  </si>
  <si>
    <t>Mixed Content</t>
  </si>
  <si>
    <t>Serve all assets over HTTPS and update hardcoded URLs.</t>
  </si>
  <si>
    <t>HTTPS page references insecure HTTP assets.</t>
  </si>
  <si>
    <t>Canonical Missing</t>
  </si>
  <si>
    <t>Hreflang Without Reciprocity</t>
  </si>
  <si>
    <t>Low AEO Readiness Score</t>
  </si>
  <si>
    <t>SEE DETAILS IN Content &amp; AI Readiness</t>
  </si>
  <si>
    <t>https://africanmarketingconfederation.org/amc-awards-2024</t>
  </si>
  <si>
    <t>Raise the weighted mix: add a 40–60 word factual paragraph under each question H2/H3, add FAQPage/HowTo/Speakable JSON-LD, tune copy to FK grade 7–10, add ul/ol/table for key facts, and ensure robots.txt explicitly allows GPTBot, PerplexityBot, and CCBot.</t>
  </si>
  <si>
    <t>Weighted AEO score is below the 70-point extraction-confidence band.</t>
  </si>
  <si>
    <t>Low Image Alt Coverage</t>
  </si>
  <si>
    <t>SEE DETAILS IN Technical Diagnostics</t>
  </si>
  <si>
    <t>Multiple H1</t>
  </si>
  <si>
    <t>https://africanmarketingconfederation.org/amc-awards-2024
https://africanmarketingconfederation.org/
https://africanmarketingconfederation.org/african-marketing-confederation-tourism-chapter
https://africanmarketingconfederation.org/amc-conference-2024-recap
https://africanmarketingconfederation.org/amc-conference-2025-highlights</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</si>
  <si>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</si>
  <si>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
https://africanmarketingconfederation.org/amc-conference-2023/book-now-thank-you</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</si>
  <si>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</si>
  <si>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</si>
  <si>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</si>
  <si>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</si>
  <si>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</si>
  <si>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</si>
  <si>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</si>
  <si>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</si>
  <si>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</si>
  <si>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</si>
  <si>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</si>
  <si>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No Compression Header</t>
  </si>
  <si>
    <t>No Cache-Control Header</t>
  </si>
  <si>
    <t>No Answer-Friendly Structure</t>
  </si>
  <si>
    <t>Break data-heavy explanations into ul/ol steps or a comparison table so LLMs can cite discrete facts without re-parsing long paragraphs.</t>
  </si>
  <si>
    <t>Dense prose without lists or tables where facts could be chunked.</t>
  </si>
  <si>
    <t>INP Above 100ms</t>
  </si>
  <si>
    <t>CLS Above 0.1</t>
  </si>
  <si>
    <t>Low Regional Authority</t>
  </si>
  <si>
    <t>llms.txt Missing</t>
  </si>
  <si>
    <t>Generic Anchor Text Present</t>
  </si>
  <si>
    <t>https://africanmarketingconfederation.org/</t>
  </si>
  <si>
    <t>Thin Content</t>
  </si>
  <si>
    <t>https://africanmarketingconfederation.org/about-us</t>
  </si>
  <si>
    <t>Expand page with helpful, unique, intent-matching content.</t>
  </si>
  <si>
    <t>Insufficient body content for indexing confidence.</t>
  </si>
  <si>
    <t>No Question Headings</t>
  </si>
  <si>
    <t>Rewrite priority H2/H3 headings into natural-language questions (Who/What/How) so the following paragraph can serve as a direct extractable answer.</t>
  </si>
  <si>
    <t>Headings are not phrased as user questions.</t>
  </si>
  <si>
    <t>No 40-60 Word Answer Paragraphs</t>
  </si>
  <si>
    <t>Refactor each target section to lead with a ~45-word factual definition (no fluff) immediately under the question heading to improve LLM Position Zero retrieval.</t>
  </si>
  <si>
    <t>No 40–60 word definitional paragraph directly under a question-style H2/H3.</t>
  </si>
  <si>
    <t>AI Crawlers Not Explicitly Allowed</t>
  </si>
  <si>
    <t>Image Filename Quality Issues</t>
  </si>
  <si>
    <t>https://africanmarketingconfederation.org/amc-conference-2025-highlights</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</si>
  <si>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</si>
  <si>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</si>
  <si>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</si>
  <si>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</si>
  <si>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</si>
  <si>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</si>
  <si>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</si>
  <si>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</si>
  <si>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</si>
  <si>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</si>
  <si>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</si>
  <si>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</si>
  <si>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</si>
  <si>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</si>
  <si>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Indexable</t>
  </si>
  <si>
    <t>self</t>
  </si>
  <si>
    <t>https://africanmarketingconfederation.org/amc-conference-2022-thank-you</t>
  </si>
  <si>
    <t>https://africanmarketingconfederation.org/amc-conference-2022</t>
  </si>
  <si>
    <t>https://africanmarketingconfederation.org/african-marketing-confederation-tourism-chapter</t>
  </si>
  <si>
    <t>https://africanmarketingconfederation.org/amc-conference-2023</t>
  </si>
  <si>
    <t>https://africanmarketingconfederation.org/amc-conference-2023/amc-awards</t>
  </si>
  <si>
    <t>https://africanmarketingconfederation.org/amc-conference-2023/book-now-thank-you</t>
  </si>
  <si>
    <t>https://africanmarketingconfederation.org/amc-conference-2023/book-now</t>
  </si>
  <si>
    <t>https://africanmarketingconfederation.org/amc-conference-2023/download-prospectus</t>
  </si>
  <si>
    <t>https://africanmarketingconfederation.org/amc-conference-2023/gallery</t>
  </si>
  <si>
    <t>https://africanmarketingconfederation.org/amc-conference-2023/partners</t>
  </si>
  <si>
    <t>https://africanmarketingconfederation.org/amc-conference-2024-recap</t>
  </si>
  <si>
    <t>https://africanmarketingconfederation.org/amc-conference-2023/programme</t>
  </si>
  <si>
    <t>https://africanmarketingconfederation.org/amc-conference-2024-sponsors-packages</t>
  </si>
  <si>
    <t>https://africanmarketingconfederation.org/amc-conference-2023/speakers</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</si>
  <si>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</si>
  <si>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</si>
  <si>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</si>
  <si>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</si>
  <si>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</si>
  <si>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</si>
  <si>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</si>
  <si>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</si>
  <si>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</si>
  <si>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</si>
  <si>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</si>
  <si>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</si>
  <si>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</si>
  <si>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</si>
  <si>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</si>
  <si>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</si>
  <si>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</si>
  <si>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</si>
  <si>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</si>
  <si>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</si>
  <si>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</si>
  <si>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</si>
  <si>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</si>
  <si>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</si>
  <si>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</si>
  <si>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</si>
  <si>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</si>
  <si>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</si>
  <si>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</si>
  <si>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</si>
  <si>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</si>
  <si>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</si>
  <si>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</si>
  <si>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</si>
  <si>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</si>
  <si>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</si>
  <si>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</si>
  <si>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</si>
  <si>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</si>
  <si>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</si>
  <si>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</si>
  <si>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</si>
  <si>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</si>
  <si>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</si>
  <si>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</si>
  <si>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</si>
  <si>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</si>
  <si>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</si>
  <si>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</si>
  <si>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</si>
  <si>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</si>
  <si>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</si>
  <si>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</si>
  <si>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</si>
  <si>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</si>
  <si>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</si>
  <si>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</si>
  <si>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</si>
  <si>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</si>
  <si>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</si>
  <si>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</si>
  <si>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</si>
  <si>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</si>
  <si>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</si>
  <si>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</si>
  <si>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</si>
  <si>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</si>
  <si>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</si>
  <si>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</si>
  <si>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</si>
  <si>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</si>
  <si>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</si>
  <si>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</si>
  <si>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</si>
  <si>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amc-awards-book-now</t>
  </si>
  <si>
    <t>AMC Awards | Book Now – African Marketing Confederation</t>
  </si>
  <si>
    <t>MISSING DESCRIPTION</t>
  </si>
  <si>
    <t>book-now</t>
  </si>
  <si>
    <t>Book Now – African Marketing Confederation</t>
  </si>
  <si>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</si>
  <si>
    <t>Book Now</t>
  </si>
  <si>
    <t>Individual Booking | Group Bookings</t>
  </si>
  <si>
    <t>book-now-thank-you</t>
  </si>
  <si>
    <t>Book Now | Thank you – African Marketing Confederation</t>
  </si>
  <si>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</si>
  <si>
    <t>Thank you for completing your booking!</t>
  </si>
  <si>
    <t>download-prospectus</t>
  </si>
  <si>
    <t>Download Prospectus – African Marketing Confederation</t>
  </si>
  <si>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</si>
  <si>
    <t>Prospectus</t>
  </si>
  <si>
    <t>gallery</t>
  </si>
  <si>
    <t>Gallery – African Marketing Confederation</t>
  </si>
  <si>
    <t>Conference Gallery sydney sweeney met gala All Day 1 Day 2 Day 3 Night 1 Night 2 Night 3</t>
  </si>
  <si>
    <t>Conference Gallery</t>
  </si>
  <si>
    <t>partners</t>
  </si>
  <si>
    <t>Partners – African Marketing Confederation</t>
  </si>
  <si>
    <t>Conference Partners AMC Member Bodies</t>
  </si>
  <si>
    <t>Conference Partners</t>
  </si>
  <si>
    <t>programme</t>
  </si>
  <si>
    <t>Programme – African Marketing Confederation</t>
  </si>
  <si>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</si>
  <si>
    <t>Programme</t>
  </si>
  <si>
    <t>Download Conference Presentations | Conference Day 1 | Conference Day 2</t>
  </si>
  <si>
    <t>WEDNESDAY | 6 SEPTEMBER 2023 | THURSDAY | 7 SEPTEMBER 2023</t>
  </si>
  <si>
    <t>speakers</t>
  </si>
  <si>
    <t>Speakers – African Marketing Confederation</t>
  </si>
  <si>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</si>
  <si>
    <t>Speakers</t>
  </si>
  <si>
    <t>Ali Hussein Kassim | Cathy Adengo | Doreen Asaasira Muhangazi</t>
  </si>
  <si>
    <t>Kenya | Uganda</t>
  </si>
  <si>
    <t>amc-conference-2024-recap</t>
  </si>
  <si>
    <t>AMC Conference 2024 Recap – African Marketing Confederation</t>
  </si>
  <si>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</si>
  <si>
    <t>Event Highlights</t>
  </si>
  <si>
    <t>Conference  Day 1 | Conference  Day 2 | Conference  Day 3 | Did you attend the 2024 AMC Conference? We’d love to hear about your experience! | Countries Represented</t>
  </si>
  <si>
    <t>amc-conference-2024-sponsors-packages</t>
  </si>
  <si>
    <t>Sponsors Packages – African Marketing Confederation</t>
  </si>
  <si>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</si>
  <si>
    <t>SPONSORSHIP PACKAGES</t>
  </si>
  <si>
    <t>AMC Full-Conference Package Labadi Beach Hotel | AMC Full-Conference Package La Palm Royal Beach Hotel | AMC Day Attendance Package</t>
  </si>
  <si>
    <t>$ 1550 | $ 1330</t>
  </si>
  <si>
    <t>amc-conference-2025-highlights</t>
  </si>
  <si>
    <t>AMC Conference 2025 Highlights – African Marketing Confederation</t>
  </si>
  <si>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</si>
  <si>
    <t>2025</t>
  </si>
  <si>
    <t>Moments that Shaped the 2025 AMC Conference | Wednesday, 20 August | Opening Keynote | Back to Basics – Thriving in Tough Times | Creating Authentic Connections Through User-Generated &amp; Short-Form Video</t>
  </si>
  <si>
    <t>Issue</t>
  </si>
  <si>
    <t>Affected URL Count</t>
  </si>
  <si>
    <t>Reference Area</t>
  </si>
  <si>
    <t>Stable Issue ID</t>
  </si>
  <si>
    <t>Affected URLs Sample</t>
  </si>
  <si>
    <t>Source Legacy Tab</t>
  </si>
  <si>
    <t>Source Row ID</t>
  </si>
  <si>
    <t>Open in Reference</t>
  </si>
  <si>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Full list: see Content &amp; AI Readiness tab</t>
  </si>
  <si>
    <t>Summary</t>
  </si>
  <si>
    <t>|| Full list: see Content &amp; AI Readiness tab</t>
  </si>
  <si>
    <t>Detailed rows: see Content &amp; AI Readiness tab</t>
  </si>
  <si>
    <t>Issue Counts</t>
  </si>
  <si>
    <t>|| Full list: see Technical Diagnostics / Link Intelligence tabs</t>
  </si>
  <si>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Full list: see Technical Diagnostics / Link Intelligence tabs</t>
  </si>
  <si>
    <t>https://africanmarketingconfederation.org/amc-awards-2024 | https://africanmarketingconfederation.org/about-us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https://africanmarketingconfederation.org/amc-conference-2024-sponsors-packages | https://africanmarketingconfederation.org/amc-conference-2025-highlights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</si>
  <si>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https://africanmarketingconfederation.org/amc-conference-2023/book-now-thank-you || Full list: see Technical Diagnostics / Link Intelligence tabs</t>
  </si>
  <si>
    <t>https://africanmarketingconfederation.org/amc-awards-2024 | https://africanmarketingconfederation.org/ | https://africanmarketingconfederation.org/african-marketing-confederation-tourism-chapter | https://africanmarketingconfederation.org/amc-conference-2024-recap | https://africanmarketingconfederation.org/amc-conference-2025-highlights || Full list: see Technical Diagnostics / Link Intelligence tabs</t>
  </si>
  <si>
    <t>https://africanmarketingconfederation.org/amc-conference-2023/amc-awards-book-now || Full list: see Technical Diagnostics / Link Intelligence tabs</t>
  </si>
  <si>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https://africanmarketingconfederation.org/amc-conference-2023/speakers | https://africanmarketingconfederation.org/amc-conference-2024-sponsors-packages || Full list: see Technical Diagnostics / Link Intelligence tabs</t>
  </si>
  <si>
    <t>https://africanmarketingconfederation.org/ || Full list: see Technical Diagnostics / Link Intelligence tabs</t>
  </si>
  <si>
    <t>https://africanmarketingconfederation.org/amc-conference-2025-highlights || Full list: see Technical Diagnostics / Link Intelligence tabs</t>
  </si>
  <si>
    <t>Top 10 Critical URLs</t>
  </si>
  <si>
    <t>Top Issues by Template</t>
  </si>
  <si>
    <t>/amc-conference-2023/ -&gt; Low AEO Readiness Score</t>
  </si>
  <si>
    <t>Template &amp; Duplication Risks</t>
  </si>
  <si>
    <t>/amc-conference-2023/ -&gt; No ETag Header</t>
  </si>
  <si>
    <t>/amc-conference-2023/ -&gt; No Question Headings</t>
  </si>
  <si>
    <t>/amc-conference-2023/ -&gt; No 40-60 Word Answer Paragraphs</t>
  </si>
  <si>
    <t>/amc-conference-2023/ -&gt; AI Crawlers Not Explicitly Allowed</t>
  </si>
  <si>
    <t>/amc-conference-2023/ -&gt; Low Image Alt Coverage</t>
  </si>
  <si>
    <t>/amc-conference-2023/ -&gt; Thin Content</t>
  </si>
  <si>
    <t>/amc-conference-2023/ -&gt; Missing H1</t>
  </si>
  <si>
    <t>/amc-conference-2023/ -&gt; Missing Meta Description</t>
  </si>
  <si>
    <t>/amc-awards-2024/ -&gt; Multiple H1</t>
  </si>
  <si>
    <t>/amc-awards-2024/ -&gt; Low Image Alt Coverage</t>
  </si>
  <si>
    <t>/amc-awards-2024/ -&gt; Low AEO Readiness Score</t>
  </si>
  <si>
    <t>/amc-awards-2024/ -&gt; No ETag Header</t>
  </si>
  <si>
    <t>/amc-awards-2024/ -&gt; No Question Headings</t>
  </si>
  <si>
    <t>/amc-awards-2024/ -&gt; No 40-60 Word Answer Paragraphs</t>
  </si>
  <si>
    <t>/amc-awards-2024/ -&gt; AI Crawlers Not Explicitly Allowed</t>
  </si>
  <si>
    <t>/about-us/ -&gt; Low Image Alt Coverage</t>
  </si>
  <si>
    <t>/about-us/ -&gt; Low AEO Readiness Score</t>
  </si>
  <si>
    <t>/about-us/ -&gt; No ETag Header</t>
  </si>
  <si>
    <t>/about-us/ -&gt; Thin Content</t>
  </si>
  <si>
    <t>Issue Inventory</t>
  </si>
  <si>
    <t>https://africanmarketingconfederation.org/amc-awards-2024::multiple_h1</t>
  </si>
  <si>
    <t>IssueInventory</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</si>
  <si>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</si>
  <si>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</si>
  <si>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</si>
  <si>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</si>
  <si>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https://africanmarketingconfederation.org/amc-awards-2024::no_40-60_word_answer_paragraphs</t>
  </si>
  <si>
    <t>https://africanmarketingconfederation.org/amc-awards-2024::ai_crawlers_not_explicitly_allowed</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</si>
  <si>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</si>
  <si>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</si>
  <si>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</si>
  <si>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</si>
  <si>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</si>
  <si>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https://africanmarketingconfederation.org/about-us::no_40-60_word_answer_paragraphs</t>
  </si>
  <si>
    <t>https://africanmarketingconfederation.org/about-us::ai_crawlers_not_explicitly_allowed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</si>
  <si>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</si>
  <si>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</si>
  <si>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</si>
  <si>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</si>
  <si>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</si>
  <si>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</si>
  <si>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</si>
  <si>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https://africanmarketingconfederation.org/::no_40-60_word_answer_paragraphs</t>
  </si>
  <si>
    <t>https://africanmarketingconfederation.org/::ai_crawlers_not_explicitly_allowed</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</si>
  <si>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</si>
  <si>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</si>
  <si>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</si>
  <si>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</si>
  <si>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</si>
  <si>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</si>
  <si>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</si>
  <si>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</si>
  <si>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</si>
  <si>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</si>
  <si>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</si>
  <si>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</si>
  <si>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</si>
  <si>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</si>
  <si>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</si>
  <si>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</si>
  <si>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</si>
  <si>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</si>
  <si>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</si>
  <si>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https://africanmarketingconfederation.org/amc-conference-2022-thank-you::no_40-60_word_answer_paragraphs</t>
  </si>
  <si>
    <t>https://africanmarketingconfederation.org/amc-conference-2022-thank-you::ai_crawlers_not_explicitly_allowed</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</si>
  <si>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</si>
  <si>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</si>
  <si>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</si>
  <si>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</si>
  <si>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</si>
  <si>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</si>
  <si>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https://africanmarketingconfederation.org/amc-conference-2022::no_40-60_word_answer_paragraphs</t>
  </si>
  <si>
    <t>https://africanmarketingconfederation.org/amc-conference-2022::ai_crawlers_not_explicitly_allowed</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</si>
  <si>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</si>
  <si>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</si>
  <si>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</si>
  <si>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</si>
  <si>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https://africanmarketingconfederation.org/amc-conference-2023::no_40-60_word_answer_paragraphs</t>
  </si>
  <si>
    <t>https://africanmarketingconfederation.org/amc-conference-2023::ai_crawlers_not_explicitly_allowed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</si>
  <si>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</si>
  <si>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</si>
  <si>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</si>
  <si>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</si>
  <si>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</si>
  <si>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</si>
  <si>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</si>
  <si>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</si>
  <si>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</si>
  <si>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</si>
  <si>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</si>
  <si>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</si>
  <si>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</si>
  <si>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https://africanmarketingconfederation.org/amc-conference-2023/amc-awards::no_40-60_word_answer_paragraphs</t>
  </si>
  <si>
    <t>https://africanmarketingconfederation.org/amc-conference-2023/amc-awards::ai_crawlers_not_explicitly_allowed</t>
  </si>
  <si>
    <t>https://africanmarketingconfederation.org/amc-conference-2023/book-now-thank-you::missing_h1</t>
  </si>
  <si>
    <t>https://africanmarketingconfederation.org/amc-conference-2023/book-now-thank-you::low_aeo_readiness_score</t>
  </si>
  <si>
    <t>https://africanmarketingconfederation.org/amc-conference-2023/book-now-thank-you::no_etag_header</t>
  </si>
  <si>
    <t>https://africanmarketingconfederation.org/amc-conference-2023/book-now-thank-you::thin_content</t>
  </si>
  <si>
    <t>https://africanmarketingconfederation.org/amc-conference-2023/book-now-thank-you::no_question_headings</t>
  </si>
  <si>
    <t>https://africanmarketingconfederation.org/amc-conference-2023/book-now-thank-you::no_40-60_word_answer_paragraphs</t>
  </si>
  <si>
    <t>https://africanmarketingconfederation.org/amc-conference-2023/book-now-thank-you::ai_crawlers_not_explicitly_allowed</t>
  </si>
  <si>
    <t>https://africanmarketingconfederation.org/amc-conference-2023/book-now::low_image_alt_coverage</t>
  </si>
  <si>
    <t>https://africanmarketingconfederation.org/amc-conference-2023/book-now::low_aeo_readiness_score</t>
  </si>
  <si>
    <t>https://africanmarketingconfederation.org/amc-conference-2023/book-now::no_etag_header</t>
  </si>
  <si>
    <t>https://africanmarketingconfederation.org/amc-conference-2023/book-now::thin_content</t>
  </si>
  <si>
    <t>https://africanmarketingconfederation.org/amc-conference-2023/book-now::no_question_headings</t>
  </si>
  <si>
    <t>https://africanmarketingconfederation.org/amc-conference-2023/book-now::no_40-60_word_answer_paragraphs</t>
  </si>
  <si>
    <t>https://africanmarketingconfederation.org/amc-conference-2023/book-now::ai_crawlers_not_explicitly_allowed</t>
  </si>
  <si>
    <t>https://africanmarketingconfederation.org/amc-conference-2023/download-prospectus::low_image_alt_coverage</t>
  </si>
  <si>
    <t>https://africanmarketingconfederation.org/amc-conference-2023/download-prospectus::low_aeo_readiness_score</t>
  </si>
  <si>
    <t>https://africanmarketingconfederation.org/amc-conference-2023/download-prospectus::no_etag_header</t>
  </si>
  <si>
    <t>https://africanmarketingconfederation.org/amc-conference-2023/download-prospectus::thin_content</t>
  </si>
  <si>
    <t>https://africanmarketingconfederation.org/amc-conference-2023/download-prospectus::no_question_headings</t>
  </si>
  <si>
    <t>https://africanmarketingconfederation.org/amc-conference-2023/download-prospectus::no_40-60_word_answer_paragraphs</t>
  </si>
  <si>
    <t>https://africanmarketingconfederation.org/amc-conference-2023/download-prospectus::ai_crawlers_not_explicitly_allowed</t>
  </si>
  <si>
    <t>https://africanmarketingconfederation.org/amc-conference-2023/gallery::low_image_alt_coverage</t>
  </si>
  <si>
    <t>https://africanmarketingconfederation.org/amc-conference-2023/gallery::low_aeo_readiness_score</t>
  </si>
  <si>
    <t>https://africanmarketingconfederation.org/amc-conference-2023/gallery::no_etag_header</t>
  </si>
  <si>
    <t>https://africanmarketingconfederation.org/amc-conference-2023/gallery::thin_content</t>
  </si>
  <si>
    <t>https://africanmarketingconfederation.org/amc-conference-2023/gallery::no_question_headings</t>
  </si>
  <si>
    <t>https://africanmarketingconfederation.org/amc-conference-2023/gallery::no_40-60_word_answer_paragraphs</t>
  </si>
  <si>
    <t>https://africanmarketingconfederation.org/amc-conference-2023/gallery::ai_crawlers_not_explicitly_allowed</t>
  </si>
  <si>
    <t>https://africanmarketingconfederation.org/amc-conference-2023/partners::low_image_alt_coverage</t>
  </si>
  <si>
    <t>https://africanmarketingconfederation.org/amc-conference-2023/partners::low_aeo_readiness_score</t>
  </si>
  <si>
    <t>https://africanmarketingconfederation.org/amc-conference-2023/partners::no_etag_header</t>
  </si>
  <si>
    <t>https://africanmarketingconfederation.org/amc-conference-2023/partners::thin_content</t>
  </si>
  <si>
    <t>https://africanmarketingconfederation.org/amc-conference-2023/partners::no_question_headings</t>
  </si>
  <si>
    <t>https://africanmarketingconfederation.org/amc-conference-2023/partners::no_40-60_word_answer_paragraphs</t>
  </si>
  <si>
    <t>https://africanmarketingconfederation.org/amc-conference-2023/partners::ai_crawlers_not_explicitly_allowed</t>
  </si>
  <si>
    <t>https://africanmarketingconfederation.org/amc-conference-2024-recap::multiple_h1</t>
  </si>
  <si>
    <t>https://africanmarketingconfederation.org/amc-conference-2024-recap::low_aeo_readiness_score</t>
  </si>
  <si>
    <t>https://africanmarketingconfederation.org/amc-conference-2024-recap::no_etag_header</t>
  </si>
  <si>
    <t>https://africanmarketingconfederation.org/amc-conference-2024-recap::no_question_headings</t>
  </si>
  <si>
    <t>https://africanmarketingconfederation.org/amc-conference-2024-recap::no_40-60_word_answer_paragraphs</t>
  </si>
  <si>
    <t>https://africanmarketingconfederation.org/amc-conference-2024-recap::ai_crawlers_not_explicitly_allowed</t>
  </si>
  <si>
    <t>https://africanmarketingconfederation.org/amc-conference-2023/programme::low_image_alt_coverage</t>
  </si>
  <si>
    <t>https://africanmarketingconfederation.org/amc-conference-2023/programme::low_aeo_readiness_score</t>
  </si>
  <si>
    <t>https://africanmarketingconfederation.org/amc-conference-2023/programme::no_etag_header</t>
  </si>
  <si>
    <t>https://africanmarketingconfederation.org/amc-conference-2023/programme::no_question_headings</t>
  </si>
  <si>
    <t>https://africanmarketingconfederation.org/amc-conference-2023/programme::no_40-60_word_answer_paragraphs</t>
  </si>
  <si>
    <t>https://africanmarketingconfederation.org/amc-conference-2023/programme::ai_crawlers_not_explicitly_allowed</t>
  </si>
  <si>
    <t>https://africanmarketingconfederation.org/amc-conference-2023/speakers::low_aeo_readiness_score</t>
  </si>
  <si>
    <t>https://africanmarketingconfederation.org/amc-conference-2023/speakers::no_etag_header</t>
  </si>
  <si>
    <t>https://africanmarketingconfederation.org/amc-conference-2023/speakers::thin_content</t>
  </si>
  <si>
    <t>https://africanmarketingconfederation.org/amc-conference-2023/speakers::no_question_headings</t>
  </si>
  <si>
    <t>https://africanmarketingconfederation.org/amc-conference-2023/speakers::no_40-60_word_answer_paragraphs</t>
  </si>
  <si>
    <t>https://africanmarketingconfederation.org/amc-conference-2023/speakers::ai_crawlers_not_explicitly_allowed</t>
  </si>
  <si>
    <t>https://africanmarketingconfederation.org/amc-conference-2024-sponsors-packages::low_image_alt_coverage</t>
  </si>
  <si>
    <t>https://africanmarketingconfederation.org/amc-conference-2024-sponsors-packages::low_aeo_readiness_score</t>
  </si>
  <si>
    <t>https://africanmarketingconfederation.org/amc-conference-2024-sponsors-packages::no_etag_header</t>
  </si>
  <si>
    <t>https://africanmarketingconfederation.org/amc-conference-2024-sponsors-packages::thin_content</t>
  </si>
  <si>
    <t>https://africanmarketingconfederation.org/amc-conference-2024-sponsors-packages::no_question_headings</t>
  </si>
  <si>
    <t>https://africanmarketingconfederation.org/amc-conference-2024-sponsors-packages::no_40-60_word_answer_paragraphs</t>
  </si>
  <si>
    <t>https://africanmarketingconfederation.org/amc-conference-2024-sponsors-packages::ai_crawlers_not_explicitly_allowed</t>
  </si>
  <si>
    <t>https://africanmarketingconfederation.org/amc-conference-2025-highlights::multiple_h1</t>
  </si>
  <si>
    <t>https://africanmarketingconfederation.org/amc-conference-2025-highlights::low_image_alt_coverage</t>
  </si>
  <si>
    <t>https://africanmarketingconfederation.org/amc-conference-2025-highlights::low_aeo_readiness_score</t>
  </si>
  <si>
    <t>https://africanmarketingconfederation.org/amc-conference-2025-highlights::image_filename_quality_issues</t>
  </si>
  <si>
    <t>https://africanmarketingconfederation.org/amc-conference-2025-highlights::no_etag_header</t>
  </si>
  <si>
    <t>https://africanmarketingconfederation.org/amc-conference-2025-highlights::no_question_headings</t>
  </si>
  <si>
    <t>https://africanmarketingconfederation.org/amc-conference-2025-highlights::no_40-60_word_answer_paragraphs</t>
  </si>
  <si>
    <t>https://africanmarketingconfederation.org/amc-conference-2025-highlights::ai_crawlers_not_explicitly_allowed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</si>
  <si>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</si>
  <si>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</si>
  <si>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</si>
  <si>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</si>
  <si>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</si>
  <si>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</si>
  <si>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</si>
  <si>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</si>
  <si>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</si>
  <si>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</si>
  <si>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</si>
  <si>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</si>
  <si>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</si>
  <si>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</si>
  <si>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</si>
  <si>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</si>
  <si>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</si>
  <si>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</si>
  <si>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</si>
  <si>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t>
  </si>
  <si>
    <t>Non-Pass</t>
  </si>
  <si>
    <t>partial</t>
  </si>
  <si>
    <t>rendered_browser</t>
  </si>
  <si>
    <t>max-image-preview:large</t>
  </si>
  <si>
    <t>Content Category</t>
  </si>
  <si>
    <t>Word Count</t>
  </si>
  <si>
    <t>Readability (Rough Flesch)</t>
  </si>
  <si>
    <t>Flesch-Kincaid Grade (Est.)</t>
  </si>
  <si>
    <t>Thin Content Flag</t>
  </si>
  <si>
    <t>H1 Count</t>
  </si>
  <si>
    <t>Missing H1 Flag</t>
  </si>
  <si>
    <t>Meta Description Missing</t>
  </si>
  <si>
    <t>AEO Readiness Score</t>
  </si>
  <si>
    <t>AEO Badge</t>
  </si>
  <si>
    <t>Schema Types Count</t>
  </si>
  <si>
    <t>Schema Types Found</t>
  </si>
  <si>
    <t>Schema Parse Errors</t>
  </si>
  <si>
    <t>Question Heading Count</t>
  </si>
  <si>
    <t>Answer Blocks</t>
  </si>
  <si>
    <t>FAQ Section Count</t>
  </si>
  <si>
    <t>Image Count</t>
  </si>
  <si>
    <t>Images Missing Alt</t>
  </si>
  <si>
    <t>Image Alt Coverage (%)</t>
  </si>
  <si>
    <t>AEO Extractability Score</t>
  </si>
  <si>
    <t>Title Missing</t>
  </si>
  <si>
    <t>Media Mixed Content Detected</t>
  </si>
  <si>
    <t>Content | AEO | Media</t>
  </si>
  <si>
    <t>Needs Work</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</si>
  <si>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</si>
  <si>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</si>
  <si>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</si>
  <si>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</si>
  <si>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</si>
  <si>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</si>
  <si>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</si>
  <si>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</si>
  <si>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</si>
  <si>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</si>
  <si>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</si>
  <si>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</si>
  <si>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</si>
  <si>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</si>
  <si>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</si>
  <si>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</si>
  <si>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Actionable Fixes</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</si>
  <si>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</si>
  <si>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Links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</si>
  <si>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</si>
  <si>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</si>
  <si>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</si>
  <si>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</si>
  <si>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</si>
  <si>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</si>
  <si>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</si>
  <si>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https://africanmarketingconfederation.org/amc-conference-2025-delegate-packages =&gt; 404</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</si>
  <si>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https://africanmarketingconfederation.org/book-now =&gt; 200 | https://africanmarketingconfederation.org/calendar_events =&gt; 404 | https://africanmarketingconfederation.org/privacy-policy =&gt; 200 | https://africanmarketingconfederation.org/publications-2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</si>
  <si>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https://africanmarketingconfederation.org/wp-content/uploads/2023/09/AMC-TICON-0008.jpg =&gt; 200 | https://africanmarketingconfederation.org/wp-content/uploads/2023/09/AMC-TICON-0013.jpg =&gt; 200 | https://africanmarketingconfederation.org/wp-content/uploads/2023/09/AMC-TICON-0017.jpg =&gt; 200 | https://africanmarketingconfederation.org/wp-content/uploads/2023/09/AMC-TICON-0033.jpg =&gt; 200 | https://africanmarketingconfederation.org/wp-content/uploads/2023/09/AMC-TICON-0034.jpg =&gt; 200 | https://africanmarketingconfederation.org/wp-content/uploads/2023/09/AMC-TICON-0047.jpg =&gt; 200 | https://africanmarketingconfederation.org/wp-content/uploads/2023/09/AMC-TICON-0048.jpg =&gt; 200 | https://africanmarketingconfederation.org/wp-content/uploads/2023/09/AMC-TICON-0050.jpg =&gt; 200 | https://africanmarketingconfederation.org/wp-content/uploads/2023/09/AMC-TICON-0051.jpg =&gt; 200 | https://africanmarketingconfederation.org/wp-content/uploads/2023/09/AMC-TICON-0052.jpg =&gt; 200 | https://africanmarketingconfederation.org/wp-content/uploads/2023/09/AMC-TICON-0060.jpg =&gt; 200 | https://africanmarketingconfederation.org/wp-content/uploads/2023/09/AMC-TICON-0065.jpg =&gt; 200 | https://africanmarketingconfederation.org/wp-content/uploads/2023/09/AMC-TICON-0078.jpg =&gt; 200 | https://africanmarketingconfederation.org/wp-content/uploads/2023/09/AMC-TICON-0136.jpg =&gt; 200 | https://africanmarketingconfederation.org/wp-content/uploads/2023/09/AMC-TICON-0150.jpg =&gt; 200 | https://africanmarketingconfederation.org/wp-content/uploads/2023/09/AMC-TICON-0151.jpg =&gt; 200 | https://africanmarketingconfederation.org/wp-content/uploads/2023/09/AMC-TICON-0152.jpg =&gt; 200 | https://africanmarketingconfederation.org/wp-content/uploads/2023/09/AMC-TICON-0155.jpg =&gt; 200 | https://africanmarketingconfederation.org/wp-content/uploads/2023/09/AMC-TICON-0156.jpg =&gt; 200 | https://africanmarketingconfederation.org/wp-content/uploads/2023/09/AMC-TICON-0164.jpg =&gt; 200 | https://africanmarketingconfederation.org/wp-content/uploads/2023/09/AMC-TICON-0174.jpg =&gt; 200 | https://africanmarketingconfederation.org/wp-content/uploads/2023/09/AMC-TICON-0185.jpg =&gt; 200 | https://africanmarketingconfederation.org/wp-content/uploads/2023/09/AMC-TICON-0186.jpg =&gt; 200 | https://africanmarketingconfederation.org/wp-content/uploads/2023/09/AMC-TICON-0201.jpg =&gt; 200 | https://africanmarketingconfederation.org/wp-content/uploads/2023/09/AMC-TICON-0202.jpg =&gt; 200 | https://africanmarketingconfederation.org/wp-content/uploads/2023/09/AMC-TICON-0205.jpg =&gt; 200 | https://africanmarketingconfederation.org/wp-content/uploads/2023/09/AMC-TICON-0206.jpg =&gt; 200 | https://africanmarketingconfederation.org/wp-content/uploads/2023/09/AMC-TICON-0209.jpg =&gt; 200 | https://africanmarketingconfederation.org/wp-content/uploads/2023/09/AMC-TICON-0213.jpg =&gt; 200 | https://africanmarketingconfederation.org/wp-content/uploads/2023/09/AMC-TICON-0218.jpg =&gt; 200 | https://africanmarketingconfederation.org/wp-content/uploads/2023/09/AMC-TICON-0794.jpg =&gt; 200 | https://africanmarketingconfederation.org/wp-content/uploads/2023/09/AMC-TICON-0795.jpg =&gt; 200 | https://africanmarketingconfederation.org/wp-content/uploads/2023/09/AMC-TICON-0801.jpg =&gt; 200 | https://africanmarketingconfederation.org/wp-content/uploads/2023/09/AMC-TICON-0803.jpg =&gt; 200 | https://africanmarketingconfederation.org/wp-content/uploads/2023/09/AMC-TICON-0804.jpg =&gt; 200 | https://africanmarketingconfederation.org/wp-content/uploads/2023/09/AMC-TICON-0806.jpg =&gt; 200 | https://africanmarketingconfederation.org/wp-content/uploads/2023/09/AMC-TICON-0808.jpg =&gt; 200 | https://africanmarketingconfederation.org/wp-content/uploads/2023/09/AMC-TICON-0812.jpg =&gt; 200 | https://africanmarketingconfederation.org/wp-content/uploads/2023/09/AMC-TICON-0818.jpg =&gt; 200 | https://africanmarketingconfederation.org/wp-content/uploads/2023/09/AMC-TICON-0819.jpg =&gt; 200 | https://africanmarketingconfederation.org/wp-content/uploads/2023/09/AMC-TICON-0821.jpg =&gt; 200 | https://africanmarketingconfederation.org/wp-content/uploads/2023/09/AMC-TICON-0822.jpg =&gt; 200 | https://africanmarketingconfederation.org/wp-content/uploads/2023/09/AMC-TICON-0825.jpg =&gt; 200 | https://africanmarketingconfederation.org/wp-content/uploads/2023/09/AMC-TICON-0827.jpg =&gt; 200 | https://africanmarketingconfederation.org/wp-content/uploads/2023/09/AMC-TICON-0840.jpg =&gt; 200 | https://africanmarketingconfederation.org/wp-content/uploads/2023/09/AMC-TICON-0842.jpg =&gt; 200 | https://africanmarketingconfederation.org/wp-content/uploads/2023/09/AMC-TICON-0843.jpg =&gt; 200 | https://africanmarketingconfederation.org/wp-content/uploads/2023/09/AMC-TICON-0844.jpg =&gt; 200 | https://africanmarketingconfederation.org/wp-content/uploads/2023/09/AMC-TICON-0845.jpg =&gt; 200 | https://africanmarketingconfederation.org/wp-content/uploads/2023/09/AMC-TICON-0850.jpg =&gt; 200 | https://africanmarketingconfederation.org/wp-content/uploads/2023/09/AMC-TICON-0855.jpg =&gt; 200 | https://africanmarketingconfederation.org/wp-content/uploads/2023/09/AMC-TICON-0857.jpg =&gt; 200 | https://africanmarketingconfederation.org/wp-content/uploads/2023/09/AMC-TICON-0865.jpg =&gt; 200 | https://africanmarketingconfederation.org/wp-content/uploads/2023/09/AMC-TICON-0874.jpg =&gt; 200 | https://africanmarketingconfederation.org/wp-content/uploads/2023/09/AMC-TICON-0880.jpg =&gt; 200 | https://africanmarketingconfederation.org/wp-content/uploads/2023/09/AMC-TICON-0881.jpg =&gt; 200 | https://africanmarketingconfederation.org/wp-content/uploads/2023/09/AMC-TICON-0884.jpg =&gt; 200 | https://africanmarketingconfederation.org/wp-content/uploads/2023/09/AMC-TICON-0886.jpg =&gt; 200 | https://africanmarketingconfederation.org/wp-content/uploads/2023/09/AMC-TICON-0892.jpg =&gt; 200 | https://africanmarketingconfederation.org/wp-content/uploads/2023/09/AMC-TICON-0899.jpg =&gt; 200 | https://africanmarketingconfederation.org/wp-content/uploads/2023/09/AMC-TICON-0900.jpg =&gt; 200 | https://africanmarketingconfederation.org/wp-content/uploads/2023/09/AMC-TICON-1107.jpg =&gt; 200 | https://africanmarketingconfederation.org/wp-content/uploads/2023/09/AMC-TICON-1113.jpg =&gt; 200 | https://africanmarketingconfederation.org/wp-content/uploads/2023/09/AMC-TICON-1114.jpg =&gt; 200 | https://africanmarketingconfederation.org/wp-content/uploads/2023/09/AMC-TICON-1118.jpg =&gt; 200 | https://africanmarketingconfederation.org/wp-content/uploads/2023/09/AMC-TICON-1121.jpg =&gt; 200 | https://africanmarketingconfederation.org/wp-content/uploads/2023/09/AMC-TICON-1127.jpg =&gt; 200 | https://africanmarketingconfederation.org/wp-content/uploads/2023/09/AMC-TICON-1128.jpg =&gt; 200 | https://africanmarketingconfederation.org/wp-content/uploads/2023/09/AMC-TICON-1131.jpg =&gt; 200 | https://africanmarketingconfederation.org/wp-content/uploads/2023/09/AMC-TICON-1132.jpg =&gt; 200 | https://africanmarketingconfederation.org/wp-content/uploads/2023/09/AMC-TICON-1133.jpg =&gt; 200 | https://africanmarketingconfederation.org/wp-content/uploads/2023/09/AMC-TICON-1136.jpg =&gt; 200 | https://africanmarketingconfederation.org/wp-content/uploads/2023/09/AMC-TICON-1137.jpg =&gt; 200 | https://africanmarketingconfederation.org/wp-content/uploads/2023/09/AMC-TICON-1138.jpg =&gt; 200 | https://africanmarketingconfederation.org/wp-content/uploads/2023/09/AMC-TICON-1152.jpg =&gt; 200 | https://africanmarketingconfederation.org/wp-content/uploads/2023/09/AMC-TICON-1153.jpg =&gt; 200 | https://africanmarketingconfederation.org/wp-content/uploads/2023/09/AMC-TICON-1154.jpg =&gt; 200 | https://africanmarketingconfederation.org/wp-content/uploads/2023/09/AMC-TICON-1156.jpg =&gt; 200 | https://africanmarketingconfederation.org/wp-content/uploads/2023/09/AMC-TICON-1161.jpg =&gt; 200 | https://africanmarketingconfederation.org/wp-content/uploads/2023/09/AMC-TICON-1164.jpg =&gt; 200 | https://africanmarketingconfederation.org/wp-content/uploads/2023/09/AMC-TICON-1166.jpg =&gt; 200 | https://africanmarketingconfederation.org/wp-content/uploads/2023/09/AMC-TICON-1174.jpg =&gt; 200 | https://africanmarketingconfederation.org/wp-content/uploads/2023/09/AMC-TICON-1177.jpg =&gt; 200 | https://africanmarketingconfederation.org/wp-content/uploads/2023/09/AMC-TICON-1179.jpg =&gt; 200 | https://africanmarketingconfederation.org/wp-content/uploads/2023/09/AMC-TICON-1180-2.jpg =&gt; 200 | https://africanmarketingconfederation.org/wp-content/uploads/2023/09/AMC-TICON-1180.jpg =&gt; 200 | https://africanmarketingconfederation.org/wp-content/uploads/2023/09/AMC-TICON-1181.jpg =&gt; 200 | https://africanmarketingconfederation.org/wp-content/uploads/2023/09/AMC-TICON-1187.jpg =&gt; 200 | https://africanmarketingconfederation.org/wp-content/uploads/2023/09/AMC-TICON-2-2.jpg =&gt; 200 | https://africanmarketingconfederation.org/wp-content/uploads/2023/09/AMC-TICON-2-3.jpg =&gt; 200 | https://africanmarketingconfederation.org/wp-content/uploads/2023/09/AMC-TICON-2.jpg =&gt; 200 | https://africanmarketingconfederation.org/wp-content/uploads/2023/09/AMC-TICON-9709.jpg =&gt; 200 | https://africanmarketingconfederation.org/wp-content/uploads/2023/09/AMC-TICON-9710.jpg =&gt; 200 | https://africanmarketingconfederation.org/wp-content/uploads/2023/09/AMC-TICON-9716.jpg =&gt; 200 | https://africanmarketingconfederation.org/wp-content/uploads/2023/09/AMC-TICON-9722.jpg =&gt; 200 | https://africanmarketingconfederation.org/wp-content/uploads/2023/09/AMC-TICON-9729.jpg =&gt; 200 | https://africanmarketingconfederation.org/wp-content/uploads/2023/09/AMC-TICON-9730.jpg =&gt; 200 | https://africanmarketingconfederation.org/wp-content/uploads/2023/09/AMC-TICON-9735.jpg =&gt; 200 | https://africanmarketingconfederation.org/wp-content/uploads/2023/09/AMC-TICON-9742.jpg =&gt; 200 | https://africanmarketingconfederation.org/wp-content/uploads/2023/09/AMC-TICON-9743.jpg =&gt; 200 | https://africanmarketingconfederation.org/wp-content/uploads/2023/09/AMC-TICON-9745.jpg =&gt; 200 | https://africanmarketingconfederation.org/wp-content/uploads/2023/09/AMC-TICON-9746.jpg =&gt; 200 | https://africanmarketingconfederation.org/wp-content/uploads/2023/09/AMC-TICON-9749.jpg =&gt; 200 | https://africanmarketingconfederation.org/wp-content/uploads/2023/09/AMC-TICON-9757.jpg =&gt; 200 | https://africanmarketingconfederation.org/wp-content/uploads/2023/09/AMC-TICON-9760.jpg =&gt; 200 | https://africanmarketingconfederation.org/wp-content/uploads/2023/09/AMC-TICON-9768.jpg =&gt; 200 | https://africanmarketingconfederation.org/wp-content/uploads/2023/09/AMC-TICON-9779.jpg =&gt; 200 | https://africanmarketingconfederation.org/wp-content/uploads/2023/09/AMC-TICON-9793.jpg =&gt; 200 | https://africanmarketingconfederation.org/wp-content/uploads/2023/09/AMC-TICON-9794.jpg =&gt; 200 | https://africanmarketingconfederation.org/wp-content/uploads/2023/09/AMC-TICON-9796.jpg =&gt; 200 | https://africanmarketingconfederation.org/wp-content/uploads/2023/09/AMC-TICON-9797.jpg =&gt; 200 | https://africanmarketingconfederation.org/wp-content/uploads/2023/09/AMC-TICON-9801.jpg =&gt; 200 | https://africanmarketingconfederation.org/wp-content/uploads/2023/09/AMC-TICON-9802.jpg =&gt; 200 | https://africanmarketingconfederation.org/wp-content/uploads/2023/09/AMC-TICON-9805.jpg =&gt; 200 | https://africanmarketingconfederation.org/wp-content/uploads/2023/09/AMC-TICON-9806.jpg =&gt; 200 | https://africanmarketingconfederation.org/wp-content/uploads/2023/09/AMC-TICON-9808.jpg =&gt; 200 | https://africanmarketingconfederation.org/wp-content/uploads/2023/09/AMC-TICON-9809.jpg =&gt; 200 | https://africanmarketingconfederation.org/wp-content/uploads/2023/09/AMC-TICON-9819.jpg =&gt; 200 | https://africanmarketingconfederation.org/wp-content/uploads/2023/09/AMC-TICON-9822.jpg =&gt; 200 | https://africanmarketingconfederation.org/wp-content/uploads/2023/09/AMC-TICON-9823.jpg =&gt; 200 | https://africanmarketingconfederation.org/wp-content/uploads/2023/09/AMC-TICON-9825.jpg =&gt; 200 | https://africanmarketingconfederation.org/wp-content/uploads/2023/09/AMC-TICON-9826.jpg =&gt; 200 | https://africanmarketingconfederation.org/wp-content/uploads/2023/09/AMC-TICON-9835.jpg =&gt; 200 | https://africanmarketingconfederation.org/wp-content/uploads/2023/09/AMC-TICON-9838.jpg =&gt; 200 | https://africanmarketingconfederation.org/wp-content/uploads/2023/09/AMC-TICON-9841.jpg =&gt; 200 | https://africanmarketingconfederation.org/wp-content/uploads/2023/09/AMC-TICON-9842.jpg =&gt; 200 | https://africanmarketingconfederation.org/wp-content/uploads/2023/09/AMC-TICON-9843.jpg =&gt; 200 | https://africanmarketingconfederation.org/wp-content/uploads/2023/09/AMC-TICON-9846.jpg =&gt; 200 | https://africanmarketingconfederation.org/wp-content/uploads/2023/09/AMC-TICON-9868.jpg =&gt; 200 | https://africanmarketingconfederation.org/wp-content/uploads/2023/09/AMC-TICON-9871.jpg =&gt; 200 | https://africanmarketingconfederation.org/wp-content/uploads/2023/09/AMC-TICON-9872.jpg =&gt; 200 | https://africanmarketingconfederation.org/wp-content/uploads/2023/09/AMC-TICON-9873.jpg =&gt; 200 | https://africanmarketingconfederation.org/wp-content/uploads/2023/09/AMC-TICON-9883.jpg =&gt; 200 | https://africanmarketingconfederation.org/wp-content/uploads/2023/09/AMC-TICON-9887.jpg =&gt; 200 | https://africanmarketingconfederation.org/wp-content/uploads/2023/09/AMC-TICON-9888.jpg =&gt; 200 | https://africanmarketingconfederation.org/wp-content/uploads/2023/09/AMC-TICON-9890.jpg =&gt; 200 | https://africanmarketingconfederation.org/wp-content/uploads/2023/09/AMC-TICON-9891.jpg =&gt; 200 | https://africanmarketingconfederation.org/wp-content/uploads/2023/09/AMC-TICON-9892.jpg =&gt; 200 | https://africanmarketingconfederation.org/wp-content/uploads/2023/09/AMC-TICON-9898.jpg =&gt; 200 | https://africanmarketingconfederation.org/wp-content/uploads/2023/09/AMC-TICON-9899.jpg =&gt; 200 | https://africanmarketingconfederation.org/wp-content/uploads/2023/09/AMC-TICON-9905.jpg =&gt; 200 | https://africanmarketingconfederation.org/wp-content/uploads/2023/09/AMC-TICON-9910.jpg =&gt; 200 | https://africanmarketingconfederation.org/wp-content/uploads/2023/09/AMC-TICON-9911.jpg =&gt; 200 | https://africanmarketingconfederation.org/wp-content/uploads/2023/09/AMC-TICON-9912.jpg =&gt; 200 | https://africanmarketingconfederation.org/wp-content/uploads/2023/09/AMC-TICON-9913.jpg =&gt; 200 | https://africanmarketingconfederation.org/wp-content/uploads/2023/09/AMC-TICON-9914.jpg =&gt; 200 | https://africanmarketingconfederation.org/wp-content/uploads/2023/09/AMC-TICON-9935.jpg =&gt; 200 | https://africanmarketingconfederation.org/wp-content/uploads/2023/09/AMC-TICON-9941.jpg =&gt; 200 | https://africanmarketingconfederation.org/wp-content/uploads/2023/09/AMC-TICON-9942.jpg =&gt; 200 | https://africanmarketingconfederation.org/wp-content/uploads/2023/09/AMC-TICON-9948.jpg =&gt; 200 | https://africanmarketingconfederation.org/wp-content/uploads/2023/09/AMC-TICON-9960.jpg =&gt; 200 | https://africanmarketingconfederation.org/wp-content/uploads/2023/09/AMC-TICON-9961.jpg =&gt; 200 | https://africanmarketingconfederation.org/wp-content/uploads/2023/09/AMC-TICON-9963.jpg =&gt; 200 | https://africanmarketingconfederation.org/wp-content/uploads/2023/09/AMC-TICON-9964.jpg =&gt; 200 | https://africanmarketingconfederation.org/wp-content/uploads/2023/09/AMC-TICON-9965.jpg =&gt; 200 | https://africanmarketingconfederation.org/wp-content/uploads/2023/09/AMC-TICON-9968.jpg =&gt; 200 | https://africanmarketingconfederation.org/wp-content/uploads/2023/09/AMC-TICON-9969.jpg =&gt; 200 | https://africanmarketingconfederation.org/wp-content/uploads/2023/09/AMC-TICON-9970.jpg =&gt; 200 | https://africanmarketingconfederation.org/wp-content/uploads/2023/09/AMC-TICON-9977.jpg =&gt; 200 | https://africanmarketingconfederation.org/wp-content/uploads/2023/09/AMC-TICON-9979.jpg =&gt; 200 | https://africanmarketingconfederation.org/wp-content/uploads/2023/09/AMC-TICON-9984.jpg =&gt; 200 | https://africanmarketingconfederation.org/wp-content/uploads/2023/09/AMC-TICON-9999.jpg =&gt; 200 | https://africanmarketingconfederation.org/wp-content/uploads/2023/09/AMC-Ticon-00222.jpg =&gt; 200 | https://africanmarketingconfederation.org/wp-content/uploads/2023/09/AMC-Ticon-00223.jpg =&gt; 200 | https://africanmarketingconfederation.org/wp-content/uploads/2023/09/AMC-Ticon-00226.jpg =&gt; 200 | https://africanmarketingconfederation.org/wp-content/uploads/2023/09/AMC-Ticon-00228.jpg =&gt; 200 | https://africanmarketingconfederation.org/wp-content/uploads/2023/09/AMC-Ticon-00236.jpg =&gt; 200 | https://africanmarketingconfederation.org/wp-content/uploads/2023/09/AMC-Ticon-00237.jpg =&gt; 200 | https://africanmarketingconfederation.org/wp-content/uploads/2023/09/AMC-Ticon-00239.jpg =&gt; 200 | https://africanmarketingconfederation.org/wp-content/uploads/2023/09/AMC-Ticon-00242.jpg =&gt; 200 | https://africanmarketingconfederation.org/wp-content/uploads/2023/09/AMC-Ticon-00243.jpg =&gt; 200 | https://africanmarketingconfederation.org/wp-content/uploads/2023/09/AMC-Ticon-00246.jpg =&gt; 200 | https://africanmarketingconfederation.org/wp-content/uploads/2023/09/AMC-Ticon-00250.jpg =&gt; 200 | https://africanmarketingconfederation.org/wp-content/uploads/2023/09/AMC-Ticon-00252.jpg =&gt; 200 | https://africanmarketingconfederation.org/wp-content/uploads/2023/09/AMC-Ticon-00269.jpg =&gt; 200 | https://africanmarketingconfederation.org/wp-content/uploads/2023/09/AMC-Ticon-00273.jpg =&gt; 200 | https://africanmarketingconfederation.org/wp-content/uploads/2023/09/AMC-Ticon-00274.jpg =&gt; 200 | https://africanmarketingconfederation.org/wp-content/uploads/2023/09/AMC-Ticon-00279.jpg =&gt; 200 | https://africanmarketingconfederation.org/wp-content/uploads/2023/09/AMC-Ticon-00280.jpg =&gt; 200 | https://africanmarketingconfederation.org/wp-content/uploads/2023/09/AMC-Ticon-00284.jpg =&gt; 200 | https://africanmarketingconfederation.org/wp-content/uploads/2023/09/AMC-Ticon-00287.jpg =&gt; 200 | https://africanmarketingconfederation.org/wp-content/uploads/2023/09/AMC-Ticon-00291.jpg =&gt; 200 | https://africanmarketingconfederation.org/wp-content/uploads/2023/09/AMC-Ticon-00292.jpg =&gt; 200 | https://africanmarketingconfederation.org/wp-content/uploads/2023/09/AMC-Ticon-00293.jpg =&gt; 200 | https://africanmarketingconfederation.org/wp-content/uploads/2023/09/AMC-Ticon-00296.jpg =&gt; 200 | https://africanmarketingconfederation.org/wp-content/uploads/2023/09/AMC-Ticon-00299.jpg =&gt; 200 | https://africanmarketingconfederation.org/wp-content/uploads/2023/09/AMC-Ticon-00301.jpg =&gt; 200 | https://africanmarketingconfederation.org/wp-content/uploads/2023/09/AMC-Ticon-00302.jpg =&gt; 200 | https://africanmarketingconfederation.org/wp-content/uploads/2023/09/AMC-Ticon-00303.jpg =&gt; 200 | https://africanmarketingconfederation.org/wp-content/uploads/2023/09/AMC-Ticon-00307.jpg =&gt; 200 | https://africanmarketingconfederation.org/wp-content/uploads/2023/09/AMC-Ticon-00309.jpg =&gt; 200 | https://africanmarketingconfederation.org/wp-content/uploads/2023/09/AMC-Ticon-00310.jpg =&gt; 200 | https://africanmarketingconfederation.org/wp-content/uploads/2023/09/AMC-Ticon-00312.jpg =&gt; 200 | https://africanmarketingconfederation.org/wp-content/uploads/2023/09/AMC-Ticon-00313.jpg =&gt; 200 | https://africanmarketingconfederation.org/wp-content/uploads/2023/09/AMC-Ticon-00314.jpg =&gt; 200 | https://africanmarketingconfederation.org/wp-content/uploads/2023/09/AMC-Ticon-00319.jpg =&gt; 200 | https://africanmarketingconfederation.org/wp-content/uploads/2023/09/AMC-Ticon-00320.jpg =&gt; 200 | https://africanmarketingconfederation.org/wp-content/uploads/2023/09/AMC-Ticon-00321.jpg =&gt; 200 | https://africanmarketingconfederation.org/wp-content/uploads/2023/09/AMC-Ticon-00324.jpg =&gt; 200 | https://africanmarketingconfederation.org/wp-content/uploads/2023/09/AMC-Ticon-00326.jpg =&gt; 200 | https://africanmarketingconfederation.org/wp-content/uploads/2023/09/AMC-Ticon-00327.jpg =&gt; 200 | https://africanmarketingconfederation.org/wp-content/uploads/2023/09/AMC-Ticon-00329.jpg =&gt; 200 | https://africanmarketingconfederation.org/wp-content/uploads/2023/09/AMC-Ticon-00330.jpg =&gt; 200 | https://africanmarketingconfederation.org/wp-content/uploads/2023/09/AMC-Ticon-00332.jpg =&gt; 200 | https://africanmarketingconfederation.org/wp-content/uploads/2023/09/AMC-Ticon-00334.jpg =&gt; 200 | https://africanmarketingconfederation.org/wp-content/uploads/2023/09/AMC-Ticon-00335.jpg =&gt; 200 | https://africanmarketingconfederation.org/wp-content/uploads/2023/09/AMC-Ticon-00337.jpg =&gt; 200 | https://africanmarketingconfederation.org/wp-content/uploads/2023/09/AMC-Ticon-00338.jpg =&gt; 200 | https://africanmarketingconfederation.org/wp-content/uploads/2023/09/AMC-Ticon-00340.jpg =&gt; 200 | https://africanmarketingconfederation.org/wp-content/uploads/2023/09/AMC-Ticon-00341.jpg =&gt; 200 | https://africanmarketingconfederation.org/wp-content/uploads/2023/09/AMC-Ticon-00348.jpg =&gt; 200 | https://africanmarketingconfederation.org/wp-content/uploads/2023/09/AMC-Ticon-00350.jpg =&gt; 200 | https://africanmarketingconfederation.org/wp-content/uploads/2023/09/AMC-Ticon-00351.jpg =&gt; 200 | https://africanmarketingconfederation.org/wp-content/uploads/2023/09/AMC-Ticon-00352.jpg =&gt; 200 | https://africanmarketingconfederation.org/wp-content/uploads/2023/09/AMC-Ticon-00354.jpg =&gt; 200 | https://africanmarketingconfederation.org/wp-content/uploads/2023/09/AMC-Ticon-00355.jpg =&gt; 200 | https://africanmarketingconfederation.org/wp-content/uploads/2023/09/AMC-Ticon-00357.jpg =&gt; 200 | https://africanmarketingconfederation.org/wp-content/uploads/2023/09/AMC-Ticon-00358.jpg =&gt; 200 | https://africanmarketingconfederation.org/wp-content/uploads/2023/09/AMC-Ticon-00360.jpg =&gt; 200 | https://africanmarketingconfederation.org/wp-content/uploads/2023/09/AMC-Ticon-00361.jpg =&gt; 200 | https://africanmarketingconfederation.org/wp-content/uploads/2023/09/AMC-Ticon-00364.jpg =&gt; 200 | https://africanmarketingconfederation.org/wp-content/uploads/2023/09/AMC-Ticon-00370.jpg =&gt; 200 | https://africanmarketingconfederation.org/wp-content/uploads/2023/09/AMC-Ticon-00372.jpg =&gt; 200 | https://africanmarketingconfederation.org/wp-content/uploads/2023/09/AMC-Ticon-00375.jpg =&gt; 200 | https://africanmarketingconfederation.org/wp-content/uploads/2023/09/AMC-Ticon-00376.jpg =&gt; 200 | https://africanmarketingconfederation.org/wp-content/uploads/2023/09/AMC-Ticon-00377.jpg =&gt; 200 | https://africanmarketingconfederation.org/wp-content/uploads/2023/09/AMC-Ticon-00380.jpg =&gt; 200 | https://africanmarketingconfederation.org/wp-content/uploads/2023/09/AMC-Ticon-00382.jpg =&gt; 200 | https://africanmarketingconfederation.org/wp-content/uploads/2023/09/AMC-Ticon-00385.jpg =&gt; 200 | https://africanmarketingconfederation.org/wp-content/uploads/2023/09/AMC-Ticon-00386.jpg =&gt; 200 | https://africanmarketingconfederation.org/wp-content/uploads/2023/09/AMC-Ticon-00389.jpg =&gt; 200 | https://africanmarketingconfederation.org/wp-content/uploads/2023/09/AMC-Ticon-00391.jpg =&gt; 200 | https://africanmarketingconfederation.org/wp-content/uploads/2023/09/AMC-Ticon-00392.jpg =&gt; 200 | https://africanmarketingconfederation.org/wp-content/uploads/2023/09/AMC-Ticon-00393.jpg =&gt; 200 | https://africanmarketingconfederation.org/wp-content/uploads/2023/09/AMC-Ticon-00396.jpg =&gt; 200 | https://africanmarketingconfederation.org/wp-content/uploads/2023/09/AMC-Ticon-00399.jpg =&gt; 200 | https://africanmarketingconfederation.org/wp-content/uploads/2023/09/AMC-Ticon-00400.jpg =&gt; 200 | https://africanmarketingconfederation.org/wp-content/uploads/2023/09/AMC-Ticon-00401.jpg =&gt; 200 | https://africanmarketingconfederation.org/wp-content/uploads/2023/09/AMC-Ticon-00402.jpg =&gt; 200 | https://africanmarketingconfederation.org/wp-content/uploads/2023/09/AMC-Ticon-00406.jpg =&gt; 200 | https://africanmarketingconfederation.org/wp-content/uploads/2023/09/AMC-Ticon-00407.jpg =&gt; 200 | https://africanmarketingconfederation.org/wp-content/uploads/2023/09/AMC-Ticon-00408.jpg =&gt; 200 | https://africanmarketingconfederation.org/wp-content/uploads/2023/09/AMC-Ticon-00412.jpg =&gt; 200 | https://africanmarketingconfederation.org/wp-content/uploads/2023/09/AMC-Ticon-00413.jpg =&gt; 200 | https://africanmarketingconfederation.org/wp-content/uploads/2023/09/AMC-Ticon-00414.jpg =&gt; 200 | https://africanmarketingconfederation.org/wp-content/uploads/2023/09/AMC-Ticon-00415.jpg =&gt; 200 | https://africanmarketingconfederation.org/wp-content/uploads/2023/09/AMC-Ticon-00418.jpg =&gt; 200 | https://africanmarketingconfederation.org/wp-content/uploads/2023/09/AMC-Ticon-00419.jpg =&gt; 200 | https://africanmarketingconfederation.org/wp-content/uploads/2023/09/AMC-Ticon-00422.jpg =&gt; 200 | https://africanmarketingconfederation.org/wp-content/uploads/2023/09/AMC-Ticon-00423.jpg =&gt; 200 | https://africanmarketingconfederation.org/wp-content/uploads/2023/09/AMC-Ticon-00428.jpg =&gt; 200 | https://africanmarketingconfederation.org/wp-content/uploads/2023/09/AMC-Ticon-00430.jpg =&gt; 200 | https://africanmarketingconfederation.org/wp-content/uploads/2023/09/AMC-Ticon-00433.jpg =&gt; 200 | https://africanmarketingconfederation.org/wp-content/uploads/2023/09/AMC-Ticon-00438.jpg =&gt; 200 | https://africanmarketingconfederation.org/wp-content/uploads/2023/09/AMC-Ticon-00445.jpg =&gt; 200 | https://africanmarketingconfederation.org/wp-content/uploads/2023/09/AMC-Ticon-00449.jpg =&gt; 200 | https://africanmarketingconfederation.org/wp-content/uploads/2023/09/AMC-Ticon-00451.jpg =&gt; 200 | https://africanmarketingconfederation.org/wp-content/uploads/2023/09/AMC-Ticon-00452.jpg =&gt; 200 | https://africanmarketingconfederation.org/wp-content/uploads/2023/09/AMC-Ticon-00455.jpg =&gt; 200 | https://africanmarketingconfederation.org/wp-content/uploads/2023/09/AMC-Ticon-00457.jpg =&gt; 200 | https://africanmarketingconfederation.org/wp-content/uploads/2023/09/AMC-Ticon-00459.jpg =&gt; 200 | https://africanmarketingconfederation.org/wp-content/uploads/2023/09/AMC-Ticon-00462.jpg =&gt; 200 | https://africanmarketingconfederation.org/wp-content/uploads/2023/09/AMC-Ticon-00463.jpg =&gt; 200 | https://africanmarketingconfederation.org/wp-content/uploads/2023/09/AMC-Ticon-00467.jpg =&gt; 200 | https://africanmarketingconfederation.org/wp-content/uploads/2023/09/AMC-Ticon-00468.jpg =&gt; 200 | https://africanmarketingconfederation.org/wp-content/uploads/2023/09/AMC-Ticon-00471.jpg =&gt; 200 | https://africanmarketingconfederation.org/wp-content/uploads/2023/09/AMC-Ticon-00472.jpg =&gt; 200 | https://africanmarketingconfederation.org/wp-content/uploads/2023/09/AMC-Ticon-00475.jpg =&gt; 200 | https://africanmarketingconfederation.org/wp-content/uploads/2023/09/AMC-Ticon-00478.jpg =&gt; 200 | https://africanmarketingconfederation.org/wp-content/uploads/2023/09/AMC-Ticon-00481.jpg =&gt; 200 | https://africanmarketingconfederation.org/wp-content/uploads/2023/09/AMC-Ticon-00482.jpg =&gt; 200 | https://africanmarketingconfederation.org/wp-content/uploads/2023/09/AMC-Ticon-00484.jpg =&gt; 200 | https://africanmarketingconfederation.org/wp-content/uploads/2023/09/AMC-Ticon-00488.jpg =&gt; 200 | https://africanmarketingconfederation.org/wp-content/uploads/2023/09/AMC-Ticon-00497.jpg =&gt; 200 | https://africanmarketingconfederation.org/wp-content/uploads/2023/09/AMC-Ticon-00503.jpg =&gt; 200 | https://africanmarketingconfederation.org/wp-content/uploads/2023/09/AMC-Ticon-00515.jpg =&gt; 200 | https://africanmarketingconfederation.org/wp-content/uploads/2023/09/AMC-Ticon-00520.jpg =&gt; 200 | https://africanmarketingconfederation.org/wp-content/uploads/2023/09/AMC-Ticon-00521.jpg =&gt; 200 | https://africanmarketingconfederation.org/wp-content/uploads/2023/09/AMC-Ticon-00524.jpg =&gt; 200 | https://africanmarketingconfederation.org/wp-content/uploads/2023/09/AMC-Ticon-00526.jpg =&gt; 200 | https://africanmarketingconfederation.org/wp-content/uploads/2023/09/AMC-Ticon-00529.jpg =&gt; 200 | https://africanmarketingconfederation.org/wp-content/uploads/2023/09/AMC-Ticon-00534.jpg =&gt; 200 | https://africanmarketingconfederation.org/wp-content/uploads/2023/09/AMC-Ticon-00536.jpg =&gt; 200 | https://africanmarketingconfederation.org/wp-content/uploads/2023/09/AMC-Ticon-00576.jpg =&gt; 200 | https://africanmarketingconfederation.org/wp-content/uploads/2023/09/AMC-Ticon-00588.jpg =&gt; 200 | https://africanmarketingconfederation.org/wp-content/uploads/2023/09/AMC-Ticon-00589.jpg =&gt; 200 | https://africanmarketingconfederation.org/wp-content/uploads/2023/09/AMC-Ticon-00590.jpg =&gt; 200 | https://africanmarketingconfederation.org/wp-content/uploads/2023/09/AMC-Ticon-00592.jpg =&gt; 200 | https://africanmarketingconfederation.org/wp-content/uploads/2023/09/AMC-Ticon-00593.jpg =&gt; 200 | https://africanmarketingconfederation.org/wp-content/uploads/2023/09/AMC-Ticon-00594.jpg =&gt; 200 | https://africanmarketingconfederation.org/wp-content/uploads/2023/09/AMC-Ticon-00602.jpg =&gt; 200 | https://africanmarketingconfederation.org/wp-content/uploads/2023/09/AMC-Ticon-00605.jpg =&gt; 200 | https://africanmarketingconfederation.org/wp-content/uploads/2023/09/AMC-Ticon-00608.jpg =&gt; 200 | https://africanmarketingconfederation.org/wp-content/uploads/2023/09/AMC-Ticon-00638.jpg =&gt; 200 | https://africanmarketingconfederation.org/wp-content/uploads/2023/09/AMC-Ticon-00642.jpg =&gt; 200 | https://africanmarketingconfederation.org/wp-content/uploads/2023/09/AMC-Ticon-00646.jpg =&gt; 200 | https://africanmarketingconfederation.org/wp-content/uploads/2023/09/AMC-Ticon-00648.jpg =&gt; 200 | https://africanmarketingconfederation.org/wp-content/uploads/2023/09/AMC-Ticon-00654.jpg =&gt; 200 | https://africanmarketingconfederation.org/wp-content/uploads/2023/09/AMC-Ticon-00655.jpg =&gt; 200 | https://africanmarketingconfederation.org/wp-content/uploads/2023/09/AMC-Ticon-00659.jpg =&gt; 200 | https://africanmarketingconfederation.org/wp-content/uploads/2023/09/AMC-Ticon-00664.jpg =&gt; 200 | https://africanmarketingconfederation.org/wp-content/uploads/2023/09/AMC-Ticon-00677.jpg =&gt; 200 | https://africanmarketingconfederation.org/wp-content/uploads/2023/09/AMC-Ticon-00681.jpg =&gt; 200 | https://africanmarketingconfederation.org/wp-content/uploads/2023/09/AMC-Ticon-00682.jpg =&gt; 200 | https://africanmarketingconfederation.org/wp-content/uploads/2023/09/AMC-Ticon-00683.jpg =&gt; 200 | https://africanmarketingconfederation.org/wp-content/uploads/2023/09/AMC-Ticon-00685.jpg =&gt; 200 | https://africanmarketingconfederation.org/wp-content/uploads/2023/09/AMC-Ticon-00687.jpg =&gt; 200 | https://africanmarketingconfederation.org/wp-content/uploads/2023/09/AMC-Ticon-00689.jpg =&gt; 200 | https://africanmarketingconfederation.org/wp-content/uploads/2023/09/AMC-Ticon-00690.jpg =&gt; 200 | https://africanmarketingconfederation.org/wp-content/uploads/2023/09/AMC-Ticon-00716.jpg =&gt; 200 | https://africanmarketingconfederation.org/wp-content/uploads/2023/09/AMC-Ticon-00721.jpg =&gt; 200 | https://africanmarketingconfederation.org/wp-content/uploads/2023/09/AMC-Ticon-00725.jpg =&gt; 200 | https://africanmarketingconfederation.org/wp-content/uploads/2023/09/AMC-Ticon-00733.jpg =&gt; 200 | https://africanmarketingconfederation.org/wp-content/uploads/2023/09/AMC-Ticon-00742.jpg =&gt; 200 | https://africanmarketingconfederation.org/wp-content/uploads/2023/09/AMC-Ticon-01122.jpg =&gt; 200 | https://africanmarketingconfederation.org/wp-content/uploads/2023/09/AMC-Ticon-01123.jpg =&gt; 200 | https://africanmarketingconfederation.org/wp-content/uploads/2023/09/AMC-Ticon-01127.jpg =&gt; 200 | https://africanmarketingconfederation.org/wp-content/uploads/2023/09/AMC-Ticon-01128.jpg =&gt; 200 | https://africanmarketingconfederation.org/wp-content/uploads/2023/09/AMC-Ticon-01178.jpg =&gt; 200 | https://africanmarketingconfederation.org/wp-content/uploads/2023/09/AMC-Ticon-01181.jpg =&gt; 200 | https://africanmarketingconfederation.org/wp-content/uploads/2023/09/AMC-Ticon-01183.jpg =&gt; 200 | https://africanmarketingconfederation.org/wp-content/uploads/2023/09/AMC-Ticon-01185.jpg =&gt; 200 | https://africanmarketingconfederation.org/wp-content/uploads/2023/09/AMC-Ticon-01188.jpg =&gt; 200 | https://africanmarketingconfederation.org/wp-content/uploads/2023/09/AMC-Ticon-01190.jpg =&gt; 200 | https://africanmarketingconfederation.org/wp-content/uploads/2023/09/AMC-Ticon-01191.jpg =&gt; 200 | https://africanmarketingconfederation.org/wp-content/uploads/2023/09/AMC-Ticon-01194.jpg =&gt; 200 | https://africanmarketingconfederation.org/wp-content/uploads/2023/09/AMC-Ticon-01195.jpg =&gt; 200 | https://africanmarketingconfederation.org/wp-content/uploads/2023/09/AMC-Ticon-01197.jpg =&gt; 200 | https://africanmarketingconfederation.org/</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</si>
  <si>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https://africanmarketingconfederation.org/amc-testimony-page-2024 =&gt; 200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https://africanmarketingconfederation.org/wp-content/uploads/2024/10/BART-AI-DESCRIPTOR-2.docx =&gt; 200 | https://africanmarketingconfederation.org/wp-content/uploads/2024/10/BRAND.pdf =&gt; 200 | https://africanmarketingconfederation.org/wp-content/uploads/2024/10/GUINNESS-MATCHDAY-DESCRIPTOR-3-1.docx =&gt; 200 | https://africanmarketingconfederation.org/wp-content/uploads/2024/10/MIONE-PRODUCT-LAUNCH-BEST-SOCIAL-MEDIA-CATEGORY.pdf =&gt; 200 | https://africanmarketingconfederation.org/wp-content/uploads/2024/10/SAVING-THE-WHITE-CAPS-DESCRIPTOR.docx =&gt; 200 | https://africanmarketingconfederation.org/wp-content/uploads/2024/10/SNSC1.pdf =&gt; 200 | https://africanmarketingconfederation.org/wp-content/uploads/2025/01/Destination-Zambia-Campaign-Pitch-Document-for-AMC-2024.pdf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</si>
  <si>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https://africanmarketingconfederation.org/wp-content/uploads/2023/11/AMC-2023-Uganda-Presentation-Final.pdf =&gt; 200 | https://africanmarketingconfederation.org/wp-content/uploads/2023/11/AMC-Leadership-Presentation-2023-Uganda-1.pdf =&gt; 200 | https://africanmarketingconfederation.org/wp-content/uploads/2023/11/AMC-Presentation-Nondumiso-Mabece.pptx =&gt; 200 | https://africanmarketingconfederation.org/wp-content/uploads/2023/11/AMC-Presentation-final-James-stutton_compressed.pdf =&gt; 200 | https://africanmarketingconfederation.org/wp-content/uploads/2023/11/Building-strong-pan-african-brands-NEW.pdf =&gt; 200 | https://africanmarketingconfederation.org/wp-content/uploads/2023/11/DGCEO-AMC-UMS-Presentation-_compressed.pdf =&gt; 200 | https://africanmarketingconfederation.org/wp-content/uploads/2023/11/Prof-Ebo-Final-PpT-Read-Only_compressed.pdf =&gt; 200 | https://africanmarketingconfederation.org/wp-content/uploads/2023/11/Winning-in-African-markets_sml.pdf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</si>
  <si>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https://africanmarketingconfederation.org/speakers-2025 =&gt; 200</t>
  </si>
  <si>
    <t>Detail</t>
  </si>
  <si>
    <t>http://www.africanmarketingconfederation.org/</t>
  </si>
  <si>
    <t>LinksDetail</t>
  </si>
  <si>
    <t>https://africanmarketingconfederation.org/amc-conference-2025</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</si>
  <si>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</si>
  <si>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</si>
  <si>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</si>
  <si>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</si>
  <si>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</si>
  <si>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</si>
  <si>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</si>
  <si>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</si>
  <si>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</si>
  <si>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</si>
  <si>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</si>
  <si>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https://africanmarketingconfederation.org/publications-2</t>
  </si>
  <si>
    <t>Strategic Marketing for Africa Magazine</t>
  </si>
  <si>
    <t>https://www.facebook.com/The-African-Marketing-Confederation-108980418182403</t>
  </si>
  <si>
    <t>https://www.linkedin.com/company/african-marketing-confederation</t>
  </si>
  <si>
    <t>https://twitter.com/connect_amc</t>
  </si>
  <si>
    <t>https://africanmarketingconfederation.org/privacy-policy</t>
  </si>
  <si>
    <t>© 2021 by African Marketing Confederation | Privacy Policy</t>
  </si>
  <si>
    <t>https://africanmarketingconfederation.org/amc-conference-2025-delegate-packages</t>
  </si>
  <si>
    <t>Return to Shop</t>
  </si>
  <si>
    <t>Continue Shopping</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</si>
  <si>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</si>
  <si>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</si>
  <si>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</si>
  <si>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</si>
  <si>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</si>
  <si>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</si>
  <si>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</si>
  <si>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</si>
  <si>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</si>
  <si>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</si>
  <si>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</si>
  <si>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</si>
  <si>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</si>
  <si>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</si>
  <si>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</si>
  <si>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</si>
  <si>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PUBLICATIONS</t>
  </si>
  <si>
    <t>https://africanmarketingconfederation.org/amc-conference-2026</t>
  </si>
  <si>
    <t>https://africanmarketingconfederation.org/contact-us</t>
  </si>
  <si>
    <t>CONTACT US</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</si>
  <si>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</si>
  <si>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</si>
  <si>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</si>
  <si>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</si>
  <si>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</si>
  <si>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</si>
  <si>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</si>
  <si>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 2026 by African Marketing Confederation | Privacy Policy</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</si>
  <si>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</si>
  <si>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</si>
  <si>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</si>
  <si>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</si>
  <si>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</si>
  <si>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</si>
  <si>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</si>
  <si>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</si>
  <si>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</si>
  <si>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</si>
  <si>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</si>
  <si>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</si>
  <si>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</si>
  <si>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</si>
  <si>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</si>
  <si>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</si>
  <si>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</si>
  <si>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</si>
  <si>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</si>
  <si>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</si>
  <si>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</si>
  <si>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</si>
  <si>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</si>
  <si>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2025 Conference Highlights</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</si>
  <si>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</si>
  <si>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</si>
  <si>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</si>
  <si>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</si>
  <si>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</si>
  <si>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</si>
  <si>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</si>
  <si>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</si>
  <si>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</si>
  <si>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</si>
  <si>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</si>
  <si>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</si>
  <si>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</si>
  <si>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</si>
  <si>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</si>
  <si>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</si>
  <si>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</si>
  <si>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</si>
  <si>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</si>
  <si>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</si>
  <si>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</si>
  <si>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</si>
  <si>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</si>
  <si>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</si>
  <si>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</si>
  <si>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</si>
  <si>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</si>
  <si>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</si>
  <si>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</si>
  <si>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</si>
  <si>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</si>
  <si>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</si>
  <si>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</si>
  <si>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</si>
  <si>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</si>
  <si>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</si>
  <si>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</si>
  <si>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</si>
  <si>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</si>
  <si>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</si>
  <si>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</si>
  <si>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</si>
  <si>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</si>
  <si>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</si>
  <si>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</si>
  <si>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</si>
  <si>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</si>
  <si>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</si>
  <si>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</si>
  <si>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</si>
  <si>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</si>
  <si>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</si>
  <si>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</si>
  <si>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</si>
  <si>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</si>
  <si>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</si>
  <si>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</si>
  <si>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</si>
  <si>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</si>
  <si>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</si>
  <si>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</si>
  <si>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</si>
  <si>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</si>
  <si>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</si>
  <si>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</si>
  <si>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</si>
  <si>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</si>
  <si>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</si>
  <si>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</si>
  <si>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</si>
  <si>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</si>
  <si>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</si>
  <si>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</si>
  <si>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</si>
  <si>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</si>
  <si>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</si>
  <si>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View Gallery</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</si>
  <si>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</si>
  <si>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</si>
  <si>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</si>
  <si>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</si>
  <si>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</si>
  <si>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</si>
  <si>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</si>
  <si>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</si>
  <si>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</si>
  <si>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</si>
  <si>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</si>
  <si>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</si>
  <si>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</si>
  <si>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</si>
  <si>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</si>
  <si>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Partners</t>
  </si>
  <si>
    <t>Gallery</t>
  </si>
  <si>
    <t>Enquire Now</t>
  </si>
  <si>
    <t>https://africanmarketingconfederation.org/book-now</t>
  </si>
  <si>
    <t>Privacy &amp; POPIA Policy</t>
  </si>
  <si>
    <t>https://africanmarketingconfederation.org/wp-content/uploads/2023/09/AMC-Tikon-9322.jpg</t>
  </si>
  <si>
    <t>https://africanmarketingconfederation.org/wp-content/uploads/2023/09/AMC-Tikon-9334.jpg</t>
  </si>
  <si>
    <t>https://africanmarketingconfederation.org/wp-content/uploads/2023/09/AMC-Tikon-9357.jpg</t>
  </si>
  <si>
    <t>https://africanmarketingconfederation.org/wp-content/uploads/2023/09/AMC-Tikon-9373.jpg</t>
  </si>
  <si>
    <t>https://africanmarketingconfederation.org/wp-content/uploads/2023/09/AMC-Tikon-9379.jpg</t>
  </si>
  <si>
    <t>https://africanmarketingconfederation.org/wp-content/uploads/2023/09/AMC-Tikon-9413.jpg</t>
  </si>
  <si>
    <t>https://africanmarketingconfederation.org/wp-content/uploads/2023/09/AMC-Tikon-9420.jpg</t>
  </si>
  <si>
    <t>https://africanmarketingconfederation.org/wp-content/uploads/2023/09/AMC-Tikon-9424.jpg</t>
  </si>
  <si>
    <t>https://africanmarketingconfederation.org/wp-content/uploads/2023/09/AMC-Tikon-9429.jpg</t>
  </si>
  <si>
    <t>https://africanmarketingconfederation.org/wp-content/uploads/2023/09/AMC-Tikon-9433.jpg</t>
  </si>
  <si>
    <t>https://africanmarketingconfederation.org/wp-content/uploads/2023/09/AMC-Tikon-9439.jpg</t>
  </si>
  <si>
    <t>https://africanmarketingconfederation.org/wp-content/uploads/2023/09/AMC-Tikon-9442.jpg</t>
  </si>
  <si>
    <t>https://africanmarketingconfederation.org/wp-content/uploads/2023/09/AMC-Tikon-9448.jpg</t>
  </si>
  <si>
    <t>https://africanmarketingconfederation.org/wp-content/uploads/2023/09/AMC-Tikon-9453.jpg</t>
  </si>
  <si>
    <t>https://africanmarketingconfederation.org/wp-content/uploads/2023/09/AMC-Tikon-9470.jpg</t>
  </si>
  <si>
    <t>https://africanmarketingconfederation.org/wp-content/uploads/2023/09/AMC-Tikon-9474.jpg</t>
  </si>
  <si>
    <t>https://africanmarketingconfederation.org/wp-content/uploads/2023/09/AMC-Ticon-02850.jpg</t>
  </si>
  <si>
    <t>https://africanmarketingconfederation.org/wp-content/uploads/2023/09/AMC-Ticon-02881.jpg</t>
  </si>
  <si>
    <t>https://africanmarketingconfederation.org/wp-content/uploads/2023/09/AMC-Ticon-02886.jpg</t>
  </si>
  <si>
    <t>https://africanmarketingconfederation.org/wp-content/uploads/2023/09/AMC-Ticon-02900.jpg</t>
  </si>
  <si>
    <t>https://africanmarketingconfederation.org/wp-content/uploads/2023/09/AMC-Ticon-02938.jpg</t>
  </si>
  <si>
    <t>https://africanmarketingconfederation.org/wp-content/uploads/2023/09/AMC-Ticon-02943.jpg</t>
  </si>
  <si>
    <t>https://africanmarketingconfederation.org/wp-content/uploads/2023/09/AMC-Ticon-02950.jpg</t>
  </si>
  <si>
    <t>https://africanmarketingconfederation.org/wp-content/uploads/2023/09/AMC-Ticon-02952.jpg</t>
  </si>
  <si>
    <t>https://africanmarketingconfederation.org/wp-content/uploads/2023/09/AMC-Ticon-9484.jpg</t>
  </si>
  <si>
    <t>https://africanmarketingconfederation.org/wp-content/uploads/2023/09/AMC-Ticon-9507.jpg</t>
  </si>
  <si>
    <t>https://africanmarketingconfederation.org/wp-content/uploads/2023/09/AMC-Ticon-9519.jpg</t>
  </si>
  <si>
    <t>https://africanmarketingconfederation.org/wp-content/uploads/2023/09/AMC-Ticon-9522.jpg</t>
  </si>
  <si>
    <t>https://africanmarketingconfederation.org/wp-content/uploads/2023/09/AMC-Ticon-9530.jpg</t>
  </si>
  <si>
    <t>https://africanmarketingconfederation.org/wp-content/uploads/2023/09/AMC-Ticon-9531.jpg</t>
  </si>
  <si>
    <t>https://africanmarketingconfederation.org/wp-content/uploads/2023/09/AMC-Ticon-9534.jpg</t>
  </si>
  <si>
    <t>https://africanmarketingconfederation.org/wp-content/uploads/2023/09/AMC-Ticon-9580.jpg</t>
  </si>
  <si>
    <t>https://africanmarketingconfederation.org/wp-content/uploads/2023/09/AMC-Ticon-9583.jpg</t>
  </si>
  <si>
    <t>https://africanmarketingconfederation.org/wp-content/uploads/2023/09/AMC-Ticon-9584.jpg</t>
  </si>
  <si>
    <t>https://africanmarketingconfederation.org/wp-content/uploads/2023/09/AMC-Ticon-9587.jpg</t>
  </si>
  <si>
    <t>https://africanmarketingconfederation.org/wp-content/uploads/2023/09/AMC-Ticon-9592.jpg</t>
  </si>
  <si>
    <t>https://africanmarketingconfederation.org/wp-content/uploads/2023/09/AMC-Ticon-9594.jpg</t>
  </si>
  <si>
    <t>https://africanmarketingconfederation.org/wp-content/uploads/2023/09/AMC-Ticon-9603.jpg</t>
  </si>
  <si>
    <t>https://africanmarketingconfederation.org/wp-content/uploads/2023/09/AMC-Ticon-9608.jpg</t>
  </si>
  <si>
    <t>https://africanmarketingconfederation.org/wp-content/uploads/2023/09/AMC-Ticon-9611.jpg</t>
  </si>
  <si>
    <t>https://africanmarketingconfederation.org/wp-content/uploads/2023/09/AMC-Ticon-9612.jpg</t>
  </si>
  <si>
    <t>https://africanmarketingconfederation.org/wp-content/uploads/2023/09/AMC-Ticon-9615.jpg</t>
  </si>
  <si>
    <t>https://africanmarketingconfederation.org/wp-content/uploads/2023/09/AMC-Ticon-9620.jpg</t>
  </si>
  <si>
    <t>https://africanmarketingconfederation.org/wp-content/uploads/2023/09/AMC-Ticon-9626.jpg</t>
  </si>
  <si>
    <t>https://africanmarketingconfederation.org/wp-content/uploads/2023/09/AMC-Ticon-9628.jpg</t>
  </si>
  <si>
    <t>https://africanmarketingconfederation.org/wp-content/uploads/2023/09/AMC-Ticon-9645.jpg</t>
  </si>
  <si>
    <t>https://africanmarketingconfederation.org/wp-content/uploads/2023/09/AMC-Ticon-9652.jpg</t>
  </si>
  <si>
    <t>https://africanmarketingconfederation.org/wp-content/uploads/2023/09/AMC-Ticon-9654.jpg</t>
  </si>
  <si>
    <t>https://africanmarketingconfederation.org/wp-content/uploads/2023/09/AMC-Ticon-9664.jpg</t>
  </si>
  <si>
    <t>https://africanmarketingconfederation.org/wp-content/uploads/2023/09/AMC-Ticon-9665.jpg</t>
  </si>
  <si>
    <t>https://africanmarketingconfederation.org/wp-content/uploads/2023/09/AMC-Ticon-9669.jpg</t>
  </si>
  <si>
    <t>https://africanmarketingconfederation.org/wp-content/uploads/2023/09/AMC-Ticon-9670.jpg</t>
  </si>
  <si>
    <t>https://africanmarketingconfederation.org/wp-content/uploads/2023/09/AMC-Ticon-9672.jpg</t>
  </si>
  <si>
    <t>https://africanmarketingconfederation.org/wp-content/uploads/2023/09/AMC-Ticon-9674.jpg</t>
  </si>
  <si>
    <t>https://africanmarketingconfederation.org/wp-content/uploads/2023/09/AMC-Ticon-9675.jpg</t>
  </si>
  <si>
    <t>https://africanmarketingconfederation.org/wp-content/uploads/2023/09/AMC-Ticon-9681.jpg</t>
  </si>
  <si>
    <t>https://africanmarketingconfederation.org/wp-content/uploads/2023/09/AMC-Ticon-9684.jpg</t>
  </si>
  <si>
    <t>https://africanmarketingconfederation.org/wp-content/uploads/2023/09/AMC-Ticon-9691.jpg</t>
  </si>
  <si>
    <t>https://africanmarketingconfederation.org/wp-content/uploads/2023/09/AMC-Ticon-9695.jpg</t>
  </si>
  <si>
    <t>https://africanmarketingconfederation.org/wp-content/uploads/2023/09/AMC-Ticon-9698.jpg</t>
  </si>
  <si>
    <t>https://africanmarketingconfederation.org/wp-content/uploads/2023/09/AMC-Tikon-08388.jpg</t>
  </si>
  <si>
    <t>https://africanmarketingconfederation.org/wp-content/uploads/2023/09/AMC-Tikon-08391.jpg</t>
  </si>
  <si>
    <t>https://africanmarketingconfederation.org/wp-content/uploads/2023/09/AMC-Tikon-08426.jpg</t>
  </si>
  <si>
    <t>https://africanmarketingconfederation.org/wp-content/uploads/2023/09/AMC-Tikon-08427.jpg</t>
  </si>
  <si>
    <t>https://africanmarketingconfederation.org/wp-content/uploads/2023/09/AMC-Tikon-08473.jpg</t>
  </si>
  <si>
    <t>https://africanmarketingconfederation.org/wp-content/uploads/2023/09/AMC-Tikon-08474.jpg</t>
  </si>
  <si>
    <t>https://africanmarketingconfederation.org/wp-content/uploads/2023/09/AMC-Tikon-08475.jpg</t>
  </si>
  <si>
    <t>https://africanmarketingconfederation.org/wp-content/uploads/2023/09/AMC-Tikon-08483.jpg</t>
  </si>
  <si>
    <t>https://africanmarketingconfederation.org/wp-content/uploads/2023/09/AMC-Tikon-08536.jpg</t>
  </si>
  <si>
    <t>https://africanmarketingconfederation.org/wp-content/uploads/2023/09/AMC-Tikon-08540.jpg</t>
  </si>
  <si>
    <t>https://africanmarketingconfederation.org/wp-content/uploads/2023/09/AMC-Tikon-08556.jpg</t>
  </si>
  <si>
    <t>https://africanmarketingconfederation.org/wp-content/uploads/2023/09/AMC-Tikon-9303.jpg</t>
  </si>
  <si>
    <t>https://africanmarketingconfederation.org/wp-content/uploads/2023/09/AMC-Tikon-9304.jpg</t>
  </si>
  <si>
    <t>https://africanmarketingconfederation.org/wp-content/uploads/2023/09/AMC-Tikon-9306.jpg</t>
  </si>
  <si>
    <t>https://africanmarketingconfederation.org/wp-content/uploads/2023/09/AMC-Tikon-9308.jpg</t>
  </si>
  <si>
    <t>https://africanmarketingconfederation.org/wp-content/uploads/2023/09/AMC-Tikon-9309.jpg</t>
  </si>
  <si>
    <t>https://africanmarketingconfederation.org/wp-content/uploads/2023/09/AMC-Tikon-9316.jpg</t>
  </si>
  <si>
    <t>https://africanmarketingconfederation.org/wp-content/uploads/2023/09/AMC-Tikon-9320.jpg</t>
  </si>
  <si>
    <t>https://africanmarketingconfederation.org/wp-content/uploads/2023/09/AMC-Ticon-09958.jpg</t>
  </si>
  <si>
    <t>https://africanmarketingconfederation.org/wp-content/uploads/2023/09/AMC-Ticon-09960.jpg</t>
  </si>
  <si>
    <t>https://africanmarketingconfederation.org/wp-content/uploads/2023/09/AMC-TICON-9960.jpg</t>
  </si>
  <si>
    <t>https://africanmarketingconfederation.org/wp-content/uploads/2023/09/AMC-Ticon-09961.jpg</t>
  </si>
  <si>
    <t>https://africanmarketingconfederation.org/wp-content/uploads/2023/09/AMC-TICON-9961.jpg</t>
  </si>
  <si>
    <t>https://africanmarketingconfederation.org/wp-content/uploads/2023/09/AMC-Ticon-09962.jpg</t>
  </si>
  <si>
    <t>https://africanmarketingconfederation.org/wp-content/uploads/2023/09/AMC-Ticon-09963.jpg</t>
  </si>
  <si>
    <t>https://africanmarketingconfederation.org/wp-content/uploads/2023/09/AMC-TICON-9963.jpg</t>
  </si>
  <si>
    <t>https://africanmarketingconfederation.org/wp-content/uploads/2023/09/AMC-TICON-9964.jpg</t>
  </si>
  <si>
    <t>https://africanmarketingconfederation.org/wp-content/uploads/2023/09/AMC-Ticon-09965.jpg</t>
  </si>
  <si>
    <t>https://africanmarketingconfederation.org/wp-content/uploads/2023/09/AMC-TICON-9965.jpg</t>
  </si>
  <si>
    <t>https://africanmarketingconfederation.org/wp-content/uploads/2023/09/AMC-Ticon-09968.jpg</t>
  </si>
  <si>
    <t>https://africanmarketingconfederation.org/wp-content/uploads/2023/09/AMC-TICON-9968.jpg</t>
  </si>
  <si>
    <t>https://africanmarketingconfederation.org/wp-content/uploads/2023/09/AMC-TICON-9969.jpg</t>
  </si>
  <si>
    <t>https://africanmarketingconfederation.org/wp-content/uploads/2023/09/AMC-Ticon-09970.jpg</t>
  </si>
  <si>
    <t>https://africanmarketingconfederation.org/wp-content/uploads/2023/09/AMC-TICON-9970.jpg</t>
  </si>
  <si>
    <t>https://africanmarketingconfederation.org/wp-content/uploads/2023/09/AMC-Ticon-09971.jpg</t>
  </si>
  <si>
    <t>https://africanmarketingconfederation.org/wp-content/uploads/2023/09/AMC-Ticon-09973.jpg</t>
  </si>
  <si>
    <t>https://africanmarketingconfederation.org/wp-content/uploads/2023/09/AMC-Ticon-09974.jpg</t>
  </si>
  <si>
    <t>https://africanmarketingconfederation.org/wp-content/uploads/2023/09/AMC-TICON-9977.jpg</t>
  </si>
  <si>
    <t>https://africanmarketingconfederation.org/wp-content/uploads/2023/09/AMC-TICON-9979.jpg</t>
  </si>
  <si>
    <t>https://africanmarketingconfederation.org/wp-content/uploads/2023/09/AMC-TICON-9984.jpg</t>
  </si>
  <si>
    <t>https://africanmarketingconfederation.org/wp-content/uploads/2023/09/AMC-TICON-9999.jpg</t>
  </si>
  <si>
    <t>https://africanmarketingconfederation.org/wp-content/uploads/2023/09/AMC-TICON-2.jpg</t>
  </si>
  <si>
    <t>https://africanmarketingconfederation.org/wp-content/uploads/2023/09/AMC-TICON-2-2.jpg</t>
  </si>
  <si>
    <t>https://africanmarketingconfederation.org/wp-content/uploads/2023/09/AMC-TICON-2-3.jpg</t>
  </si>
  <si>
    <t>https://africanmarketingconfederation.org/wp-content/uploads/2023/09/AMC-TICON-0008.jpg</t>
  </si>
  <si>
    <t>https://africanmarketingconfederation.org/wp-content/uploads/2023/09/AMC-TICON-0013.jpg</t>
  </si>
  <si>
    <t>https://africanmarketingconfederation.org/wp-content/uploads/2023/09/AMC-TICON-0017.jpg</t>
  </si>
  <si>
    <t>https://africanmarketingconfederation.org/wp-content/uploads/2023/09/AMC-TICON-0033.jpg</t>
  </si>
  <si>
    <t>https://africanmarketingconfederation.org/wp-content/uploads/2023/09/AMC-TICON-0034.jpg</t>
  </si>
  <si>
    <t>https://africanmarketingconfederation.org/wp-content/uploads/2023/09/AMC-TICON-0047.jpg</t>
  </si>
  <si>
    <t>https://africanmarketingconfederation.org/wp-content/uploads/2023/09/AMC-TICON-0048.jpg</t>
  </si>
  <si>
    <t>https://africanmarketingconfederation.org/wp-content/uploads/2023/09/AMC-TICON-0050.jpg</t>
  </si>
  <si>
    <t>https://africanmarketingconfederation.org/wp-content/uploads/2023/09/AMC-TICON-0051.jpg</t>
  </si>
  <si>
    <t>https://africanmarketingconfederation.org/wp-content/uploads/2023/09/AMC-TICON-0052.jpg</t>
  </si>
  <si>
    <t>https://africanmarketingconfederation.org/wp-content/uploads/2023/09/AMC-TICON-0060.jpg</t>
  </si>
  <si>
    <t>https://africanmarketingconfederation.org/wp-content/uploads/2023/09/AMC-TICON-0065.jpg</t>
  </si>
  <si>
    <t>https://africanmarketingconfederation.org/wp-content/uploads/2023/09/AMC-TICON-0078.jpg</t>
  </si>
  <si>
    <t>https://africanmarketingconfederation.org/wp-content/uploads/2023/09/AMC-TICON-0136.jpg</t>
  </si>
  <si>
    <t>https://africanmarketingconfederation.org/wp-content/uploads/2023/09/AMC-TICON-0150.jpg</t>
  </si>
  <si>
    <t>https://africanmarketingconfederation.org/wp-content/uploads/2023/09/AMC-TICON-0151.jpg</t>
  </si>
  <si>
    <t>https://africanmarketingconfederation.org/wp-content/uploads/2023/09/AMC-TICON-0152.jpg</t>
  </si>
  <si>
    <t>https://africanmarketingconfederation.org/wp-content/uploads/2023/09/AMC-TICON-0155.jpg</t>
  </si>
  <si>
    <t>https://africanmarketingconfederation.org/wp-content/uploads/2023/09/AMC-TICON-0156.jpg</t>
  </si>
  <si>
    <t>https://africanmarketingconfederation.org/wp-content/uploads/2023/09/AMC-TICON-0174.jpg</t>
  </si>
  <si>
    <t>https://africanmarketingconfederation.org/wp-content/uploads/2023/09/AMC-TICON-0185.jpg</t>
  </si>
  <si>
    <t>https://africanmarketingconfederation.org/wp-content/uploads/2023/09/AMC-TICON-0186.jpg</t>
  </si>
  <si>
    <t>https://africanmarketingconfederation.org/wp-content/uploads/2023/09/AMC-TICON-0201.jpg</t>
  </si>
  <si>
    <t>https://africanmarketingconfederation.org/wp-content/uploads/2023/09/AMC-TICON-0202.jpg</t>
  </si>
  <si>
    <t>https://africanmarketingconfederation.org/wp-content/uploads/2023/09/AMC-TICON-0205.jpg</t>
  </si>
  <si>
    <t>https://africanmarketingconfederation.org/wp-content/uploads/2023/09/AMC-TICON-0206.jpg</t>
  </si>
  <si>
    <t>https://africanmarketingconfederation.org/wp-content/uploads/2023/09/AMC-TICON-0209.jpg</t>
  </si>
  <si>
    <t>https://africanmarketingconfederation.org/wp-content/uploads/2023/09/AMC-TICON-0213.jpg</t>
  </si>
  <si>
    <t>https://africanmarketingconfederation.org/wp-content/uploads/2023/09/AMC-TICON-0218.jpg</t>
  </si>
  <si>
    <t>https://africanmarketingconfederation.org/wp-content/uploads/2023/09/AMC-TICON-9709.jpg</t>
  </si>
  <si>
    <t>https://africanmarketingconfederation.org/wp-content/uploads/2023/09/AMC-TICON-9710.jpg</t>
  </si>
  <si>
    <t>https://africanmarketingconfederation.org/wp-content/uploads/2023/09/AMC-TICON-9716.jpg</t>
  </si>
  <si>
    <t>https://africanmarketingconfederation.org/wp-content/uploads/2023/09/AMC-TICON-9722.jpg</t>
  </si>
  <si>
    <t>https://africanmarketingconfederation.org/wp-content/uploads/2023/09/AMC-TICON-9729.jpg</t>
  </si>
  <si>
    <t>https://africanmarketingconfederation.org/wp-content/uploads/2023/09/AMC-TICON-9730.jpg</t>
  </si>
  <si>
    <t>https://africanmarketingconfederation.org/wp-content/uploads/2023/09/AMC-TICON-9735.jpg</t>
  </si>
  <si>
    <t>https://africanmarketingconfederation.org/wp-content/uploads/2023/09/AMC-TICON-9742.jpg</t>
  </si>
  <si>
    <t>https://africanmarketingconfederation.org/wp-content/uploads/2023/09/AMC-TICON-9743.jpg</t>
  </si>
  <si>
    <t>https://africanmarketingconfederation.org/wp-content/uploads/2023/09/AMC-TICON-9745.jpg</t>
  </si>
  <si>
    <t>https://africanmarketingconfederation.org/wp-content/uploads/2023/09/AMC-TICON-9746.jpg</t>
  </si>
  <si>
    <t>https://africanmarketingconfederation.org/wp-content/uploads/2023/09/AMC-TICON-9749.jpg</t>
  </si>
  <si>
    <t>https://africanmarketingconfederation.org/wp-content/uploads/2023/09/AMC-TICON-9757.jpg</t>
  </si>
  <si>
    <t>https://africanmarketingconfederation.org/wp-content/uploads/2023/09/AMC-TICON-9760.jpg</t>
  </si>
  <si>
    <t>https://africanmarketingconfederation.org/wp-content/uploads/2023/09/AMC-TICON-9768.jpg</t>
  </si>
  <si>
    <t>https://africanmarketingconfederation.org/wp-content/uploads/2023/09/AMC-TICON-9779.jpg</t>
  </si>
  <si>
    <t>https://africanmarketingconfederation.org/wp-content/uploads/2023/09/AMC-TICON-9793.jpg</t>
  </si>
  <si>
    <t>https://africanmarketingconfederation.org/wp-content/uploads/2023/09/AMC-TICON-9794.jpg</t>
  </si>
  <si>
    <t>https://africanmarketingconfederation.org/wp-content/uploads/2023/09/AMC-TICON-9796.jpg</t>
  </si>
  <si>
    <t>https://africanmarketingconfederation.org/wp-content/uploads/2023/09/AMC-TICON-9797.jpg</t>
  </si>
  <si>
    <t>https://africanmarketingconfederation.org/wp-content/uploads/2023/09/AMC-TICON-9801.jpg</t>
  </si>
  <si>
    <t>https://africanmarketingconfederation.org/wp-content/uploads/2023/09/AMC-TICON-9802.jpg</t>
  </si>
  <si>
    <t>https://africanmarketingconfederation.org/wp-content/uploads/2023/09/AMC-TICON-9805.jpg</t>
  </si>
  <si>
    <t>https://africanmarketingconfederation.org/wp-content/uploads/2023/09/AMC-TICON-9806.jpg</t>
  </si>
  <si>
    <t>https://africanmarketingconfederation.org/wp-content/uploads/2023/09/AMC-TICON-9808.jpg</t>
  </si>
  <si>
    <t>https://africanmarketingconfederation.org/wp-content/uploads/2023/09/AMC-TICON-9809.jpg</t>
  </si>
  <si>
    <t>https://africanmarketingconfederation.org/wp-content/uploads/2023/09/AMC-TICON-9819.jpg</t>
  </si>
  <si>
    <t>https://africanmarketingconfederation.org/wp-content/uploads/2023/09/AMC-TICON-9822.jpg</t>
  </si>
  <si>
    <t>https://africanmarketingconfederation.org/wp-content/uploads/2023/09/AMC-TICON-9823.jpg</t>
  </si>
  <si>
    <t>https://africanmarketingconfederation.org/wp-content/uploads/2023/09/AMC-TICON-9825.jpg</t>
  </si>
  <si>
    <t>https://africanmarketingconfederation.org/wp-content/uploads/2023/09/AMC-TICON-9826.jpg</t>
  </si>
  <si>
    <t>https://africanmarketingconfederation.org/wp-content/uploads/2023/09/AMC-TICON-9835.jpg</t>
  </si>
  <si>
    <t>https://africanmarketingconfederation.org/wp-content/uploads/2023/09/AMC-TICON-9838.jpg</t>
  </si>
  <si>
    <t>https://africanmarketingconfederation.org/wp-content/uploads/2023/09/AMC-TICON-9841.jpg</t>
  </si>
  <si>
    <t>https://africanmarketingconfederation.org/wp-content/uploads/2023/09/AMC-TICON-9842.jpg</t>
  </si>
  <si>
    <t>https://africanmarketingconfederation.org/wp-content/uploads/2023/09/AMC-TICON-9843.jpg</t>
  </si>
  <si>
    <t>https://africanmarketingconfederation.org/wp-content/uploads/2023/09/AMC-TICON-9846.jpg</t>
  </si>
  <si>
    <t>https://africanmarketingconfederation.org/wp-content/uploads/2023/09/AMC-TICON-9868.jpg</t>
  </si>
  <si>
    <t>https://africanmarketingconfederation.org/wp-content/uploads/2023/09/AMC-TICON-9871.jpg</t>
  </si>
  <si>
    <t>https://africanmarketingconfederation.org/wp-content/uploads/2023/09/AMC-TICON-9872.jpg</t>
  </si>
  <si>
    <t>https://africanmarketingconfederation.org/wp-content/uploads/2023/09/AMC-TICON-9873.jpg</t>
  </si>
  <si>
    <t>https://africanmarketingconfederation.org/wp-content/uploads/2023/09/AMC-TICON-9883.jpg</t>
  </si>
  <si>
    <t>https://africanmarketingconfederation.org/wp-content/uploads/2023/09/AMC-TICON-9887.jpg</t>
  </si>
  <si>
    <t>https://africanmarketingconfederation.org/wp-content/uploads/2023/09/AMC-TICON-9888.jpg</t>
  </si>
  <si>
    <t>https://africanmarketingconfederation.org/wp-content/uploads/2023/09/AMC-TICON-9890.jpg</t>
  </si>
  <si>
    <t>https://africanmarketingconfederation.org/wp-content/uploads/2023/09/AMC-TICON-9891.jpg</t>
  </si>
  <si>
    <t>https://africanmarketingconfederation.org/wp-content/uploads/2023/09/AMC-TICON-9892.jpg</t>
  </si>
  <si>
    <t>https://africanmarketingconfederation.org/wp-content/uploads/2023/09/AMC-TICON-9898.jpg</t>
  </si>
  <si>
    <t>https://africanmarketingconfederation.org/wp-content/uploads/2023/09/AMC-TICON-9899.jpg</t>
  </si>
  <si>
    <t>https://africanmarketingconfederation.org/wp-content/uploads/2023/09/AMC-TICON-9905.jpg</t>
  </si>
  <si>
    <t>https://africanmarketingconfederation.org/wp-content/uploads/2023/09/AMC-TICON-9910.jpg</t>
  </si>
  <si>
    <t>https://africanmarketingconfederation.org/wp-content/uploads/2023/09/AMC-TICON-9911.jpg</t>
  </si>
  <si>
    <t>https://africanmarketingconfederation.org/wp-content/uploads/2023/09/AMC-TICON-9912.jpg</t>
  </si>
  <si>
    <t>https://africanmarketingconfederation.org/wp-content/uploads/2023/09/AMC-TICON-9913.jpg</t>
  </si>
  <si>
    <t>https://africanmarketingconfederation.org/wp-content/uploads/2023/09/AMC-TICON-9914.jpg</t>
  </si>
  <si>
    <t>https://africanmarketingconfederation.org/wp-content/uploads/2023/09/AMC-TICON-9935.jpg</t>
  </si>
  <si>
    <t>https://africanmarketingconfederation.org/wp-content/uploads/2023/09/AMC-TICON-9941.jpg</t>
  </si>
  <si>
    <t>https://africanmarketingconfederation.org/wp-content/uploads/2023/09/AMC-TICON-9942.jpg</t>
  </si>
  <si>
    <t>https://africanmarketingconfederation.org/wp-content/uploads/2023/09/AMC-TICON-9948.jpg</t>
  </si>
  <si>
    <t>https://africanmarketingconfederation.org/wp-content/uploads/2023/09/AMC-Ticon-09949.jpg</t>
  </si>
  <si>
    <t>https://africanmarketingconfederation.org/wp-content/uploads/2023/09/AMC-Ticon-09950.jpg</t>
  </si>
  <si>
    <t>https://africanmarketingconfederation.org/wp-content/uploads/2023/09/AMC-Ticon-09951.jpg</t>
  </si>
  <si>
    <t>https://africanmarketingconfederation.org/wp-content/uploads/2023/09/AMC-Ticon-09952.jpg</t>
  </si>
  <si>
    <t>https://africanmarketingconfederation.org/wp-content/uploads/2023/09/AMC-Ticon-09954.jpg</t>
  </si>
  <si>
    <t>https://africanmarketingconfederation.org/wp-content/uploads/2023/09/AMC-Ticon-09956.jpg</t>
  </si>
  <si>
    <t>https://africanmarketingconfederation.org/wp-content/uploads/2023/09/AMC-Ticon-09957.jpg</t>
  </si>
  <si>
    <t>https://africanmarketingconfederation.org/wp-content/uploads/2023/09/AMC-Ticon-00497.jpg</t>
  </si>
  <si>
    <t>https://africanmarketingconfederation.org/wp-content/uploads/2023/09/AMC-Ticon-00503.jpg</t>
  </si>
  <si>
    <t>https://africanmarketingconfederation.org/wp-content/uploads/2023/09/AMC-Ticon-00515.jpg</t>
  </si>
  <si>
    <t>https://africanmarketingconfederation.org/wp-content/uploads/2023/09/AMC-Ticon-00520.jpg</t>
  </si>
  <si>
    <t>https://africanmarketingconfederation.org/wp-content/uploads/2023/09/AMC-Ticon-00521.jpg</t>
  </si>
  <si>
    <t>https://africanmarketingconfederation.org/wp-content/uploads/2023/09/AMC-Ticon-00524.jpg</t>
  </si>
  <si>
    <t>https://africanmarketingconfederation.org/wp-content/uploads/2023/09/AMC-Ticon-00526.jpg</t>
  </si>
  <si>
    <t>https://africanmarketingconfederation.org/wp-content/uploads/2023/09/AMC-Ticon-00529.jpg</t>
  </si>
  <si>
    <t>https://africanmarketingconfederation.org/wp-content/uploads/2023/09/AMC-Ticon-00534.jpg</t>
  </si>
  <si>
    <t>https://africanmarketingconfederation.org/wp-content/uploads/2023/09/AMC-Ticon-00536.jpg</t>
  </si>
  <si>
    <t>https://africanmarketingconfederation.org/wp-content/uploads/2023/09/AMC-Ticon-00576.jpg</t>
  </si>
  <si>
    <t>https://africanmarketingconfederation.org/wp-content/uploads/2023/09/AMC-Ticon-00588.jpg</t>
  </si>
  <si>
    <t>https://africanmarketingconfederation.org/wp-content/uploads/2023/09/AMC-Ticon-00589.jpg</t>
  </si>
  <si>
    <t>https://africanmarketingconfederation.org/wp-content/uploads/2023/09/AMC-Ticon-00590.jpg</t>
  </si>
  <si>
    <t>https://africanmarketingconfederation.org/wp-content/uploads/2023/09/AMC-Ticon-00592.jpg</t>
  </si>
  <si>
    <t>https://africanmarketingconfederation.org/wp-content/uploads/2023/09/AMC-Ticon-00593.jpg</t>
  </si>
  <si>
    <t>https://africanmarketingconfederation.org/wp-content/uploads/2023/09/AMC-Ticon-00594.jpg</t>
  </si>
  <si>
    <t>https://africanmarketingconfederation.org/wp-content/uploads/2023/09/AMC-Ticon-00602.jpg</t>
  </si>
  <si>
    <t>https://africanmarketingconfederation.org/wp-content/uploads/2023/09/AMC-Ticon-00605.jpg</t>
  </si>
  <si>
    <t>https://africanmarketingconfederation.org/wp-content/uploads/2023/09/AMC-Ticon-00608.jpg</t>
  </si>
  <si>
    <t>https://africanmarketingconfederation.org/wp-content/uploads/2023/09/AMC-Ticon-00642.jpg</t>
  </si>
  <si>
    <t>https://africanmarketingconfederation.org/wp-content/uploads/2023/09/AMC-Ticon-00646.jpg</t>
  </si>
  <si>
    <t>https://africanmarketingconfederation.org/wp-content/uploads/2023/09/AMC-Ticon-00648.jpg</t>
  </si>
  <si>
    <t>https://africanmarketingconfederation.org/wp-content/uploads/2023/09/AMC-Ticon-00654.jpg</t>
  </si>
  <si>
    <t>https://africanmarketingconfederation.org/wp-content/uploads/2023/09/AMC-Ticon-00655.jpg</t>
  </si>
  <si>
    <t>https://africanmarketingconfederation.org/wp-content/uploads/2023/09/AMC-Ticon-00659.jpg</t>
  </si>
  <si>
    <t>https://africanmarketingconfederation.org/wp-content/uploads/2023/09/AMC-Ticon-00664.jpg</t>
  </si>
  <si>
    <t>https://africanmarketingconfederation.org/wp-content/uploads/2023/09/AMC-Ticon-00677.jpg</t>
  </si>
  <si>
    <t>https://africanmarketingconfederation.org/wp-content/uploads/2023/09/AMC-Ticon-00681.jpg</t>
  </si>
  <si>
    <t>https://africanmarketingconfederation.org/wp-content/uploads/2023/09/AMC-Ticon-00683.jpg</t>
  </si>
  <si>
    <t>https://africanmarketingconfederation.org/wp-content/uploads/2023/09/AMC-Ticon-00685.jpg</t>
  </si>
  <si>
    <t>https://africanmarketingconfederation.org/wp-content/uploads/2023/09/AMC-Ticon-00687.jpg</t>
  </si>
  <si>
    <t>https://africanmarketingconfederation.org/wp-content/uploads/2023/09/AMC-Ticon-00689.jpg</t>
  </si>
  <si>
    <t>https://africanmarketingconfederation.org/wp-content/uploads/2023/09/AMC-Ticon-00690.jpg</t>
  </si>
  <si>
    <t>https://africanmarketingconfederation.org/wp-content/uploads/2023/09/AMC-Ticon-00716.jpg</t>
  </si>
  <si>
    <t>https://africanmarketingconfederation.org/wp-content/uploads/2023/09/AMC-Ticon-00721.jpg</t>
  </si>
  <si>
    <t>https://africanmarketingconfederation.org/wp-content/uploads/2023/09/AMC-Ticon-00725.jpg</t>
  </si>
  <si>
    <t>https://africanmarketingconfederation.org/wp-content/uploads/2023/09/AMC-Ticon-00733.jpg</t>
  </si>
  <si>
    <t>https://africanmarketingconfederation.org/wp-content/uploads/2023/09/AMC-TICON-0794.jpg</t>
  </si>
  <si>
    <t>https://africanmarketingconfederation.org/wp-content/uploads/2023/09/AMC-TICON-0795.jpg</t>
  </si>
  <si>
    <t>https://africanmarketingconfederation.org/wp-content/uploads/2023/09/AMC-TICON-0801.jpg</t>
  </si>
  <si>
    <t>https://africanmarketingconfederation.org/wp-content/uploads/2023/09/AMC-TICON-0803.jpg</t>
  </si>
  <si>
    <t>https://africanmarketingconfederation.org/wp-content/uploads/2023/09/AMC-TICON-0804.jpg</t>
  </si>
  <si>
    <t>https://africanmarketingconfederation.org/wp-content/uploads/2023/09/AMC-TICON-0806.jpg</t>
  </si>
  <si>
    <t>https://africanmarketingconfederation.org/wp-content/uploads/2023/09/AMC-TICON-0808.jpg</t>
  </si>
  <si>
    <t>https://africanmarketingconfederation.org/wp-content/uploads/2023/09/AMC-TICON-0812.jpg</t>
  </si>
  <si>
    <t>https://africanmarketingconfederation.org/wp-content/uploads/2023/09/AMC-TICON-0818.jpg</t>
  </si>
  <si>
    <t>https://africanmarketingconfederation.org/wp-content/uploads/2023/09/AMC-TICON-0819.jpg</t>
  </si>
  <si>
    <t>https://africanmarketingconfederation.org/wp-content/uploads/2023/09/AMC-TICON-0821.jpg</t>
  </si>
  <si>
    <t>https://africanmarketingconfederation.org/wp-content/uploads/2023/09/AMC-TICON-0822.jpg</t>
  </si>
  <si>
    <t>https://africanmarketingconfederation.org/wp-content/uploads/2023/09/AMC-TICON-0825.jpg</t>
  </si>
  <si>
    <t>https://africanmarketingconfederation.org/wp-content/uploads/2023/09/AMC-TICON-0827.jpg</t>
  </si>
  <si>
    <t>https://africanmarketingconfederation.org/wp-content/uploads/2023/09/AMC-TICON-0840.jpg</t>
  </si>
  <si>
    <t>https://africanmarketingconfederation.org/wp-content/uploads/2023/09/AMC-TICON-0842.jpg</t>
  </si>
  <si>
    <t>https://africanmarketingconfederation.org/wp-content/uploads/2023/09/AMC-TICON-0843.jpg</t>
  </si>
  <si>
    <t>https://africanmarketingconfederation.org/wp-content/uploads/2023/09/AMC-TICON-0844.jpg</t>
  </si>
  <si>
    <t>https://africanmarketingconfederation.org/wp-content/uploads/2023/09/AMC-TICON-0845.jpg</t>
  </si>
  <si>
    <t>https://africanmarketingconfederation.org/wp-content/uploads/2023/09/AMC-TICON-0850.jpg</t>
  </si>
  <si>
    <t>https://africanmarketingconfederation.org/wp-content/uploads/2023/09/AMC-TICON-0855.jpg</t>
  </si>
  <si>
    <t>https://africanmarketingconfederation.org/wp-content/uploads/2023/09/AMC-TICON-0857.jpg</t>
  </si>
  <si>
    <t>https://africanmarketingconfederation.org/wp-content/uploads/2023/09/AMC-TICON-0865.jpg</t>
  </si>
  <si>
    <t>https://africanmarketingconfederation.org/wp-content/uploads/2023/09/AMC-TICON-0874.jpg</t>
  </si>
  <si>
    <t>https://africanmarketingconfederation.org/wp-content/uploads/2023/09/AMC-TICON-0880.jpg</t>
  </si>
  <si>
    <t>https://africanmarketingconfederation.org/wp-content/uploads/2023/09/AMC-TICON-0881.jpg</t>
  </si>
  <si>
    <t>https://africanmarketingconfederation.org/wp-content/uploads/2023/09/AMC-TICON-0884.jpg</t>
  </si>
  <si>
    <t>https://africanmarketingconfederation.org/wp-content/uploads/2023/09/AMC-TICON-0886.jpg</t>
  </si>
  <si>
    <t>https://africanmarketingconfederation.org/wp-content/uploads/2023/09/AMC-TICON-0892.jpg</t>
  </si>
  <si>
    <t>https://africanmarketingconfederation.org/wp-content/uploads/2023/09/AMC-TICON-0899.jpg</t>
  </si>
  <si>
    <t>https://africanmarketingconfederation.org/wp-content/uploads/2023/09/AMC-TICON-0900.jpg</t>
  </si>
  <si>
    <t>https://africanmarketingconfederation.org/wp-content/uploads/2023/09/AMC-TICON-1107.jpg</t>
  </si>
  <si>
    <t>https://africanmarketingconfederation.org/wp-content/uploads/2023/09/AMC-TICON-1114.jpg</t>
  </si>
  <si>
    <t>https://africanmarketingconfederation.org/wp-content/uploads/2023/09/AMC-TICON-1118.jpg</t>
  </si>
  <si>
    <t>https://africanmarketingconfederation.org/wp-content/uploads/2023/09/AMC-TICON-1121.jpg</t>
  </si>
  <si>
    <t>https://africanmarketingconfederation.org/wp-content/uploads/2023/09/AMC-Ticon-01122.jpg</t>
  </si>
  <si>
    <t>https://africanmarketingconfederation.org/wp-content/uploads/2023/09/AMC-Ticon-01123.jpg</t>
  </si>
  <si>
    <t>https://africanmarketingconfederation.org/wp-content/uploads/2023/09/AMC-Ticon-01127.jpg</t>
  </si>
  <si>
    <t>https://africanmarketingconfederation.org/wp-content/uploads/2023/09/AMC-TICON-1128.jpg</t>
  </si>
  <si>
    <t>https://africanmarketingconfederation.org/wp-content/uploads/2023/09/AMC-TICON-1131.jpg</t>
  </si>
  <si>
    <t>https://africanmarketingconfederation.org/wp-content/uploads/2023/09/AMC-TICON-1132.jpg</t>
  </si>
  <si>
    <t>https://africanmarketingconfederation.org/wp-content/uploads/2023/09/AMC-TICON-1133.jpg</t>
  </si>
  <si>
    <t>https://africanmarketingconfederation.org/wp-content/uploads/2023/09/AMC-TICON-1136.jpg</t>
  </si>
  <si>
    <t>https://africanmarketingconfederation.org/wp-content/uploads/2023/09/AMC-TICON-1137.jpg</t>
  </si>
  <si>
    <t>https://africanmarketingconfederation.org/wp-content/uploads/2023/09/AMC-TICON-1138.jpg</t>
  </si>
  <si>
    <t>https://africanmarketingconfederation.org/wp-content/uploads/2023/09/AMC-TICON-1152.jpg</t>
  </si>
  <si>
    <t>https://africanmarketingconfederation.org/wp-content/uploads/2023/09/AMC-TICON-1153.jpg</t>
  </si>
  <si>
    <t>https://africanmarketingconfederation.org/wp-content/uploads/2023/09/AMC-TICON-1154.jpg</t>
  </si>
  <si>
    <t>https://africanmarketingconfederation.org/wp-content/uploads/2023/09/AMC-TICON-1156.jpg</t>
  </si>
  <si>
    <t>https://africanmarketingconfederation.org/wp-content/uploads/2023/09/AMC-TICON-1161.jpg</t>
  </si>
  <si>
    <t>https://africanmarketingconfederation.org/wp-content/uploads/2023/09/AMC-TICON-1164.jpg</t>
  </si>
  <si>
    <t>https://africanmarketingconfederation.org/wp-content/uploads/2023/09/AMC-TICON-1166.jpg</t>
  </si>
  <si>
    <t>https://africanmarketingconfederation.org/wp-content/uploads/2023/09/AMC-TICON-1174.jpg</t>
  </si>
  <si>
    <t>https://africanmarketingconfederation.org/wp-content/uploads/2023/09/AMC-TICON-1177.jpg</t>
  </si>
  <si>
    <t>https://africanmarketingconfederation.org/wp-content/uploads/2023/09/AMC-TICON-1179.jpg</t>
  </si>
  <si>
    <t>https://africanmarketingconfederation.org/wp-content/uploads/2023/09/AMC-TICON-1180.jpg</t>
  </si>
  <si>
    <t>https://africanmarketingconfederation.org/wp-content/uploads/2023/09/AMC-TICON-1180-2.jpg</t>
  </si>
  <si>
    <t>https://africanmarketingconfederation.org/wp-content/uploads/2023/09/AMC-TICON-1181.jpg</t>
  </si>
  <si>
    <t>https://africanmarketingconfederation.org/wp-content/uploads/2023/09/AMC-TICON-1187.jpg</t>
  </si>
  <si>
    <t>https://africanmarketingconfederation.org/wp-content/uploads/2023/09/AMC-Ticon-02850-1.jpg</t>
  </si>
  <si>
    <t>https://africanmarketingconfederation.org/wp-content/uploads/2023/09/AMC-Ticon-02881-1.jpg</t>
  </si>
  <si>
    <t>https://africanmarketingconfederation.org/wp-content/uploads/2023/09/AMC-Ticon-02886-1.jpg</t>
  </si>
  <si>
    <t>https://africanmarketingconfederation.org/wp-content/uploads/2023/09/AMC-Ticon-02900-1.jpg</t>
  </si>
  <si>
    <t>https://africanmarketingconfederation.org/wp-content/uploads/2023/09/AMC-Ticon-02938-1.jpg</t>
  </si>
  <si>
    <t>https://africanmarketingconfederation.org/wp-content/uploads/2023/09/AMC-Ticon-02943-1.jpg</t>
  </si>
  <si>
    <t>https://africanmarketingconfederation.org/wp-content/uploads/2023/09/AMC-Ticon-02952-1.jpg</t>
  </si>
  <si>
    <t>https://africanmarketingconfederation.org/wp-content/uploads/2023/09/AMC-Ticon-03021.jpg</t>
  </si>
  <si>
    <t>https://africanmarketingconfederation.org/wp-content/uploads/2023/09/AMC-Ticon-03023.jpg</t>
  </si>
  <si>
    <t>https://africanmarketingconfederation.org/wp-content/uploads/2023/09/AMC-Ticon-03025.jpg</t>
  </si>
  <si>
    <t>https://africanmarketingconfederation.org/wp-content/uploads/2023/09/AMC-Ticon-03029.jpg</t>
  </si>
  <si>
    <t>https://africanmarketingconfederation.org/wp-content/uploads/2023/09/AMC-Ticon-03033.jpg</t>
  </si>
  <si>
    <t>https://africanmarketingconfederation.org/wp-content/uploads/2023/09/AMC-Ticon-03034.jpg</t>
  </si>
  <si>
    <t>https://africanmarketingconfederation.org/wp-content/uploads/2023/09/AMC-Ticon-03040.jpg</t>
  </si>
  <si>
    <t>https://africanmarketingconfederation.org/wp-content/uploads/2023/09/AMC-Ticon-03042.jpg</t>
  </si>
  <si>
    <t>https://africanmarketingconfederation.org/wp-content/uploads/2023/09/AMC-Ticon-03045.jpg</t>
  </si>
  <si>
    <t>https://africanmarketingconfederation.org/wp-content/uploads/2023/09/AMC-Ticon-03051.jpg</t>
  </si>
  <si>
    <t>https://africanmarketingconfederation.org/wp-content/uploads/2023/09/AMC-Ticon-03052.jpg</t>
  </si>
  <si>
    <t>https://africanmarketingconfederation.org/wp-content/uploads/2023/09/AMC-Ticon-03056.jpg</t>
  </si>
  <si>
    <t>https://africanmarketingconfederation.org/wp-content/uploads/2023/09/AMC-Ticon-03058.jpg</t>
  </si>
  <si>
    <t>https://africanmarketingconfederation.org/wp-content/uploads/2023/09/AMC-Ticon-03061.jpg</t>
  </si>
  <si>
    <t>https://africanmarketingconfederation.org/wp-content/uploads/2023/09/AMC-Ticon-03065.jpg</t>
  </si>
  <si>
    <t>https://africanmarketingconfederation.org/wp-content/uploads/2023/09/AMC-Ticon-03069.jpg</t>
  </si>
  <si>
    <t>https://africanmarketingconfederation.org/wp-content/uploads/2023/09/AMC-Ticon-03072.jpg</t>
  </si>
  <si>
    <t>https://africanmarketingconfederation.org/wp-content/uploads/2023/09/AMC-Ticon-03076.jpg</t>
  </si>
  <si>
    <t>https://africanmarketingconfederation.org/wp-content/uploads/2023/09/AMC-Ticon-03080.jpg</t>
  </si>
  <si>
    <t>https://africanmarketingconfederation.org/wp-content/uploads/2023/09/AMC-Ticon-03081.jpg</t>
  </si>
  <si>
    <t>https://africanmarketingconfederation.org/wp-content/uploads/2023/09/AMC-Ticon-03086.jpg</t>
  </si>
  <si>
    <t>https://africanmarketingconfederation.org/wp-content/uploads/2023/09/AMC-Ticon-03087.jpg</t>
  </si>
  <si>
    <t>https://africanmarketingconfederation.org/wp-content/uploads/2023/09/AMC-Ticon-03089.jpg</t>
  </si>
  <si>
    <t>https://africanmarketingconfederation.org/wp-content/uploads/2023/09/AMC-Ticon-03090.jpg</t>
  </si>
  <si>
    <t>https://africanmarketingconfederation.org/wp-content/uploads/2023/09/AMC-Ticon-03092.jpg</t>
  </si>
  <si>
    <t>https://africanmarketingconfederation.org/wp-content/uploads/2023/09/AMC-Ticon-03093.jpg</t>
  </si>
  <si>
    <t>https://africanmarketingconfederation.org/wp-content/uploads/2023/09/AMC-Ticon-03095.jpg</t>
  </si>
  <si>
    <t>https://africanmarketingconfederation.org/wp-content/uploads/2023/09/AMC-Ticon-03099.jpg</t>
  </si>
  <si>
    <t>https://africanmarketingconfederation.org/wp-content/uploads/2023/09/AMC-Ticon-03102.jpg</t>
  </si>
  <si>
    <t>https://africanmarketingconfederation.org/wp-content/uploads/2023/09/AMC-Ticon-03103.jpg</t>
  </si>
  <si>
    <t>https://africanmarketingconfederation.org/wp-content/uploads/2023/09/AMC-Ticon-03107.jpg</t>
  </si>
  <si>
    <t>https://africanmarketingconfederation.org/wp-content/uploads/2023/09/AMC-Ticon-03110.jpg</t>
  </si>
  <si>
    <t>https://africanmarketingconfederation.org/wp-content/uploads/2023/09/AMC-Ticon-03113.jpg</t>
  </si>
  <si>
    <t>https://africanmarketingconfederation.org/wp-content/uploads/2023/09/AMC-Ticon-03120.jpg</t>
  </si>
  <si>
    <t>https://africanmarketingconfederation.org/wp-content/uploads/2023/09/AMC-Ticon-03121.jpg</t>
  </si>
  <si>
    <t>https://africanmarketingconfederation.org/wp-content/uploads/2023/09/AMC-Ticon-03122.jpg</t>
  </si>
  <si>
    <t>https://africanmarketingconfederation.org/wp-content/uploads/2023/09/AMC-Ticon-03126.jpg</t>
  </si>
  <si>
    <t>https://africanmarketingconfederation.org/wp-content/uploads/2023/09/AMC-Ticon-00488.jpg</t>
  </si>
  <si>
    <t>https://africanmarketingconfederation.org/wp-content/uploads/2023/09/AMC-Ticon-09795.jpg</t>
  </si>
  <si>
    <t>https://africanmarketingconfederation.org/wp-content/uploads/2023/09/AMC-Ticon-09800.jpg</t>
  </si>
  <si>
    <t>https://africanmarketingconfederation.org/wp-content/uploads/2023/09/AMC-Ticon-09801.jpg</t>
  </si>
  <si>
    <t>https://africanmarketingconfederation.org/wp-content/uploads/2023/09/AMC-Ticon-09806.jpg</t>
  </si>
  <si>
    <t>https://africanmarketingconfederation.org/wp-content/uploads/2023/09/AMC-Ticon-09812.jpg</t>
  </si>
  <si>
    <t>https://africanmarketingconfederation.org/wp-content/uploads/2023/09/AMC-Ticon-09815.jpg</t>
  </si>
  <si>
    <t>https://africanmarketingconfederation.org/wp-content/uploads/2023/09/AMC-Ticon-09816.jpg</t>
  </si>
  <si>
    <t>https://africanmarketingconfederation.org/wp-content/uploads/2023/09/AMC-Ticon-09817.jpg</t>
  </si>
  <si>
    <t>https://africanmarketingconfederation.org/wp-content/uploads/2023/09/AMC-Ticon-09818.jpg</t>
  </si>
  <si>
    <t>https://africanmarketingconfederation.org/wp-content/uploads/2023/09/AMC-Ticon-09821.jpg</t>
  </si>
  <si>
    <t>https://africanmarketingconfederation.org/wp-content/uploads/2023/09/AMC-Ticon-09822.jpg</t>
  </si>
  <si>
    <t>https://africanmarketingconfederation.org/wp-content/uploads/2023/09/AMC-Ticon-09824.jpg</t>
  </si>
  <si>
    <t>https://africanmarketingconfederation.org/wp-content/uploads/2023/09/AMC-Ticon-09828.jpg</t>
  </si>
  <si>
    <t>https://africanmarketingconfederation.org/wp-content/uploads/2023/09/AMC-Ticon-09829.jpg</t>
  </si>
  <si>
    <t>https://africanmarketingconfederation.org/wp-content/uploads/2023/09/AMC-Ticon-09833.jpg</t>
  </si>
  <si>
    <t>https://africanmarketingconfederation.org/wp-content/uploads/2023/09/AMC-Ticon-09835.jpg</t>
  </si>
  <si>
    <t>https://africanmarketingconfederation.org/wp-content/uploads/2023/09/AMC-Ticon-09838.jpg</t>
  </si>
  <si>
    <t>https://africanmarketingconfederation.org/wp-content/uploads/2023/09/AMC-Ticon-09845.jpg</t>
  </si>
  <si>
    <t>https://africanmarketingconfederation.org/wp-content/uploads/2023/09/AMC-Ticon-09857.jpg</t>
  </si>
  <si>
    <t>https://africanmarketingconfederation.org/wp-content/uploads/2023/09/AMC-Ticon-09859.jpg</t>
  </si>
  <si>
    <t>https://africanmarketingconfederation.org/wp-content/uploads/2023/09/AMC-Ticon-09863.jpg</t>
  </si>
  <si>
    <t>https://africanmarketingconfederation.org/wp-content/uploads/2023/09/AMC-Ticon-09867.jpg</t>
  </si>
  <si>
    <t>https://africanmarketingconfederation.org/wp-content/uploads/2023/09/AMC-Ticon-09868.jpg</t>
  </si>
  <si>
    <t>https://africanmarketingconfederation.org/wp-content/uploads/2023/09/AMC-Ticon-09869.jpg</t>
  </si>
  <si>
    <t>https://africanmarketingconfederation.org/wp-content/uploads/2023/09/AMC-Ticon-09874.jpg</t>
  </si>
  <si>
    <t>https://africanmarketingconfederation.org/wp-content/uploads/2023/09/AMC-Ticon-09876.jpg</t>
  </si>
  <si>
    <t>https://africanmarketingconfederation.org/wp-content/uploads/2023/09/AMC-Ticon-09879.jpg</t>
  </si>
  <si>
    <t>https://africanmarketingconfederation.org/wp-content/uploads/2023/09/AMC-Ticon-09881.jpg</t>
  </si>
  <si>
    <t>https://africanmarketingconfederation.org/wp-content/uploads/2023/09/AMC-Ticon-09882.jpg</t>
  </si>
  <si>
    <t>https://africanmarketingconfederation.org/wp-content/uploads/2023/09/AMC-Ticon-00222.jpg</t>
  </si>
  <si>
    <t>https://africanmarketingconfederation.org/wp-content/uploads/2023/09/AMC-Ticon-00223.jpg</t>
  </si>
  <si>
    <t>https://africanmarketingconfederation.org/wp-content/uploads/2023/09/AMC-Ticon-00226.jpg</t>
  </si>
  <si>
    <t>https://africanmarketingconfederation.org/wp-content/uploads/2023/09/AMC-Ticon-00228.jpg</t>
  </si>
  <si>
    <t>https://africanmarketingconfederation.org/wp-content/uploads/2023/09/AMC-Ticon-00236.jpg</t>
  </si>
  <si>
    <t>https://africanmarketingconfederation.org/wp-content/uploads/2023/09/AMC-Ticon-00237.jpg</t>
  </si>
  <si>
    <t>https://africanmarketingconfederation.org/wp-content/uploads/2023/09/AMC-Ticon-00239.jpg</t>
  </si>
  <si>
    <t>https://africanmarketingconfederation.org/wp-content/uploads/2023/09/AMC-Ticon-00242.jpg</t>
  </si>
  <si>
    <t>https://africanmarketingconfederation.org/wp-content/uploads/2023/09/AMC-Ticon-00243.jpg</t>
  </si>
  <si>
    <t>https://africanmarketingconfederation.org/wp-content/uploads/2023/09/AMC-Ticon-00250.jpg</t>
  </si>
  <si>
    <t>https://africanmarketingconfederation.org/wp-content/uploads/2023/09/AMC-Ticon-00252.jpg</t>
  </si>
  <si>
    <t>https://africanmarketingconfederation.org/wp-content/uploads/2023/09/AMC-Ticon-00269.jpg</t>
  </si>
  <si>
    <t>https://africanmarketingconfederation.org/wp-content/uploads/2023/09/AMC-Ticon-00273.jpg</t>
  </si>
  <si>
    <t>https://africanmarketingconfederation.org/wp-content/uploads/2023/09/AMC-Ticon-00274.jpg</t>
  </si>
  <si>
    <t>https://africanmarketingconfederation.org/wp-content/uploads/2023/09/AMC-Ticon-00279.jpg</t>
  </si>
  <si>
    <t>https://africanmarketingconfederation.org/wp-content/uploads/2023/09/AMC-Ticon-00280.jpg</t>
  </si>
  <si>
    <t>https://africanmarketingconfederation.org/wp-content/uploads/2023/09/AMC-Ticon-00284.jpg</t>
  </si>
  <si>
    <t>https://africanmarketingconfederation.org/wp-content/uploads/2023/09/AMC-Ticon-00287.jpg</t>
  </si>
  <si>
    <t>https://africanmarketingconfederation.org/wp-content/uploads/2023/09/AMC-Ticon-00291.jpg</t>
  </si>
  <si>
    <t>https://africanmarketingconfederation.org/wp-content/uploads/2023/09/AMC-Ticon-00292.jpg</t>
  </si>
  <si>
    <t>https://africanmarketingconfederation.org/wp-content/uploads/2023/09/AMC-Ticon-00293.jpg</t>
  </si>
  <si>
    <t>https://africanmarketingconfederation.org/wp-content/uploads/2023/09/AMC-Ticon-00296.jpg</t>
  </si>
  <si>
    <t>https://africanmarketingconfederation.org/wp-content/uploads/2023/09/AMC-Ticon-00299.jpg</t>
  </si>
  <si>
    <t>https://africanmarketingconfederation.org/wp-content/uploads/2023/09/AMC-Ticon-00301.jpg</t>
  </si>
  <si>
    <t>https://africanmarketingconfederation.org/wp-content/uploads/2023/09/AMC-Ticon-00302.jpg</t>
  </si>
  <si>
    <t>https://africanmarketingconfederation.org/wp-content/uploads/2023/09/AMC-Ticon-00303.jpg</t>
  </si>
  <si>
    <t>https://africanmarketingconfederation.org/wp-content/uploads/2023/09/AMC-Ticon-00307.jpg</t>
  </si>
  <si>
    <t>https://africanmarketingconfederation.org/wp-content/uploads/2023/09/AMC-Ticon-00309.jpg</t>
  </si>
  <si>
    <t>https://africanmarketingconfederation.org/wp-content/uploads/2023/09/AMC-Ticon-00310.jpg</t>
  </si>
  <si>
    <t>https://africanmarketingconfederation.org/wp-content/uploads/2023/09/AMC-Ticon-00312.jpg</t>
  </si>
  <si>
    <t>https://africanmarketingconfederation.org/wp-content/uploads/2023/09/AMC-Ticon-00313.jpg</t>
  </si>
  <si>
    <t>https://africanmarketingconfederation.org/wp-content/uploads/2023/09/AMC-Ticon-00314.jpg</t>
  </si>
  <si>
    <t>https://africanmarketingconfederation.org/wp-content/uploads/2023/09/AMC-Ticon-00319.jpg</t>
  </si>
  <si>
    <t>https://africanmarketingconfederation.org/wp-content/uploads/2023/09/AMC-Ticon-00320.jpg</t>
  </si>
  <si>
    <t>https://africanmarketingconfederation.org/wp-content/uploads/2023/09/AMC-Ticon-00321.jpg</t>
  </si>
  <si>
    <t>https://africanmarketingconfederation.org/wp-content/uploads/2023/09/AMC-Ticon-00324.jpg</t>
  </si>
  <si>
    <t>https://africanmarketingconfederation.org/wp-content/uploads/2023/09/AMC-Ticon-00326.jpg</t>
  </si>
  <si>
    <t>https://africanmarketingconfederation.org/wp-content/uploads/2023/09/AMC-Ticon-00327.jpg</t>
  </si>
  <si>
    <t>https://africanmarketingconfederation.org/wp-content/uploads/2023/09/AMC-Ticon-00329.jpg</t>
  </si>
  <si>
    <t>https://africanmarketingconfederation.org/wp-content/uploads/2023/09/AMC-Ticon-00330.jpg</t>
  </si>
  <si>
    <t>https://africanmarketingconfederation.org/wp-content/uploads/2023/09/AMC-Ticon-00332.jpg</t>
  </si>
  <si>
    <t>https://africanmarketingconfederation.org/wp-content/uploads/2023/09/AMC-Ticon-00334.jpg</t>
  </si>
  <si>
    <t>https://africanmarketingconfederation.org/wp-content/uploads/2023/09/AMC-Ticon-00335.jpg</t>
  </si>
  <si>
    <t>https://africanmarketingconfederation.org/wp-content/uploads/2023/09/AMC-Ticon-00337.jpg</t>
  </si>
  <si>
    <t>https://africanmarketingconfederation.org/wp-content/uploads/2023/09/AMC-Ticon-00338.jpg</t>
  </si>
  <si>
    <t>https://africanmarketingconfederation.org/wp-content/uploads/2023/09/AMC-Ticon-00340.jpg</t>
  </si>
  <si>
    <t>https://africanmarketingconfederation.org/wp-content/uploads/2023/09/AMC-Ticon-00341.jpg</t>
  </si>
  <si>
    <t>https://africanmarketingconfederation.org/wp-content/uploads/2023/09/AMC-Ticon-00348.jpg</t>
  </si>
  <si>
    <t>https://africanmarketingconfederation.org/wp-content/uploads/2023/09/AMC-Ticon-00350.jpg</t>
  </si>
  <si>
    <t>https://africanmarketingconfederation.org/wp-content/uploads/2023/09/AMC-Ticon-00351.jpg</t>
  </si>
  <si>
    <t>https://africanmarketingconfederation.org/wp-content/uploads/2023/09/AMC-Ticon-00352.jpg</t>
  </si>
  <si>
    <t>https://africanmarketingconfederation.org/wp-content/uploads/2023/09/AMC-Ticon-00354.jpg</t>
  </si>
  <si>
    <t>https://africanmarketingconfederation.org/wp-content/uploads/2023/09/AMC-Ticon-00355.jpg</t>
  </si>
  <si>
    <t>https://africanmarketingconfederation.org/wp-content/uploads/2023/09/AMC-Ticon-00357.jpg</t>
  </si>
  <si>
    <t>https://africanmarketingconfederation.org/wp-content/uploads/2023/09/AMC-Ticon-00358.jpg</t>
  </si>
  <si>
    <t>https://africanmarketingconfederation.org/wp-content/uploads/2023/09/AMC-Ticon-00360.jpg</t>
  </si>
  <si>
    <t>https://africanmarketingconfederation.org/wp-content/uploads/2023/09/AMC-Ticon-00361.jpg</t>
  </si>
  <si>
    <t>https://africanmarketingconfederation.org/wp-content/uploads/2023/09/AMC-Ticon-00364.jpg</t>
  </si>
  <si>
    <t>https://africanmarketingconfederation.org/wp-content/uploads/2023/09/AMC-Ticon-00370.jpg</t>
  </si>
  <si>
    <t>https://africanmarketingconfederation.org/wp-content/uploads/2023/09/AMC-Ticon-00372.jpg</t>
  </si>
  <si>
    <t>https://africanmarketingconfederation.org/wp-content/uploads/2023/09/AMC-Ticon-00375.jpg</t>
  </si>
  <si>
    <t>https://africanmarketingconfederation.org/wp-content/uploads/2023/09/AMC-Ticon-00376.jpg</t>
  </si>
  <si>
    <t>https://africanmarketingconfederation.org/wp-content/uploads/2023/09/AMC-Ticon-00377.jpg</t>
  </si>
  <si>
    <t>https://africanmarketingconfederation.org/wp-content/uploads/2023/09/AMC-Ticon-00380.jpg</t>
  </si>
  <si>
    <t>https://africanmarketingconfederation.org/wp-content/uploads/2023/09/AMC-Ticon-00382.jpg</t>
  </si>
  <si>
    <t>https://africanmarketingconfederation.org/wp-content/uploads/2023/09/AMC-Ticon-00385.jpg</t>
  </si>
  <si>
    <t>https://africanmarketingconfederation.org/wp-content/uploads/2023/09/AMC-Ticon-00386.jpg</t>
  </si>
  <si>
    <t>https://africanmarketingconfederation.org/wp-content/uploads/2023/09/AMC-Ticon-00389.jpg</t>
  </si>
  <si>
    <t>https://africanmarketingconfederation.org/wp-content/uploads/2023/09/AMC-Ticon-00391.jpg</t>
  </si>
  <si>
    <t>https://africanmarketingconfederation.org/wp-content/uploads/2023/09/AMC-Ticon-00392.jpg</t>
  </si>
  <si>
    <t>https://africanmarketingconfederation.org/wp-content/uploads/2023/09/AMC-Ticon-00393.jpg</t>
  </si>
  <si>
    <t>https://africanmarketingconfederation.org/wp-content/uploads/2023/09/AMC-Ticon-00396.jpg</t>
  </si>
  <si>
    <t>https://africanmarketingconfederation.org/wp-content/uploads/2023/09/AMC-Ticon-00399.jpg</t>
  </si>
  <si>
    <t>https://africanmarketingconfederation.org/wp-content/uploads/2023/09/AMC-Ticon-00400.jpg</t>
  </si>
  <si>
    <t>https://africanmarketingconfederation.org/wp-content/uploads/2023/09/AMC-Ticon-00401.jpg</t>
  </si>
  <si>
    <t>https://africanmarketingconfederation.org/wp-content/uploads/2023/09/AMC-Ticon-00402.jpg</t>
  </si>
  <si>
    <t>https://africanmarketingconfederation.org/wp-content/uploads/2023/09/AMC-Ticon-00406.jpg</t>
  </si>
  <si>
    <t>https://africanmarketingconfederation.org/wp-content/uploads/2023/09/AMC-Ticon-00407.jpg</t>
  </si>
  <si>
    <t>https://africanmarketingconfederation.org/wp-content/uploads/2023/09/AMC-Ticon-00408.jpg</t>
  </si>
  <si>
    <t>https://africanmarketingconfederation.org/wp-content/uploads/2023/09/AMC-Ticon-00412.jpg</t>
  </si>
  <si>
    <t>https://africanmarketingconfederation.org/wp-content/uploads/2023/09/AMC-Ticon-00413.jpg</t>
  </si>
  <si>
    <t>https://africanmarketingconfederation.org/wp-content/uploads/2023/09/AMC-Ticon-00414.jpg</t>
  </si>
  <si>
    <t>https://africanmarketingconfederation.org/wp-content/uploads/2023/09/AMC-Ticon-00415.jpg</t>
  </si>
  <si>
    <t>https://africanmarketingconfederation.org/wp-content/uploads/2023/09/AMC-Ticon-00418.jpg</t>
  </si>
  <si>
    <t>https://africanmarketingconfederation.org/wp-content/uploads/2023/09/AMC-Ticon-00419.jpg</t>
  </si>
  <si>
    <t>https://africanmarketingconfederation.org/wp-content/uploads/2023/09/AMC-Ticon-00422.jpg</t>
  </si>
  <si>
    <t>https://africanmarketingconfederation.org/wp-content/uploads/2023/09/AMC-Ticon-00423.jpg</t>
  </si>
  <si>
    <t>https://africanmarketingconfederation.org/wp-content/uploads/2023/09/AMC-Ticon-00428.jpg</t>
  </si>
  <si>
    <t>https://africanmarketingconfederation.org/wp-content/uploads/2023/09/AMC-Ticon-00430.jpg</t>
  </si>
  <si>
    <t>https://africanmarketingconfederation.org/wp-content/uploads/2023/09/AMC-Ticon-00433.jpg</t>
  </si>
  <si>
    <t>https://africanmarketingconfederation.org/wp-content/uploads/2023/09/AMC-Ticon-00438.jpg</t>
  </si>
  <si>
    <t>https://africanmarketingconfederation.org/wp-content/uploads/2023/09/AMC-Ticon-00445.jpg</t>
  </si>
  <si>
    <t>https://africanmarketingconfederation.org/wp-content/uploads/2023/09/AMC-Ticon-00451.jpg</t>
  </si>
  <si>
    <t>https://africanmarketingconfederation.org/wp-content/uploads/2023/09/AMC-Ticon-00452.jpg</t>
  </si>
  <si>
    <t>https://africanmarketingconfederation.org/wp-content/uploads/2023/09/AMC-Ticon-00455.jpg</t>
  </si>
  <si>
    <t>https://africanmarketingconfederation.org/wp-content/uploads/2023/09/AMC-Ticon-00457.jpg</t>
  </si>
  <si>
    <t>https://africanmarketingconfederation.org/wp-content/uploads/2023/09/AMC-Ticon-00459.jpg</t>
  </si>
  <si>
    <t>https://africanmarketingconfederation.org/wp-content/uploads/2023/09/AMC-Ticon-00462.jpg</t>
  </si>
  <si>
    <t>https://africanmarketingconfederation.org/wp-content/uploads/2023/09/AMC-Ticon-00463.jpg</t>
  </si>
  <si>
    <t>https://africanmarketingconfederation.org/wp-content/uploads/2023/09/AMC-Ticon-00467.jpg</t>
  </si>
  <si>
    <t>https://africanmarketingconfederation.org/wp-content/uploads/2023/09/AMC-Ticon-00468.jpg</t>
  </si>
  <si>
    <t>https://africanmarketingconfederation.org/wp-content/uploads/2023/09/AMC-Ticon-00471.jpg</t>
  </si>
  <si>
    <t>https://africanmarketingconfederation.org/wp-content/uploads/2023/09/AMC-Ticon-00472.jpg</t>
  </si>
  <si>
    <t>https://africanmarketingconfederation.org/wp-content/uploads/2023/09/AMC-Ticon-00475.jpg</t>
  </si>
  <si>
    <t>https://africanmarketingconfederation.org/wp-content/uploads/2023/09/AMC-Ticon-00478.jpg</t>
  </si>
  <si>
    <t>https://africanmarketingconfederation.org/wp-content/uploads/2023/09/AMC-Ticon-00482.jpg</t>
  </si>
  <si>
    <t>https://africanmarketingconfederation.org/wp-content/uploads/2023/09/AMC-Ticon-00484.jpg</t>
  </si>
  <si>
    <t>https://africanmarketingconfederation.org/wp-content/uploads/2023/09/AMC-Ticon-01297.jpg</t>
  </si>
  <si>
    <t>https://africanmarketingconfederation.org/wp-content/uploads/2023/09/AMC-Ticon-01298.jpg</t>
  </si>
  <si>
    <t>https://africanmarketingconfederation.org/wp-content/uploads/2023/09/AMC-Ticon-01316.jpg</t>
  </si>
  <si>
    <t>https://africanmarketingconfederation.org/wp-content/uploads/2023/09/AMC-Ticon-01328.jpg</t>
  </si>
  <si>
    <t>https://africanmarketingconfederation.org/wp-content/uploads/2023/09/AMC-Ticon-01329.jpg</t>
  </si>
  <si>
    <t>https://africanmarketingconfederation.org/wp-content/uploads/2023/09/AMC-Ticon-01336.jpg</t>
  </si>
  <si>
    <t>https://africanmarketingconfederation.org/wp-content/uploads/2023/09/AMC-Ticon-01338.jpg</t>
  </si>
  <si>
    <t>https://africanmarketingconfederation.org/wp-content/uploads/2023/09/AMC-Ticon-01347.jpg</t>
  </si>
  <si>
    <t>https://africanmarketingconfederation.org/wp-content/uploads/2023/09/AMC-Ticon-01353.jpg</t>
  </si>
  <si>
    <t>https://africanmarketingconfederation.org/wp-content/uploads/2023/09/AMC-Ticon-01359.jpg</t>
  </si>
  <si>
    <t>https://africanmarketingconfederation.org/wp-content/uploads/2023/09/AMC-Ticon-01364.jpg</t>
  </si>
  <si>
    <t>https://africanmarketingconfederation.org/wp-content/uploads/2023/09/AMC-Ticon-01380.jpg</t>
  </si>
  <si>
    <t>https://africanmarketingconfederation.org/wp-content/uploads/2023/09/AMC-Ticon-01396.jpg</t>
  </si>
  <si>
    <t>https://africanmarketingconfederation.org/wp-content/uploads/2023/09/AMC-Ticon-01399.jpg</t>
  </si>
  <si>
    <t>https://africanmarketingconfederation.org/wp-content/uploads/2023/09/AMC-Ticon-01403.jpg</t>
  </si>
  <si>
    <t>https://africanmarketingconfederation.org/wp-content/uploads/2023/09/AMC-Ticon-01415.jpg</t>
  </si>
  <si>
    <t>https://africanmarketingconfederation.org/wp-content/uploads/2023/09/AMC-Ticon-01450.jpg</t>
  </si>
  <si>
    <t>https://africanmarketingconfederation.org/wp-content/uploads/2023/09/AMC-Ticon-01454.jpg</t>
  </si>
  <si>
    <t>https://africanmarketingconfederation.org/wp-content/uploads/2023/09/AMC-Ticon-01474.jpg</t>
  </si>
  <si>
    <t>https://africanmarketingconfederation.org/wp-content/uploads/2023/09/AMC-Ticon-01477.jpg</t>
  </si>
  <si>
    <t>https://africanmarketingconfederation.org/wp-content/uploads/2023/09/AMC-Ticon-01486.jpg</t>
  </si>
  <si>
    <t>https://africanmarketingconfederation.org/wp-content/uploads/2023/09/AMC-Ticon-01488.jpg</t>
  </si>
  <si>
    <t>https://africanmarketingconfederation.org/wp-content/uploads/2023/09/AMC-Ticon-01489.jpg</t>
  </si>
  <si>
    <t>https://africanmarketingconfederation.org/wp-content/uploads/2023/09/AMC-Ticon-01497.jpg</t>
  </si>
  <si>
    <t>https://africanmarketingconfederation.org/wp-content/uploads/2023/09/AMC-Ticon-01545.jpg</t>
  </si>
  <si>
    <t>https://africanmarketingconfederation.org/wp-content/uploads/2023/09/AMC-Ticon-01552.jpg</t>
  </si>
  <si>
    <t>https://africanmarketingconfederation.org/wp-content/uploads/2023/09/AMC-Ticon-01564.jpg</t>
  </si>
  <si>
    <t>https://africanmarketingconfederation.org/wp-content/uploads/2023/09/AMC-Ticon-01566.jpg</t>
  </si>
  <si>
    <t>https://africanmarketingconfederation.org/wp-content/uploads/2023/09/AMC-Ticon-01571.jpg</t>
  </si>
  <si>
    <t>https://africanmarketingconfederation.org/wp-content/uploads/2023/09/AMC-Ticon-01592.jpg</t>
  </si>
  <si>
    <t>https://africanmarketingconfederation.org/wp-content/uploads/2023/09/AMC-Ticon-01614.jpg</t>
  </si>
  <si>
    <t>https://africanmarketingconfederation.org/wp-content/uploads/2023/09/AMC-Ticon-01178.jpg</t>
  </si>
  <si>
    <t>https://africanmarketingconfederation.org/wp-content/uploads/2023/09/AMC-Ticon-01181.jpg</t>
  </si>
  <si>
    <t>https://africanmarketingconfederation.org/wp-content/uploads/2023/09/AMC-Ticon-01183.jpg</t>
  </si>
  <si>
    <t>https://africanmarketingconfederation.org/wp-content/uploads/2023/09/AMC-Ticon-01185.jpg</t>
  </si>
  <si>
    <t>https://africanmarketingconfederation.org/wp-content/uploads/2023/09/AMC-Ticon-01188.jpg</t>
  </si>
  <si>
    <t>https://africanmarketingconfederation.org/wp-content/uploads/2023/09/AMC-Ticon-01190.jpg</t>
  </si>
  <si>
    <t>https://africanmarketingconfederation.org/wp-content/uploads/2023/09/AMC-Ticon-01191.jpg</t>
  </si>
  <si>
    <t>https://africanmarketingconfederation.org/wp-content/uploads/2023/09/AMC-Ticon-01194.jpg</t>
  </si>
  <si>
    <t>https://africanmarketingconfederation.org/wp-content/uploads/2023/09/AMC-Ticon-01195.jpg</t>
  </si>
  <si>
    <t>https://africanmarketingconfederation.org/wp-content/uploads/2023/09/AMC-Ticon-01197.jpg</t>
  </si>
  <si>
    <t>https://africanmarketingconfederation.org/wp-content/uploads/2023/09/AMC-Ticon-01198.jpg</t>
  </si>
  <si>
    <t>https://africanmarketingconfederation.org/wp-content/uploads/2023/09/AMC-Ticon-01201.jpg</t>
  </si>
  <si>
    <t>https://africanmarketingconfederation.org/wp-content/uploads/2023/09/AMC-Ticon-01202.jpg</t>
  </si>
  <si>
    <t>https://africanmarketingconfederation.org/wp-content/uploads/2023/09/AMC-Ticon-01203.jpg</t>
  </si>
  <si>
    <t>https://africanmarketingconfederation.org/wp-content/uploads/2023/09/AMC-Ticon-01204.jpg</t>
  </si>
  <si>
    <t>https://africanmarketingconfederation.org/wp-content/uploads/2023/09/AMC-Ticon-01206.jpg</t>
  </si>
  <si>
    <t>https://africanmarketingconfederation.org/wp-content/uploads/2023/09/AMC-Ticon-01207.jpg</t>
  </si>
  <si>
    <t>https://africanmarketingconfederation.org/wp-content/uploads/2023/09/AMC-Ticon-01208.jpg</t>
  </si>
  <si>
    <t>https://africanmarketingconfederation.org/wp-content/uploads/2023/09/AMC-Ticon-01210.jpg</t>
  </si>
  <si>
    <t>https://africanmarketingconfederation.org/wp-content/uploads/2023/09/AMC-Ticon-01212.jpg</t>
  </si>
  <si>
    <t>https://africanmarketingconfederation.org/wp-content/uploads/2023/09/AMC-Ticon-01213.jpg</t>
  </si>
  <si>
    <t>https://africanmarketingconfederation.org/wp-content/uploads/2023/09/AMC-Ticon-01216.jpg</t>
  </si>
  <si>
    <t>https://africanmarketingconfederation.org/wp-content/uploads/2023/09/AMC-Ticon-01217.jpg</t>
  </si>
  <si>
    <t>https://africanmarketingconfederation.org/wp-content/uploads/2023/09/AMC-Ticon-01218.jpg</t>
  </si>
  <si>
    <t>https://africanmarketingconfederation.org/wp-content/uploads/2023/09/AMC-Ticon-01220.jpg</t>
  </si>
  <si>
    <t>https://africanmarketingconfederation.org/wp-content/uploads/2023/09/AMC-Ticon-01224.jpg</t>
  </si>
  <si>
    <t>https://africanmarketingconfederation.org/wp-content/uploads/2023/09/AMC-Ticon-01229.jpg</t>
  </si>
  <si>
    <t>https://africanmarketingconfederation.org/wp-content/uploads/2023/09/AMC-Ticon-01233.jpg</t>
  </si>
  <si>
    <t>https://africanmarketingconfederation.org/wp-content/uploads/2023/09/AMC-Ticon-01235.jpg</t>
  </si>
  <si>
    <t>https://africanmarketingconfederation.org/wp-content/uploads/2023/09/AMC-Ticon-01237.jpg</t>
  </si>
  <si>
    <t>https://africanmarketingconfederation.org/wp-content/uploads/2023/09/AMC-Ticon-01238.jpg</t>
  </si>
  <si>
    <t>https://africanmarketingconfederation.org/wp-content/uploads/2023/09/AMC-Ticon-01240.jpg</t>
  </si>
  <si>
    <t>https://africanmarketingconfederation.org/wp-content/uploads/2023/09/AMC-Ticon-01242.jpg</t>
  </si>
  <si>
    <t>https://africanmarketingconfederation.org/wp-content/uploads/2023/09/AMC-Ticon-01243.jpg</t>
  </si>
  <si>
    <t>https://africanmarketingconfederation.org/wp-content/uploads/2023/09/AMC-Ticon-01244.jpg</t>
  </si>
  <si>
    <t>https://africanmarketingconfederation.org/wp-content/uploads/2023/09/AMC-Ticon-01245.jpg</t>
  </si>
  <si>
    <t>https://africanmarketingconfederation.org/wp-content/uploads/2023/09/AMC-Ticon-01248.jpg</t>
  </si>
  <si>
    <t>https://africanmarketingconfederation.org/wp-content/uploads/2023/09/AMC-Ticon-01249.jpg</t>
  </si>
  <si>
    <t>https://africanmarketingconfederation.org/wp-content/uploads/2023/09/AMC-Ticon-01251.jpg</t>
  </si>
  <si>
    <t>https://africanmarketingconfederation.org/wp-content/uploads/2023/09/AMC-Ticon-01252.jpg</t>
  </si>
  <si>
    <t>https://africanmarketingconfederation.org/wp-content/uploads/2023/09/AMC-Ticon-01253.jpg</t>
  </si>
  <si>
    <t>https://africanmarketingconfederation.org/wp-content/uploads/2023/09/AMC-Ticon-01254.jpg</t>
  </si>
  <si>
    <t>https://africanmarketingconfederation.org/wp-content/uploads/2023/09/AMC-Ticon-01255.jpg</t>
  </si>
  <si>
    <t>https://africanmarketingconfederation.org/wp-content/uploads/2023/09/AMC-Ticon-01257.jpg</t>
  </si>
  <si>
    <t>https://africanmarketingconfederation.org/wp-content/uploads/2023/09/AMC-Ticon-01259.jpg</t>
  </si>
  <si>
    <t>https://africanmarketingconfederation.org/wp-content/uploads/2023/09/AMC-Ticon-01260.jpg</t>
  </si>
  <si>
    <t>https://africanmarketingconfederation.org/wp-content/uploads/2023/09/AMC-Ticon-01261.jpg</t>
  </si>
  <si>
    <t>https://africanmarketingconfederation.org/wp-content/uploads/2023/09/AMC-Ticon-01263.jpg</t>
  </si>
  <si>
    <t>https://africanmarketingconfederation.org/wp-content/uploads/2023/09/AMC-Ticon-01264.jpg</t>
  </si>
  <si>
    <t>https://africanmarketingconfederation.org/wp-content/uploads/2023/09/AMC-Ticon-01266.jpg</t>
  </si>
  <si>
    <t>https://africanmarketingconfederation.org/wp-content/uploads/2023/09/AMC-Ticon-01267.jpg</t>
  </si>
  <si>
    <t>https://africanmarketingconfederation.org/wp-content/uploads/2023/09/AMC-Ticon-01269.jpg</t>
  </si>
  <si>
    <t>https://africanmarketingconfederation.org/wp-content/uploads/2023/09/AMC-Ticon-01270.jpg</t>
  </si>
  <si>
    <t>https://africanmarketingconfederation.org/wp-content/uploads/2023/09/AMC-Ticon-01271.jpg</t>
  </si>
  <si>
    <t>https://africanmarketingconfederation.org/wp-content/uploads/2023/09/AMC-Ticon-01272.jpg</t>
  </si>
  <si>
    <t>https://africanmarketingconfederation.org/wp-content/uploads/2023/09/AMC-Ticon-01276.jpg</t>
  </si>
  <si>
    <t>https://africanmarketingconfederation.org/wp-content/uploads/2023/09/AMC-Ticon-01278.jpg</t>
  </si>
  <si>
    <t>https://africanmarketingconfederation.org/wp-content/uploads/2023/09/AMC-Ticon-01279.jpg</t>
  </si>
  <si>
    <t>https://africanmarketingconfederation.org/wp-content/uploads/2023/09/AMC-Ticon-01280.jpg</t>
  </si>
  <si>
    <t>https://africanmarketingconfederation.org/wp-content/uploads/2023/09/AMC-Ticon-01281.jpg</t>
  </si>
  <si>
    <t>https://africanmarketingconfederation.org/wp-content/uploads/2023/09/AMC-Ticon-01282.jpg</t>
  </si>
  <si>
    <t>https://africanmarketingconfederation.org/wp-content/uploads/2023/09/AMC-Ticon-01283.jpg</t>
  </si>
  <si>
    <t>https://africanmarketingconfederation.org/wp-content/uploads/2023/09/AMC-Ticon-01284.jpg</t>
  </si>
  <si>
    <t>https://africanmarketingconfederation.org/wp-content/uploads/2023/09/AMC-Ticon-01286.jpg</t>
  </si>
  <si>
    <t>https://africanmarketingconfederation.org/wp-content/uploads/2023/09/AMC-Ticon-01287.jpg</t>
  </si>
  <si>
    <t>https://africanmarketingconfederation.org/wp-content/uploads/2023/09/AMC-Ticon-01288.jpg</t>
  </si>
  <si>
    <t>https://africanmarketingconfederation.org/wp-content/uploads/2023/09/AMC-Ticon-01289.jpg</t>
  </si>
  <si>
    <t>https://africanmarketingconfederation.org/wp-content/uploads/2023/09/AMC-Ticon-01291.jpg</t>
  </si>
  <si>
    <t>https://africanmarketingconfederation.org/wp-content/uploads/2023/09/AMC-Ticon-01292.jpg</t>
  </si>
  <si>
    <t>https://africanmarketingconfederation.org/wp-content/uploads/2023/09/AMC-Ticon-01294.jpg</t>
  </si>
  <si>
    <t>https://africanmarketingconfederation.org/amc-testimony-page-2024</t>
  </si>
  <si>
    <t>Share Your Experience</t>
  </si>
  <si>
    <t>https://www.stanbicbank.co.ug/uganda/personal</t>
  </si>
  <si>
    <t>http://www.eabl.com/</t>
  </si>
  <si>
    <t>https://www.eabl.com/news-media/guinness-celebrates-return-football-rewarding-some-lucky-super-fans-unforgettable</t>
  </si>
  <si>
    <t>https://africanmarketingconfederation.org/wp-content/uploads/2025/01/Destination-Zambia-Campaign-Pitch-Document-for-AMC-2024.pdf</t>
  </si>
  <si>
    <t>https://africanmarketingconfederation.org/wp-content/uploads/2024/10/MIONE-PRODUCT-LAUNCH-BEST-SOCIAL-MEDIA-CATEGORY.pdf</t>
  </si>
  <si>
    <t>https://africanmarketingconfederation.org/wp-content/uploads/2024/10/SNSC1.pdf</t>
  </si>
  <si>
    <t>https://africanmarketingconfederation.org/wp-content/uploads/2024/10/BART-AI-DESCRIPTOR-2.docx</t>
  </si>
  <si>
    <t>https://africanmarketingconfederation.org/wp-content/uploads/2024/10/SAVING-THE-WHITE-CAPS-DESCRIPTOR.docx</t>
  </si>
  <si>
    <t>https://africanmarketingconfederation.org/wp-content/uploads/2024/10/GUINNESS-MATCHDAY-DESCRIPTOR-3-1.docx</t>
  </si>
  <si>
    <t>https://africanmarketingconfederation.org/wp-content/uploads/2024/10/BRAND.pdf</t>
  </si>
  <si>
    <t>https://www.citizen.digital/tv/citizen-tv-15</t>
  </si>
  <si>
    <t>https://www.citizen.digital/</t>
  </si>
  <si>
    <t>https://www.ethiopianairlines.com/za</t>
  </si>
  <si>
    <t>https://www.linkedin.com/company/ledrad?originalSubdomain=ke</t>
  </si>
  <si>
    <t>https://www.nationmedia.com/</t>
  </si>
  <si>
    <t>https://www.sarovahotels.com/whitesands-mombasa</t>
  </si>
  <si>
    <t>https://www.eabl.com/</t>
  </si>
  <si>
    <t>https://ktb.go.ke/</t>
  </si>
  <si>
    <t>https://magicalkenya.com/</t>
  </si>
  <si>
    <t>https://africanmarketingconfederation.org/wp-content/uploads/2023/11/AMC-2023-Uganda-Presentation-Final.pdf</t>
  </si>
  <si>
    <t>Are Marketers Intelligent Enough For AI - Fred Kithinzi</t>
  </si>
  <si>
    <t>https://africanmarketingconfederation.org/wp-content/uploads/2023/11/AMC-Presentation-Nondumiso-Mabece.pptx</t>
  </si>
  <si>
    <t>Taking Africa to the world and bringing the world to Africa - Nondumiso Mabece|</t>
  </si>
  <si>
    <t>https://africanmarketingconfederation.org/wp-content/uploads/2023/11/DGCEO-AMC-UMS-Presentation-_compressed.pdf</t>
  </si>
  <si>
    <t>Next Media DGCEO Presentation</t>
  </si>
  <si>
    <t>https://africanmarketingconfederation.org/wp-content/uploads/2023/11/Prof-Ebo-Final-PpT-Read-Only_compressed.pdf</t>
  </si>
  <si>
    <t>Strategy and Technology: Expanding the Success of Pan-African Brands - Prof. Robert Ebo Hinson</t>
  </si>
  <si>
    <t>https://africanmarketingconfederation.org/wp-content/uploads/2023/11/Winning-in-African-markets_sml.pdf</t>
  </si>
  <si>
    <t>Winning African Markets - Simon Harvey</t>
  </si>
  <si>
    <t>Culture as the New Marketing  Currency in Africa - Pheodor Mundia</t>
  </si>
  <si>
    <t>https://africanmarketingconfederation.org/wp-content/uploads/2023/11/AMC-Leadership-Presentation-2023-Uganda-1.pdf</t>
  </si>
  <si>
    <t>Leadership Presentation - Yaw Nsarkoh &amp; Tomiwa Asaolu</t>
  </si>
  <si>
    <t>https://africanmarketingconfederation.org/wp-content/uploads/2023/11/AMC-Presentation-final-James-stutton_compressed.pdf</t>
  </si>
  <si>
    <t>Marketing Capability - James Sutton</t>
  </si>
  <si>
    <t>https://africanmarketingconfederation.org/wp-content/uploads/2023/11/Building-strong-pan-african-brands-NEW.pdf</t>
  </si>
  <si>
    <t>Building strong Pan African Brands - George Arodi</t>
  </si>
  <si>
    <t>https://africanmarketingconfederation.org/product/full-conference-package-labadi-beach-hotel</t>
  </si>
  <si>
    <t>AMC Full-Conference Package Labadi Beach Hotel</t>
  </si>
  <si>
    <t>https://africanmarketingconfederation.org/product/full-conference-package-la-palm-royal-beach-hotel</t>
  </si>
  <si>
    <t>AMC Full-Conference Package La Palm Royal Beach Hotel</t>
  </si>
  <si>
    <t>https://africanmarketingconfederation.org/product/amc-day-attendance-package</t>
  </si>
  <si>
    <t>AMC Day Attendance Package</t>
  </si>
  <si>
    <t>https://africanmarketingconfederation.org/product/conference-only-package</t>
  </si>
  <si>
    <t>AMC Conference Only Package</t>
  </si>
  <si>
    <t>https://www.linkedin.com/in/charles-murito-b29595</t>
  </si>
  <si>
    <t>Charles Murito</t>
  </si>
  <si>
    <t>https://www.linkedin.com/in/quinton-coetzee-22293263</t>
  </si>
  <si>
    <t>Mr Quinton Coetzee</t>
  </si>
  <si>
    <t>https://www.linkedin.com/in/dr-elaine-van-wyk-mba-dba-3a40b76a</t>
  </si>
  <si>
    <t>Dr Elaine Van Wyk</t>
  </si>
  <si>
    <t>https://www.linkedin.com/in/julius-kyazze-42074719</t>
  </si>
  <si>
    <t>Mr Julius Kyazze</t>
  </si>
  <si>
    <t>https://gh.linkedin.com/in/stephennboadi</t>
  </si>
  <si>
    <t>Mr Stephen Nasei Boadi</t>
  </si>
  <si>
    <t>https://www.linkedin.com/in/tapfuma-mugari-a261b0a4</t>
  </si>
  <si>
    <t>Mr Tapfuma Mugari</t>
  </si>
  <si>
    <t>https://www.linkedin.com/in/thobekile-nxumalo-cscp-scor-p-5901a45b</t>
  </si>
  <si>
    <t>Ms Thobekile Nxumalo</t>
  </si>
  <si>
    <t>https://www.linkedin.com/in/frederic-perodeau-a620301</t>
  </si>
  <si>
    <t>Mr Frederic Perodeau</t>
  </si>
  <si>
    <t>https://www.linkedin.com/in/prof-douglas-boateng-4ab3553?originalSubdomain=za</t>
  </si>
  <si>
    <t>Prof Douglas Boateng</t>
  </si>
  <si>
    <t>https://www.linkedin.com/in/nondumiso-ngobese-mabece-76731223</t>
  </si>
  <si>
    <t>Ms Nondumiso Mabece</t>
  </si>
  <si>
    <t>https://www.linkedin.com/in/pluto-panoussis-68699325?originalSubdomain=za%20</t>
  </si>
  <si>
    <t>Mr Pluto Panoussis</t>
  </si>
  <si>
    <t>https://ug.linkedin.com/in/julius-kyazze-42074719%20</t>
  </si>
  <si>
    <t>https://www.linkedin.com/in/orlakinsella</t>
  </si>
  <si>
    <t>Ms Orla Kinsella</t>
  </si>
  <si>
    <t>https://www.linkedin.com/in/ato-micah-2964192</t>
  </si>
  <si>
    <t>Mr Micah Ato</t>
  </si>
  <si>
    <t>https://www.linkedin.com/in/chris-wulff-caesar-1b85601b?originalSubdomain=gh</t>
  </si>
  <si>
    <t>Mr Chris Wulff-Caesar</t>
  </si>
  <si>
    <t>https://www.linkedin.com/in/girishsharmaa</t>
  </si>
  <si>
    <t>Mr Girish Sharma</t>
  </si>
  <si>
    <t>https://www.linkedin.com/in/mekedelamekuria</t>
  </si>
  <si>
    <t>Mr Mekedela Mekuria Hailu</t>
  </si>
  <si>
    <t>https://www.linkedin.com/in/dr-riaan-steenberg-mba-pmp-mbb-378178</t>
  </si>
  <si>
    <t>Dr Riaan Steenberg</t>
  </si>
  <si>
    <t>https://www.linkedin.com/in/robert-rodgers-5b19bb49</t>
  </si>
  <si>
    <t>Mr Robert Rodgers</t>
  </si>
  <si>
    <t>https://www.linkedin.com/in/yannicklefang?originalSubdomain=ca%20</t>
  </si>
  <si>
    <t>Mr Yannick Lefang</t>
  </si>
  <si>
    <t>https://www.linkedin.com/in/jan-goffing-96440689</t>
  </si>
  <si>
    <t>Jan Goffing</t>
  </si>
  <si>
    <t>Robert Rodgers</t>
  </si>
  <si>
    <t>https://www.linkedin.com/in/orlakinsella/%20</t>
  </si>
  <si>
    <t>https://www.linkedin.com/in/pamela-kawaddwa-3a9645143</t>
  </si>
  <si>
    <t>Ms Pamela Kawaddwa</t>
  </si>
  <si>
    <t>https://www.linkedin.com/in/maggie-jones-a46429158?originalSubdomain=uk</t>
  </si>
  <si>
    <t>Mrs Maggie Jones</t>
  </si>
  <si>
    <t>https://www.linkedin.com/in/jamesalexsutton</t>
  </si>
  <si>
    <t>Mr James Sutton</t>
  </si>
  <si>
    <t>https://www.linkedin.com/in/robert-ebo-hinson-dphil-phd-4986232a</t>
  </si>
  <si>
    <t>Prof Robert Ebo Hinson</t>
  </si>
  <si>
    <t>https://www.linkedin.com/in/matongo-matamwandi-aaba515a</t>
  </si>
  <si>
    <t>Dr Matongo Matamwandi</t>
  </si>
  <si>
    <t>https://www.linkedin.com/in/mwewa-besa-94719239</t>
  </si>
  <si>
    <t>Mr Mwewa Besa</t>
  </si>
  <si>
    <t>https://www.linkedin.com/in/helen-mcintee-carlisle-780347a</t>
  </si>
  <si>
    <t>Mrs Helen McIntee</t>
  </si>
  <si>
    <t>https://www.linkedin.com/in/kobby-mensah-7aba3641</t>
  </si>
  <si>
    <t>Prof Kobby Mensah</t>
  </si>
  <si>
    <t>https://www.linkedin.com/in/gilbert-abeiku-aggrey-a0659017</t>
  </si>
  <si>
    <t>Mr. Gilbert Abeiku Aggrey</t>
  </si>
  <si>
    <t>https://www.linkedin.com/in/albert-eliason-phd-a6ab5318?trk=public_post_main-feed-card-text&amp;originalSubdomain=gh</t>
  </si>
  <si>
    <t>Dr Albert Eliason</t>
  </si>
  <si>
    <t>https://www.linkedin.com/in/johnssenkeezi?originalSubdomain=ug</t>
  </si>
  <si>
    <t>Mr John Senkeezi</t>
  </si>
  <si>
    <t>https://ng.linkedin.com/in/dr-abubakar-jimeta-fnimn-fimc-39968149</t>
  </si>
  <si>
    <t>Dr Abubakar Jimeta</t>
  </si>
  <si>
    <t>https://www.linkedin.com/in/mcbagod12</t>
  </si>
  <si>
    <t>Prof. Fred McBagonluri</t>
  </si>
  <si>
    <t>Graph</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</si>
  <si>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</si>
  <si>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</si>
  <si>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</si>
  <si>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</si>
  <si>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t>
  </si>
  <si>
    <t>Source URL</t>
  </si>
  <si>
    <t>Rel Attribute</t>
  </si>
  <si>
    <t>Link Type</t>
  </si>
  <si>
    <t>Generic Anchor</t>
  </si>
  <si>
    <t>External</t>
  </si>
  <si>
    <t>FALSE</t>
  </si>
  <si>
    <t>Internal</t>
  </si>
  <si>
    <t>TRUE</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</si>
  <si>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</si>
  <si>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</si>
  <si>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</si>
  <si>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</si>
  <si>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</si>
  <si>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</si>
  <si>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</si>
  <si>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</si>
  <si>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</si>
  <si>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</si>
  <si>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</si>
  <si>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</si>
  <si>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</si>
  <si>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</si>
  <si>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</si>
  <si>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</si>
  <si>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</si>
  <si>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</si>
  <si>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</si>
  <si>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</si>
  <si>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</si>
  <si>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</si>
  <si>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</si>
  <si>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</si>
  <si>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</si>
  <si>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</si>
  <si>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</si>
  <si>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</si>
  <si>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</si>
  <si>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</si>
  <si>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</si>
  <si>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</si>
  <si>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</si>
  <si>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</si>
  <si>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</si>
  <si>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</si>
  <si>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</si>
  <si>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</si>
  <si>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</si>
  <si>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</si>
  <si>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</si>
  <si>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</si>
  <si>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</si>
  <si>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</si>
  <si>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</si>
  <si>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</si>
  <si>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</si>
  <si>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</si>
  <si>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[2025 AEO STRATEGY &amp; STANDARDS]</t>
  </si>
  <si>
    <t>The 'Nugget' Rule</t>
  </si>
  <si>
    <t>The direct answer to a query must be located within the first 100 words of the relevant section.</t>
  </si>
  <si>
    <t>Answer engines surface the earliest concise fact block; burying the answer loses extraction priority.</t>
  </si>
  <si>
    <t>Objective Fact-Density</t>
  </si>
  <si>
    <t>Avoid subjective adjectives ('award-winning', 'best'). LLMs prioritize objective nouns and verified data points.</t>
  </si>
  <si>
    <t>Verifiable, concrete phrasing is easier to quote and less likely to be filtered as promotional noise.</t>
  </si>
  <si>
    <t>Inverted Pyramid Structure</t>
  </si>
  <si>
    <t>Question Heading &gt; Concise 50-word Answer &gt; Supporting Data/List &gt; Detailed Context.</t>
  </si>
  <si>
    <t>Mirrors how models chunk content: lead with the extractable answer, then evidence, then depth.</t>
  </si>
  <si>
    <t>Schema as an API</t>
  </si>
  <si>
    <t>View Schema not just for Google snippets, but as a direct data-feed for AI Answer Engines.</t>
  </si>
  <si>
    <t>Structured types (FAQ, HowTo, Speakable) become machine-addressable facts when kept in sync with visible copy.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</si>
  <si>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</si>
  <si>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</si>
  <si>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</si>
  <si>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</si>
  <si>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</si>
  <si>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</si>
  <si>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</si>
  <si>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</si>
  <si>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</si>
  <si>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</si>
  <si>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</si>
  <si>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</si>
  <si>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</si>
  <si>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</si>
  <si>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</si>
  <si>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</si>
  <si>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</si>
  <si>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</si>
  <si>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</si>
  <si>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</si>
  <si>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</si>
  <si>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</si>
  <si>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</si>
  <si>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</si>
  <si>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</si>
  <si>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</si>
  <si>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</si>
  <si>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</si>
  <si>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</si>
  <si>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</si>
  <si>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</si>
  <si>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</si>
  <si>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</si>
  <si>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</si>
  <si>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</si>
  <si>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</si>
  <si>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</si>
  <si>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</si>
  <si>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</si>
  <si>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</si>
  <si>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https://africanmarketingconfederation.org/wp-admin/post.php?post=13164&amp;action=edit</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</si>
  <si>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</si>
  <si>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</si>
  <si>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</si>
  <si>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</si>
  <si>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</si>
  <si>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</si>
  <si>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</si>
  <si>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</si>
  <si>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</si>
  <si>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</si>
  <si>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</si>
  <si>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</si>
  <si>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</si>
  <si>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</si>
  <si>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</si>
  <si>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</si>
  <si>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</si>
  <si>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</si>
  <si>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</si>
  <si>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</si>
  <si>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</si>
  <si>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</si>
  <si>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</si>
  <si>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</si>
  <si>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</si>
  <si>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</si>
  <si>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</si>
  <si>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</si>
  <si>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</si>
  <si>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</si>
  <si>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</si>
  <si>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</si>
  <si>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https://africanmarketingconfederation.org/wp-admin/post.php?post=12407&amp;action=edit</t>
  </si>
  <si>
    <t>https://africanmarketingconfederation.org/amc-conference-2023/book-now::aioseo_low_aeo_readiness_score</t>
  </si>
  <si>
    <t>https://africanmarketingconfederation.org/wp-admin/post.php?post=12497&amp;action=edit</t>
  </si>
  <si>
    <t>https://africanmarketingconfederation.org/amc-conference-2023/book-now-thank-you::aioseo_low_aeo_readiness_score</t>
  </si>
  <si>
    <t>https://africanmarketingconfederation.org/wp-admin/post.php?post=13098&amp;action=edit</t>
  </si>
  <si>
    <t>https://africanmarketingconfederation.org/amc-conference-2023/download-prospectus::aioseo_low_aeo_readiness_score</t>
  </si>
  <si>
    <t>https://africanmarketingconfederation.org/wp-admin/post.php?post=13549&amp;action=edit</t>
  </si>
  <si>
    <t>https://africanmarketingconfederation.org/amc-conference-2023/gallery::aioseo_low_aeo_readiness_score</t>
  </si>
  <si>
    <t>https://africanmarketingconfederation.org/wp-admin/post.php?post=13282&amp;action=edit</t>
  </si>
  <si>
    <t>https://africanmarketingconfederation.org/amc-conference-2023/partners::aioseo_low_aeo_readiness_score</t>
  </si>
  <si>
    <t>https://africanmarketingconfederation.org/wp-admin/post.php?post=12945&amp;action=edit</t>
  </si>
  <si>
    <t>https://africanmarketingconfederation.org/amc-conference-2023/programme::aioseo_low_aeo_readiness_score</t>
  </si>
  <si>
    <t>https://africanmarketingconfederation.org/wp-admin/post.php?post=13179&amp;action=edit</t>
  </si>
  <si>
    <t>https://africanmarketingconfederation.org/amc-conference-2023/speakers::aioseo_low_aeo_readiness_score</t>
  </si>
  <si>
    <t>https://africanmarketingconfederation.org/wp-admin/post.php?post=22401&amp;action=edit</t>
  </si>
  <si>
    <t>https://africanmarketingconfederation.org/amc-conference-2024-recap::aioseo_low_aeo_readiness_score</t>
  </si>
  <si>
    <t>https://africanmarketingconfederation.org/wp-admin/post.php?post=18318&amp;action=edit</t>
  </si>
  <si>
    <t>https://africanmarketingconfederation.org/amc-conference-2024-sponsors-packages::aioseo_low_aeo_readiness_score</t>
  </si>
  <si>
    <t>https://africanmarketingconfederation.org/wp-admin/post.php?post=30257&amp;action=edit</t>
  </si>
  <si>
    <t>https://africanmarketingconfederation.org/amc-conference-2025-highlights::aioseo_low_aeo_readiness_score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</si>
  <si>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</si>
  <si>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</si>
  <si>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</si>
  <si>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</si>
  <si>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</si>
  <si>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</si>
  <si>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</si>
  <si>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</si>
  <si>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</si>
  <si>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</si>
  <si>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</si>
  <si>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</si>
  <si>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</si>
  <si>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</si>
  <si>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</si>
  <si>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</si>
  <si>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</si>
  <si>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</si>
  <si>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</si>
  <si>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</si>
  <si>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</si>
  <si>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</si>
  <si>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</si>
  <si>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</si>
  <si>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</si>
  <si>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</si>
  <si>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</si>
  <si>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</si>
  <si>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</si>
  <si>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</si>
  <si>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</si>
  <si>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</si>
  <si>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https://africanmarketingconfederation.org/amc-conference-2023/book-now::aioseo_low_image_alt_coverage</t>
  </si>
  <si>
    <t>https://africanmarketingconfederation.org/amc-conference-2023/book-now::aioseo_thin_content</t>
  </si>
  <si>
    <t>https://africanmarketingconfederation.org/amc-conference-2023/book-now-thank-you::aioseo_missing_h1_heading</t>
  </si>
  <si>
    <t>https://africanmarketingconfederation.org/amc-conference-2023/book-now-thank-you::aioseo_thin_content</t>
  </si>
  <si>
    <t>https://africanmarketingconfederation.org/amc-conference-2023/download-prospectus::aioseo_low_image_alt_coverage</t>
  </si>
  <si>
    <t>https://africanmarketingconfederation.org/amc-conference-2023/download-prospectus::aioseo_thin_content</t>
  </si>
  <si>
    <t>https://africanmarketingconfederation.org/amc-conference-2023/gallery::aioseo_low_image_alt_coverage</t>
  </si>
  <si>
    <t>https://africanmarketingconfederation.org/amc-conference-2023/gallery::aioseo_thin_content</t>
  </si>
  <si>
    <t>https://africanmarketingconfederation.org/amc-conference-2023/partners::aioseo_low_image_alt_coverage</t>
  </si>
  <si>
    <t>https://africanmarketingconfederation.org/amc-conference-2023/partners::aioseo_thin_content</t>
  </si>
  <si>
    <t>https://africanmarketingconfederation.org/amc-conference-2023/programme::aioseo_low_image_alt_coverage</t>
  </si>
  <si>
    <t>https://africanmarketingconfederation.org/amc-conference-2023/speakers::aioseo_thin_content</t>
  </si>
  <si>
    <t>https://africanmarketingconfederation.org/amc-conference-2024-sponsors-packages::aioseo_low_image_alt_coverage</t>
  </si>
  <si>
    <t>https://africanmarketingconfederation.org/amc-conference-2024-sponsors-packages::aioseo_thin_content</t>
  </si>
  <si>
    <t>https://africanmarketingconfederation.org/amc-conference-2025-highlights::aioseo_low_image_alt_coverage</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</si>
  <si>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</si>
  <si>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</si>
  <si>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</si>
  <si>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</si>
  <si>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</si>
  <si>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</si>
  <si>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</si>
  <si>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</si>
  <si>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</si>
  <si>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</si>
  <si>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</si>
  <si>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</si>
  <si>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</si>
  <si>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</si>
  <si>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</si>
  <si>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</si>
  <si>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https://africanmarketingconfederation.org/amc-conference-2023/book-now::aioseo_no_schema_markup_detected</t>
  </si>
  <si>
    <t>https://africanmarketingconfederation.org/amc-conference-2023/book-now-thank-you::aioseo_no_schema_markup_detected</t>
  </si>
  <si>
    <t>https://africanmarketingconfederation.org/amc-conference-2023/download-prospectus::aioseo_no_schema_markup_detected</t>
  </si>
  <si>
    <t>https://africanmarketingconfederation.org/amc-conference-2023/gallery::aioseo_no_schema_markup_detected</t>
  </si>
  <si>
    <t>https://africanmarketingconfederation.org/amc-conference-2023/partners::aioseo_no_schema_markup_detected</t>
  </si>
  <si>
    <t>https://africanmarketingconfederation.org/amc-conference-2023/programme::aioseo_no_schema_markup_detected</t>
  </si>
  <si>
    <t>https://africanmarketingconfederation.org/amc-conference-2023/speakers::aioseo_no_schema_markup_detected</t>
  </si>
  <si>
    <t>https://africanmarketingconfederation.org/amc-conference-2024-recap::aioseo_no_schema_markup_detected</t>
  </si>
  <si>
    <t>https://africanmarketingconfederation.org/amc-conference-2024-sponsors-packages::aioseo_no_schema_markup_detected</t>
  </si>
  <si>
    <t>https://africanmarketingconfederation.org/amc-conference-2025-highlights::aioseo_no_schema_markup_detected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</si>
  <si>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</si>
  <si>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</si>
  <si>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</si>
  <si>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</si>
  <si>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</si>
  <si>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</si>
  <si>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</si>
  <si>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</si>
  <si>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</si>
  <si>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</si>
  <si>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</si>
  <si>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https://africanmarketingconfederation.org/amc-conference-2023/book-now::aioseo_meta_description_too_long</t>
  </si>
  <si>
    <t>https://africanmarketingconfederation.org/amc-conference-2023/book-now-thank-you::aioseo_meta_description_too_long</t>
  </si>
  <si>
    <t>https://africanmarketingconfederation.org/amc-conference-2023/download-prospectus::aioseo_meta_description_too_long</t>
  </si>
  <si>
    <t>Meta description too short</t>
  </si>
  <si>
    <t>Expand meta description in AIOSEO to include key value points and intent terms naturally.</t>
  </si>
  <si>
    <t>https://africanmarketingconfederation.org/amc-conference-2023/gallery::aioseo_meta_description_too_short</t>
  </si>
  <si>
    <t>Short descriptions can under-communicate relevance and value.</t>
  </si>
  <si>
    <t>https://africanmarketingconfederation.org/amc-conference-2023/partners::aioseo_meta_description_too_short</t>
  </si>
  <si>
    <t>https://africanmarketingconfederation.org/amc-conference-2023/programme::aioseo_meta_description_too_long</t>
  </si>
  <si>
    <t>https://africanmarketingconfederation.org/amc-conference-2023/speakers::aioseo_meta_description_too_long</t>
  </si>
  <si>
    <t>https://africanmarketingconfederation.org/amc-conference-2024-recap::aioseo_meta_description_too_long</t>
  </si>
  <si>
    <t>https://africanmarketingconfederation.org/amc-conference-2024-sponsors-packages::aioseo_meta_description_too_long</t>
  </si>
  <si>
    <t>https://africanmarketingconfederation.org/amc-conference-2025-highlights::aioseo_meta_description_too_long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</si>
  <si>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</si>
  <si>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</si>
  <si>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</si>
  <si>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</si>
  <si>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</si>
  <si>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</si>
  <si>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</si>
  <si>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</si>
  <si>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</si>
  <si>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</si>
  <si>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</si>
  <si>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</si>
  <si>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</si>
  <si>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</si>
  <si>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</si>
  <si>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https://africanmarketingconfederation.org/amc-conference-2023/book-now::aioseo_no_concise_answer_paragraph_40-60_words_</t>
  </si>
  <si>
    <t>https://africanmarketingconfederation.org/amc-conference-2023/book-now-thank-you::aioseo_no_concise_answer_paragraph_40-60_words_</t>
  </si>
  <si>
    <t>https://africanmarketingconfederation.org/amc-conference-2023/download-prospectus::aioseo_no_concise_answer_paragraph_40-60_words_</t>
  </si>
  <si>
    <t>https://africanmarketingconfederation.org/amc-conference-2023/gallery::aioseo_no_concise_answer_paragraph_40-60_words_</t>
  </si>
  <si>
    <t>https://africanmarketingconfederation.org/amc-conference-2023/partners::aioseo_no_concise_answer_paragraph_40-60_words_</t>
  </si>
  <si>
    <t>https://africanmarketingconfederation.org/amc-conference-2023/programme::aioseo_no_concise_answer_paragraph_40-60_words_</t>
  </si>
  <si>
    <t>https://africanmarketingconfederation.org/amc-conference-2023/speakers::aioseo_no_concise_answer_paragraph_40-60_words_</t>
  </si>
  <si>
    <t>https://africanmarketingconfederation.org/amc-conference-2024-recap::aioseo_no_concise_answer_paragraph_40-60_words_</t>
  </si>
  <si>
    <t>https://africanmarketingconfederation.org/amc-conference-2024-sponsors-packages::aioseo_no_concise_answer_paragraph_40-60_words_</t>
  </si>
  <si>
    <t>https://africanmarketingconfederation.org/amc-conference-2025-highlights::aioseo_no_concise_answer_paragraph_40-60_words_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</si>
  <si>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</si>
  <si>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</si>
  <si>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</si>
  <si>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</si>
  <si>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</si>
  <si>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</si>
  <si>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</si>
  <si>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</si>
  <si>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</si>
  <si>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</si>
  <si>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</si>
  <si>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</si>
  <si>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</si>
  <si>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</si>
  <si>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</si>
  <si>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</si>
  <si>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</si>
  <si>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</si>
  <si>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</si>
  <si>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</si>
  <si>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</si>
  <si>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</si>
  <si>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Low readability score</t>
  </si>
  <si>
    <t>&gt;=50</t>
  </si>
  <si>
    <t>Use shorter sentences/paragraphs, clearer transitions, and simpler phrasing in page content.</t>
  </si>
  <si>
    <t>https://africanmarketingconfederation.org/amc-conference-2023/book-now::aioseo_low_readability_score</t>
  </si>
  <si>
    <t>Hard-to-read content lowers engagement and comprehension.</t>
  </si>
  <si>
    <t>https://africanmarketingconfederation.org/amc-conference-2023/book-now::aioseo_no_question-style_headings</t>
  </si>
  <si>
    <t>https://africanmarketingconfederation.org/amc-conference-2023/book-now-thank-you::aioseo_no_question-style_headings</t>
  </si>
  <si>
    <t>https://africanmarketingconfederation.org/amc-conference-2023/download-prospectus::aioseo_no_question-style_headings</t>
  </si>
  <si>
    <t>https://africanmarketingconfederation.org/amc-conference-2023/gallery::aioseo_no_question-style_headings</t>
  </si>
  <si>
    <t>https://africanmarketingconfederation.org/amc-conference-2023/partners::aioseo_no_question-style_headings</t>
  </si>
  <si>
    <t>https://africanmarketingconfederation.org/amc-conference-2023/programme::aioseo_no_question-style_headings</t>
  </si>
  <si>
    <t>https://africanmarketingconfederation.org/amc-conference-2023/speakers::aioseo_no_question-style_headings</t>
  </si>
  <si>
    <t>https://africanmarketingconfederation.org/amc-conference-2024-recap::aioseo_multiple_h1_headings</t>
  </si>
  <si>
    <t>https://africanmarketingconfederation.org/amc-conference-2024-recap::aioseo_no_question-style_headings</t>
  </si>
  <si>
    <t>https://africanmarketingconfederation.org/amc-conference-2024-sponsors-packages::aioseo_no_question-style_headings</t>
  </si>
  <si>
    <t>https://africanmarketingconfederation.org/amc-conference-2025-highlights::aioseo_multiple_h1_headings</t>
  </si>
  <si>
    <t>https://africanmarketingconfederation.org/amc-conference-2025-highlights::aioseo_no_question-style_headings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</si>
  <si>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</si>
  <si>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</si>
  <si>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</si>
  <si>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</si>
  <si>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</si>
  <si>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</si>
  <si>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</si>
  <si>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</si>
  <si>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</si>
  <si>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</si>
  <si>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</si>
  <si>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</si>
  <si>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</si>
  <si>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</si>
  <si>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</si>
  <si>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https://africanmarketingconfederation.org/amc-conference-2023/book-now::aioseo_no_faq_qa_schema</t>
  </si>
  <si>
    <t>https://africanmarketingconfederation.org/amc-conference-2023/book-now-thank-you::aioseo_no_faq_qa_schema</t>
  </si>
  <si>
    <t>https://africanmarketingconfederation.org/amc-conference-2023/download-prospectus::aioseo_no_faq_qa_schema</t>
  </si>
  <si>
    <t>https://africanmarketingconfederation.org/amc-conference-2023/gallery::aioseo_no_faq_qa_schema</t>
  </si>
  <si>
    <t>https://africanmarketingconfederation.org/amc-conference-2023/partners::aioseo_no_faq_qa_schema</t>
  </si>
  <si>
    <t>https://africanmarketingconfederation.org/amc-conference-2023/programme::aioseo_no_faq_qa_schema</t>
  </si>
  <si>
    <t>https://africanmarketingconfederation.org/amc-conference-2023/speakers::aioseo_no_faq_qa_schema</t>
  </si>
  <si>
    <t>https://africanmarketingconfederation.org/amc-conference-2024-recap::aioseo_no_faq_qa_schema</t>
  </si>
  <si>
    <t>https://africanmarketingconfederation.org/amc-conference-2024-sponsors-packages::aioseo_no_faq_qa_schema</t>
  </si>
  <si>
    <t>https://africanmarketingconfederation.org/amc-conference-2025-highlights::aioseo_no_faq_qa_schema</t>
  </si>
  <si>
    <t>Title</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</si>
  <si>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</si>
  <si>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</si>
  <si>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</si>
  <si>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</si>
  <si>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</si>
  <si>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</si>
  <si>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</si>
  <si>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</si>
  <si>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</si>
  <si>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https://africanmarketingconfederation.org/amc-conference-2025-highlights::aioseo_seo_title_too_long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</si>
  <si>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</si>
  <si>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</si>
  <si>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</si>
  <si>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</si>
  <si>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</si>
  <si>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</si>
  <si>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</si>
  <si>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</si>
  <si>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</si>
  <si>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</si>
  <si>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</si>
  <si>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</si>
  <si>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</si>
  <si>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</si>
  <si>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</si>
  <si>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</si>
  <si>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</si>
  <si>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</si>
  <si>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</si>
  <si>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</si>
  <si>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</si>
  <si>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</si>
  <si>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</si>
  <si>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</si>
  <si>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</si>
  <si>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</si>
  <si>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</si>
  <si>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</si>
  <si>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</si>
  <si>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</si>
  <si>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</si>
  <si>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</si>
  <si>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</si>
  <si>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</si>
  <si>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</si>
  <si>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</si>
  <si>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</si>
  <si>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</si>
  <si>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</si>
  <si>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</si>
  <si>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</si>
  <si>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</si>
  <si>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</si>
  <si>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</si>
  <si>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</si>
  <si>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</si>
  <si>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</si>
  <si>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</si>
  <si>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</si>
  <si>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</si>
  <si>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</si>
  <si>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</si>
  <si>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</si>
  <si>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</si>
  <si>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</si>
  <si>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</si>
  <si>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</si>
  <si>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</si>
  <si>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</si>
  <si>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</si>
  <si>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</si>
  <si>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</si>
  <si>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</si>
  <si>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</si>
  <si>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</si>
  <si>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</si>
  <si>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</si>
  <si>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</si>
  <si>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</si>
  <si>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</si>
  <si>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</si>
  <si>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</si>
  <si>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</si>
  <si>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</si>
  <si>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</si>
  <si>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</si>
  <si>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</si>
  <si>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</si>
  <si>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</si>
  <si>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</si>
  <si>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</si>
  <si>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</si>
  <si>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</si>
  <si>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</si>
  <si>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</si>
  <si>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</si>
  <si>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</si>
  <si>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</si>
  <si>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</si>
  <si>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</si>
  <si>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</si>
  <si>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</si>
  <si>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</si>
  <si>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</si>
  <si>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</si>
  <si>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</si>
  <si>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</si>
  <si>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</si>
  <si>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</si>
  <si>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</si>
  <si>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</si>
  <si>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</si>
  <si>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</si>
  <si>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</si>
  <si>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</si>
  <si>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</si>
  <si>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</si>
  <si>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</si>
  <si>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</si>
  <si>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</si>
  <si>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</si>
  <si>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</si>
  <si>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</si>
  <si>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</si>
  <si>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</si>
  <si>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</si>
  <si>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</si>
  <si>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</si>
  <si>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</si>
  <si>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</si>
  <si>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</si>
  <si>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</si>
  <si>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</si>
  <si>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</si>
  <si>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</si>
  <si>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</si>
  <si>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</si>
  <si>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</si>
  <si>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</si>
  <si>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</si>
  <si>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</si>
  <si>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</si>
  <si>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</si>
  <si>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</si>
  <si>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</si>
  <si>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</si>
  <si>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</si>
  <si>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</si>
  <si>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</si>
  <si>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</si>
  <si>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</si>
  <si>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</si>
  <si>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</si>
  <si>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</si>
  <si>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</si>
  <si>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</si>
  <si>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</si>
  <si>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</si>
  <si>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</si>
  <si>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</si>
  <si>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</si>
  <si>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</si>
  <si>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</si>
  <si>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</si>
  <si>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</si>
  <si>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</si>
  <si>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</si>
  <si>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</si>
  <si>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</si>
  <si>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</si>
  <si>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</si>
  <si>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</si>
  <si>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</si>
  <si>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</si>
  <si>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</si>
  <si>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</si>
  <si>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</si>
  <si>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</si>
  <si>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</si>
  <si>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</si>
  <si>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</si>
  <si>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</si>
  <si>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</si>
  <si>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</si>
  <si>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</si>
  <si>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</si>
  <si>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</si>
  <si>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</si>
  <si>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</si>
  <si>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</si>
  <si>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</si>
  <si>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</si>
  <si>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</si>
  <si>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</si>
  <si>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</si>
  <si>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</si>
  <si>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</si>
  <si>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</si>
  <si>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</si>
  <si>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</si>
  <si>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</si>
  <si>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</si>
  <si>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</si>
  <si>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</si>
  <si>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</si>
  <si>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</si>
  <si>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</si>
  <si>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</si>
  <si>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</si>
  <si>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</si>
  <si>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</si>
  <si>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</si>
  <si>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</si>
  <si>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</si>
  <si>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</si>
  <si>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</si>
  <si>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</si>
  <si>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</si>
  <si>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</si>
  <si>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</si>
  <si>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</si>
  <si>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</si>
  <si>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</si>
  <si>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</si>
  <si>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</si>
  <si>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</si>
  <si>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</si>
  <si>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</si>
  <si>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</si>
  <si>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</si>
  <si>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</si>
  <si>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</si>
  <si>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</si>
  <si>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</si>
  <si>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</si>
  <si>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</si>
  <si>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</si>
  <si>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</si>
  <si>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</si>
  <si>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</si>
  <si>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</si>
  <si>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</si>
  <si>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14:58:03</t>
  </si>
  <si>
    <t>Total URLs</t>
  </si>
  <si>
    <t>Mode</t>
  </si>
  <si>
    <t>Full Suite</t>
  </si>
  <si>
    <t>Workers</t>
  </si>
  <si>
    <t>Delay Seconds</t>
  </si>
  <si>
    <t>Retries</t>
  </si>
  <si>
    <t>Timeout Seconds</t>
  </si>
  <si>
    <t>Checkpoint Every</t>
  </si>
  <si>
    <t>Previous Audit Path</t>
  </si>
  <si>
    <t>Not supplied</t>
  </si>
  <si>
    <t>External Link Unique Denominator</t>
  </si>
  <si>
    <t>External Link Unique 200 OK</t>
  </si>
  <si>
    <t>External Sniff Performed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</si>
  <si>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</si>
  <si>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</si>
  <si>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</si>
  <si>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</si>
  <si>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</si>
  <si>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</si>
  <si>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</si>
  <si>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</si>
  <si>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</si>
  <si>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</si>
  <si>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</si>
  <si>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</si>
  <si>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</si>
  <si>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</si>
  <si>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</si>
  <si>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</si>
  <si>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</si>
  <si>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</si>
  <si>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</si>
  <si>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</si>
  <si>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</si>
  <si>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</si>
  <si>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</si>
  <si>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</si>
  <si>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</si>
  <si>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</si>
  <si>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</si>
  <si>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</si>
  <si>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</si>
  <si>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</si>
  <si>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WARN 🟡</t>
  </si>
  <si>
    <t>https://africanmarketingconfederation.org/wp-content/uploads/2026/03/og-image.png</t>
  </si>
  <si>
    <t>Lab</t>
  </si>
  <si>
    <t>https://africanmarketingconfederation.org/wp-content/uploads/2021/08/amc_faw.png</t>
  </si>
  <si>
    <t>https://africanmarketingconfederation.org/wp-content/uploads/2023/08/AMC-Logo-03.png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</si>
</sst>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C09]#,##0.00"/>
    <numFmt numFmtId="165" formatCode="[$-1C09]#,##0"/>
    <numFmt numFmtId="166" formatCode="0.0"/>
    <numFmt numFmtId="167" formatCode="[$-1C09]dd/mm/yyyy\ hh:mm:ss"/>
    <numFmt numFmtId="168"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1">
    <fill>
      <patternFill patternType="none"/>
    </fill>
    <fill>
      <patternFill patternType="gray125"/>
    </fill>
    <fill>
      <patternFill patternType="solid">
        <fgColor rgb="FFD9EAD3"/>
        <bgColor rgb="FFD9EAD3"/>
      </patternFill>
    </fill>
    <fill>
      <patternFill patternType="solid">
        <fgColor rgb="FFF4B183"/>
        <bgColor rgb="FFF4B183"/>
      </patternFill>
    </fill>
    <fill>
      <patternFill patternType="solid">
        <fgColor rgb="FFF4CCCC"/>
        <bgColor rgb="FFF4CCCC"/>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EB9C"/>
      </patternFill>
    </fill>
    <fill>
      <patternFill patternType="solid">
        <fgColor rgb="FFFFC7CE"/>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
      <patternFill patternType="solid">
        <fgColor rgb="FF92D050"/>
        <bgColor rgb="FF92D050"/>
      </patternFill>
    </fill>
  </fills>
  <borders count="1">
    <border>
      <left/>
      <right/>
      <top/>
      <bottom/>
      <diagonal/>
    </border>
  </borders>
  <cellStyleXfs count="2">
    <xf numFmtId="0" fontId="0" fillId="0" borderId="0"/>
    <xf numFmtId="0" fontId="1" fillId="0" borderId="0"/>
  </cellStyleXfs>
  <cellXfs count="74">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10" fontId="9" fillId="9" borderId="0" xfId="0" applyNumberFormat="1"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10" fontId="9" fillId="16" borderId="0" xfId="0" applyNumberFormat="1" applyFont="1" applyFill="1" applyAlignment="1">
      <alignment horizontal="center" vertical="center" wrapText="1"/>
    </xf>
    <xf numFmtId="0" fontId="0" fillId="12" borderId="0" xfId="0" applyFill="1" applyAlignment="1">
      <alignment horizontal="center" vertical="center"/>
    </xf>
    <xf numFmtId="166" fontId="9" fillId="9" borderId="0" xfId="0" applyNumberFormat="1" applyFont="1" applyFill="1" applyAlignment="1">
      <alignment horizontal="center" vertical="center" wrapText="1"/>
    </xf>
    <xf numFmtId="0" fontId="9" fillId="9" borderId="0" xfId="0" applyFont="1" applyFill="1" applyAlignment="1">
      <alignment horizontal="center" vertical="center" wrapText="1"/>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center" vertical="center" wrapText="1"/>
    </xf>
    <xf numFmtId="0" fontId="0" fillId="10" borderId="0" xfId="0" applyFill="1"/>
    <xf numFmtId="0" fontId="10" fillId="9" borderId="0" xfId="0" applyFont="1" applyFill="1" applyAlignment="1">
      <alignment horizontal="center" vertical="center" wrapText="1"/>
    </xf>
    <xf numFmtId="1" fontId="9" fillId="9" borderId="0" xfId="0" applyNumberFormat="1" applyFont="1" applyFill="1" applyAlignment="1">
      <alignment horizontal="center" vertical="center" wrapText="1"/>
    </xf>
    <xf numFmtId="0" fontId="2" fillId="13" borderId="0" xfId="0" applyFont="1" applyFill="1" applyAlignment="1">
      <alignment horizontal="center" vertical="center" wrapText="1"/>
    </xf>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5" borderId="0" xfId="0" applyFill="1" applyAlignment="1">
      <alignment vertical="top"/>
    </xf>
    <xf numFmtId="0" fontId="0" fillId="4" borderId="0" xfId="0" applyFill="1" applyAlignment="1">
      <alignment vertical="top"/>
    </xf>
    <xf numFmtId="165" fontId="0" fillId="4" borderId="0" xfId="0" applyNumberFormat="1" applyFill="1" applyAlignment="1">
      <alignment vertical="top"/>
    </xf>
    <xf numFmtId="165" fontId="0" fillId="5" borderId="0" xfId="0" applyNumberFormat="1" applyFill="1" applyAlignment="1">
      <alignment vertical="top"/>
    </xf>
    <xf numFmtId="0" fontId="0" fillId="5" borderId="0" xfId="0" applyFill="1" applyAlignment="1">
      <alignment vertical="top" wrapText="1"/>
    </xf>
    <xf numFmtId="0" fontId="1" fillId="5" borderId="0" xfId="1" applyFill="1" applyAlignment="1">
      <alignment vertical="top"/>
    </xf>
    <xf numFmtId="165" fontId="0" fillId="18" borderId="0" xfId="0" applyNumberFormat="1" applyFill="1" applyAlignment="1">
      <alignment vertical="top"/>
    </xf>
    <xf numFmtId="167" fontId="0" fillId="5" borderId="0" xfId="0" applyNumberFormat="1" applyFill="1" applyAlignment="1">
      <alignment vertical="top"/>
    </xf>
    <xf numFmtId="0" fontId="0" fillId="5"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7" fontId="0" fillId="0" borderId="0" xfId="0" applyNumberFormat="1" applyAlignment="1">
      <alignment vertical="top"/>
    </xf>
    <xf numFmtId="0" fontId="0" fillId="3" borderId="0" xfId="0" applyFill="1" applyAlignment="1">
      <alignment vertical="top"/>
    </xf>
    <xf numFmtId="165" fontId="0" fillId="2" borderId="0" xfId="0" applyNumberFormat="1" applyFill="1" applyAlignment="1">
      <alignment vertical="top"/>
    </xf>
    <xf numFmtId="0" fontId="0" fillId="18" borderId="0" xfId="0" applyFill="1" applyAlignment="1">
      <alignment vertical="top"/>
    </xf>
    <xf numFmtId="0" fontId="1" fillId="5" borderId="0" xfId="1" applyFill="1" applyAlignment="1">
      <alignment vertical="top" wrapText="1"/>
    </xf>
    <xf numFmtId="0" fontId="1" fillId="0" borderId="0" xfId="1" applyAlignment="1">
      <alignment vertical="top" wrapText="1"/>
    </xf>
    <xf numFmtId="0" fontId="0" fillId="2"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5"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5" borderId="0" xfId="0" applyFont="1" applyFill="1" applyAlignment="1">
      <alignment vertical="top"/>
    </xf>
    <xf numFmtId="0" fontId="1" fillId="5" borderId="0" xfId="1" applyFill="1"/>
    <xf numFmtId="0" fontId="1" fillId="0" borderId="0" xfId="1"/>
    <xf numFmtId="168" fontId="0" fillId="4" borderId="0" xfId="0" applyNumberFormat="1" applyFill="1" applyAlignment="1">
      <alignment vertical="top"/>
    </xf>
    <xf numFmtId="168" fontId="0" fillId="18" borderId="0" xfId="0" applyNumberFormat="1" applyFill="1" applyAlignment="1">
      <alignment vertical="top"/>
    </xf>
    <xf numFmtId="0" fontId="3" fillId="20" borderId="0" xfId="0" applyFont="1" applyFill="1" applyAlignment="1">
      <alignment horizontal="center" vertical="center" wrapText="1"/>
    </xf>
    <xf numFmtId="0" fontId="0" fillId="2" borderId="0" xfId="0" applyFill="1" applyAlignment="1">
      <alignment vertical="top" wrapText="1"/>
    </xf>
    <xf numFmtId="0" fontId="16" fillId="5" borderId="0" xfId="1" applyFont="1" applyFill="1" applyAlignment="1">
      <alignment vertical="top" wrapText="1"/>
    </xf>
    <xf numFmtId="0" fontId="16" fillId="0" borderId="0" xfId="1" applyFont="1" applyAlignment="1">
      <alignment vertical="top" wrapText="1"/>
    </xf>
    <xf numFmtId="167" fontId="0" fillId="2"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122">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b/>
        <color rgb="FFFFFFFF"/>
      </font>
      <fill>
        <patternFill patternType="solid">
          <fgColor rgb="FFFF0000"/>
          <bgColor rgb="FFFF0000"/>
        </patternFill>
      </fill>
    </dxf>
    <dxf>
      <font>
        <b/>
        <color rgb="FF9C0006"/>
      </font>
    </dxf>
    <dxf>
      <fill>
        <patternFill patternType="solid">
          <fgColor rgb="FFF4CCCC"/>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0/07/relationships/rdRichValueWebImage" Target="richData/rdRichValueWebImag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6" Type="http://schemas.openxmlformats.org/officeDocument/2006/relationships/image" Target="../media/image3.png"/><Relationship Id="rId5" Type="http://schemas.openxmlformats.org/officeDocument/2006/relationships/hyperlink" Target="https://africanmarketingconfederation.org/wp-content/uploads/2023/08/AMC-Logo-03.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Srd>
</file>

<file path=xl/richData/rdrichvalue.xml><?xml version="1.0" encoding="utf-8"?>
<rvData xmlns="http://schemas.microsoft.com/office/spreadsheetml/2017/richdata" count="3">
  <rv s="0">
    <v>0</v>
    <v>1</v>
    <v>0</v>
    <v>0</v>
  </rv>
  <rv s="0">
    <v>1</v>
    <v>1</v>
    <v>0</v>
    <v>0</v>
  </rv>
  <rv s="0">
    <v>2</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mc-awards-2024" TargetMode="External"/><Relationship Id="rId13" Type="http://schemas.openxmlformats.org/officeDocument/2006/relationships/vmlDrawing" Target="../drawings/vmlDrawing2.vm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about-us" TargetMode="External"/><Relationship Id="rId12" Type="http://schemas.openxmlformats.org/officeDocument/2006/relationships/hyperlink" Target="https://africanmarketingconfederation.org/amc-conference-2025-highlights"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mc-awards-2024"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mc-awards-2024" TargetMode="External"/><Relationship Id="rId1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13" Type="http://schemas.openxmlformats.org/officeDocument/2006/relationships/hyperlink" Target="https://africanmarketingconfederation.org/amc-conference-2023/book-now" TargetMode="External"/><Relationship Id="rId18" Type="http://schemas.openxmlformats.org/officeDocument/2006/relationships/hyperlink" Target="https://africanmarketingconfederation.org/amc-conference-2023/programme" TargetMode="External"/><Relationship Id="rId3" Type="http://schemas.openxmlformats.org/officeDocument/2006/relationships/hyperlink" Target="https://africanmarketingconfederation.org/" TargetMode="External"/><Relationship Id="rId21" Type="http://schemas.openxmlformats.org/officeDocument/2006/relationships/vmlDrawing" Target="../drawings/vmlDrawing3.vml"/><Relationship Id="rId7" Type="http://schemas.openxmlformats.org/officeDocument/2006/relationships/hyperlink" Target="https://africanmarketingconfederation.org/amc-conference-2025-highlights" TargetMode="External"/><Relationship Id="rId12" Type="http://schemas.openxmlformats.org/officeDocument/2006/relationships/hyperlink" Target="https://africanmarketingconfederation.org/amc-conference-2023/book-now-thank-you" TargetMode="External"/><Relationship Id="rId17" Type="http://schemas.openxmlformats.org/officeDocument/2006/relationships/hyperlink" Target="https://africanmarketingconfederation.org/amc-conference-2024-recap" TargetMode="External"/><Relationship Id="rId2" Type="http://schemas.openxmlformats.org/officeDocument/2006/relationships/hyperlink" Target="https://africanmarketingconfederation.org/amc-awards-2024" TargetMode="External"/><Relationship Id="rId16" Type="http://schemas.openxmlformats.org/officeDocument/2006/relationships/hyperlink" Target="https://africanmarketingconfederation.org/amc-conference-2023/partners" TargetMode="External"/><Relationship Id="rId20" Type="http://schemas.openxmlformats.org/officeDocument/2006/relationships/hyperlink" Target="https://africanmarketingconfederation.org/amc-conference-2023/speakers"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 TargetMode="External"/><Relationship Id="rId11" Type="http://schemas.openxmlformats.org/officeDocument/2006/relationships/hyperlink" Target="https://africanmarketingconfederation.org/amc-conference-2023/amc-awards" TargetMode="External"/><Relationship Id="rId5"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gallery" TargetMode="External"/><Relationship Id="rId10" Type="http://schemas.openxmlformats.org/officeDocument/2006/relationships/hyperlink" Target="https://africanmarketingconfederation.org/amc-conference-2023" TargetMode="External"/><Relationship Id="rId19" Type="http://schemas.openxmlformats.org/officeDocument/2006/relationships/hyperlink" Target="https://africanmarketingconfederation.org/amc-conference-2024-sponsors-packages"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frican-marketing-confederation-tourism-chapter" TargetMode="External"/><Relationship Id="rId14" Type="http://schemas.openxmlformats.org/officeDocument/2006/relationships/hyperlink" Target="https://africanmarketingconfederation.org/amc-conference-2023/download-prospectus" TargetMode="External"/><Relationship Id="rId2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17" Type="http://schemas.openxmlformats.org/officeDocument/2006/relationships/hyperlink" Target="https://africanmarketingconfederation.org/amc-conference-2023/programme" TargetMode="External"/><Relationship Id="rId21" Type="http://schemas.openxmlformats.org/officeDocument/2006/relationships/hyperlink" Target="https://africanmarketingconfederation.org/" TargetMode="External"/><Relationship Id="rId42" Type="http://schemas.openxmlformats.org/officeDocument/2006/relationships/hyperlink" Target="https://africanmarketingconfederation.org/amc-conference-2022-thank-you" TargetMode="External"/><Relationship Id="rId63"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amc-conference-2023/book-now" TargetMode="External"/><Relationship Id="rId138" Type="http://schemas.openxmlformats.org/officeDocument/2006/relationships/hyperlink" Target="https://africanmarketingconfederation.org/amc-conference-2025-highlights" TargetMode="External"/><Relationship Id="rId107" Type="http://schemas.openxmlformats.org/officeDocument/2006/relationships/hyperlink" Target="https://africanmarketingconfederation.org/amc-conference-2023/partners" TargetMode="External"/><Relationship Id="rId11" Type="http://schemas.openxmlformats.org/officeDocument/2006/relationships/hyperlink" Target="https://africanmarketingconfederation.org/about-u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conference-2022-prospectus" TargetMode="External"/><Relationship Id="rId53"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amc-conference-2023" TargetMode="External"/><Relationship Id="rId74" Type="http://schemas.openxmlformats.org/officeDocument/2006/relationships/hyperlink" Target="https://africanmarketingconfederation.org/amc-conference-2023/book-now-thank-you" TargetMode="External"/><Relationship Id="rId79" Type="http://schemas.openxmlformats.org/officeDocument/2006/relationships/hyperlink" Target="https://africanmarketingconfederation.org/amc-conference-2023/book-now-thank-you" TargetMode="External"/><Relationship Id="rId102" Type="http://schemas.openxmlformats.org/officeDocument/2006/relationships/hyperlink" Target="https://africanmarketingconfederation.org/amc-conference-2023/partners" TargetMode="External"/><Relationship Id="rId123" Type="http://schemas.openxmlformats.org/officeDocument/2006/relationships/hyperlink" Target="https://africanmarketingconfederation.org/amc-conference-2023/speakers" TargetMode="External"/><Relationship Id="rId128" Type="http://schemas.openxmlformats.org/officeDocument/2006/relationships/hyperlink" Target="https://africanmarketingconfederation.org/amc-conference-2024-sponsors-packages" TargetMode="External"/><Relationship Id="rId5" Type="http://schemas.openxmlformats.org/officeDocument/2006/relationships/hyperlink" Target="https://africanmarketingconfederation.org/amc-awards-2024" TargetMode="External"/><Relationship Id="rId90" Type="http://schemas.openxmlformats.org/officeDocument/2006/relationships/hyperlink" Target="https://africanmarketingconfederation.org/amc-conference-2023/download-prospectus" TargetMode="External"/><Relationship Id="rId95"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 TargetMode="External"/><Relationship Id="rId27" Type="http://schemas.openxmlformats.org/officeDocument/2006/relationships/hyperlink" Target="https://africanmarketingconfederation.org/african-marketing-confederation-tourism-chapter" TargetMode="External"/><Relationship Id="rId43" Type="http://schemas.openxmlformats.org/officeDocument/2006/relationships/hyperlink" Target="https://africanmarketingconfederation.org/amc-conference-2022-thank-you" TargetMode="External"/><Relationship Id="rId48" Type="http://schemas.openxmlformats.org/officeDocument/2006/relationships/hyperlink" Target="https://africanmarketingconfederation.org/amc-conference-2022" TargetMode="External"/><Relationship Id="rId64" Type="http://schemas.openxmlformats.org/officeDocument/2006/relationships/hyperlink" Target="https://africanmarketingconfederation.org/amc-conference-2023/amc-awards-book-now" TargetMode="External"/><Relationship Id="rId69" Type="http://schemas.openxmlformats.org/officeDocument/2006/relationships/hyperlink" Target="https://africanmarketingconfederation.org/amc-conference-2023/amc-awards" TargetMode="External"/><Relationship Id="rId113" Type="http://schemas.openxmlformats.org/officeDocument/2006/relationships/hyperlink" Target="https://africanmarketingconfederation.org/amc-conference-2024-recap" TargetMode="External"/><Relationship Id="rId118" Type="http://schemas.openxmlformats.org/officeDocument/2006/relationships/hyperlink" Target="https://africanmarketingconfederation.org/amc-conference-2023/programme" TargetMode="External"/><Relationship Id="rId134" Type="http://schemas.openxmlformats.org/officeDocument/2006/relationships/hyperlink" Target="https://africanmarketingconfederation.org/amc-conference-2025-highlights" TargetMode="External"/><Relationship Id="rId139" Type="http://schemas.openxmlformats.org/officeDocument/2006/relationships/hyperlink" Target="https://africanmarketingconfederation.org/amc-conference-2025-highlights" TargetMode="External"/><Relationship Id="rId80" Type="http://schemas.openxmlformats.org/officeDocument/2006/relationships/hyperlink" Target="https://africanmarketingconfederation.org/amc-conference-2023/book-now-thank-you" TargetMode="External"/><Relationship Id="rId85" Type="http://schemas.openxmlformats.org/officeDocument/2006/relationships/hyperlink" Target="https://africanmarketingconfederation.org/amc-conference-2023/book-now" TargetMode="External"/><Relationship Id="rId12" Type="http://schemas.openxmlformats.org/officeDocument/2006/relationships/hyperlink" Target="https://africanmarketingconfederation.org/about-us" TargetMode="External"/><Relationship Id="rId17" Type="http://schemas.openxmlformats.org/officeDocument/2006/relationships/hyperlink" Target="https://africanmarketingconfederation.org/" TargetMode="External"/><Relationship Id="rId33" Type="http://schemas.openxmlformats.org/officeDocument/2006/relationships/hyperlink" Target="https://africanmarketingconfederation.org/amc-conference-2022-prospectus" TargetMode="External"/><Relationship Id="rId38"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conference-2023/amc-awards-book-now" TargetMode="External"/><Relationship Id="rId103" Type="http://schemas.openxmlformats.org/officeDocument/2006/relationships/hyperlink" Target="https://africanmarketingconfederation.org/amc-conference-2023/partners" TargetMode="External"/><Relationship Id="rId108" Type="http://schemas.openxmlformats.org/officeDocument/2006/relationships/hyperlink" Target="https://africanmarketingconfederation.org/amc-conference-2023/partners" TargetMode="External"/><Relationship Id="rId124" Type="http://schemas.openxmlformats.org/officeDocument/2006/relationships/hyperlink" Target="https://africanmarketingconfederation.org/amc-conference-2023/speakers" TargetMode="External"/><Relationship Id="rId129" Type="http://schemas.openxmlformats.org/officeDocument/2006/relationships/hyperlink" Target="https://africanmarketingconfederation.org/amc-conference-2024-sponsors-packages" TargetMode="External"/><Relationship Id="rId54" Type="http://schemas.openxmlformats.org/officeDocument/2006/relationships/hyperlink" Target="https://africanmarketingconfederation.org/amc-conference-2023" TargetMode="External"/><Relationship Id="rId70" Type="http://schemas.openxmlformats.org/officeDocument/2006/relationships/hyperlink" Target="https://africanmarketingconfederation.org/amc-conference-2023/amc-awards" TargetMode="External"/><Relationship Id="rId75" Type="http://schemas.openxmlformats.org/officeDocument/2006/relationships/hyperlink" Target="https://africanmarketingconfederation.org/amc-conference-2023/book-now-thank-you" TargetMode="External"/><Relationship Id="rId91" Type="http://schemas.openxmlformats.org/officeDocument/2006/relationships/hyperlink" Target="https://africanmarketingconfederation.org/amc-conference-2023/download-prospectus" TargetMode="External"/><Relationship Id="rId96" Type="http://schemas.openxmlformats.org/officeDocument/2006/relationships/hyperlink" Target="https://africanmarketingconfederation.org/amc-conference-2023/gallery" TargetMode="External"/><Relationship Id="rId140" Type="http://schemas.openxmlformats.org/officeDocument/2006/relationships/hyperlink" Target="https://africanmarketingconfederation.org/amc-conference-2025-highlight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awards-2024"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african-marketing-confederation-tourism-chapter" TargetMode="External"/><Relationship Id="rId49" Type="http://schemas.openxmlformats.org/officeDocument/2006/relationships/hyperlink" Target="https://africanmarketingconfederation.org/amc-conference-2022" TargetMode="External"/><Relationship Id="rId114" Type="http://schemas.openxmlformats.org/officeDocument/2006/relationships/hyperlink" Target="https://africanmarketingconfederation.org/amc-conference-2024-recap" TargetMode="External"/><Relationship Id="rId119" Type="http://schemas.openxmlformats.org/officeDocument/2006/relationships/hyperlink" Target="https://africanmarketingconfederation.org/amc-conference-2023/programme" TargetMode="External"/><Relationship Id="rId44" Type="http://schemas.openxmlformats.org/officeDocument/2006/relationships/hyperlink" Target="https://africanmarketingconfederation.org/amc-conference-2022-thank-you" TargetMode="External"/><Relationship Id="rId60" Type="http://schemas.openxmlformats.org/officeDocument/2006/relationships/hyperlink" Target="https://africanmarketingconfederation.org/amc-conference-2023/amc-awards-book-now" TargetMode="External"/><Relationship Id="rId65" Type="http://schemas.openxmlformats.org/officeDocument/2006/relationships/hyperlink" Target="https://africanmarketingconfederation.org/amc-conference-2023/amc-awards-book-now" TargetMode="External"/><Relationship Id="rId81" Type="http://schemas.openxmlformats.org/officeDocument/2006/relationships/hyperlink" Target="https://africanmarketingconfederation.org/amc-conference-2023/book-now" TargetMode="External"/><Relationship Id="rId86" Type="http://schemas.openxmlformats.org/officeDocument/2006/relationships/hyperlink" Target="https://africanmarketingconfederation.org/amc-conference-2023/book-now" TargetMode="External"/><Relationship Id="rId130" Type="http://schemas.openxmlformats.org/officeDocument/2006/relationships/hyperlink" Target="https://africanmarketingconfederation.org/amc-conference-2024-sponsors-packages" TargetMode="External"/><Relationship Id="rId135" Type="http://schemas.openxmlformats.org/officeDocument/2006/relationships/hyperlink" Target="https://africanmarketingconfederation.org/amc-conference-2025-highlights" TargetMode="External"/><Relationship Id="rId13" Type="http://schemas.openxmlformats.org/officeDocument/2006/relationships/hyperlink" Target="https://africanmarketingconfederation.org/about-us" TargetMode="External"/><Relationship Id="rId18" Type="http://schemas.openxmlformats.org/officeDocument/2006/relationships/hyperlink" Target="https://africanmarketingconfederation.org/" TargetMode="External"/><Relationship Id="rId39" Type="http://schemas.openxmlformats.org/officeDocument/2006/relationships/hyperlink" Target="https://africanmarketingconfederation.org/amc-conference-2022-thank-you" TargetMode="External"/><Relationship Id="rId109" Type="http://schemas.openxmlformats.org/officeDocument/2006/relationships/hyperlink" Target="https://africanmarketingconfederation.org/amc-conference-2024-recap" TargetMode="External"/><Relationship Id="rId34" Type="http://schemas.openxmlformats.org/officeDocument/2006/relationships/hyperlink" Target="https://africanmarketingconfederation.org/amc-conference-2022-prospectus" TargetMode="External"/><Relationship Id="rId50"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mc-conference-2023" TargetMode="External"/><Relationship Id="rId76" Type="http://schemas.openxmlformats.org/officeDocument/2006/relationships/hyperlink" Target="https://africanmarketingconfederation.org/amc-conference-2023/book-now-thank-you" TargetMode="External"/><Relationship Id="rId97" Type="http://schemas.openxmlformats.org/officeDocument/2006/relationships/hyperlink" Target="https://africanmarketingconfederation.org/amc-conference-2023/gallery" TargetMode="External"/><Relationship Id="rId104" Type="http://schemas.openxmlformats.org/officeDocument/2006/relationships/hyperlink" Target="https://africanmarketingconfederation.org/amc-conference-2023/partners" TargetMode="External"/><Relationship Id="rId120" Type="http://schemas.openxmlformats.org/officeDocument/2006/relationships/hyperlink" Target="https://africanmarketingconfederation.org/amc-conference-2023/programme" TargetMode="External"/><Relationship Id="rId125" Type="http://schemas.openxmlformats.org/officeDocument/2006/relationships/hyperlink" Target="https://africanmarketingconfederation.org/amc-conference-2023/speakers" TargetMode="External"/><Relationship Id="rId141" Type="http://schemas.openxmlformats.org/officeDocument/2006/relationships/hyperlink" Target="https://africanmarketingconfederation.org/amc-conference-2025-highlights"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amc-conference-2023/amc-awards" TargetMode="External"/><Relationship Id="rId92" Type="http://schemas.openxmlformats.org/officeDocument/2006/relationships/hyperlink" Target="https://africanmarketingconfederation.org/amc-conference-2023/download-prospectus" TargetMode="External"/><Relationship Id="rId2" Type="http://schemas.openxmlformats.org/officeDocument/2006/relationships/hyperlink" Target="https://africanmarketingconfederation.org/amc-awards-2024" TargetMode="External"/><Relationship Id="rId29" Type="http://schemas.openxmlformats.org/officeDocument/2006/relationships/hyperlink" Target="https://africanmarketingconfederation.org/african-marketing-confederation-tourism-chapter" TargetMode="External"/><Relationship Id="rId24" Type="http://schemas.openxmlformats.org/officeDocument/2006/relationships/hyperlink" Target="https://africanmarketingconfederation.org/african-marketing-confederation-tourism-chapter" TargetMode="External"/><Relationship Id="rId40" Type="http://schemas.openxmlformats.org/officeDocument/2006/relationships/hyperlink" Target="https://africanmarketingconfederation.org/amc-conference-2022-thank-you" TargetMode="External"/><Relationship Id="rId45" Type="http://schemas.openxmlformats.org/officeDocument/2006/relationships/hyperlink" Target="https://africanmarketingconfederation.org/amc-conference-2022" TargetMode="External"/><Relationship Id="rId66" Type="http://schemas.openxmlformats.org/officeDocument/2006/relationships/hyperlink" Target="https://africanmarketingconfederation.org/amc-conference-2023/amc-awards-book-now" TargetMode="External"/><Relationship Id="rId87" Type="http://schemas.openxmlformats.org/officeDocument/2006/relationships/hyperlink" Target="https://africanmarketingconfederation.org/amc-conference-2023/book-now" TargetMode="External"/><Relationship Id="rId110" Type="http://schemas.openxmlformats.org/officeDocument/2006/relationships/hyperlink" Target="https://africanmarketingconfederation.org/amc-conference-2024-recap" TargetMode="External"/><Relationship Id="rId115" Type="http://schemas.openxmlformats.org/officeDocument/2006/relationships/hyperlink" Target="https://africanmarketingconfederation.org/amc-conference-2023/programme" TargetMode="External"/><Relationship Id="rId131" Type="http://schemas.openxmlformats.org/officeDocument/2006/relationships/hyperlink" Target="https://africanmarketingconfederation.org/amc-conference-2024-sponsors-packages" TargetMode="External"/><Relationship Id="rId136" Type="http://schemas.openxmlformats.org/officeDocument/2006/relationships/hyperlink" Target="https://africanmarketingconfederation.org/amc-conference-2025-highlights" TargetMode="External"/><Relationship Id="rId61" Type="http://schemas.openxmlformats.org/officeDocument/2006/relationships/hyperlink" Target="https://africanmarketingconfederation.org/amc-conference-2023/amc-awards-book-now" TargetMode="External"/><Relationship Id="rId82" Type="http://schemas.openxmlformats.org/officeDocument/2006/relationships/hyperlink" Target="https://africanmarketingconfederation.org/amc-conference-2023/book-now" TargetMode="External"/><Relationship Id="rId19" Type="http://schemas.openxmlformats.org/officeDocument/2006/relationships/hyperlink" Target="https://africanmarketingconfederation.org/" TargetMode="External"/><Relationship Id="rId14" Type="http://schemas.openxmlformats.org/officeDocument/2006/relationships/hyperlink" Target="https://africanmarketingconfederation.org/about-us" TargetMode="External"/><Relationship Id="rId30" Type="http://schemas.openxmlformats.org/officeDocument/2006/relationships/hyperlink" Target="https://africanmarketingconfederation.org/amc-conference-2022-prospectus" TargetMode="External"/><Relationship Id="rId35" Type="http://schemas.openxmlformats.org/officeDocument/2006/relationships/hyperlink" Target="https://africanmarketingconfederation.org/amc-conference-2022-prospectus" TargetMode="External"/><Relationship Id="rId56" Type="http://schemas.openxmlformats.org/officeDocument/2006/relationships/hyperlink" Target="https://africanmarketingconfederation.org/amc-conference-2023" TargetMode="External"/><Relationship Id="rId77" Type="http://schemas.openxmlformats.org/officeDocument/2006/relationships/hyperlink" Target="https://africanmarketingconfederation.org/amc-conference-2023/book-now-thank-you" TargetMode="External"/><Relationship Id="rId100" Type="http://schemas.openxmlformats.org/officeDocument/2006/relationships/hyperlink" Target="https://africanmarketingconfederation.org/amc-conference-2023/gallery" TargetMode="External"/><Relationship Id="rId105" Type="http://schemas.openxmlformats.org/officeDocument/2006/relationships/hyperlink" Target="https://africanmarketingconfederation.org/amc-conference-2023/partners" TargetMode="External"/><Relationship Id="rId126" Type="http://schemas.openxmlformats.org/officeDocument/2006/relationships/hyperlink" Target="https://africanmarketingconfederation.org/amc-conference-2023/speakers" TargetMode="External"/><Relationship Id="rId8" Type="http://schemas.openxmlformats.org/officeDocument/2006/relationships/hyperlink" Target="https://africanmarketingconfederation.org/about-us" TargetMode="External"/><Relationship Id="rId51" Type="http://schemas.openxmlformats.org/officeDocument/2006/relationships/hyperlink" Target="https://africanmarketingconfederation.org/amc-conference-2022" TargetMode="External"/><Relationship Id="rId72" Type="http://schemas.openxmlformats.org/officeDocument/2006/relationships/hyperlink" Target="https://africanmarketingconfederation.org/amc-conference-2023/amc-awards" TargetMode="External"/><Relationship Id="rId93" Type="http://schemas.openxmlformats.org/officeDocument/2006/relationships/hyperlink" Target="https://africanmarketingconfederation.org/amc-conference-2023/download-prospectus" TargetMode="External"/><Relationship Id="rId98" Type="http://schemas.openxmlformats.org/officeDocument/2006/relationships/hyperlink" Target="https://africanmarketingconfederation.org/amc-conference-2023/gallery" TargetMode="External"/><Relationship Id="rId121" Type="http://schemas.openxmlformats.org/officeDocument/2006/relationships/hyperlink" Target="https://africanmarketingconfederation.org/amc-conference-2023/speakers" TargetMode="External"/><Relationship Id="rId142" Type="http://schemas.openxmlformats.org/officeDocument/2006/relationships/vmlDrawing" Target="../drawings/vmlDrawing5.vml"/><Relationship Id="rId3" Type="http://schemas.openxmlformats.org/officeDocument/2006/relationships/hyperlink" Target="https://africanmarketingconfederation.org/amc-awards-2024" TargetMode="External"/><Relationship Id="rId25" Type="http://schemas.openxmlformats.org/officeDocument/2006/relationships/hyperlink" Target="https://africanmarketingconfederation.org/african-marketing-confederation-tourism-chapter" TargetMode="External"/><Relationship Id="rId46" Type="http://schemas.openxmlformats.org/officeDocument/2006/relationships/hyperlink" Target="https://africanmarketingconfederation.org/amc-conference-2022" TargetMode="External"/><Relationship Id="rId67" Type="http://schemas.openxmlformats.org/officeDocument/2006/relationships/hyperlink" Target="https://africanmarketingconfederation.org/amc-conference-2023/amc-awards-book-now" TargetMode="External"/><Relationship Id="rId116" Type="http://schemas.openxmlformats.org/officeDocument/2006/relationships/hyperlink" Target="https://africanmarketingconfederation.org/amc-conference-2023/programme" TargetMode="External"/><Relationship Id="rId137" Type="http://schemas.openxmlformats.org/officeDocument/2006/relationships/hyperlink" Target="https://africanmarketingconfederation.org/amc-conference-2025-highlights" TargetMode="External"/><Relationship Id="rId20" Type="http://schemas.openxmlformats.org/officeDocument/2006/relationships/hyperlink" Target="https://africanmarketingconfederation.org/" TargetMode="External"/><Relationship Id="rId41" Type="http://schemas.openxmlformats.org/officeDocument/2006/relationships/hyperlink" Target="https://africanmarketingconfederation.org/amc-conference-2022-thank-you" TargetMode="External"/><Relationship Id="rId62"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conference-2023/book-now" TargetMode="External"/><Relationship Id="rId88" Type="http://schemas.openxmlformats.org/officeDocument/2006/relationships/hyperlink" Target="https://africanmarketingconfederation.org/amc-conference-2023/download-prospectus" TargetMode="External"/><Relationship Id="rId111" Type="http://schemas.openxmlformats.org/officeDocument/2006/relationships/hyperlink" Target="https://africanmarketingconfederation.org/amc-conference-2024-recap" TargetMode="External"/><Relationship Id="rId132" Type="http://schemas.openxmlformats.org/officeDocument/2006/relationships/hyperlink" Target="https://africanmarketingconfederation.org/amc-conference-2024-sponsors-packages" TargetMode="External"/><Relationship Id="rId15" Type="http://schemas.openxmlformats.org/officeDocument/2006/relationships/hyperlink" Target="https://africanmarketingconfederation.org/" TargetMode="External"/><Relationship Id="rId36" Type="http://schemas.openxmlformats.org/officeDocument/2006/relationships/hyperlink" Target="https://africanmarketingconfederation.org/amc-conference-2022-prospectus" TargetMode="External"/><Relationship Id="rId57" Type="http://schemas.openxmlformats.org/officeDocument/2006/relationships/hyperlink" Target="https://africanmarketingconfederation.org/amc-conference-2023" TargetMode="External"/><Relationship Id="rId106" Type="http://schemas.openxmlformats.org/officeDocument/2006/relationships/hyperlink" Target="https://africanmarketingconfederation.org/amc-conference-2023/partners" TargetMode="External"/><Relationship Id="rId127" Type="http://schemas.openxmlformats.org/officeDocument/2006/relationships/hyperlink" Target="https://africanmarketingconfederation.org/amc-conference-2024-sponsors-packages" TargetMode="External"/><Relationship Id="rId10" Type="http://schemas.openxmlformats.org/officeDocument/2006/relationships/hyperlink" Target="https://africanmarketingconfederation.org/about-us" TargetMode="External"/><Relationship Id="rId31" Type="http://schemas.openxmlformats.org/officeDocument/2006/relationships/hyperlink" Target="https://africanmarketingconfederation.org/amc-conference-2022-prospectus" TargetMode="External"/><Relationship Id="rId52" Type="http://schemas.openxmlformats.org/officeDocument/2006/relationships/hyperlink" Target="https://africanmarketingconfederation.org/amc-conference-2022" TargetMode="External"/><Relationship Id="rId73" Type="http://schemas.openxmlformats.org/officeDocument/2006/relationships/hyperlink" Target="https://africanmarketingconfederation.org/amc-conference-2023/amc-awards" TargetMode="External"/><Relationship Id="rId78" Type="http://schemas.openxmlformats.org/officeDocument/2006/relationships/hyperlink" Target="https://africanmarketingconfederation.org/amc-conference-2023/book-now-thank-you" TargetMode="External"/><Relationship Id="rId94" Type="http://schemas.openxmlformats.org/officeDocument/2006/relationships/hyperlink" Target="https://africanmarketingconfederation.org/amc-conference-2023/download-prospectus" TargetMode="External"/><Relationship Id="rId99" Type="http://schemas.openxmlformats.org/officeDocument/2006/relationships/hyperlink" Target="https://africanmarketingconfederation.org/amc-conference-2023/gallery" TargetMode="External"/><Relationship Id="rId101" Type="http://schemas.openxmlformats.org/officeDocument/2006/relationships/hyperlink" Target="https://africanmarketingconfederation.org/amc-conference-2023/gallery" TargetMode="External"/><Relationship Id="rId122" Type="http://schemas.openxmlformats.org/officeDocument/2006/relationships/hyperlink" Target="https://africanmarketingconfederation.org/amc-conference-2023/speakers" TargetMode="External"/><Relationship Id="rId143" Type="http://schemas.openxmlformats.org/officeDocument/2006/relationships/comments" Target="../comments5.xm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bout-us" TargetMode="External"/><Relationship Id="rId26" Type="http://schemas.openxmlformats.org/officeDocument/2006/relationships/hyperlink" Target="https://africanmarketingconfederation.org/african-marketing-confederation-tourism-chapter" TargetMode="External"/><Relationship Id="rId47"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amc-conference-2023/amc-awards" TargetMode="External"/><Relationship Id="rId89" Type="http://schemas.openxmlformats.org/officeDocument/2006/relationships/hyperlink" Target="https://africanmarketingconfederation.org/amc-conference-2023/download-prospectus" TargetMode="External"/><Relationship Id="rId112" Type="http://schemas.openxmlformats.org/officeDocument/2006/relationships/hyperlink" Target="https://africanmarketingconfederation.org/amc-conference-2024-recap" TargetMode="External"/><Relationship Id="rId133" Type="http://schemas.openxmlformats.org/officeDocument/2006/relationships/hyperlink" Target="https://africanmarketingconfederation.org/amc-conference-2024-sponsors-packages" TargetMode="External"/><Relationship Id="rId16" Type="http://schemas.openxmlformats.org/officeDocument/2006/relationships/hyperlink" Target="https://africanmarketingconfederation.or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 Type="http://schemas.openxmlformats.org/officeDocument/2006/relationships/hyperlink" Target="https://africanmarketingconfederation.org/" TargetMode="External"/><Relationship Id="rId21" Type="http://schemas.openxmlformats.org/officeDocument/2006/relationships/vmlDrawing" Target="../drawings/vmlDrawing6.vml"/><Relationship Id="rId7" Type="http://schemas.openxmlformats.org/officeDocument/2006/relationships/hyperlink" Target="https://africanmarketingconfederation.org/amc-conference-2022"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 Type="http://schemas.openxmlformats.org/officeDocument/2006/relationships/hyperlink" Target="https://africanmarketingconfederation.org/about-us" TargetMode="External"/><Relationship Id="rId16" Type="http://schemas.openxmlformats.org/officeDocument/2006/relationships/hyperlink" Target="https://africanmarketingconfederation.org/amc-conference-2024-recap" TargetMode="External"/><Relationship Id="rId20" Type="http://schemas.openxmlformats.org/officeDocument/2006/relationships/hyperlink" Target="https://africanmarketingconfederation.org/amc-conference-2025-highlight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3/book-now-thank-you" TargetMode="Externa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3/partners"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sponsors-packages"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 Type="http://schemas.openxmlformats.org/officeDocument/2006/relationships/hyperlink" Target="https://africanmarketingconfederation.org/" TargetMode="External"/><Relationship Id="rId21" Type="http://schemas.openxmlformats.org/officeDocument/2006/relationships/vmlDrawing" Target="../drawings/vmlDrawing7.vml"/><Relationship Id="rId7" Type="http://schemas.openxmlformats.org/officeDocument/2006/relationships/hyperlink" Target="https://africanmarketingconfederation.org/amc-conference-2022"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 Type="http://schemas.openxmlformats.org/officeDocument/2006/relationships/hyperlink" Target="https://africanmarketingconfederation.org/about-us" TargetMode="External"/><Relationship Id="rId16" Type="http://schemas.openxmlformats.org/officeDocument/2006/relationships/hyperlink" Target="https://africanmarketingconfederation.org/amc-conference-2024-recap" TargetMode="External"/><Relationship Id="rId20" Type="http://schemas.openxmlformats.org/officeDocument/2006/relationships/hyperlink" Target="https://africanmarketingconfederation.org/amc-conference-2025-highlight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3/book-now-thank-you" TargetMode="Externa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3/partners"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sponsors-packages"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1" Type="http://schemas.openxmlformats.org/officeDocument/2006/relationships/hyperlink" Target="https://africanmarketingconfederation.org/amc-awards-2024" TargetMode="External"/><Relationship Id="rId170" Type="http://schemas.openxmlformats.org/officeDocument/2006/relationships/hyperlink" Target="https://africanmarketingconfederation.org/african-marketing-confederation-tourism-chapter" TargetMode="External"/><Relationship Id="rId268" Type="http://schemas.openxmlformats.org/officeDocument/2006/relationships/hyperlink" Target="https://africanmarketingconfederation.org/amc-conference-2022-thank-you" TargetMode="External"/><Relationship Id="rId475" Type="http://schemas.openxmlformats.org/officeDocument/2006/relationships/hyperlink" Target="https://africanmarketingconfederation.org/amc-conference-2023/book-now" TargetMode="External"/><Relationship Id="rId682" Type="http://schemas.openxmlformats.org/officeDocument/2006/relationships/hyperlink" Target="https://africanmarketingconfederation.org/amc-conference-2023/gallery" TargetMode="External"/><Relationship Id="rId128" Type="http://schemas.openxmlformats.org/officeDocument/2006/relationships/hyperlink" Target="https://africanmarketingconfederation.org/" TargetMode="External"/><Relationship Id="rId335" Type="http://schemas.openxmlformats.org/officeDocument/2006/relationships/hyperlink" Target="https://africanmarketingconfederation.org/amc-conference-2022" TargetMode="External"/><Relationship Id="rId542" Type="http://schemas.openxmlformats.org/officeDocument/2006/relationships/hyperlink" Target="https://africanmarketingconfederation.org/amc-conference-2023/gallery" TargetMode="External"/><Relationship Id="rId987" Type="http://schemas.openxmlformats.org/officeDocument/2006/relationships/hyperlink" Target="https://africanmarketingconfederation.org/amc-conference-2023/gallery" TargetMode="External"/><Relationship Id="rId1172" Type="http://schemas.openxmlformats.org/officeDocument/2006/relationships/hyperlink" Target="https://africanmarketingconfederation.org/amc-conference-2024-recap" TargetMode="External"/><Relationship Id="rId402" Type="http://schemas.openxmlformats.org/officeDocument/2006/relationships/hyperlink" Target="https://africanmarketingconfederation.org/amc-conference-2023" TargetMode="External"/><Relationship Id="rId847" Type="http://schemas.openxmlformats.org/officeDocument/2006/relationships/hyperlink" Target="https://africanmarketingconfederation.org/amc-conference-2023/gallery" TargetMode="External"/><Relationship Id="rId1032" Type="http://schemas.openxmlformats.org/officeDocument/2006/relationships/hyperlink" Target="https://africanmarketingconfederation.org/amc-conference-2023/gallery" TargetMode="External"/><Relationship Id="rId707" Type="http://schemas.openxmlformats.org/officeDocument/2006/relationships/hyperlink" Target="https://africanmarketingconfederation.org/amc-conference-2023/gallery" TargetMode="External"/><Relationship Id="rId914" Type="http://schemas.openxmlformats.org/officeDocument/2006/relationships/hyperlink" Target="https://africanmarketingconfederation.org/amc-conference-2023/gallery" TargetMode="External"/><Relationship Id="rId1337" Type="http://schemas.openxmlformats.org/officeDocument/2006/relationships/hyperlink" Target="https://africanmarketingconfederation.org/amc-conference-2025-highlights" TargetMode="External"/><Relationship Id="rId43" Type="http://schemas.openxmlformats.org/officeDocument/2006/relationships/hyperlink" Target="https://africanmarketingconfederation.org/about-us" TargetMode="External"/><Relationship Id="rId192" Type="http://schemas.openxmlformats.org/officeDocument/2006/relationships/hyperlink" Target="https://africanmarketingconfederation.org/african-marketing-confederation-tourism-chapter" TargetMode="External"/><Relationship Id="rId497" Type="http://schemas.openxmlformats.org/officeDocument/2006/relationships/hyperlink" Target="https://africanmarketingconfederation.org/amc-conference-2023/download-prospectus" TargetMode="External"/><Relationship Id="rId357" Type="http://schemas.openxmlformats.org/officeDocument/2006/relationships/hyperlink" Target="https://africanmarketingconfederation.org/amc-conference-2022" TargetMode="External"/><Relationship Id="rId1194" Type="http://schemas.openxmlformats.org/officeDocument/2006/relationships/hyperlink" Target="https://africanmarketingconfederation.org/amc-conference-2024-recap" TargetMode="External"/><Relationship Id="rId217" Type="http://schemas.openxmlformats.org/officeDocument/2006/relationships/hyperlink" Target="https://africanmarketingconfederation.org/amc-conference-2022-prospectus" TargetMode="External"/><Relationship Id="rId564" Type="http://schemas.openxmlformats.org/officeDocument/2006/relationships/hyperlink" Target="https://africanmarketingconfederation.org/amc-conference-2023/gallery" TargetMode="External"/><Relationship Id="rId771" Type="http://schemas.openxmlformats.org/officeDocument/2006/relationships/hyperlink" Target="https://africanmarketingconfederation.org/amc-conference-2023/gallery" TargetMode="External"/><Relationship Id="rId869" Type="http://schemas.openxmlformats.org/officeDocument/2006/relationships/hyperlink" Target="https://africanmarketingconfederation.org/amc-conference-2023/gallery" TargetMode="External"/><Relationship Id="rId424" Type="http://schemas.openxmlformats.org/officeDocument/2006/relationships/hyperlink" Target="https://africanmarketingconfederation.org/amc-conference-2023" TargetMode="External"/><Relationship Id="rId631" Type="http://schemas.openxmlformats.org/officeDocument/2006/relationships/hyperlink" Target="https://africanmarketingconfederation.org/amc-conference-2023/gallery" TargetMode="External"/><Relationship Id="rId729" Type="http://schemas.openxmlformats.org/officeDocument/2006/relationships/hyperlink" Target="https://africanmarketingconfederation.org/amc-conference-2023/gallery" TargetMode="External"/><Relationship Id="rId1054" Type="http://schemas.openxmlformats.org/officeDocument/2006/relationships/hyperlink" Target="https://africanmarketingconfederation.org/amc-conference-2023/gallery" TargetMode="External"/><Relationship Id="rId1261" Type="http://schemas.openxmlformats.org/officeDocument/2006/relationships/hyperlink" Target="https://africanmarketingconfederation.org/amc-conference-2023/speakers" TargetMode="External"/><Relationship Id="rId1359" Type="http://schemas.openxmlformats.org/officeDocument/2006/relationships/hyperlink" Target="https://africanmarketingconfederation.org/amc-conference-2025-highlights" TargetMode="External"/><Relationship Id="rId936" Type="http://schemas.openxmlformats.org/officeDocument/2006/relationships/hyperlink" Target="https://africanmarketingconfederation.org/amc-conference-2023/gallery" TargetMode="External"/><Relationship Id="rId1121" Type="http://schemas.openxmlformats.org/officeDocument/2006/relationships/hyperlink" Target="https://africanmarketingconfederation.org/amc-conference-2023/gallery" TargetMode="External"/><Relationship Id="rId1219" Type="http://schemas.openxmlformats.org/officeDocument/2006/relationships/hyperlink" Target="https://africanmarketingconfederation.org/amc-conference-2023/programme" TargetMode="External"/><Relationship Id="rId65" Type="http://schemas.openxmlformats.org/officeDocument/2006/relationships/hyperlink" Target="https://africanmarketingconfederation.org/about-us" TargetMode="External"/><Relationship Id="rId281" Type="http://schemas.openxmlformats.org/officeDocument/2006/relationships/hyperlink" Target="https://africanmarketingconfederation.org/amc-conference-2022" TargetMode="External"/><Relationship Id="rId141" Type="http://schemas.openxmlformats.org/officeDocument/2006/relationships/hyperlink" Target="https://africanmarketingconfederation.org/" TargetMode="External"/><Relationship Id="rId379" Type="http://schemas.openxmlformats.org/officeDocument/2006/relationships/hyperlink" Target="https://africanmarketingconfederation.org/amc-conference-2023" TargetMode="External"/><Relationship Id="rId586" Type="http://schemas.openxmlformats.org/officeDocument/2006/relationships/hyperlink" Target="https://africanmarketingconfederation.org/amc-conference-2023/gallery" TargetMode="External"/><Relationship Id="rId793" Type="http://schemas.openxmlformats.org/officeDocument/2006/relationships/hyperlink" Target="https://africanmarketingconfederation.org/amc-conference-2023/gallery" TargetMode="External"/><Relationship Id="rId7" Type="http://schemas.openxmlformats.org/officeDocument/2006/relationships/hyperlink" Target="https://africanmarketingconfederation.org/amc-conference-2022" TargetMode="External"/><Relationship Id="rId239" Type="http://schemas.openxmlformats.org/officeDocument/2006/relationships/hyperlink" Target="https://africanmarketingconfederation.org/amc-conference-2022-prospectus" TargetMode="External"/><Relationship Id="rId446" Type="http://schemas.openxmlformats.org/officeDocument/2006/relationships/hyperlink" Target="https://africanmarketingconfederation.org/amc-conference-2023/amc-awards-book-now" TargetMode="External"/><Relationship Id="rId653" Type="http://schemas.openxmlformats.org/officeDocument/2006/relationships/hyperlink" Target="https://africanmarketingconfederation.org/amc-conference-2023/gallery" TargetMode="External"/><Relationship Id="rId1076" Type="http://schemas.openxmlformats.org/officeDocument/2006/relationships/hyperlink" Target="https://africanmarketingconfederation.org/amc-conference-2023/gallery" TargetMode="External"/><Relationship Id="rId1283" Type="http://schemas.openxmlformats.org/officeDocument/2006/relationships/hyperlink" Target="https://africanmarketingconfederation.org/amc-conference-2024-sponsors-packages" TargetMode="External"/><Relationship Id="rId306" Type="http://schemas.openxmlformats.org/officeDocument/2006/relationships/hyperlink" Target="https://africanmarketingconfederation.org/amc-conference-2022" TargetMode="External"/><Relationship Id="rId860" Type="http://schemas.openxmlformats.org/officeDocument/2006/relationships/hyperlink" Target="https://africanmarketingconfederation.org/amc-conference-2023/gallery" TargetMode="External"/><Relationship Id="rId958" Type="http://schemas.openxmlformats.org/officeDocument/2006/relationships/hyperlink" Target="https://africanmarketingconfederation.org/amc-conference-2023/gallery" TargetMode="External"/><Relationship Id="rId1143" Type="http://schemas.openxmlformats.org/officeDocument/2006/relationships/hyperlink" Target="https://africanmarketingconfederation.org/amc-conference-2023/partners" TargetMode="External"/><Relationship Id="rId87" Type="http://schemas.openxmlformats.org/officeDocument/2006/relationships/hyperlink" Target="https://africanmarketingconfederation.org/" TargetMode="External"/><Relationship Id="rId513" Type="http://schemas.openxmlformats.org/officeDocument/2006/relationships/hyperlink" Target="https://africanmarketingconfederation.org/amc-conference-2023/download-prospectus" TargetMode="External"/><Relationship Id="rId720" Type="http://schemas.openxmlformats.org/officeDocument/2006/relationships/hyperlink" Target="https://africanmarketingconfederation.org/amc-conference-2023/gallery" TargetMode="External"/><Relationship Id="rId818" Type="http://schemas.openxmlformats.org/officeDocument/2006/relationships/hyperlink" Target="https://africanmarketingconfederation.org/amc-conference-2023/gallery" TargetMode="External"/><Relationship Id="rId1350" Type="http://schemas.openxmlformats.org/officeDocument/2006/relationships/hyperlink" Target="https://africanmarketingconfederation.org/amc-conference-2025-highlights" TargetMode="External"/><Relationship Id="rId1003" Type="http://schemas.openxmlformats.org/officeDocument/2006/relationships/hyperlink" Target="https://africanmarketingconfederation.org/amc-conference-2023/gallery" TargetMode="External"/><Relationship Id="rId1210" Type="http://schemas.openxmlformats.org/officeDocument/2006/relationships/hyperlink" Target="https://africanmarketingconfederation.org/amc-conference-2024-recap" TargetMode="External"/><Relationship Id="rId1308" Type="http://schemas.openxmlformats.org/officeDocument/2006/relationships/hyperlink" Target="https://africanmarketingconfederation.org/amc-conference-2025-highlights" TargetMode="External"/><Relationship Id="rId14" Type="http://schemas.openxmlformats.org/officeDocument/2006/relationships/hyperlink" Target="https://africanmarketingconfederation.org/amc-conference-2023/gallery" TargetMode="External"/><Relationship Id="rId163" Type="http://schemas.openxmlformats.org/officeDocument/2006/relationships/hyperlink" Target="https://africanmarketingconfederation.org/african-marketing-confederation-tourism-chapter" TargetMode="External"/><Relationship Id="rId370" Type="http://schemas.openxmlformats.org/officeDocument/2006/relationships/hyperlink" Target="https://africanmarketingconfederation.org/amc-conference-2022"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3/amc-awards" TargetMode="External"/><Relationship Id="rId675" Type="http://schemas.openxmlformats.org/officeDocument/2006/relationships/hyperlink" Target="https://africanmarketingconfederation.org/amc-conference-2023/gallery" TargetMode="External"/><Relationship Id="rId882" Type="http://schemas.openxmlformats.org/officeDocument/2006/relationships/hyperlink" Target="https://africanmarketingconfederation.org/amc-conference-2023/gallery" TargetMode="External"/><Relationship Id="rId1098" Type="http://schemas.openxmlformats.org/officeDocument/2006/relationships/hyperlink" Target="https://africanmarketingconfederation.org/amc-conference-2023/gallery" TargetMode="External"/><Relationship Id="rId328" Type="http://schemas.openxmlformats.org/officeDocument/2006/relationships/hyperlink" Target="https://africanmarketingconfederation.org/amc-conference-2022" TargetMode="External"/><Relationship Id="rId535" Type="http://schemas.openxmlformats.org/officeDocument/2006/relationships/hyperlink" Target="https://africanmarketingconfederation.org/amc-conference-2023/gallery" TargetMode="External"/><Relationship Id="rId742" Type="http://schemas.openxmlformats.org/officeDocument/2006/relationships/hyperlink" Target="https://africanmarketingconfederation.org/amc-conference-2023/gallery" TargetMode="External"/><Relationship Id="rId1165" Type="http://schemas.openxmlformats.org/officeDocument/2006/relationships/hyperlink" Target="https://africanmarketingconfederation.org/amc-conference-2023/partners" TargetMode="External"/><Relationship Id="rId1372" Type="http://schemas.openxmlformats.org/officeDocument/2006/relationships/hyperlink" Target="https://africanmarketingconfederation.org/amc-conference-2023/download-prospectus" TargetMode="External"/><Relationship Id="rId602" Type="http://schemas.openxmlformats.org/officeDocument/2006/relationships/hyperlink" Target="https://africanmarketingconfederation.org/amc-conference-2023/gallery" TargetMode="External"/><Relationship Id="rId1025" Type="http://schemas.openxmlformats.org/officeDocument/2006/relationships/hyperlink" Target="https://africanmarketingconfederation.org/amc-conference-2023/gallery" TargetMode="External"/><Relationship Id="rId1232" Type="http://schemas.openxmlformats.org/officeDocument/2006/relationships/hyperlink" Target="https://africanmarketingconfederation.org/amc-conference-2023/programme" TargetMode="External"/><Relationship Id="rId907" Type="http://schemas.openxmlformats.org/officeDocument/2006/relationships/hyperlink" Target="https://africanmarketingconfederation.org/amc-conference-2023/gallery" TargetMode="External"/><Relationship Id="rId36" Type="http://schemas.openxmlformats.org/officeDocument/2006/relationships/hyperlink" Target="https://africanmarketingconfederation.org/amc-awards-2024" TargetMode="External"/><Relationship Id="rId185" Type="http://schemas.openxmlformats.org/officeDocument/2006/relationships/hyperlink" Target="https://africanmarketingconfederation.org/african-marketing-confederation-tourism-chapter" TargetMode="External"/><Relationship Id="rId392" Type="http://schemas.openxmlformats.org/officeDocument/2006/relationships/hyperlink" Target="https://africanmarketingconfederation.org/amc-conference-2023" TargetMode="External"/><Relationship Id="rId697" Type="http://schemas.openxmlformats.org/officeDocument/2006/relationships/hyperlink" Target="https://africanmarketingconfederation.org/amc-conference-2023/gallery" TargetMode="External"/><Relationship Id="rId252" Type="http://schemas.openxmlformats.org/officeDocument/2006/relationships/hyperlink" Target="https://africanmarketingconfederation.org/amc-conference-2022-thank-you" TargetMode="External"/><Relationship Id="rId1187" Type="http://schemas.openxmlformats.org/officeDocument/2006/relationships/hyperlink" Target="https://africanmarketingconfederation.org/amc-conference-2024-recap" TargetMode="External"/><Relationship Id="rId112" Type="http://schemas.openxmlformats.org/officeDocument/2006/relationships/hyperlink" Target="https://africanmarketingconfederation.org/" TargetMode="External"/><Relationship Id="rId557" Type="http://schemas.openxmlformats.org/officeDocument/2006/relationships/hyperlink" Target="https://africanmarketingconfederation.org/amc-conference-2023/gallery" TargetMode="External"/><Relationship Id="rId764" Type="http://schemas.openxmlformats.org/officeDocument/2006/relationships/hyperlink" Target="https://africanmarketingconfederation.org/amc-conference-2023/gallery" TargetMode="External"/><Relationship Id="rId971" Type="http://schemas.openxmlformats.org/officeDocument/2006/relationships/hyperlink" Target="https://africanmarketingconfederation.org/amc-conference-2023/gallery" TargetMode="External"/><Relationship Id="rId417" Type="http://schemas.openxmlformats.org/officeDocument/2006/relationships/hyperlink" Target="https://africanmarketingconfederation.org/amc-conference-2023" TargetMode="External"/><Relationship Id="rId624" Type="http://schemas.openxmlformats.org/officeDocument/2006/relationships/hyperlink" Target="https://africanmarketingconfederation.org/amc-conference-2023/gallery" TargetMode="External"/><Relationship Id="rId831" Type="http://schemas.openxmlformats.org/officeDocument/2006/relationships/hyperlink" Target="https://africanmarketingconfederation.org/amc-conference-2023/gallery" TargetMode="External"/><Relationship Id="rId1047" Type="http://schemas.openxmlformats.org/officeDocument/2006/relationships/hyperlink" Target="https://africanmarketingconfederation.org/amc-conference-2023/gallery" TargetMode="External"/><Relationship Id="rId1254" Type="http://schemas.openxmlformats.org/officeDocument/2006/relationships/hyperlink" Target="https://africanmarketingconfederation.org/amc-conference-2023/speakers" TargetMode="External"/><Relationship Id="rId929" Type="http://schemas.openxmlformats.org/officeDocument/2006/relationships/hyperlink" Target="https://africanmarketingconfederation.org/amc-conference-2023/gallery" TargetMode="External"/><Relationship Id="rId1114" Type="http://schemas.openxmlformats.org/officeDocument/2006/relationships/hyperlink" Target="https://africanmarketingconfederation.org/amc-conference-2023/gallery" TargetMode="External"/><Relationship Id="rId1321" Type="http://schemas.openxmlformats.org/officeDocument/2006/relationships/hyperlink" Target="https://africanmarketingconfederation.org/amc-conference-2025-highlights" TargetMode="External"/><Relationship Id="rId58" Type="http://schemas.openxmlformats.org/officeDocument/2006/relationships/hyperlink" Target="https://africanmarketingconfederation.org/about-us" TargetMode="External"/><Relationship Id="rId274" Type="http://schemas.openxmlformats.org/officeDocument/2006/relationships/hyperlink" Target="https://africanmarketingconfederation.org/amc-conference-2022-thank-you" TargetMode="External"/><Relationship Id="rId481" Type="http://schemas.openxmlformats.org/officeDocument/2006/relationships/hyperlink" Target="https://africanmarketingconfederation.org/amc-conference-2023/book-now" TargetMode="External"/><Relationship Id="rId134" Type="http://schemas.openxmlformats.org/officeDocument/2006/relationships/hyperlink" Target="https://africanmarketingconfederation.org/" TargetMode="External"/><Relationship Id="rId579" Type="http://schemas.openxmlformats.org/officeDocument/2006/relationships/hyperlink" Target="https://africanmarketingconfederation.org/amc-conference-2023/gallery" TargetMode="External"/><Relationship Id="rId786" Type="http://schemas.openxmlformats.org/officeDocument/2006/relationships/hyperlink" Target="https://africanmarketingconfederation.org/amc-conference-2023/gallery" TargetMode="External"/><Relationship Id="rId993" Type="http://schemas.openxmlformats.org/officeDocument/2006/relationships/hyperlink" Target="https://africanmarketingconfederation.org/amc-conference-2023/gallery" TargetMode="External"/><Relationship Id="rId341" Type="http://schemas.openxmlformats.org/officeDocument/2006/relationships/hyperlink" Target="https://africanmarketingconfederation.org/amc-conference-2022" TargetMode="External"/><Relationship Id="rId439" Type="http://schemas.openxmlformats.org/officeDocument/2006/relationships/hyperlink" Target="https://africanmarketingconfederation.org/amc-conference-2023/amc-awards-book-now" TargetMode="External"/><Relationship Id="rId646" Type="http://schemas.openxmlformats.org/officeDocument/2006/relationships/hyperlink" Target="https://africanmarketingconfederation.org/amc-conference-2023/gallery" TargetMode="External"/><Relationship Id="rId1069" Type="http://schemas.openxmlformats.org/officeDocument/2006/relationships/hyperlink" Target="https://africanmarketingconfederation.org/amc-conference-2023/gallery" TargetMode="External"/><Relationship Id="rId1276" Type="http://schemas.openxmlformats.org/officeDocument/2006/relationships/hyperlink" Target="https://africanmarketingconfederation.org/amc-conference-2024-sponsors-packages" TargetMode="External"/><Relationship Id="rId201" Type="http://schemas.openxmlformats.org/officeDocument/2006/relationships/hyperlink" Target="https://africanmarketingconfederation.org/african-marketing-confederation-tourism-chapter" TargetMode="External"/><Relationship Id="rId506" Type="http://schemas.openxmlformats.org/officeDocument/2006/relationships/hyperlink" Target="https://africanmarketingconfederation.org/amc-conference-2023/download-prospectus" TargetMode="External"/><Relationship Id="rId853" Type="http://schemas.openxmlformats.org/officeDocument/2006/relationships/hyperlink" Target="https://africanmarketingconfederation.org/amc-conference-2023/gallery" TargetMode="External"/><Relationship Id="rId1136" Type="http://schemas.openxmlformats.org/officeDocument/2006/relationships/hyperlink" Target="https://africanmarketingconfederation.org/amc-conference-2023/gallery" TargetMode="External"/><Relationship Id="rId713" Type="http://schemas.openxmlformats.org/officeDocument/2006/relationships/hyperlink" Target="https://africanmarketingconfederation.org/amc-conference-2023/gallery" TargetMode="External"/><Relationship Id="rId920" Type="http://schemas.openxmlformats.org/officeDocument/2006/relationships/hyperlink" Target="https://africanmarketingconfederation.org/amc-conference-2023/gallery" TargetMode="External"/><Relationship Id="rId1343" Type="http://schemas.openxmlformats.org/officeDocument/2006/relationships/hyperlink" Target="https://africanmarketingconfederation.org/amc-conference-2025-highlights" TargetMode="External"/><Relationship Id="rId1203" Type="http://schemas.openxmlformats.org/officeDocument/2006/relationships/hyperlink" Target="https://africanmarketingconfederation.org/amc-conference-2024-recap" TargetMode="External"/><Relationship Id="rId296" Type="http://schemas.openxmlformats.org/officeDocument/2006/relationships/hyperlink" Target="https://africanmarketingconfederation.org/amc-conference-2022" TargetMode="External"/><Relationship Id="rId156" Type="http://schemas.openxmlformats.org/officeDocument/2006/relationships/hyperlink" Target="https://africanmarketingconfederation.org/african-marketing-confederation-tourism-chapter" TargetMode="External"/><Relationship Id="rId363" Type="http://schemas.openxmlformats.org/officeDocument/2006/relationships/hyperlink" Target="https://africanmarketingconfederation.org/amc-conference-2022" TargetMode="External"/><Relationship Id="rId570" Type="http://schemas.openxmlformats.org/officeDocument/2006/relationships/hyperlink" Target="https://africanmarketingconfederation.org/amc-conference-2023/gallery"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 TargetMode="External"/><Relationship Id="rId668" Type="http://schemas.openxmlformats.org/officeDocument/2006/relationships/hyperlink" Target="https://africanmarketingconfederation.org/amc-conference-2023/gallery" TargetMode="External"/><Relationship Id="rId875" Type="http://schemas.openxmlformats.org/officeDocument/2006/relationships/hyperlink" Target="https://africanmarketingconfederation.org/amc-conference-2023/gallery" TargetMode="External"/><Relationship Id="rId1060" Type="http://schemas.openxmlformats.org/officeDocument/2006/relationships/hyperlink" Target="https://africanmarketingconfederation.org/amc-conference-2023/gallery" TargetMode="External"/><Relationship Id="rId1298" Type="http://schemas.openxmlformats.org/officeDocument/2006/relationships/hyperlink" Target="https://africanmarketingconfederation.org/amc-conference-2025-highlights" TargetMode="External"/><Relationship Id="rId528" Type="http://schemas.openxmlformats.org/officeDocument/2006/relationships/hyperlink" Target="https://africanmarketingconfederation.org/amc-conference-2023/gallery" TargetMode="External"/><Relationship Id="rId735" Type="http://schemas.openxmlformats.org/officeDocument/2006/relationships/hyperlink" Target="https://africanmarketingconfederation.org/amc-conference-2023/gallery" TargetMode="External"/><Relationship Id="rId942" Type="http://schemas.openxmlformats.org/officeDocument/2006/relationships/hyperlink" Target="https://africanmarketingconfederation.org/amc-conference-2023/gallery" TargetMode="External"/><Relationship Id="rId1158" Type="http://schemas.openxmlformats.org/officeDocument/2006/relationships/hyperlink" Target="https://africanmarketingconfederation.org/amc-conference-2023/partners" TargetMode="External"/><Relationship Id="rId1365" Type="http://schemas.openxmlformats.org/officeDocument/2006/relationships/hyperlink" Target="https://africanmarketingconfederation.org/amc-conference-2022-thank-you" TargetMode="External"/><Relationship Id="rId1018" Type="http://schemas.openxmlformats.org/officeDocument/2006/relationships/hyperlink" Target="https://africanmarketingconfederation.org/amc-conference-2023/gallery" TargetMode="External"/><Relationship Id="rId1225" Type="http://schemas.openxmlformats.org/officeDocument/2006/relationships/hyperlink" Target="https://africanmarketingconfederation.org/amc-conference-2023/programme" TargetMode="External"/><Relationship Id="rId71" Type="http://schemas.openxmlformats.org/officeDocument/2006/relationships/hyperlink" Target="https://africanmarketingconfederation.org/about-us" TargetMode="External"/><Relationship Id="rId802" Type="http://schemas.openxmlformats.org/officeDocument/2006/relationships/hyperlink" Target="https://africanmarketingconfederation.org/amc-conference-2023/gallery" TargetMode="External"/><Relationship Id="rId29" Type="http://schemas.openxmlformats.org/officeDocument/2006/relationships/hyperlink" Target="https://africanmarketingconfederation.org/amc-awards-2024" TargetMode="External"/><Relationship Id="rId178" Type="http://schemas.openxmlformats.org/officeDocument/2006/relationships/hyperlink" Target="https://africanmarketingconfederation.org/african-marketing-confederation-tourism-chapter" TargetMode="External"/><Relationship Id="rId385" Type="http://schemas.openxmlformats.org/officeDocument/2006/relationships/hyperlink" Target="https://africanmarketingconfederation.org/amc-conference-2023" TargetMode="External"/><Relationship Id="rId592" Type="http://schemas.openxmlformats.org/officeDocument/2006/relationships/hyperlink" Target="https://africanmarketingconfederation.org/amc-conference-2023/gallery" TargetMode="External"/><Relationship Id="rId245" Type="http://schemas.openxmlformats.org/officeDocument/2006/relationships/hyperlink" Target="https://africanmarketingconfederation.org/amc-conference-2022-thank-you" TargetMode="External"/><Relationship Id="rId452" Type="http://schemas.openxmlformats.org/officeDocument/2006/relationships/hyperlink" Target="https://africanmarketingconfederation.org/amc-conference-2023/amc-awards" TargetMode="External"/><Relationship Id="rId897" Type="http://schemas.openxmlformats.org/officeDocument/2006/relationships/hyperlink" Target="https://africanmarketingconfederation.org/amc-conference-2023/gallery" TargetMode="External"/><Relationship Id="rId1082" Type="http://schemas.openxmlformats.org/officeDocument/2006/relationships/hyperlink" Target="https://africanmarketingconfederation.org/amc-conference-2023/gallery" TargetMode="External"/><Relationship Id="rId105" Type="http://schemas.openxmlformats.org/officeDocument/2006/relationships/hyperlink" Target="https://africanmarketingconfederation.org/" TargetMode="External"/><Relationship Id="rId312" Type="http://schemas.openxmlformats.org/officeDocument/2006/relationships/hyperlink" Target="https://africanmarketingconfederation.org/amc-conference-2022" TargetMode="External"/><Relationship Id="rId757" Type="http://schemas.openxmlformats.org/officeDocument/2006/relationships/hyperlink" Target="https://africanmarketingconfederation.org/amc-conference-2023/gallery" TargetMode="External"/><Relationship Id="rId964" Type="http://schemas.openxmlformats.org/officeDocument/2006/relationships/hyperlink" Target="https://africanmarketingconfederation.org/amc-conference-2023/gallery" TargetMode="External"/><Relationship Id="rId93" Type="http://schemas.openxmlformats.org/officeDocument/2006/relationships/hyperlink" Target="https://africanmarketingconfederation.org/" TargetMode="External"/><Relationship Id="rId617" Type="http://schemas.openxmlformats.org/officeDocument/2006/relationships/hyperlink" Target="https://africanmarketingconfederation.org/amc-conference-2023/gallery" TargetMode="External"/><Relationship Id="rId824" Type="http://schemas.openxmlformats.org/officeDocument/2006/relationships/hyperlink" Target="https://africanmarketingconfederation.org/amc-conference-2023/gallery" TargetMode="External"/><Relationship Id="rId1247" Type="http://schemas.openxmlformats.org/officeDocument/2006/relationships/hyperlink" Target="https://africanmarketingconfederation.org/amc-conference-2023/speakers" TargetMode="External"/><Relationship Id="rId1107" Type="http://schemas.openxmlformats.org/officeDocument/2006/relationships/hyperlink" Target="https://africanmarketingconfederation.org/amc-conference-2023/gallery" TargetMode="External"/><Relationship Id="rId1314" Type="http://schemas.openxmlformats.org/officeDocument/2006/relationships/hyperlink" Target="https://africanmarketingconfederation.org/amc-conference-2025-highlights" TargetMode="External"/><Relationship Id="rId20" Type="http://schemas.openxmlformats.org/officeDocument/2006/relationships/hyperlink" Target="https://africanmarketingconfederation.org/amc-conference-2025-highlights" TargetMode="External"/><Relationship Id="rId267" Type="http://schemas.openxmlformats.org/officeDocument/2006/relationships/hyperlink" Target="https://africanmarketingconfederation.org/amc-conference-2022-thank-you" TargetMode="External"/><Relationship Id="rId474" Type="http://schemas.openxmlformats.org/officeDocument/2006/relationships/hyperlink" Target="https://africanmarketingconfederation.org/amc-conference-2023/book-now-thank-you" TargetMode="External"/><Relationship Id="rId127" Type="http://schemas.openxmlformats.org/officeDocument/2006/relationships/hyperlink" Target="https://africanmarketingconfederation.org/" TargetMode="External"/><Relationship Id="rId681" Type="http://schemas.openxmlformats.org/officeDocument/2006/relationships/hyperlink" Target="https://africanmarketingconfederation.org/amc-conference-2023/gallery" TargetMode="External"/><Relationship Id="rId779" Type="http://schemas.openxmlformats.org/officeDocument/2006/relationships/hyperlink" Target="https://africanmarketingconfederation.org/amc-conference-2023/gallery" TargetMode="External"/><Relationship Id="rId986" Type="http://schemas.openxmlformats.org/officeDocument/2006/relationships/hyperlink" Target="https://africanmarketingconfederation.org/amc-conference-2023/gallery" TargetMode="External"/><Relationship Id="rId334" Type="http://schemas.openxmlformats.org/officeDocument/2006/relationships/hyperlink" Target="https://africanmarketingconfederation.org/amc-conference-2022" TargetMode="External"/><Relationship Id="rId541" Type="http://schemas.openxmlformats.org/officeDocument/2006/relationships/hyperlink" Target="https://africanmarketingconfederation.org/amc-conference-2023/gallery" TargetMode="External"/><Relationship Id="rId639" Type="http://schemas.openxmlformats.org/officeDocument/2006/relationships/hyperlink" Target="https://africanmarketingconfederation.org/amc-conference-2023/gallery" TargetMode="External"/><Relationship Id="rId1171" Type="http://schemas.openxmlformats.org/officeDocument/2006/relationships/hyperlink" Target="https://africanmarketingconfederation.org/amc-conference-2024-recap" TargetMode="External"/><Relationship Id="rId1269" Type="http://schemas.openxmlformats.org/officeDocument/2006/relationships/hyperlink" Target="https://africanmarketingconfederation.org/amc-conference-2024-sponsors-packages" TargetMode="External"/><Relationship Id="rId401" Type="http://schemas.openxmlformats.org/officeDocument/2006/relationships/hyperlink" Target="https://africanmarketingconfederation.org/amc-conference-2023" TargetMode="External"/><Relationship Id="rId846" Type="http://schemas.openxmlformats.org/officeDocument/2006/relationships/hyperlink" Target="https://africanmarketingconfederation.org/amc-conference-2023/gallery" TargetMode="External"/><Relationship Id="rId1031" Type="http://schemas.openxmlformats.org/officeDocument/2006/relationships/hyperlink" Target="https://africanmarketingconfederation.org/amc-conference-2023/gallery" TargetMode="External"/><Relationship Id="rId1129" Type="http://schemas.openxmlformats.org/officeDocument/2006/relationships/hyperlink" Target="https://africanmarketingconfederation.org/amc-conference-2023/gallery" TargetMode="External"/><Relationship Id="rId706" Type="http://schemas.openxmlformats.org/officeDocument/2006/relationships/hyperlink" Target="https://africanmarketingconfederation.org/amc-conference-2023/gallery" TargetMode="External"/><Relationship Id="rId913" Type="http://schemas.openxmlformats.org/officeDocument/2006/relationships/hyperlink" Target="https://africanmarketingconfederation.org/amc-conference-2023/gallery" TargetMode="External"/><Relationship Id="rId1336" Type="http://schemas.openxmlformats.org/officeDocument/2006/relationships/hyperlink" Target="https://africanmarketingconfederation.org/amc-conference-2025-highlights" TargetMode="External"/><Relationship Id="rId42" Type="http://schemas.openxmlformats.org/officeDocument/2006/relationships/hyperlink" Target="https://africanmarketingconfederation.org/about-us" TargetMode="External"/><Relationship Id="rId191" Type="http://schemas.openxmlformats.org/officeDocument/2006/relationships/hyperlink" Target="https://africanmarketingconfederation.org/african-marketing-confederation-tourism-chapter" TargetMode="External"/><Relationship Id="rId289" Type="http://schemas.openxmlformats.org/officeDocument/2006/relationships/hyperlink" Target="https://africanmarketingconfederation.org/amc-conference-2022" TargetMode="External"/><Relationship Id="rId496" Type="http://schemas.openxmlformats.org/officeDocument/2006/relationships/hyperlink" Target="https://africanmarketingconfederation.org/amc-conference-2023/download-prospectus" TargetMode="External"/><Relationship Id="rId149" Type="http://schemas.openxmlformats.org/officeDocument/2006/relationships/hyperlink" Target="https://africanmarketingconfederation.org/african-marketing-confederation-tourism-chapter" TargetMode="External"/><Relationship Id="rId356" Type="http://schemas.openxmlformats.org/officeDocument/2006/relationships/hyperlink" Target="https://africanmarketingconfederation.org/amc-conference-2022" TargetMode="External"/><Relationship Id="rId563" Type="http://schemas.openxmlformats.org/officeDocument/2006/relationships/hyperlink" Target="https://africanmarketingconfederation.org/amc-conference-2023/gallery" TargetMode="External"/><Relationship Id="rId770" Type="http://schemas.openxmlformats.org/officeDocument/2006/relationships/hyperlink" Target="https://africanmarketingconfederation.org/amc-conference-2023/gallery" TargetMode="External"/><Relationship Id="rId1193" Type="http://schemas.openxmlformats.org/officeDocument/2006/relationships/hyperlink" Target="https://africanmarketingconfederation.org/amc-conference-2024-recap"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 TargetMode="External"/><Relationship Id="rId868" Type="http://schemas.openxmlformats.org/officeDocument/2006/relationships/hyperlink" Target="https://africanmarketingconfederation.org/amc-conference-2023/gallery" TargetMode="External"/><Relationship Id="rId1053" Type="http://schemas.openxmlformats.org/officeDocument/2006/relationships/hyperlink" Target="https://africanmarketingconfederation.org/amc-conference-2023/gallery" TargetMode="External"/><Relationship Id="rId1260" Type="http://schemas.openxmlformats.org/officeDocument/2006/relationships/hyperlink" Target="https://africanmarketingconfederation.org/amc-conference-2023/speakers" TargetMode="External"/><Relationship Id="rId630" Type="http://schemas.openxmlformats.org/officeDocument/2006/relationships/hyperlink" Target="https://africanmarketingconfederation.org/amc-conference-2023/gallery" TargetMode="External"/><Relationship Id="rId728" Type="http://schemas.openxmlformats.org/officeDocument/2006/relationships/hyperlink" Target="https://africanmarketingconfederation.org/amc-conference-2023/gallery" TargetMode="External"/><Relationship Id="rId935" Type="http://schemas.openxmlformats.org/officeDocument/2006/relationships/hyperlink" Target="https://africanmarketingconfederation.org/amc-conference-2023/gallery" TargetMode="External"/><Relationship Id="rId1358" Type="http://schemas.openxmlformats.org/officeDocument/2006/relationships/hyperlink" Target="https://africanmarketingconfederation.org/amc-conference-2025-highlights" TargetMode="External"/><Relationship Id="rId64" Type="http://schemas.openxmlformats.org/officeDocument/2006/relationships/hyperlink" Target="https://africanmarketingconfederation.org/about-us" TargetMode="External"/><Relationship Id="rId1120" Type="http://schemas.openxmlformats.org/officeDocument/2006/relationships/hyperlink" Target="https://africanmarketingconfederation.org/amc-conference-2023/gallery" TargetMode="External"/><Relationship Id="rId1218" Type="http://schemas.openxmlformats.org/officeDocument/2006/relationships/hyperlink" Target="https://africanmarketingconfederation.org/amc-conference-2023/programme" TargetMode="External"/><Relationship Id="rId280" Type="http://schemas.openxmlformats.org/officeDocument/2006/relationships/hyperlink" Target="https://africanmarketingconfederation.org/amc-conference-2022" TargetMode="External"/><Relationship Id="rId140" Type="http://schemas.openxmlformats.org/officeDocument/2006/relationships/hyperlink" Target="https://africanmarketingconfederation.org/" TargetMode="External"/><Relationship Id="rId378" Type="http://schemas.openxmlformats.org/officeDocument/2006/relationships/hyperlink" Target="https://africanmarketingconfederation.org/amc-conference-2023" TargetMode="External"/><Relationship Id="rId585" Type="http://schemas.openxmlformats.org/officeDocument/2006/relationships/hyperlink" Target="https://africanmarketingconfederation.org/amc-conference-2023/gallery" TargetMode="External"/><Relationship Id="rId792" Type="http://schemas.openxmlformats.org/officeDocument/2006/relationships/hyperlink" Target="https://africanmarketingconfederation.org/amc-conference-2023/gallery"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prospectus" TargetMode="External"/><Relationship Id="rId445" Type="http://schemas.openxmlformats.org/officeDocument/2006/relationships/hyperlink" Target="https://africanmarketingconfederation.org/amc-conference-2023/amc-awards-book-now" TargetMode="External"/><Relationship Id="rId652" Type="http://schemas.openxmlformats.org/officeDocument/2006/relationships/hyperlink" Target="https://africanmarketingconfederation.org/amc-conference-2023/gallery" TargetMode="External"/><Relationship Id="rId1075" Type="http://schemas.openxmlformats.org/officeDocument/2006/relationships/hyperlink" Target="https://africanmarketingconfederation.org/amc-conference-2023/gallery" TargetMode="External"/><Relationship Id="rId1282" Type="http://schemas.openxmlformats.org/officeDocument/2006/relationships/hyperlink" Target="https://africanmarketingconfederation.org/amc-conference-2024-sponsors-packages" TargetMode="External"/><Relationship Id="rId305" Type="http://schemas.openxmlformats.org/officeDocument/2006/relationships/hyperlink" Target="https://africanmarketingconfederation.org/amc-conference-2022" TargetMode="External"/><Relationship Id="rId512" Type="http://schemas.openxmlformats.org/officeDocument/2006/relationships/hyperlink" Target="https://africanmarketingconfederation.org/amc-conference-2023/download-prospectus" TargetMode="External"/><Relationship Id="rId957" Type="http://schemas.openxmlformats.org/officeDocument/2006/relationships/hyperlink" Target="https://africanmarketingconfederation.org/amc-conference-2023/gallery" TargetMode="External"/><Relationship Id="rId1142" Type="http://schemas.openxmlformats.org/officeDocument/2006/relationships/hyperlink" Target="https://africanmarketingconfederation.org/amc-conference-2023/partners" TargetMode="External"/><Relationship Id="rId86" Type="http://schemas.openxmlformats.org/officeDocument/2006/relationships/hyperlink" Target="https://africanmarketingconfederation.org/" TargetMode="External"/><Relationship Id="rId817" Type="http://schemas.openxmlformats.org/officeDocument/2006/relationships/hyperlink" Target="https://africanmarketingconfederation.org/amc-conference-2023/gallery" TargetMode="External"/><Relationship Id="rId1002" Type="http://schemas.openxmlformats.org/officeDocument/2006/relationships/hyperlink" Target="https://africanmarketingconfederation.org/amc-conference-2023/gallery" TargetMode="External"/><Relationship Id="rId1307" Type="http://schemas.openxmlformats.org/officeDocument/2006/relationships/hyperlink" Target="https://africanmarketingconfederation.org/amc-conference-2025-highlights" TargetMode="External"/><Relationship Id="rId13" Type="http://schemas.openxmlformats.org/officeDocument/2006/relationships/hyperlink" Target="https://africanmarketingconfederation.org/amc-conference-2023/download-prospectus" TargetMode="External"/><Relationship Id="rId162" Type="http://schemas.openxmlformats.org/officeDocument/2006/relationships/hyperlink" Target="https://africanmarketingconfederation.org/african-marketing-confederation-tourism-chapter" TargetMode="External"/><Relationship Id="rId467" Type="http://schemas.openxmlformats.org/officeDocument/2006/relationships/hyperlink" Target="https://africanmarketingconfederation.org/amc-conference-2023/amc-awards" TargetMode="External"/><Relationship Id="rId1097" Type="http://schemas.openxmlformats.org/officeDocument/2006/relationships/hyperlink" Target="https://africanmarketingconfederation.org/amc-conference-2023/gallery" TargetMode="External"/><Relationship Id="rId674" Type="http://schemas.openxmlformats.org/officeDocument/2006/relationships/hyperlink" Target="https://africanmarketingconfederation.org/amc-conference-2023/gallery" TargetMode="External"/><Relationship Id="rId881" Type="http://schemas.openxmlformats.org/officeDocument/2006/relationships/hyperlink" Target="https://africanmarketingconfederation.org/amc-conference-2023/gallery" TargetMode="External"/><Relationship Id="rId979" Type="http://schemas.openxmlformats.org/officeDocument/2006/relationships/hyperlink" Target="https://africanmarketingconfederation.org/amc-conference-2023/gallery" TargetMode="External"/><Relationship Id="rId327" Type="http://schemas.openxmlformats.org/officeDocument/2006/relationships/hyperlink" Target="https://africanmarketingconfederation.org/amc-conference-2022" TargetMode="External"/><Relationship Id="rId534" Type="http://schemas.openxmlformats.org/officeDocument/2006/relationships/hyperlink" Target="https://africanmarketingconfederation.org/amc-conference-2023/gallery" TargetMode="External"/><Relationship Id="rId741" Type="http://schemas.openxmlformats.org/officeDocument/2006/relationships/hyperlink" Target="https://africanmarketingconfederation.org/amc-conference-2023/gallery" TargetMode="External"/><Relationship Id="rId839" Type="http://schemas.openxmlformats.org/officeDocument/2006/relationships/hyperlink" Target="https://africanmarketingconfederation.org/amc-conference-2023/gallery" TargetMode="External"/><Relationship Id="rId1164" Type="http://schemas.openxmlformats.org/officeDocument/2006/relationships/hyperlink" Target="https://africanmarketingconfederation.org/amc-conference-2023/partners" TargetMode="External"/><Relationship Id="rId1371" Type="http://schemas.openxmlformats.org/officeDocument/2006/relationships/hyperlink" Target="https://africanmarketingconfederation.org/amc-conference-2023/book-now" TargetMode="External"/><Relationship Id="rId601" Type="http://schemas.openxmlformats.org/officeDocument/2006/relationships/hyperlink" Target="https://africanmarketingconfederation.org/amc-conference-2023/gallery" TargetMode="External"/><Relationship Id="rId1024" Type="http://schemas.openxmlformats.org/officeDocument/2006/relationships/hyperlink" Target="https://africanmarketingconfederation.org/amc-conference-2023/gallery" TargetMode="External"/><Relationship Id="rId1231" Type="http://schemas.openxmlformats.org/officeDocument/2006/relationships/hyperlink" Target="https://africanmarketingconfederation.org/amc-conference-2023/programme" TargetMode="External"/><Relationship Id="rId906" Type="http://schemas.openxmlformats.org/officeDocument/2006/relationships/hyperlink" Target="https://africanmarketingconfederation.org/amc-conference-2023/gallery" TargetMode="External"/><Relationship Id="rId1329" Type="http://schemas.openxmlformats.org/officeDocument/2006/relationships/hyperlink" Target="https://africanmarketingconfederation.org/amc-conference-2025-highlights" TargetMode="External"/><Relationship Id="rId35" Type="http://schemas.openxmlformats.org/officeDocument/2006/relationships/hyperlink" Target="https://africanmarketingconfederation.org/amc-awards-2024" TargetMode="External"/><Relationship Id="rId184" Type="http://schemas.openxmlformats.org/officeDocument/2006/relationships/hyperlink" Target="https://africanmarketingconfederation.org/african-marketing-confederation-tourism-chapter" TargetMode="External"/><Relationship Id="rId391" Type="http://schemas.openxmlformats.org/officeDocument/2006/relationships/hyperlink" Target="https://africanmarketingconfederation.org/amc-conference-2023" TargetMode="External"/><Relationship Id="rId251" Type="http://schemas.openxmlformats.org/officeDocument/2006/relationships/hyperlink" Target="https://africanmarketingconfederation.org/amc-conference-2022-thank-you" TargetMode="External"/><Relationship Id="rId489" Type="http://schemas.openxmlformats.org/officeDocument/2006/relationships/hyperlink" Target="https://africanmarketingconfederation.org/amc-conference-2023/book-now" TargetMode="External"/><Relationship Id="rId696" Type="http://schemas.openxmlformats.org/officeDocument/2006/relationships/hyperlink" Target="https://africanmarketingconfederation.org/amc-conference-2023/gallery" TargetMode="External"/><Relationship Id="rId46" Type="http://schemas.openxmlformats.org/officeDocument/2006/relationships/hyperlink" Target="https://africanmarketingconfederation.org/about-us" TargetMode="External"/><Relationship Id="rId349" Type="http://schemas.openxmlformats.org/officeDocument/2006/relationships/hyperlink" Target="https://africanmarketingconfederation.org/amc-conference-2022" TargetMode="External"/><Relationship Id="rId556" Type="http://schemas.openxmlformats.org/officeDocument/2006/relationships/hyperlink" Target="https://africanmarketingconfederation.org/amc-conference-2023/gallery" TargetMode="External"/><Relationship Id="rId763" Type="http://schemas.openxmlformats.org/officeDocument/2006/relationships/hyperlink" Target="https://africanmarketingconfederation.org/amc-conference-2023/gallery" TargetMode="External"/><Relationship Id="rId1186" Type="http://schemas.openxmlformats.org/officeDocument/2006/relationships/hyperlink" Target="https://africanmarketingconfederation.org/amc-conference-2024-recap" TargetMode="External"/><Relationship Id="rId111" Type="http://schemas.openxmlformats.org/officeDocument/2006/relationships/hyperlink" Target="https://africanmarketingconfederation.org/" TargetMode="External"/><Relationship Id="rId195" Type="http://schemas.openxmlformats.org/officeDocument/2006/relationships/hyperlink" Target="https://africanmarketingconfederation.org/african-marketing-confederation-tourism-chapter" TargetMode="External"/><Relationship Id="rId209" Type="http://schemas.openxmlformats.org/officeDocument/2006/relationships/hyperlink" Target="https://africanmarketingconfederation.org/amc-conference-2022-prospectus" TargetMode="External"/><Relationship Id="rId416" Type="http://schemas.openxmlformats.org/officeDocument/2006/relationships/hyperlink" Target="https://africanmarketingconfederation.org/amc-conference-2023" TargetMode="External"/><Relationship Id="rId970" Type="http://schemas.openxmlformats.org/officeDocument/2006/relationships/hyperlink" Target="https://africanmarketingconfederation.org/amc-conference-2023/gallery" TargetMode="External"/><Relationship Id="rId1046" Type="http://schemas.openxmlformats.org/officeDocument/2006/relationships/hyperlink" Target="https://africanmarketingconfederation.org/amc-conference-2023/gallery" TargetMode="External"/><Relationship Id="rId1253" Type="http://schemas.openxmlformats.org/officeDocument/2006/relationships/hyperlink" Target="https://africanmarketingconfederation.org/amc-conference-2023/speakers" TargetMode="External"/><Relationship Id="rId623" Type="http://schemas.openxmlformats.org/officeDocument/2006/relationships/hyperlink" Target="https://africanmarketingconfederation.org/amc-conference-2023/gallery" TargetMode="External"/><Relationship Id="rId830" Type="http://schemas.openxmlformats.org/officeDocument/2006/relationships/hyperlink" Target="https://africanmarketingconfederation.org/amc-conference-2023/gallery" TargetMode="External"/><Relationship Id="rId928" Type="http://schemas.openxmlformats.org/officeDocument/2006/relationships/hyperlink" Target="https://africanmarketingconfederation.org/amc-conference-2023/gallery" TargetMode="External"/><Relationship Id="rId57" Type="http://schemas.openxmlformats.org/officeDocument/2006/relationships/hyperlink" Target="https://africanmarketingconfederation.org/about-us" TargetMode="External"/><Relationship Id="rId262" Type="http://schemas.openxmlformats.org/officeDocument/2006/relationships/hyperlink" Target="https://africanmarketingconfederation.org/amc-conference-2022-thank-you" TargetMode="External"/><Relationship Id="rId567" Type="http://schemas.openxmlformats.org/officeDocument/2006/relationships/hyperlink" Target="https://africanmarketingconfederation.org/amc-conference-2023/gallery" TargetMode="External"/><Relationship Id="rId1113" Type="http://schemas.openxmlformats.org/officeDocument/2006/relationships/hyperlink" Target="https://africanmarketingconfederation.org/amc-conference-2023/gallery" TargetMode="External"/><Relationship Id="rId1197" Type="http://schemas.openxmlformats.org/officeDocument/2006/relationships/hyperlink" Target="https://africanmarketingconfederation.org/amc-conference-2024-recap" TargetMode="External"/><Relationship Id="rId1320" Type="http://schemas.openxmlformats.org/officeDocument/2006/relationships/hyperlink" Target="https://africanmarketingconfederation.org/amc-conference-2025-highlights" TargetMode="External"/><Relationship Id="rId122" Type="http://schemas.openxmlformats.org/officeDocument/2006/relationships/hyperlink" Target="https://africanmarketingconfederation.org/" TargetMode="External"/><Relationship Id="rId774" Type="http://schemas.openxmlformats.org/officeDocument/2006/relationships/hyperlink" Target="https://africanmarketingconfederation.org/amc-conference-2023/gallery" TargetMode="External"/><Relationship Id="rId981" Type="http://schemas.openxmlformats.org/officeDocument/2006/relationships/hyperlink" Target="https://africanmarketingconfederation.org/amc-conference-2023/gallery" TargetMode="External"/><Relationship Id="rId1057" Type="http://schemas.openxmlformats.org/officeDocument/2006/relationships/hyperlink" Target="https://africanmarketingconfederation.org/amc-conference-2023/gallery" TargetMode="External"/><Relationship Id="rId427" Type="http://schemas.openxmlformats.org/officeDocument/2006/relationships/hyperlink" Target="https://africanmarketingconfederation.org/amc-conference-2023" TargetMode="External"/><Relationship Id="rId634" Type="http://schemas.openxmlformats.org/officeDocument/2006/relationships/hyperlink" Target="https://africanmarketingconfederation.org/amc-conference-2023/gallery" TargetMode="External"/><Relationship Id="rId841" Type="http://schemas.openxmlformats.org/officeDocument/2006/relationships/hyperlink" Target="https://africanmarketingconfederation.org/amc-conference-2023/gallery" TargetMode="External"/><Relationship Id="rId1264" Type="http://schemas.openxmlformats.org/officeDocument/2006/relationships/hyperlink" Target="https://africanmarketingconfederation.org/amc-conference-2023/speakers" TargetMode="External"/><Relationship Id="rId273" Type="http://schemas.openxmlformats.org/officeDocument/2006/relationships/hyperlink" Target="https://africanmarketingconfederation.org/amc-conference-2022-thank-you" TargetMode="External"/><Relationship Id="rId480" Type="http://schemas.openxmlformats.org/officeDocument/2006/relationships/hyperlink" Target="https://africanmarketingconfederation.org/amc-conference-2023/book-now" TargetMode="External"/><Relationship Id="rId701" Type="http://schemas.openxmlformats.org/officeDocument/2006/relationships/hyperlink" Target="https://africanmarketingconfederation.org/amc-conference-2023/gallery" TargetMode="External"/><Relationship Id="rId939" Type="http://schemas.openxmlformats.org/officeDocument/2006/relationships/hyperlink" Target="https://africanmarketingconfederation.org/amc-conference-2023/gallery" TargetMode="External"/><Relationship Id="rId1124" Type="http://schemas.openxmlformats.org/officeDocument/2006/relationships/hyperlink" Target="https://africanmarketingconfederation.org/amc-conference-2023/gallery" TargetMode="External"/><Relationship Id="rId1331" Type="http://schemas.openxmlformats.org/officeDocument/2006/relationships/hyperlink" Target="https://africanmarketingconfederation.org/amc-conference-2025-highlights" TargetMode="External"/><Relationship Id="rId68" Type="http://schemas.openxmlformats.org/officeDocument/2006/relationships/hyperlink" Target="https://africanmarketingconfederation.org/about-us" TargetMode="External"/><Relationship Id="rId133" Type="http://schemas.openxmlformats.org/officeDocument/2006/relationships/hyperlink" Target="https://africanmarketingconfederation.org/" TargetMode="External"/><Relationship Id="rId340" Type="http://schemas.openxmlformats.org/officeDocument/2006/relationships/hyperlink" Target="https://africanmarketingconfederation.org/amc-conference-2022" TargetMode="External"/><Relationship Id="rId578" Type="http://schemas.openxmlformats.org/officeDocument/2006/relationships/hyperlink" Target="https://africanmarketingconfederation.org/amc-conference-2023/gallery" TargetMode="External"/><Relationship Id="rId785" Type="http://schemas.openxmlformats.org/officeDocument/2006/relationships/hyperlink" Target="https://africanmarketingconfederation.org/amc-conference-2023/gallery" TargetMode="External"/><Relationship Id="rId992" Type="http://schemas.openxmlformats.org/officeDocument/2006/relationships/hyperlink" Target="https://africanmarketingconfederation.org/amc-conference-2023/gallery" TargetMode="External"/><Relationship Id="rId200" Type="http://schemas.openxmlformats.org/officeDocument/2006/relationships/hyperlink" Target="https://africanmarketingconfederation.org/african-marketing-confederation-tourism-chapter" TargetMode="External"/><Relationship Id="rId438" Type="http://schemas.openxmlformats.org/officeDocument/2006/relationships/hyperlink" Target="https://africanmarketingconfederation.org/amc-conference-2023/amc-awards-book-now" TargetMode="External"/><Relationship Id="rId645" Type="http://schemas.openxmlformats.org/officeDocument/2006/relationships/hyperlink" Target="https://africanmarketingconfederation.org/amc-conference-2023/gallery" TargetMode="External"/><Relationship Id="rId852" Type="http://schemas.openxmlformats.org/officeDocument/2006/relationships/hyperlink" Target="https://africanmarketingconfederation.org/amc-conference-2023/gallery" TargetMode="External"/><Relationship Id="rId1068" Type="http://schemas.openxmlformats.org/officeDocument/2006/relationships/hyperlink" Target="https://africanmarketingconfederation.org/amc-conference-2023/gallery" TargetMode="External"/><Relationship Id="rId1275" Type="http://schemas.openxmlformats.org/officeDocument/2006/relationships/hyperlink" Target="https://africanmarketingconfederation.org/amc-conference-2024-sponsors-packages" TargetMode="External"/><Relationship Id="rId284" Type="http://schemas.openxmlformats.org/officeDocument/2006/relationships/hyperlink" Target="https://africanmarketingconfederation.org/amc-conference-2022" TargetMode="External"/><Relationship Id="rId491" Type="http://schemas.openxmlformats.org/officeDocument/2006/relationships/hyperlink" Target="https://africanmarketingconfederation.org/amc-conference-2023/book-now" TargetMode="External"/><Relationship Id="rId505" Type="http://schemas.openxmlformats.org/officeDocument/2006/relationships/hyperlink" Target="https://africanmarketingconfederation.org/amc-conference-2023/download-prospectus" TargetMode="External"/><Relationship Id="rId712" Type="http://schemas.openxmlformats.org/officeDocument/2006/relationships/hyperlink" Target="https://africanmarketingconfederation.org/amc-conference-2023/gallery" TargetMode="External"/><Relationship Id="rId1135" Type="http://schemas.openxmlformats.org/officeDocument/2006/relationships/hyperlink" Target="https://africanmarketingconfederation.org/amc-conference-2023/gallery" TargetMode="External"/><Relationship Id="rId1342" Type="http://schemas.openxmlformats.org/officeDocument/2006/relationships/hyperlink" Target="https://africanmarketingconfederation.org/amc-conference-2025-highlights" TargetMode="External"/><Relationship Id="rId79" Type="http://schemas.openxmlformats.org/officeDocument/2006/relationships/hyperlink" Target="https://africanmarketingconfederation.org/about-us" TargetMode="External"/><Relationship Id="rId144" Type="http://schemas.openxmlformats.org/officeDocument/2006/relationships/hyperlink" Target="https://africanmarketingconfederation.org/african-marketing-confederation-tourism-chapter" TargetMode="External"/><Relationship Id="rId589" Type="http://schemas.openxmlformats.org/officeDocument/2006/relationships/hyperlink" Target="https://africanmarketingconfederation.org/amc-conference-2023/gallery" TargetMode="External"/><Relationship Id="rId796" Type="http://schemas.openxmlformats.org/officeDocument/2006/relationships/hyperlink" Target="https://africanmarketingconfederation.org/amc-conference-2023/gallery" TargetMode="External"/><Relationship Id="rId1202" Type="http://schemas.openxmlformats.org/officeDocument/2006/relationships/hyperlink" Target="https://africanmarketingconfederation.org/amc-conference-2024-recap" TargetMode="External"/><Relationship Id="rId351" Type="http://schemas.openxmlformats.org/officeDocument/2006/relationships/hyperlink" Target="https://africanmarketingconfederation.org/amc-conference-2022" TargetMode="External"/><Relationship Id="rId449" Type="http://schemas.openxmlformats.org/officeDocument/2006/relationships/hyperlink" Target="https://africanmarketingconfederation.org/amc-conference-2023/amc-awards-book-now" TargetMode="External"/><Relationship Id="rId656" Type="http://schemas.openxmlformats.org/officeDocument/2006/relationships/hyperlink" Target="https://africanmarketingconfederation.org/amc-conference-2023/gallery" TargetMode="External"/><Relationship Id="rId863" Type="http://schemas.openxmlformats.org/officeDocument/2006/relationships/hyperlink" Target="https://africanmarketingconfederation.org/amc-conference-2023/gallery" TargetMode="External"/><Relationship Id="rId1079" Type="http://schemas.openxmlformats.org/officeDocument/2006/relationships/hyperlink" Target="https://africanmarketingconfederation.org/amc-conference-2023/gallery" TargetMode="External"/><Relationship Id="rId1286" Type="http://schemas.openxmlformats.org/officeDocument/2006/relationships/hyperlink" Target="https://africanmarketingconfederation.org/amc-conference-2024-sponsors-packages" TargetMode="External"/><Relationship Id="rId211" Type="http://schemas.openxmlformats.org/officeDocument/2006/relationships/hyperlink" Target="https://africanmarketingconfederation.org/amc-conference-2022-prospectus" TargetMode="External"/><Relationship Id="rId295" Type="http://schemas.openxmlformats.org/officeDocument/2006/relationships/hyperlink" Target="https://africanmarketingconfederation.org/amc-conference-2022" TargetMode="External"/><Relationship Id="rId309" Type="http://schemas.openxmlformats.org/officeDocument/2006/relationships/hyperlink" Target="https://africanmarketingconfederation.org/amc-conference-2022" TargetMode="External"/><Relationship Id="rId516" Type="http://schemas.openxmlformats.org/officeDocument/2006/relationships/hyperlink" Target="https://africanmarketingconfederation.org/amc-conference-2023/download-prospectus" TargetMode="External"/><Relationship Id="rId1146" Type="http://schemas.openxmlformats.org/officeDocument/2006/relationships/hyperlink" Target="https://africanmarketingconfederation.org/amc-conference-2023/partners" TargetMode="External"/><Relationship Id="rId723" Type="http://schemas.openxmlformats.org/officeDocument/2006/relationships/hyperlink" Target="https://africanmarketingconfederation.org/amc-conference-2023/gallery" TargetMode="External"/><Relationship Id="rId930" Type="http://schemas.openxmlformats.org/officeDocument/2006/relationships/hyperlink" Target="https://africanmarketingconfederation.org/amc-conference-2023/gallery" TargetMode="External"/><Relationship Id="rId1006" Type="http://schemas.openxmlformats.org/officeDocument/2006/relationships/hyperlink" Target="https://africanmarketingconfederation.org/amc-conference-2023/gallery" TargetMode="External"/><Relationship Id="rId1353" Type="http://schemas.openxmlformats.org/officeDocument/2006/relationships/hyperlink" Target="https://africanmarketingconfederation.org/amc-conference-2025-highlights" TargetMode="External"/><Relationship Id="rId155" Type="http://schemas.openxmlformats.org/officeDocument/2006/relationships/hyperlink" Target="https://africanmarketingconfederation.org/african-marketing-confederation-tourism-chapter" TargetMode="External"/><Relationship Id="rId362" Type="http://schemas.openxmlformats.org/officeDocument/2006/relationships/hyperlink" Target="https://africanmarketingconfederation.org/amc-conference-2022" TargetMode="External"/><Relationship Id="rId1213" Type="http://schemas.openxmlformats.org/officeDocument/2006/relationships/hyperlink" Target="https://africanmarketingconfederation.org/amc-conference-2024-recap" TargetMode="External"/><Relationship Id="rId1297" Type="http://schemas.openxmlformats.org/officeDocument/2006/relationships/hyperlink" Target="https://africanmarketingconfederation.org/amc-conference-2025-highlights" TargetMode="External"/><Relationship Id="rId222" Type="http://schemas.openxmlformats.org/officeDocument/2006/relationships/hyperlink" Target="https://africanmarketingconfederation.org/amc-conference-2022-prospectus" TargetMode="External"/><Relationship Id="rId667" Type="http://schemas.openxmlformats.org/officeDocument/2006/relationships/hyperlink" Target="https://africanmarketingconfederation.org/amc-conference-2023/gallery" TargetMode="External"/><Relationship Id="rId874" Type="http://schemas.openxmlformats.org/officeDocument/2006/relationships/hyperlink" Target="https://africanmarketingconfederation.org/amc-conference-2023/gallery" TargetMode="External"/><Relationship Id="rId17" Type="http://schemas.openxmlformats.org/officeDocument/2006/relationships/hyperlink" Target="https://africanmarketingconfederation.org/amc-conference-2023/programme" TargetMode="External"/><Relationship Id="rId527" Type="http://schemas.openxmlformats.org/officeDocument/2006/relationships/hyperlink" Target="https://africanmarketingconfederation.org/amc-conference-2023/gallery" TargetMode="External"/><Relationship Id="rId734" Type="http://schemas.openxmlformats.org/officeDocument/2006/relationships/hyperlink" Target="https://africanmarketingconfederation.org/amc-conference-2023/gallery" TargetMode="External"/><Relationship Id="rId941" Type="http://schemas.openxmlformats.org/officeDocument/2006/relationships/hyperlink" Target="https://africanmarketingconfederation.org/amc-conference-2023/gallery" TargetMode="External"/><Relationship Id="rId1157" Type="http://schemas.openxmlformats.org/officeDocument/2006/relationships/hyperlink" Target="https://africanmarketingconfederation.org/amc-conference-2023/partners" TargetMode="External"/><Relationship Id="rId1364" Type="http://schemas.openxmlformats.org/officeDocument/2006/relationships/hyperlink" Target="https://africanmarketingconfederation.org/amc-conference-2022-prospectus" TargetMode="External"/><Relationship Id="rId70" Type="http://schemas.openxmlformats.org/officeDocument/2006/relationships/hyperlink" Target="https://africanmarketingconfederation.org/about-us" TargetMode="External"/><Relationship Id="rId166" Type="http://schemas.openxmlformats.org/officeDocument/2006/relationships/hyperlink" Target="https://africanmarketingconfederation.org/african-marketing-confederation-tourism-chapter" TargetMode="External"/><Relationship Id="rId373" Type="http://schemas.openxmlformats.org/officeDocument/2006/relationships/hyperlink" Target="https://africanmarketingconfederation.org/amc-conference-2022" TargetMode="External"/><Relationship Id="rId580" Type="http://schemas.openxmlformats.org/officeDocument/2006/relationships/hyperlink" Target="https://africanmarketingconfederation.org/amc-conference-2023/gallery" TargetMode="External"/><Relationship Id="rId801" Type="http://schemas.openxmlformats.org/officeDocument/2006/relationships/hyperlink" Target="https://africanmarketingconfederation.org/amc-conference-2023/gallery" TargetMode="External"/><Relationship Id="rId1017" Type="http://schemas.openxmlformats.org/officeDocument/2006/relationships/hyperlink" Target="https://africanmarketingconfederation.org/amc-conference-2023/gallery" TargetMode="External"/><Relationship Id="rId1224" Type="http://schemas.openxmlformats.org/officeDocument/2006/relationships/hyperlink" Target="https://africanmarketingconfederation.org/amc-conference-2023/programme" TargetMode="External"/><Relationship Id="rId1" Type="http://schemas.openxmlformats.org/officeDocument/2006/relationships/hyperlink" Target="https://africanmarketingconfederation.org/amc-awards-2024" TargetMode="External"/><Relationship Id="rId233" Type="http://schemas.openxmlformats.org/officeDocument/2006/relationships/hyperlink" Target="https://africanmarketingconfederation.org/amc-conference-2022-prospectus" TargetMode="External"/><Relationship Id="rId440" Type="http://schemas.openxmlformats.org/officeDocument/2006/relationships/hyperlink" Target="https://africanmarketingconfederation.org/amc-conference-2023/amc-awards-book-now" TargetMode="External"/><Relationship Id="rId678" Type="http://schemas.openxmlformats.org/officeDocument/2006/relationships/hyperlink" Target="https://africanmarketingconfederation.org/amc-conference-2023/gallery" TargetMode="External"/><Relationship Id="rId885" Type="http://schemas.openxmlformats.org/officeDocument/2006/relationships/hyperlink" Target="https://africanmarketingconfederation.org/amc-conference-2023/gallery" TargetMode="External"/><Relationship Id="rId1070" Type="http://schemas.openxmlformats.org/officeDocument/2006/relationships/hyperlink" Target="https://africanmarketingconfederation.org/amc-conference-2023/gallery" TargetMode="External"/><Relationship Id="rId28" Type="http://schemas.openxmlformats.org/officeDocument/2006/relationships/hyperlink" Target="https://africanmarketingconfederation.org/amc-awards-2024" TargetMode="External"/><Relationship Id="rId300" Type="http://schemas.openxmlformats.org/officeDocument/2006/relationships/hyperlink" Target="https://africanmarketingconfederation.org/amc-conference-2022" TargetMode="External"/><Relationship Id="rId538" Type="http://schemas.openxmlformats.org/officeDocument/2006/relationships/hyperlink" Target="https://africanmarketingconfederation.org/amc-conference-2023/gallery" TargetMode="External"/><Relationship Id="rId745" Type="http://schemas.openxmlformats.org/officeDocument/2006/relationships/hyperlink" Target="https://africanmarketingconfederation.org/amc-conference-2023/gallery" TargetMode="External"/><Relationship Id="rId952" Type="http://schemas.openxmlformats.org/officeDocument/2006/relationships/hyperlink" Target="https://africanmarketingconfederation.org/amc-conference-2023/gallery" TargetMode="External"/><Relationship Id="rId1168" Type="http://schemas.openxmlformats.org/officeDocument/2006/relationships/hyperlink" Target="https://africanmarketingconfederation.org/amc-conference-2023/partners" TargetMode="External"/><Relationship Id="rId1375" Type="http://schemas.openxmlformats.org/officeDocument/2006/relationships/hyperlink" Target="https://africanmarketingconfederation.org/amc-conference-2024-recap" TargetMode="External"/><Relationship Id="rId81" Type="http://schemas.openxmlformats.org/officeDocument/2006/relationships/hyperlink" Target="https://africanmarketingconfederation.org/" TargetMode="External"/><Relationship Id="rId177" Type="http://schemas.openxmlformats.org/officeDocument/2006/relationships/hyperlink" Target="https://africanmarketingconfederation.org/african-marketing-confederation-tourism-chapter" TargetMode="External"/><Relationship Id="rId384" Type="http://schemas.openxmlformats.org/officeDocument/2006/relationships/hyperlink" Target="https://africanmarketingconfederation.org/amc-conference-2023" TargetMode="External"/><Relationship Id="rId591" Type="http://schemas.openxmlformats.org/officeDocument/2006/relationships/hyperlink" Target="https://africanmarketingconfederation.org/amc-conference-2023/gallery" TargetMode="External"/><Relationship Id="rId605" Type="http://schemas.openxmlformats.org/officeDocument/2006/relationships/hyperlink" Target="https://africanmarketingconfederation.org/amc-conference-2023/gallery" TargetMode="External"/><Relationship Id="rId812" Type="http://schemas.openxmlformats.org/officeDocument/2006/relationships/hyperlink" Target="https://africanmarketingconfederation.org/amc-conference-2023/gallery" TargetMode="External"/><Relationship Id="rId1028" Type="http://schemas.openxmlformats.org/officeDocument/2006/relationships/hyperlink" Target="https://africanmarketingconfederation.org/amc-conference-2023/gallery" TargetMode="External"/><Relationship Id="rId1235" Type="http://schemas.openxmlformats.org/officeDocument/2006/relationships/hyperlink" Target="https://africanmarketingconfederation.org/amc-conference-2023/programme" TargetMode="External"/><Relationship Id="rId244" Type="http://schemas.openxmlformats.org/officeDocument/2006/relationships/hyperlink" Target="https://africanmarketingconfederation.org/amc-conference-2022-thank-you" TargetMode="External"/><Relationship Id="rId689" Type="http://schemas.openxmlformats.org/officeDocument/2006/relationships/hyperlink" Target="https://africanmarketingconfederation.org/amc-conference-2023/gallery" TargetMode="External"/><Relationship Id="rId896" Type="http://schemas.openxmlformats.org/officeDocument/2006/relationships/hyperlink" Target="https://africanmarketingconfederation.org/amc-conference-2023/gallery" TargetMode="External"/><Relationship Id="rId1081" Type="http://schemas.openxmlformats.org/officeDocument/2006/relationships/hyperlink" Target="https://africanmarketingconfederation.org/amc-conference-2023/gallery" TargetMode="External"/><Relationship Id="rId1302" Type="http://schemas.openxmlformats.org/officeDocument/2006/relationships/hyperlink" Target="https://africanmarketingconfederation.org/amc-conference-2025-highlights" TargetMode="External"/><Relationship Id="rId39" Type="http://schemas.openxmlformats.org/officeDocument/2006/relationships/hyperlink" Target="https://africanmarketingconfederation.org/amc-awards-2024" TargetMode="External"/><Relationship Id="rId451" Type="http://schemas.openxmlformats.org/officeDocument/2006/relationships/hyperlink" Target="https://africanmarketingconfederation.org/amc-conference-2023/amc-awards-book-now" TargetMode="External"/><Relationship Id="rId549" Type="http://schemas.openxmlformats.org/officeDocument/2006/relationships/hyperlink" Target="https://africanmarketingconfederation.org/amc-conference-2023/gallery" TargetMode="External"/><Relationship Id="rId756" Type="http://schemas.openxmlformats.org/officeDocument/2006/relationships/hyperlink" Target="https://africanmarketingconfederation.org/amc-conference-2023/gallery" TargetMode="External"/><Relationship Id="rId1179" Type="http://schemas.openxmlformats.org/officeDocument/2006/relationships/hyperlink" Target="https://africanmarketingconfederation.org/amc-conference-2024-recap" TargetMode="External"/><Relationship Id="rId104" Type="http://schemas.openxmlformats.org/officeDocument/2006/relationships/hyperlink" Target="https://africanmarketingconfederation.org/" TargetMode="External"/><Relationship Id="rId188" Type="http://schemas.openxmlformats.org/officeDocument/2006/relationships/hyperlink" Target="https://africanmarketingconfederation.org/african-marketing-confederation-tourism-chapter" TargetMode="External"/><Relationship Id="rId311" Type="http://schemas.openxmlformats.org/officeDocument/2006/relationships/hyperlink" Target="https://africanmarketingconfederation.org/amc-conference-2022" TargetMode="External"/><Relationship Id="rId395" Type="http://schemas.openxmlformats.org/officeDocument/2006/relationships/hyperlink" Target="https://africanmarketingconfederation.org/amc-conference-2023" TargetMode="External"/><Relationship Id="rId409" Type="http://schemas.openxmlformats.org/officeDocument/2006/relationships/hyperlink" Target="https://africanmarketingconfederation.org/amc-conference-2023" TargetMode="External"/><Relationship Id="rId963" Type="http://schemas.openxmlformats.org/officeDocument/2006/relationships/hyperlink" Target="https://africanmarketingconfederation.org/amc-conference-2023/gallery" TargetMode="External"/><Relationship Id="rId1039" Type="http://schemas.openxmlformats.org/officeDocument/2006/relationships/hyperlink" Target="https://africanmarketingconfederation.org/amc-conference-2023/gallery" TargetMode="External"/><Relationship Id="rId1246" Type="http://schemas.openxmlformats.org/officeDocument/2006/relationships/hyperlink" Target="https://africanmarketingconfederation.org/amc-conference-2023/speakers" TargetMode="External"/><Relationship Id="rId92" Type="http://schemas.openxmlformats.org/officeDocument/2006/relationships/hyperlink" Target="https://africanmarketingconfederation.org/" TargetMode="External"/><Relationship Id="rId616" Type="http://schemas.openxmlformats.org/officeDocument/2006/relationships/hyperlink" Target="https://africanmarketingconfederation.org/amc-conference-2023/gallery" TargetMode="External"/><Relationship Id="rId823" Type="http://schemas.openxmlformats.org/officeDocument/2006/relationships/hyperlink" Target="https://africanmarketingconfederation.org/amc-conference-2023/gallery" TargetMode="External"/><Relationship Id="rId255" Type="http://schemas.openxmlformats.org/officeDocument/2006/relationships/hyperlink" Target="https://africanmarketingconfederation.org/amc-conference-2022-thank-you" TargetMode="External"/><Relationship Id="rId462" Type="http://schemas.openxmlformats.org/officeDocument/2006/relationships/hyperlink" Target="https://africanmarketingconfederation.org/amc-conference-2023/amc-awards" TargetMode="External"/><Relationship Id="rId1092" Type="http://schemas.openxmlformats.org/officeDocument/2006/relationships/hyperlink" Target="https://africanmarketingconfederation.org/amc-conference-2023/gallery" TargetMode="External"/><Relationship Id="rId1106" Type="http://schemas.openxmlformats.org/officeDocument/2006/relationships/hyperlink" Target="https://africanmarketingconfederation.org/amc-conference-2023/gallery" TargetMode="External"/><Relationship Id="rId1313" Type="http://schemas.openxmlformats.org/officeDocument/2006/relationships/hyperlink" Target="https://africanmarketingconfederation.org/amc-conference-2025-highlights" TargetMode="External"/><Relationship Id="rId115" Type="http://schemas.openxmlformats.org/officeDocument/2006/relationships/hyperlink" Target="https://africanmarketingconfederation.org/" TargetMode="External"/><Relationship Id="rId322" Type="http://schemas.openxmlformats.org/officeDocument/2006/relationships/hyperlink" Target="https://africanmarketingconfederation.org/amc-conference-2022" TargetMode="External"/><Relationship Id="rId767" Type="http://schemas.openxmlformats.org/officeDocument/2006/relationships/hyperlink" Target="https://africanmarketingconfederation.org/amc-conference-2023/gallery" TargetMode="External"/><Relationship Id="rId974" Type="http://schemas.openxmlformats.org/officeDocument/2006/relationships/hyperlink" Target="https://africanmarketingconfederation.org/amc-conference-2023/gallery" TargetMode="External"/><Relationship Id="rId199" Type="http://schemas.openxmlformats.org/officeDocument/2006/relationships/hyperlink" Target="https://africanmarketingconfederation.org/african-marketing-confederation-tourism-chapter" TargetMode="External"/><Relationship Id="rId627" Type="http://schemas.openxmlformats.org/officeDocument/2006/relationships/hyperlink" Target="https://africanmarketingconfederation.org/amc-conference-2023/gallery" TargetMode="External"/><Relationship Id="rId834" Type="http://schemas.openxmlformats.org/officeDocument/2006/relationships/hyperlink" Target="https://africanmarketingconfederation.org/amc-conference-2023/gallery" TargetMode="External"/><Relationship Id="rId1257" Type="http://schemas.openxmlformats.org/officeDocument/2006/relationships/hyperlink" Target="https://africanmarketingconfederation.org/amc-conference-2023/speakers" TargetMode="External"/><Relationship Id="rId266" Type="http://schemas.openxmlformats.org/officeDocument/2006/relationships/hyperlink" Target="https://africanmarketingconfederation.org/amc-conference-2022-thank-you" TargetMode="External"/><Relationship Id="rId473" Type="http://schemas.openxmlformats.org/officeDocument/2006/relationships/hyperlink" Target="https://africanmarketingconfederation.org/amc-conference-2023/book-now-thank-you" TargetMode="External"/><Relationship Id="rId680" Type="http://schemas.openxmlformats.org/officeDocument/2006/relationships/hyperlink" Target="https://africanmarketingconfederation.org/amc-conference-2023/gallery" TargetMode="External"/><Relationship Id="rId901" Type="http://schemas.openxmlformats.org/officeDocument/2006/relationships/hyperlink" Target="https://africanmarketingconfederation.org/amc-conference-2023/gallery" TargetMode="External"/><Relationship Id="rId1117" Type="http://schemas.openxmlformats.org/officeDocument/2006/relationships/hyperlink" Target="https://africanmarketingconfederation.org/amc-conference-2023/gallery" TargetMode="External"/><Relationship Id="rId1324" Type="http://schemas.openxmlformats.org/officeDocument/2006/relationships/hyperlink" Target="https://africanmarketingconfederation.org/amc-conference-2025-highlights" TargetMode="External"/><Relationship Id="rId30" Type="http://schemas.openxmlformats.org/officeDocument/2006/relationships/hyperlink" Target="https://africanmarketingconfederation.org/amc-awards-2024" TargetMode="External"/><Relationship Id="rId126" Type="http://schemas.openxmlformats.org/officeDocument/2006/relationships/hyperlink" Target="https://africanmarketingconfederation.org/" TargetMode="External"/><Relationship Id="rId333" Type="http://schemas.openxmlformats.org/officeDocument/2006/relationships/hyperlink" Target="https://africanmarketingconfederation.org/amc-conference-2022" TargetMode="External"/><Relationship Id="rId540" Type="http://schemas.openxmlformats.org/officeDocument/2006/relationships/hyperlink" Target="https://africanmarketingconfederation.org/amc-conference-2023/gallery" TargetMode="External"/><Relationship Id="rId778" Type="http://schemas.openxmlformats.org/officeDocument/2006/relationships/hyperlink" Target="https://africanmarketingconfederation.org/amc-conference-2023/gallery" TargetMode="External"/><Relationship Id="rId985" Type="http://schemas.openxmlformats.org/officeDocument/2006/relationships/hyperlink" Target="https://africanmarketingconfederation.org/amc-conference-2023/gallery" TargetMode="External"/><Relationship Id="rId1170" Type="http://schemas.openxmlformats.org/officeDocument/2006/relationships/hyperlink" Target="https://africanmarketingconfederation.org/amc-conference-2023/partners" TargetMode="External"/><Relationship Id="rId638" Type="http://schemas.openxmlformats.org/officeDocument/2006/relationships/hyperlink" Target="https://africanmarketingconfederation.org/amc-conference-2023/gallery" TargetMode="External"/><Relationship Id="rId845" Type="http://schemas.openxmlformats.org/officeDocument/2006/relationships/hyperlink" Target="https://africanmarketingconfederation.org/amc-conference-2023/gallery" TargetMode="External"/><Relationship Id="rId1030" Type="http://schemas.openxmlformats.org/officeDocument/2006/relationships/hyperlink" Target="https://africanmarketingconfederation.org/amc-conference-2023/gallery" TargetMode="External"/><Relationship Id="rId1268" Type="http://schemas.openxmlformats.org/officeDocument/2006/relationships/hyperlink" Target="https://africanmarketingconfederation.org/amc-conference-2024-sponsors-packages" TargetMode="External"/><Relationship Id="rId277"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amc-conference-2023" TargetMode="External"/><Relationship Id="rId484" Type="http://schemas.openxmlformats.org/officeDocument/2006/relationships/hyperlink" Target="https://africanmarketingconfederation.org/amc-conference-2023/book-now" TargetMode="External"/><Relationship Id="rId705" Type="http://schemas.openxmlformats.org/officeDocument/2006/relationships/hyperlink" Target="https://africanmarketingconfederation.org/amc-conference-2023/gallery" TargetMode="External"/><Relationship Id="rId1128" Type="http://schemas.openxmlformats.org/officeDocument/2006/relationships/hyperlink" Target="https://africanmarketingconfederation.org/amc-conference-2023/gallery" TargetMode="External"/><Relationship Id="rId1335" Type="http://schemas.openxmlformats.org/officeDocument/2006/relationships/hyperlink" Target="https://africanmarketingconfederation.org/amc-conference-2025-highlights" TargetMode="External"/><Relationship Id="rId137" Type="http://schemas.openxmlformats.org/officeDocument/2006/relationships/hyperlink" Target="https://africanmarketingconfederation.org/" TargetMode="External"/><Relationship Id="rId344" Type="http://schemas.openxmlformats.org/officeDocument/2006/relationships/hyperlink" Target="https://africanmarketingconfederation.org/amc-conference-2022" TargetMode="External"/><Relationship Id="rId691" Type="http://schemas.openxmlformats.org/officeDocument/2006/relationships/hyperlink" Target="https://africanmarketingconfederation.org/amc-conference-2023/gallery" TargetMode="External"/><Relationship Id="rId789" Type="http://schemas.openxmlformats.org/officeDocument/2006/relationships/hyperlink" Target="https://africanmarketingconfederation.org/amc-conference-2023/gallery" TargetMode="External"/><Relationship Id="rId912" Type="http://schemas.openxmlformats.org/officeDocument/2006/relationships/hyperlink" Target="https://africanmarketingconfederation.org/amc-conference-2023/gallery" TargetMode="External"/><Relationship Id="rId996" Type="http://schemas.openxmlformats.org/officeDocument/2006/relationships/hyperlink" Target="https://africanmarketingconfederation.org/amc-conference-2023/gallery" TargetMode="External"/><Relationship Id="rId41" Type="http://schemas.openxmlformats.org/officeDocument/2006/relationships/hyperlink" Target="https://africanmarketingconfederation.org/about-us" TargetMode="External"/><Relationship Id="rId551" Type="http://schemas.openxmlformats.org/officeDocument/2006/relationships/hyperlink" Target="https://africanmarketingconfederation.org/amc-conference-2023/gallery" TargetMode="External"/><Relationship Id="rId649" Type="http://schemas.openxmlformats.org/officeDocument/2006/relationships/hyperlink" Target="https://africanmarketingconfederation.org/amc-conference-2023/gallery" TargetMode="External"/><Relationship Id="rId856" Type="http://schemas.openxmlformats.org/officeDocument/2006/relationships/hyperlink" Target="https://africanmarketingconfederation.org/amc-conference-2023/gallery" TargetMode="External"/><Relationship Id="rId1181" Type="http://schemas.openxmlformats.org/officeDocument/2006/relationships/hyperlink" Target="https://africanmarketingconfederation.org/amc-conference-2024-recap" TargetMode="External"/><Relationship Id="rId1279" Type="http://schemas.openxmlformats.org/officeDocument/2006/relationships/hyperlink" Target="https://africanmarketingconfederation.org/amc-conference-2024-sponsors-packages" TargetMode="External"/><Relationship Id="rId190" Type="http://schemas.openxmlformats.org/officeDocument/2006/relationships/hyperlink" Target="https://africanmarketingconfederation.org/african-marketing-confederation-tourism-chapter" TargetMode="External"/><Relationship Id="rId204" Type="http://schemas.openxmlformats.org/officeDocument/2006/relationships/hyperlink" Target="https://africanmarketingconfederation.org/african-marketing-confederation-tourism-chapter" TargetMode="External"/><Relationship Id="rId288" Type="http://schemas.openxmlformats.org/officeDocument/2006/relationships/hyperlink" Target="https://africanmarketingconfederation.org/amc-conference-2022" TargetMode="External"/><Relationship Id="rId411" Type="http://schemas.openxmlformats.org/officeDocument/2006/relationships/hyperlink" Target="https://africanmarketingconfederation.org/amc-conference-2023" TargetMode="External"/><Relationship Id="rId509" Type="http://schemas.openxmlformats.org/officeDocument/2006/relationships/hyperlink" Target="https://africanmarketingconfederation.org/amc-conference-2023/download-prospectus" TargetMode="External"/><Relationship Id="rId1041" Type="http://schemas.openxmlformats.org/officeDocument/2006/relationships/hyperlink" Target="https://africanmarketingconfederation.org/amc-conference-2023/gallery" TargetMode="External"/><Relationship Id="rId1139" Type="http://schemas.openxmlformats.org/officeDocument/2006/relationships/hyperlink" Target="https://africanmarketingconfederation.org/amc-conference-2023/gallery" TargetMode="External"/><Relationship Id="rId1346" Type="http://schemas.openxmlformats.org/officeDocument/2006/relationships/hyperlink" Target="https://africanmarketingconfederation.org/amc-conference-2025-highlights" TargetMode="External"/><Relationship Id="rId495" Type="http://schemas.openxmlformats.org/officeDocument/2006/relationships/hyperlink" Target="https://africanmarketingconfederation.org/amc-conference-2023/book-now" TargetMode="External"/><Relationship Id="rId716" Type="http://schemas.openxmlformats.org/officeDocument/2006/relationships/hyperlink" Target="https://africanmarketingconfederation.org/amc-conference-2023/gallery" TargetMode="External"/><Relationship Id="rId923" Type="http://schemas.openxmlformats.org/officeDocument/2006/relationships/hyperlink" Target="https://africanmarketingconfederation.org/amc-conference-2023/gallery" TargetMode="External"/><Relationship Id="rId52" Type="http://schemas.openxmlformats.org/officeDocument/2006/relationships/hyperlink" Target="https://africanmarketingconfederation.org/about-us" TargetMode="External"/><Relationship Id="rId148" Type="http://schemas.openxmlformats.org/officeDocument/2006/relationships/hyperlink" Target="https://africanmarketingconfederation.org/african-marketing-confederation-tourism-chapter" TargetMode="External"/><Relationship Id="rId355" Type="http://schemas.openxmlformats.org/officeDocument/2006/relationships/hyperlink" Target="https://africanmarketingconfederation.org/amc-conference-2022" TargetMode="External"/><Relationship Id="rId562" Type="http://schemas.openxmlformats.org/officeDocument/2006/relationships/hyperlink" Target="https://africanmarketingconfederation.org/amc-conference-2023/gallery" TargetMode="External"/><Relationship Id="rId1192" Type="http://schemas.openxmlformats.org/officeDocument/2006/relationships/hyperlink" Target="https://africanmarketingconfederation.org/amc-conference-2024-recap" TargetMode="External"/><Relationship Id="rId1206" Type="http://schemas.openxmlformats.org/officeDocument/2006/relationships/hyperlink" Target="https://africanmarketingconfederation.org/amc-conference-2024-recap" TargetMode="External"/><Relationship Id="rId215" Type="http://schemas.openxmlformats.org/officeDocument/2006/relationships/hyperlink" Target="https://africanmarketingconfederation.org/amc-conference-2022-prospectus" TargetMode="External"/><Relationship Id="rId422" Type="http://schemas.openxmlformats.org/officeDocument/2006/relationships/hyperlink" Target="https://africanmarketingconfederation.org/amc-conference-2023" TargetMode="External"/><Relationship Id="rId867" Type="http://schemas.openxmlformats.org/officeDocument/2006/relationships/hyperlink" Target="https://africanmarketingconfederation.org/amc-conference-2023/gallery" TargetMode="External"/><Relationship Id="rId1052" Type="http://schemas.openxmlformats.org/officeDocument/2006/relationships/hyperlink" Target="https://africanmarketingconfederation.org/amc-conference-2023/gallery" TargetMode="External"/><Relationship Id="rId299" Type="http://schemas.openxmlformats.org/officeDocument/2006/relationships/hyperlink" Target="https://africanmarketingconfederation.org/amc-conference-2022" TargetMode="External"/><Relationship Id="rId727" Type="http://schemas.openxmlformats.org/officeDocument/2006/relationships/hyperlink" Target="https://africanmarketingconfederation.org/amc-conference-2023/gallery" TargetMode="External"/><Relationship Id="rId934" Type="http://schemas.openxmlformats.org/officeDocument/2006/relationships/hyperlink" Target="https://africanmarketingconfederation.org/amc-conference-2023/gallery" TargetMode="External"/><Relationship Id="rId1357" Type="http://schemas.openxmlformats.org/officeDocument/2006/relationships/hyperlink" Target="https://africanmarketingconfederation.org/amc-conference-2025-highlights" TargetMode="External"/><Relationship Id="rId63" Type="http://schemas.openxmlformats.org/officeDocument/2006/relationships/hyperlink" Target="https://africanmarketingconfederation.org/about-us" TargetMode="External"/><Relationship Id="rId159" Type="http://schemas.openxmlformats.org/officeDocument/2006/relationships/hyperlink" Target="https://africanmarketingconfederation.org/african-marketing-confederation-tourism-chapter" TargetMode="External"/><Relationship Id="rId366" Type="http://schemas.openxmlformats.org/officeDocument/2006/relationships/hyperlink" Target="https://africanmarketingconfederation.org/amc-conference-2022" TargetMode="External"/><Relationship Id="rId573" Type="http://schemas.openxmlformats.org/officeDocument/2006/relationships/hyperlink" Target="https://africanmarketingconfederation.org/amc-conference-2023/gallery" TargetMode="External"/><Relationship Id="rId780" Type="http://schemas.openxmlformats.org/officeDocument/2006/relationships/hyperlink" Target="https://africanmarketingconfederation.org/amc-conference-2023/gallery" TargetMode="External"/><Relationship Id="rId1217" Type="http://schemas.openxmlformats.org/officeDocument/2006/relationships/hyperlink" Target="https://africanmarketingconfederation.org/amc-conference-2023/programme"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amc-awards-book-now" TargetMode="External"/><Relationship Id="rId878" Type="http://schemas.openxmlformats.org/officeDocument/2006/relationships/hyperlink" Target="https://africanmarketingconfederation.org/amc-conference-2023/gallery" TargetMode="External"/><Relationship Id="rId1063" Type="http://schemas.openxmlformats.org/officeDocument/2006/relationships/hyperlink" Target="https://africanmarketingconfederation.org/amc-conference-2023/gallery" TargetMode="External"/><Relationship Id="rId1270" Type="http://schemas.openxmlformats.org/officeDocument/2006/relationships/hyperlink" Target="https://africanmarketingconfederation.org/amc-conference-2024-sponsors-packages" TargetMode="External"/><Relationship Id="rId640" Type="http://schemas.openxmlformats.org/officeDocument/2006/relationships/hyperlink" Target="https://africanmarketingconfederation.org/amc-conference-2023/gallery" TargetMode="External"/><Relationship Id="rId738" Type="http://schemas.openxmlformats.org/officeDocument/2006/relationships/hyperlink" Target="https://africanmarketingconfederation.org/amc-conference-2023/gallery" TargetMode="External"/><Relationship Id="rId945" Type="http://schemas.openxmlformats.org/officeDocument/2006/relationships/hyperlink" Target="https://africanmarketingconfederation.org/amc-conference-2023/gallery" TargetMode="External"/><Relationship Id="rId1368" Type="http://schemas.openxmlformats.org/officeDocument/2006/relationships/hyperlink" Target="https://africanmarketingconfederation.org/amc-conference-2023/amc-awards-book-now" TargetMode="External"/><Relationship Id="rId74" Type="http://schemas.openxmlformats.org/officeDocument/2006/relationships/hyperlink" Target="https://africanmarketingconfederation.org/about-us" TargetMode="External"/><Relationship Id="rId377" Type="http://schemas.openxmlformats.org/officeDocument/2006/relationships/hyperlink" Target="https://africanmarketingconfederation.org/amc-conference-2023" TargetMode="External"/><Relationship Id="rId500" Type="http://schemas.openxmlformats.org/officeDocument/2006/relationships/hyperlink" Target="https://africanmarketingconfederation.org/amc-conference-2023/download-prospectus" TargetMode="External"/><Relationship Id="rId584" Type="http://schemas.openxmlformats.org/officeDocument/2006/relationships/hyperlink" Target="https://africanmarketingconfederation.org/amc-conference-2023/gallery" TargetMode="External"/><Relationship Id="rId805" Type="http://schemas.openxmlformats.org/officeDocument/2006/relationships/hyperlink" Target="https://africanmarketingconfederation.org/amc-conference-2023/gallery" TargetMode="External"/><Relationship Id="rId1130" Type="http://schemas.openxmlformats.org/officeDocument/2006/relationships/hyperlink" Target="https://africanmarketingconfederation.org/amc-conference-2023/gallery" TargetMode="External"/><Relationship Id="rId1228" Type="http://schemas.openxmlformats.org/officeDocument/2006/relationships/hyperlink" Target="https://africanmarketingconfederation.org/amc-conference-2023/programme" TargetMode="External"/><Relationship Id="rId5" Type="http://schemas.openxmlformats.org/officeDocument/2006/relationships/hyperlink" Target="https://africanmarketingconfederation.org/amc-conference-2022-prospectus" TargetMode="External"/><Relationship Id="rId237" Type="http://schemas.openxmlformats.org/officeDocument/2006/relationships/hyperlink" Target="https://africanmarketingconfederation.org/amc-conference-2022-prospectus" TargetMode="External"/><Relationship Id="rId791" Type="http://schemas.openxmlformats.org/officeDocument/2006/relationships/hyperlink" Target="https://africanmarketingconfederation.org/amc-conference-2023/gallery" TargetMode="External"/><Relationship Id="rId889" Type="http://schemas.openxmlformats.org/officeDocument/2006/relationships/hyperlink" Target="https://africanmarketingconfederation.org/amc-conference-2023/gallery" TargetMode="External"/><Relationship Id="rId1074" Type="http://schemas.openxmlformats.org/officeDocument/2006/relationships/hyperlink" Target="https://africanmarketingconfederation.org/amc-conference-2023/gallery" TargetMode="External"/><Relationship Id="rId444" Type="http://schemas.openxmlformats.org/officeDocument/2006/relationships/hyperlink" Target="https://africanmarketingconfederation.org/amc-conference-2023/amc-awards-book-now" TargetMode="External"/><Relationship Id="rId651" Type="http://schemas.openxmlformats.org/officeDocument/2006/relationships/hyperlink" Target="https://africanmarketingconfederation.org/amc-conference-2023/gallery" TargetMode="External"/><Relationship Id="rId749" Type="http://schemas.openxmlformats.org/officeDocument/2006/relationships/hyperlink" Target="https://africanmarketingconfederation.org/amc-conference-2023/gallery" TargetMode="External"/><Relationship Id="rId1281" Type="http://schemas.openxmlformats.org/officeDocument/2006/relationships/hyperlink" Target="https://africanmarketingconfederation.org/amc-conference-2024-sponsors-packages" TargetMode="External"/><Relationship Id="rId1379" Type="http://schemas.openxmlformats.org/officeDocument/2006/relationships/hyperlink" Target="https://africanmarketingconfederation.org/amc-conference-2025-highlights" TargetMode="External"/><Relationship Id="rId290" Type="http://schemas.openxmlformats.org/officeDocument/2006/relationships/hyperlink" Target="https://africanmarketingconfederation.org/amc-conference-2022" TargetMode="External"/><Relationship Id="rId304"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511" Type="http://schemas.openxmlformats.org/officeDocument/2006/relationships/hyperlink" Target="https://africanmarketingconfederation.org/amc-conference-2023/download-prospectus" TargetMode="External"/><Relationship Id="rId609" Type="http://schemas.openxmlformats.org/officeDocument/2006/relationships/hyperlink" Target="https://africanmarketingconfederation.org/amc-conference-2023/gallery" TargetMode="External"/><Relationship Id="rId956" Type="http://schemas.openxmlformats.org/officeDocument/2006/relationships/hyperlink" Target="https://africanmarketingconfederation.org/amc-conference-2023/gallery" TargetMode="External"/><Relationship Id="rId1141" Type="http://schemas.openxmlformats.org/officeDocument/2006/relationships/hyperlink" Target="https://africanmarketingconfederation.org/amc-conference-2023/partners" TargetMode="External"/><Relationship Id="rId1239" Type="http://schemas.openxmlformats.org/officeDocument/2006/relationships/hyperlink" Target="https://africanmarketingconfederation.org/amc-conference-2023/programme" TargetMode="External"/><Relationship Id="rId85" Type="http://schemas.openxmlformats.org/officeDocument/2006/relationships/hyperlink" Target="https://africanmarketingconfederation.org/" TargetMode="External"/><Relationship Id="rId150" Type="http://schemas.openxmlformats.org/officeDocument/2006/relationships/hyperlink" Target="https://africanmarketingconfederation.org/african-marketing-confederation-tourism-chapter" TargetMode="External"/><Relationship Id="rId595" Type="http://schemas.openxmlformats.org/officeDocument/2006/relationships/hyperlink" Target="https://africanmarketingconfederation.org/amc-conference-2023/gallery" TargetMode="External"/><Relationship Id="rId816" Type="http://schemas.openxmlformats.org/officeDocument/2006/relationships/hyperlink" Target="https://africanmarketingconfederation.org/amc-conference-2023/gallery" TargetMode="External"/><Relationship Id="rId1001" Type="http://schemas.openxmlformats.org/officeDocument/2006/relationships/hyperlink" Target="https://africanmarketingconfederation.org/amc-conference-2023/gallery" TargetMode="External"/><Relationship Id="rId248" Type="http://schemas.openxmlformats.org/officeDocument/2006/relationships/hyperlink" Target="https://africanmarketingconfederation.org/amc-conference-2022-thank-you" TargetMode="External"/><Relationship Id="rId455" Type="http://schemas.openxmlformats.org/officeDocument/2006/relationships/hyperlink" Target="https://africanmarketingconfederation.org/amc-conference-2023/amc-awards" TargetMode="External"/><Relationship Id="rId662" Type="http://schemas.openxmlformats.org/officeDocument/2006/relationships/hyperlink" Target="https://africanmarketingconfederation.org/amc-conference-2023/gallery" TargetMode="External"/><Relationship Id="rId1085" Type="http://schemas.openxmlformats.org/officeDocument/2006/relationships/hyperlink" Target="https://africanmarketingconfederation.org/amc-conference-2023/gallery" TargetMode="External"/><Relationship Id="rId1292" Type="http://schemas.openxmlformats.org/officeDocument/2006/relationships/hyperlink" Target="https://africanmarketingconfederation.org/amc-conference-2024-sponsors-packages" TargetMode="External"/><Relationship Id="rId1306" Type="http://schemas.openxmlformats.org/officeDocument/2006/relationships/hyperlink" Target="https://africanmarketingconfederation.org/amc-conference-2025-highlights" TargetMode="External"/><Relationship Id="rId12" Type="http://schemas.openxmlformats.org/officeDocument/2006/relationships/hyperlink" Target="https://africanmarketingconfederation.org/amc-conference-2023/book-now"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 TargetMode="External"/><Relationship Id="rId522" Type="http://schemas.openxmlformats.org/officeDocument/2006/relationships/hyperlink" Target="https://africanmarketingconfederation.org/amc-conference-2023/gallery" TargetMode="External"/><Relationship Id="rId967" Type="http://schemas.openxmlformats.org/officeDocument/2006/relationships/hyperlink" Target="https://africanmarketingconfederation.org/amc-conference-2023/gallery" TargetMode="External"/><Relationship Id="rId1152" Type="http://schemas.openxmlformats.org/officeDocument/2006/relationships/hyperlink" Target="https://africanmarketingconfederation.org/amc-conference-2023/partners" TargetMode="External"/><Relationship Id="rId96" Type="http://schemas.openxmlformats.org/officeDocument/2006/relationships/hyperlink" Target="https://africanmarketingconfederation.org/" TargetMode="External"/><Relationship Id="rId161" Type="http://schemas.openxmlformats.org/officeDocument/2006/relationships/hyperlink" Target="https://africanmarketingconfederation.org/african-marketing-confederation-tourism-chapter" TargetMode="External"/><Relationship Id="rId399" Type="http://schemas.openxmlformats.org/officeDocument/2006/relationships/hyperlink" Target="https://africanmarketingconfederation.org/amc-conference-2023" TargetMode="External"/><Relationship Id="rId827" Type="http://schemas.openxmlformats.org/officeDocument/2006/relationships/hyperlink" Target="https://africanmarketingconfederation.org/amc-conference-2023/gallery" TargetMode="External"/><Relationship Id="rId1012" Type="http://schemas.openxmlformats.org/officeDocument/2006/relationships/hyperlink" Target="https://africanmarketingconfederation.org/amc-conference-2023/gallery" TargetMode="External"/><Relationship Id="rId259" Type="http://schemas.openxmlformats.org/officeDocument/2006/relationships/hyperlink" Target="https://africanmarketingconfederation.org/amc-conference-2022-thank-you" TargetMode="External"/><Relationship Id="rId466" Type="http://schemas.openxmlformats.org/officeDocument/2006/relationships/hyperlink" Target="https://africanmarketingconfederation.org/amc-conference-2023/amc-awards" TargetMode="External"/><Relationship Id="rId673" Type="http://schemas.openxmlformats.org/officeDocument/2006/relationships/hyperlink" Target="https://africanmarketingconfederation.org/amc-conference-2023/gallery" TargetMode="External"/><Relationship Id="rId880" Type="http://schemas.openxmlformats.org/officeDocument/2006/relationships/hyperlink" Target="https://africanmarketingconfederation.org/amc-conference-2023/gallery" TargetMode="External"/><Relationship Id="rId1096" Type="http://schemas.openxmlformats.org/officeDocument/2006/relationships/hyperlink" Target="https://africanmarketingconfederation.org/amc-conference-2023/gallery" TargetMode="External"/><Relationship Id="rId1317" Type="http://schemas.openxmlformats.org/officeDocument/2006/relationships/hyperlink" Target="https://africanmarketingconfederation.org/amc-conference-2025-highlights" TargetMode="External"/><Relationship Id="rId23" Type="http://schemas.openxmlformats.org/officeDocument/2006/relationships/hyperlink" Target="https://africanmarketingconfederation.org/amc-awards-2024" TargetMode="External"/><Relationship Id="rId119" Type="http://schemas.openxmlformats.org/officeDocument/2006/relationships/hyperlink" Target="https://africanmarketingconfederation.org/" TargetMode="External"/><Relationship Id="rId326" Type="http://schemas.openxmlformats.org/officeDocument/2006/relationships/hyperlink" Target="https://africanmarketingconfederation.org/amc-conference-2022" TargetMode="External"/><Relationship Id="rId533" Type="http://schemas.openxmlformats.org/officeDocument/2006/relationships/hyperlink" Target="https://africanmarketingconfederation.org/amc-conference-2023/gallery" TargetMode="External"/><Relationship Id="rId978" Type="http://schemas.openxmlformats.org/officeDocument/2006/relationships/hyperlink" Target="https://africanmarketingconfederation.org/amc-conference-2023/gallery" TargetMode="External"/><Relationship Id="rId1163" Type="http://schemas.openxmlformats.org/officeDocument/2006/relationships/hyperlink" Target="https://africanmarketingconfederation.org/amc-conference-2023/partners" TargetMode="External"/><Relationship Id="rId1370" Type="http://schemas.openxmlformats.org/officeDocument/2006/relationships/hyperlink" Target="https://africanmarketingconfederation.org/amc-conference-2023/book-now-thank-you" TargetMode="External"/><Relationship Id="rId740" Type="http://schemas.openxmlformats.org/officeDocument/2006/relationships/hyperlink" Target="https://africanmarketingconfederation.org/amc-conference-2023/gallery" TargetMode="External"/><Relationship Id="rId838" Type="http://schemas.openxmlformats.org/officeDocument/2006/relationships/hyperlink" Target="https://africanmarketingconfederation.org/amc-conference-2023/gallery" TargetMode="External"/><Relationship Id="rId1023" Type="http://schemas.openxmlformats.org/officeDocument/2006/relationships/hyperlink" Target="https://africanmarketingconfederation.org/amc-conference-2023/gallery" TargetMode="External"/><Relationship Id="rId172" Type="http://schemas.openxmlformats.org/officeDocument/2006/relationships/hyperlink" Target="https://africanmarketingconfederation.org/african-marketing-confederation-tourism-chapter" TargetMode="External"/><Relationship Id="rId477" Type="http://schemas.openxmlformats.org/officeDocument/2006/relationships/hyperlink" Target="https://africanmarketingconfederation.org/amc-conference-2023/book-now" TargetMode="External"/><Relationship Id="rId600" Type="http://schemas.openxmlformats.org/officeDocument/2006/relationships/hyperlink" Target="https://africanmarketingconfederation.org/amc-conference-2023/gallery" TargetMode="External"/><Relationship Id="rId684" Type="http://schemas.openxmlformats.org/officeDocument/2006/relationships/hyperlink" Target="https://africanmarketingconfederation.org/amc-conference-2023/gallery" TargetMode="External"/><Relationship Id="rId1230" Type="http://schemas.openxmlformats.org/officeDocument/2006/relationships/hyperlink" Target="https://africanmarketingconfederation.org/amc-conference-2023/programme" TargetMode="External"/><Relationship Id="rId1328" Type="http://schemas.openxmlformats.org/officeDocument/2006/relationships/hyperlink" Target="https://africanmarketingconfederation.org/amc-conference-2025-highlights" TargetMode="External"/><Relationship Id="rId337" Type="http://schemas.openxmlformats.org/officeDocument/2006/relationships/hyperlink" Target="https://africanmarketingconfederation.org/amc-conference-2022" TargetMode="External"/><Relationship Id="rId891" Type="http://schemas.openxmlformats.org/officeDocument/2006/relationships/hyperlink" Target="https://africanmarketingconfederation.org/amc-conference-2023/gallery" TargetMode="External"/><Relationship Id="rId905" Type="http://schemas.openxmlformats.org/officeDocument/2006/relationships/hyperlink" Target="https://africanmarketingconfederation.org/amc-conference-2023/gallery" TargetMode="External"/><Relationship Id="rId989" Type="http://schemas.openxmlformats.org/officeDocument/2006/relationships/hyperlink" Target="https://africanmarketingconfederation.org/amc-conference-2023/gallery" TargetMode="External"/><Relationship Id="rId34" Type="http://schemas.openxmlformats.org/officeDocument/2006/relationships/hyperlink" Target="https://africanmarketingconfederation.org/amc-awards-2024" TargetMode="External"/><Relationship Id="rId544" Type="http://schemas.openxmlformats.org/officeDocument/2006/relationships/hyperlink" Target="https://africanmarketingconfederation.org/amc-conference-2023/gallery" TargetMode="External"/><Relationship Id="rId751" Type="http://schemas.openxmlformats.org/officeDocument/2006/relationships/hyperlink" Target="https://africanmarketingconfederation.org/amc-conference-2023/gallery" TargetMode="External"/><Relationship Id="rId849" Type="http://schemas.openxmlformats.org/officeDocument/2006/relationships/hyperlink" Target="https://africanmarketingconfederation.org/amc-conference-2023/gallery" TargetMode="External"/><Relationship Id="rId1174" Type="http://schemas.openxmlformats.org/officeDocument/2006/relationships/hyperlink" Target="https://africanmarketingconfederation.org/amc-conference-2024-recap" TargetMode="External"/><Relationship Id="rId1381" Type="http://schemas.openxmlformats.org/officeDocument/2006/relationships/comments" Target="../comments8.xml"/><Relationship Id="rId183" Type="http://schemas.openxmlformats.org/officeDocument/2006/relationships/hyperlink" Target="https://africanmarketingconfederation.org/african-marketing-confederation-tourism-chapter" TargetMode="External"/><Relationship Id="rId390" Type="http://schemas.openxmlformats.org/officeDocument/2006/relationships/hyperlink" Target="https://africanmarketingconfederation.org/amc-conference-2023" TargetMode="External"/><Relationship Id="rId404" Type="http://schemas.openxmlformats.org/officeDocument/2006/relationships/hyperlink" Target="https://africanmarketingconfederation.org/amc-conference-2023" TargetMode="External"/><Relationship Id="rId611" Type="http://schemas.openxmlformats.org/officeDocument/2006/relationships/hyperlink" Target="https://africanmarketingconfederation.org/amc-conference-2023/gallery" TargetMode="External"/><Relationship Id="rId1034" Type="http://schemas.openxmlformats.org/officeDocument/2006/relationships/hyperlink" Target="https://africanmarketingconfederation.org/amc-conference-2023/gallery" TargetMode="External"/><Relationship Id="rId1241" Type="http://schemas.openxmlformats.org/officeDocument/2006/relationships/hyperlink" Target="https://africanmarketingconfederation.org/amc-conference-2023/programme" TargetMode="External"/><Relationship Id="rId1339" Type="http://schemas.openxmlformats.org/officeDocument/2006/relationships/hyperlink" Target="https://africanmarketingconfederation.org/amc-conference-2025-highlights" TargetMode="External"/><Relationship Id="rId250" Type="http://schemas.openxmlformats.org/officeDocument/2006/relationships/hyperlink" Target="https://africanmarketingconfederation.org/amc-conference-2022-thank-you" TargetMode="External"/><Relationship Id="rId488" Type="http://schemas.openxmlformats.org/officeDocument/2006/relationships/hyperlink" Target="https://africanmarketingconfederation.org/amc-conference-2023/book-now" TargetMode="External"/><Relationship Id="rId695" Type="http://schemas.openxmlformats.org/officeDocument/2006/relationships/hyperlink" Target="https://africanmarketingconfederation.org/amc-conference-2023/gallery" TargetMode="External"/><Relationship Id="rId709" Type="http://schemas.openxmlformats.org/officeDocument/2006/relationships/hyperlink" Target="https://africanmarketingconfederation.org/amc-conference-2023/gallery" TargetMode="External"/><Relationship Id="rId916" Type="http://schemas.openxmlformats.org/officeDocument/2006/relationships/hyperlink" Target="https://africanmarketingconfederation.org/amc-conference-2023/gallery" TargetMode="External"/><Relationship Id="rId1101" Type="http://schemas.openxmlformats.org/officeDocument/2006/relationships/hyperlink" Target="https://africanmarketingconfederation.org/amc-conference-2023/gallery" TargetMode="External"/><Relationship Id="rId45" Type="http://schemas.openxmlformats.org/officeDocument/2006/relationships/hyperlink" Target="https://africanmarketingconfederation.org/about-us" TargetMode="External"/><Relationship Id="rId110" Type="http://schemas.openxmlformats.org/officeDocument/2006/relationships/hyperlink" Target="https://africanmarketingconfederation.org/" TargetMode="External"/><Relationship Id="rId348" Type="http://schemas.openxmlformats.org/officeDocument/2006/relationships/hyperlink" Target="https://africanmarketingconfederation.org/amc-conference-2022" TargetMode="External"/><Relationship Id="rId555" Type="http://schemas.openxmlformats.org/officeDocument/2006/relationships/hyperlink" Target="https://africanmarketingconfederation.org/amc-conference-2023/gallery" TargetMode="External"/><Relationship Id="rId762" Type="http://schemas.openxmlformats.org/officeDocument/2006/relationships/hyperlink" Target="https://africanmarketingconfederation.org/amc-conference-2023/gallery" TargetMode="External"/><Relationship Id="rId1185" Type="http://schemas.openxmlformats.org/officeDocument/2006/relationships/hyperlink" Target="https://africanmarketingconfederation.org/amc-conference-2024-recap" TargetMode="External"/><Relationship Id="rId194" Type="http://schemas.openxmlformats.org/officeDocument/2006/relationships/hyperlink" Target="https://africanmarketingconfederation.org/african-marketing-confederation-tourism-chapter" TargetMode="External"/><Relationship Id="rId208" Type="http://schemas.openxmlformats.org/officeDocument/2006/relationships/hyperlink" Target="https://africanmarketingconfederation.org/amc-conference-2022-prospectus" TargetMode="External"/><Relationship Id="rId415" Type="http://schemas.openxmlformats.org/officeDocument/2006/relationships/hyperlink" Target="https://africanmarketingconfederation.org/amc-conference-2023" TargetMode="External"/><Relationship Id="rId622" Type="http://schemas.openxmlformats.org/officeDocument/2006/relationships/hyperlink" Target="https://africanmarketingconfederation.org/amc-conference-2023/gallery" TargetMode="External"/><Relationship Id="rId1045" Type="http://schemas.openxmlformats.org/officeDocument/2006/relationships/hyperlink" Target="https://africanmarketingconfederation.org/amc-conference-2023/gallery" TargetMode="External"/><Relationship Id="rId1252" Type="http://schemas.openxmlformats.org/officeDocument/2006/relationships/hyperlink" Target="https://africanmarketingconfederation.org/amc-conference-2023/speakers" TargetMode="External"/><Relationship Id="rId261" Type="http://schemas.openxmlformats.org/officeDocument/2006/relationships/hyperlink" Target="https://africanmarketingconfederation.org/amc-conference-2022-thank-you" TargetMode="External"/><Relationship Id="rId499" Type="http://schemas.openxmlformats.org/officeDocument/2006/relationships/hyperlink" Target="https://africanmarketingconfederation.org/amc-conference-2023/download-prospectus" TargetMode="External"/><Relationship Id="rId927" Type="http://schemas.openxmlformats.org/officeDocument/2006/relationships/hyperlink" Target="https://africanmarketingconfederation.org/amc-conference-2023/gallery" TargetMode="External"/><Relationship Id="rId1112" Type="http://schemas.openxmlformats.org/officeDocument/2006/relationships/hyperlink" Target="https://africanmarketingconfederation.org/amc-conference-2023/gallery" TargetMode="External"/><Relationship Id="rId56" Type="http://schemas.openxmlformats.org/officeDocument/2006/relationships/hyperlink" Target="https://africanmarketingconfederation.org/about-us" TargetMode="External"/><Relationship Id="rId359" Type="http://schemas.openxmlformats.org/officeDocument/2006/relationships/hyperlink" Target="https://africanmarketingconfederation.org/amc-conference-2022" TargetMode="External"/><Relationship Id="rId566" Type="http://schemas.openxmlformats.org/officeDocument/2006/relationships/hyperlink" Target="https://africanmarketingconfederation.org/amc-conference-2023/gallery" TargetMode="External"/><Relationship Id="rId773" Type="http://schemas.openxmlformats.org/officeDocument/2006/relationships/hyperlink" Target="https://africanmarketingconfederation.org/amc-conference-2023/gallery" TargetMode="External"/><Relationship Id="rId1196" Type="http://schemas.openxmlformats.org/officeDocument/2006/relationships/hyperlink" Target="https://africanmarketingconfederation.org/amc-conference-2024-recap" TargetMode="External"/><Relationship Id="rId121" Type="http://schemas.openxmlformats.org/officeDocument/2006/relationships/hyperlink" Target="https://africanmarketingconfederation.org/" TargetMode="External"/><Relationship Id="rId219" Type="http://schemas.openxmlformats.org/officeDocument/2006/relationships/hyperlink" Target="https://africanmarketingconfederation.org/amc-conference-2022-prospectus" TargetMode="External"/><Relationship Id="rId426" Type="http://schemas.openxmlformats.org/officeDocument/2006/relationships/hyperlink" Target="https://africanmarketingconfederation.org/amc-conference-2023" TargetMode="External"/><Relationship Id="rId633" Type="http://schemas.openxmlformats.org/officeDocument/2006/relationships/hyperlink" Target="https://africanmarketingconfederation.org/amc-conference-2023/gallery" TargetMode="External"/><Relationship Id="rId980" Type="http://schemas.openxmlformats.org/officeDocument/2006/relationships/hyperlink" Target="https://africanmarketingconfederation.org/amc-conference-2023/gallery" TargetMode="External"/><Relationship Id="rId1056" Type="http://schemas.openxmlformats.org/officeDocument/2006/relationships/hyperlink" Target="https://africanmarketingconfederation.org/amc-conference-2023/gallery" TargetMode="External"/><Relationship Id="rId1263" Type="http://schemas.openxmlformats.org/officeDocument/2006/relationships/hyperlink" Target="https://africanmarketingconfederation.org/amc-conference-2023/speakers" TargetMode="External"/><Relationship Id="rId840" Type="http://schemas.openxmlformats.org/officeDocument/2006/relationships/hyperlink" Target="https://africanmarketingconfederation.org/amc-conference-2023/gallery" TargetMode="External"/><Relationship Id="rId938" Type="http://schemas.openxmlformats.org/officeDocument/2006/relationships/hyperlink" Target="https://africanmarketingconfederation.org/amc-conference-2023/gallery" TargetMode="External"/><Relationship Id="rId67" Type="http://schemas.openxmlformats.org/officeDocument/2006/relationships/hyperlink" Target="https://africanmarketingconfederation.org/about-us" TargetMode="External"/><Relationship Id="rId272" Type="http://schemas.openxmlformats.org/officeDocument/2006/relationships/hyperlink" Target="https://africanmarketingconfederation.org/amc-conference-2022-thank-you" TargetMode="External"/><Relationship Id="rId577" Type="http://schemas.openxmlformats.org/officeDocument/2006/relationships/hyperlink" Target="https://africanmarketingconfederation.org/amc-conference-2023/gallery" TargetMode="External"/><Relationship Id="rId700" Type="http://schemas.openxmlformats.org/officeDocument/2006/relationships/hyperlink" Target="https://africanmarketingconfederation.org/amc-conference-2023/gallery" TargetMode="External"/><Relationship Id="rId1123" Type="http://schemas.openxmlformats.org/officeDocument/2006/relationships/hyperlink" Target="https://africanmarketingconfederation.org/amc-conference-2023/gallery" TargetMode="External"/><Relationship Id="rId1330" Type="http://schemas.openxmlformats.org/officeDocument/2006/relationships/hyperlink" Target="https://africanmarketingconfederation.org/amc-conference-2025-highlights" TargetMode="External"/><Relationship Id="rId132" Type="http://schemas.openxmlformats.org/officeDocument/2006/relationships/hyperlink" Target="https://africanmarketingconfederation.org/" TargetMode="External"/><Relationship Id="rId784" Type="http://schemas.openxmlformats.org/officeDocument/2006/relationships/hyperlink" Target="https://africanmarketingconfederation.org/amc-conference-2023/gallery" TargetMode="External"/><Relationship Id="rId991" Type="http://schemas.openxmlformats.org/officeDocument/2006/relationships/hyperlink" Target="https://africanmarketingconfederation.org/amc-conference-2023/gallery" TargetMode="External"/><Relationship Id="rId1067" Type="http://schemas.openxmlformats.org/officeDocument/2006/relationships/hyperlink" Target="https://africanmarketingconfederation.org/amc-conference-2023/gallery" TargetMode="External"/><Relationship Id="rId437" Type="http://schemas.openxmlformats.org/officeDocument/2006/relationships/hyperlink" Target="https://africanmarketingconfederation.org/amc-conference-2023/amc-awards-book-now" TargetMode="External"/><Relationship Id="rId644" Type="http://schemas.openxmlformats.org/officeDocument/2006/relationships/hyperlink" Target="https://africanmarketingconfederation.org/amc-conference-2023/gallery" TargetMode="External"/><Relationship Id="rId851" Type="http://schemas.openxmlformats.org/officeDocument/2006/relationships/hyperlink" Target="https://africanmarketingconfederation.org/amc-conference-2023/gallery" TargetMode="External"/><Relationship Id="rId1274" Type="http://schemas.openxmlformats.org/officeDocument/2006/relationships/hyperlink" Target="https://africanmarketingconfederation.org/amc-conference-2024-sponsors-packages" TargetMode="External"/><Relationship Id="rId283" Type="http://schemas.openxmlformats.org/officeDocument/2006/relationships/hyperlink" Target="https://africanmarketingconfederation.org/amc-conference-2022" TargetMode="External"/><Relationship Id="rId490" Type="http://schemas.openxmlformats.org/officeDocument/2006/relationships/hyperlink" Target="https://africanmarketingconfederation.org/amc-conference-2023/book-now" TargetMode="External"/><Relationship Id="rId504" Type="http://schemas.openxmlformats.org/officeDocument/2006/relationships/hyperlink" Target="https://africanmarketingconfederation.org/amc-conference-2023/download-prospectus" TargetMode="External"/><Relationship Id="rId711" Type="http://schemas.openxmlformats.org/officeDocument/2006/relationships/hyperlink" Target="https://africanmarketingconfederation.org/amc-conference-2023/gallery" TargetMode="External"/><Relationship Id="rId949" Type="http://schemas.openxmlformats.org/officeDocument/2006/relationships/hyperlink" Target="https://africanmarketingconfederation.org/amc-conference-2023/gallery" TargetMode="External"/><Relationship Id="rId1134" Type="http://schemas.openxmlformats.org/officeDocument/2006/relationships/hyperlink" Target="https://africanmarketingconfederation.org/amc-conference-2023/gallery" TargetMode="External"/><Relationship Id="rId1341" Type="http://schemas.openxmlformats.org/officeDocument/2006/relationships/hyperlink" Target="https://africanmarketingconfederation.org/amc-conference-2025-highlights" TargetMode="External"/><Relationship Id="rId78" Type="http://schemas.openxmlformats.org/officeDocument/2006/relationships/hyperlink" Target="https://africanmarketingconfederation.org/about-us" TargetMode="External"/><Relationship Id="rId143" Type="http://schemas.openxmlformats.org/officeDocument/2006/relationships/hyperlink" Target="https://africanmarketingconfederation.org/" TargetMode="External"/><Relationship Id="rId350" Type="http://schemas.openxmlformats.org/officeDocument/2006/relationships/hyperlink" Target="https://africanmarketingconfederation.org/amc-conference-2022" TargetMode="External"/><Relationship Id="rId588" Type="http://schemas.openxmlformats.org/officeDocument/2006/relationships/hyperlink" Target="https://africanmarketingconfederation.org/amc-conference-2023/gallery" TargetMode="External"/><Relationship Id="rId795" Type="http://schemas.openxmlformats.org/officeDocument/2006/relationships/hyperlink" Target="https://africanmarketingconfederation.org/amc-conference-2023/gallery" TargetMode="External"/><Relationship Id="rId809" Type="http://schemas.openxmlformats.org/officeDocument/2006/relationships/hyperlink" Target="https://africanmarketingconfederation.org/amc-conference-2023/gallery" TargetMode="External"/><Relationship Id="rId1201" Type="http://schemas.openxmlformats.org/officeDocument/2006/relationships/hyperlink" Target="https://africanmarketingconfederation.org/amc-conference-2024-recap"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conference-2022-prospectus" TargetMode="External"/><Relationship Id="rId448" Type="http://schemas.openxmlformats.org/officeDocument/2006/relationships/hyperlink" Target="https://africanmarketingconfederation.org/amc-conference-2023/amc-awards-book-now" TargetMode="External"/><Relationship Id="rId655" Type="http://schemas.openxmlformats.org/officeDocument/2006/relationships/hyperlink" Target="https://africanmarketingconfederation.org/amc-conference-2023/gallery" TargetMode="External"/><Relationship Id="rId862" Type="http://schemas.openxmlformats.org/officeDocument/2006/relationships/hyperlink" Target="https://africanmarketingconfederation.org/amc-conference-2023/gallery" TargetMode="External"/><Relationship Id="rId1078" Type="http://schemas.openxmlformats.org/officeDocument/2006/relationships/hyperlink" Target="https://africanmarketingconfederation.org/amc-conference-2023/gallery" TargetMode="External"/><Relationship Id="rId1285" Type="http://schemas.openxmlformats.org/officeDocument/2006/relationships/hyperlink" Target="https://africanmarketingconfederation.org/amc-conference-2024-sponsors-packages" TargetMode="External"/><Relationship Id="rId294" Type="http://schemas.openxmlformats.org/officeDocument/2006/relationships/hyperlink" Target="https://africanmarketingconfederation.org/amc-conference-2022" TargetMode="External"/><Relationship Id="rId308" Type="http://schemas.openxmlformats.org/officeDocument/2006/relationships/hyperlink" Target="https://africanmarketingconfederation.org/amc-conference-2022" TargetMode="External"/><Relationship Id="rId515" Type="http://schemas.openxmlformats.org/officeDocument/2006/relationships/hyperlink" Target="https://africanmarketingconfederation.org/amc-conference-2023/download-prospectus" TargetMode="External"/><Relationship Id="rId722" Type="http://schemas.openxmlformats.org/officeDocument/2006/relationships/hyperlink" Target="https://africanmarketingconfederation.org/amc-conference-2023/gallery" TargetMode="External"/><Relationship Id="rId1145" Type="http://schemas.openxmlformats.org/officeDocument/2006/relationships/hyperlink" Target="https://africanmarketingconfederation.org/amc-conference-2023/partners" TargetMode="External"/><Relationship Id="rId1352" Type="http://schemas.openxmlformats.org/officeDocument/2006/relationships/hyperlink" Target="https://africanmarketingconfederation.org/amc-conference-2025-highlights" TargetMode="External"/><Relationship Id="rId89" Type="http://schemas.openxmlformats.org/officeDocument/2006/relationships/hyperlink" Target="https://africanmarketingconfederation.org/" TargetMode="External"/><Relationship Id="rId154" Type="http://schemas.openxmlformats.org/officeDocument/2006/relationships/hyperlink" Target="https://africanmarketingconfederation.org/african-marketing-confederation-tourism-chapter" TargetMode="External"/><Relationship Id="rId361" Type="http://schemas.openxmlformats.org/officeDocument/2006/relationships/hyperlink" Target="https://africanmarketingconfederation.org/amc-conference-2022" TargetMode="External"/><Relationship Id="rId599" Type="http://schemas.openxmlformats.org/officeDocument/2006/relationships/hyperlink" Target="https://africanmarketingconfederation.org/amc-conference-2023/gallery" TargetMode="External"/><Relationship Id="rId1005" Type="http://schemas.openxmlformats.org/officeDocument/2006/relationships/hyperlink" Target="https://africanmarketingconfederation.org/amc-conference-2023/gallery" TargetMode="External"/><Relationship Id="rId1212" Type="http://schemas.openxmlformats.org/officeDocument/2006/relationships/hyperlink" Target="https://africanmarketingconfederation.org/amc-conference-2024-recap" TargetMode="External"/><Relationship Id="rId459" Type="http://schemas.openxmlformats.org/officeDocument/2006/relationships/hyperlink" Target="https://africanmarketingconfederation.org/amc-conference-2023/amc-awards" TargetMode="External"/><Relationship Id="rId666" Type="http://schemas.openxmlformats.org/officeDocument/2006/relationships/hyperlink" Target="https://africanmarketingconfederation.org/amc-conference-2023/gallery" TargetMode="External"/><Relationship Id="rId873" Type="http://schemas.openxmlformats.org/officeDocument/2006/relationships/hyperlink" Target="https://africanmarketingconfederation.org/amc-conference-2023/gallery" TargetMode="External"/><Relationship Id="rId1089" Type="http://schemas.openxmlformats.org/officeDocument/2006/relationships/hyperlink" Target="https://africanmarketingconfederation.org/amc-conference-2023/gallery" TargetMode="External"/><Relationship Id="rId1296" Type="http://schemas.openxmlformats.org/officeDocument/2006/relationships/hyperlink" Target="https://africanmarketingconfederation.org/amc-conference-2025-highlights" TargetMode="External"/><Relationship Id="rId16" Type="http://schemas.openxmlformats.org/officeDocument/2006/relationships/hyperlink" Target="https://africanmarketingconfederation.org/amc-conference-2024-recap" TargetMode="External"/><Relationship Id="rId221" Type="http://schemas.openxmlformats.org/officeDocument/2006/relationships/hyperlink" Target="https://africanmarketingconfederation.org/amc-conference-2022-prospectus" TargetMode="External"/><Relationship Id="rId319" Type="http://schemas.openxmlformats.org/officeDocument/2006/relationships/hyperlink" Target="https://africanmarketingconfederation.org/amc-conference-2022" TargetMode="External"/><Relationship Id="rId526" Type="http://schemas.openxmlformats.org/officeDocument/2006/relationships/hyperlink" Target="https://africanmarketingconfederation.org/amc-conference-2023/gallery" TargetMode="External"/><Relationship Id="rId1156" Type="http://schemas.openxmlformats.org/officeDocument/2006/relationships/hyperlink" Target="https://africanmarketingconfederation.org/amc-conference-2023/partners" TargetMode="External"/><Relationship Id="rId1363" Type="http://schemas.openxmlformats.org/officeDocument/2006/relationships/hyperlink" Target="https://africanmarketingconfederation.org/african-marketing-confederation-tourism-chapter" TargetMode="External"/><Relationship Id="rId733" Type="http://schemas.openxmlformats.org/officeDocument/2006/relationships/hyperlink" Target="https://africanmarketingconfederation.org/amc-conference-2023/gallery" TargetMode="External"/><Relationship Id="rId940" Type="http://schemas.openxmlformats.org/officeDocument/2006/relationships/hyperlink" Target="https://africanmarketingconfederation.org/amc-conference-2023/gallery" TargetMode="External"/><Relationship Id="rId1016" Type="http://schemas.openxmlformats.org/officeDocument/2006/relationships/hyperlink" Target="https://africanmarketingconfederation.org/amc-conference-2023/gallery" TargetMode="External"/><Relationship Id="rId165" Type="http://schemas.openxmlformats.org/officeDocument/2006/relationships/hyperlink" Target="https://africanmarketingconfederation.org/african-marketing-confederation-tourism-chapter" TargetMode="External"/><Relationship Id="rId372" Type="http://schemas.openxmlformats.org/officeDocument/2006/relationships/hyperlink" Target="https://africanmarketingconfederation.org/amc-conference-2022" TargetMode="External"/><Relationship Id="rId677" Type="http://schemas.openxmlformats.org/officeDocument/2006/relationships/hyperlink" Target="https://africanmarketingconfederation.org/amc-conference-2023/gallery" TargetMode="External"/><Relationship Id="rId800" Type="http://schemas.openxmlformats.org/officeDocument/2006/relationships/hyperlink" Target="https://africanmarketingconfederation.org/amc-conference-2023/gallery" TargetMode="External"/><Relationship Id="rId1223" Type="http://schemas.openxmlformats.org/officeDocument/2006/relationships/hyperlink" Target="https://africanmarketingconfederation.org/amc-conference-2023/programme" TargetMode="External"/><Relationship Id="rId232" Type="http://schemas.openxmlformats.org/officeDocument/2006/relationships/hyperlink" Target="https://africanmarketingconfederation.org/amc-conference-2022-prospectus" TargetMode="External"/><Relationship Id="rId884" Type="http://schemas.openxmlformats.org/officeDocument/2006/relationships/hyperlink" Target="https://africanmarketingconfederation.org/amc-conference-2023/gallery" TargetMode="External"/><Relationship Id="rId27" Type="http://schemas.openxmlformats.org/officeDocument/2006/relationships/hyperlink" Target="https://africanmarketingconfederation.org/amc-awards-2024" TargetMode="External"/><Relationship Id="rId537" Type="http://schemas.openxmlformats.org/officeDocument/2006/relationships/hyperlink" Target="https://africanmarketingconfederation.org/amc-conference-2023/gallery" TargetMode="External"/><Relationship Id="rId744" Type="http://schemas.openxmlformats.org/officeDocument/2006/relationships/hyperlink" Target="https://africanmarketingconfederation.org/amc-conference-2023/gallery" TargetMode="External"/><Relationship Id="rId951" Type="http://schemas.openxmlformats.org/officeDocument/2006/relationships/hyperlink" Target="https://africanmarketingconfederation.org/amc-conference-2023/gallery" TargetMode="External"/><Relationship Id="rId1167" Type="http://schemas.openxmlformats.org/officeDocument/2006/relationships/hyperlink" Target="https://africanmarketingconfederation.org/amc-conference-2023/partners" TargetMode="External"/><Relationship Id="rId1374" Type="http://schemas.openxmlformats.org/officeDocument/2006/relationships/hyperlink" Target="https://africanmarketingconfederation.org/amc-conference-2023/partners" TargetMode="External"/><Relationship Id="rId80" Type="http://schemas.openxmlformats.org/officeDocument/2006/relationships/hyperlink" Target="https://africanmarketingconfederation.org/" TargetMode="External"/><Relationship Id="rId176" Type="http://schemas.openxmlformats.org/officeDocument/2006/relationships/hyperlink" Target="https://africanmarketingconfederation.org/african-marketing-confederation-tourism-chapter" TargetMode="External"/><Relationship Id="rId383" Type="http://schemas.openxmlformats.org/officeDocument/2006/relationships/hyperlink" Target="https://africanmarketingconfederation.org/amc-conference-2023" TargetMode="External"/><Relationship Id="rId590" Type="http://schemas.openxmlformats.org/officeDocument/2006/relationships/hyperlink" Target="https://africanmarketingconfederation.org/amc-conference-2023/gallery" TargetMode="External"/><Relationship Id="rId604" Type="http://schemas.openxmlformats.org/officeDocument/2006/relationships/hyperlink" Target="https://africanmarketingconfederation.org/amc-conference-2023/gallery" TargetMode="External"/><Relationship Id="rId811" Type="http://schemas.openxmlformats.org/officeDocument/2006/relationships/hyperlink" Target="https://africanmarketingconfederation.org/amc-conference-2023/gallery" TargetMode="External"/><Relationship Id="rId1027" Type="http://schemas.openxmlformats.org/officeDocument/2006/relationships/hyperlink" Target="https://africanmarketingconfederation.org/amc-conference-2023/gallery" TargetMode="External"/><Relationship Id="rId1234" Type="http://schemas.openxmlformats.org/officeDocument/2006/relationships/hyperlink" Target="https://africanmarketingconfederation.org/amc-conference-2023/programme" TargetMode="External"/><Relationship Id="rId243" Type="http://schemas.openxmlformats.org/officeDocument/2006/relationships/hyperlink" Target="https://africanmarketingconfederation.org/amc-conference-2022-thank-you" TargetMode="External"/><Relationship Id="rId450" Type="http://schemas.openxmlformats.org/officeDocument/2006/relationships/hyperlink" Target="https://africanmarketingconfederation.org/amc-conference-2023/amc-awards-book-now" TargetMode="External"/><Relationship Id="rId688" Type="http://schemas.openxmlformats.org/officeDocument/2006/relationships/hyperlink" Target="https://africanmarketingconfederation.org/amc-conference-2023/gallery" TargetMode="External"/><Relationship Id="rId895" Type="http://schemas.openxmlformats.org/officeDocument/2006/relationships/hyperlink" Target="https://africanmarketingconfederation.org/amc-conference-2023/gallery" TargetMode="External"/><Relationship Id="rId909" Type="http://schemas.openxmlformats.org/officeDocument/2006/relationships/hyperlink" Target="https://africanmarketingconfederation.org/amc-conference-2023/gallery" TargetMode="External"/><Relationship Id="rId1080" Type="http://schemas.openxmlformats.org/officeDocument/2006/relationships/hyperlink" Target="https://africanmarketingconfederation.org/amc-conference-2023/gallery" TargetMode="External"/><Relationship Id="rId1301" Type="http://schemas.openxmlformats.org/officeDocument/2006/relationships/hyperlink" Target="https://africanmarketingconfederation.org/amc-conference-2025-highlights" TargetMode="External"/><Relationship Id="rId38" Type="http://schemas.openxmlformats.org/officeDocument/2006/relationships/hyperlink" Target="https://africanmarketingconfederation.org/amc-awards-2024"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 TargetMode="External"/><Relationship Id="rId548" Type="http://schemas.openxmlformats.org/officeDocument/2006/relationships/hyperlink" Target="https://africanmarketingconfederation.org/amc-conference-2023/gallery" TargetMode="External"/><Relationship Id="rId755" Type="http://schemas.openxmlformats.org/officeDocument/2006/relationships/hyperlink" Target="https://africanmarketingconfederation.org/amc-conference-2023/gallery" TargetMode="External"/><Relationship Id="rId962" Type="http://schemas.openxmlformats.org/officeDocument/2006/relationships/hyperlink" Target="https://africanmarketingconfederation.org/amc-conference-2023/gallery" TargetMode="External"/><Relationship Id="rId1178" Type="http://schemas.openxmlformats.org/officeDocument/2006/relationships/hyperlink" Target="https://africanmarketingconfederation.org/amc-conference-2024-recap" TargetMode="External"/><Relationship Id="rId91" Type="http://schemas.openxmlformats.org/officeDocument/2006/relationships/hyperlink" Target="https://africanmarketingconfederation.org/" TargetMode="External"/><Relationship Id="rId187" Type="http://schemas.openxmlformats.org/officeDocument/2006/relationships/hyperlink" Target="https://africanmarketingconfederation.org/african-marketing-confederation-tourism-chapter" TargetMode="External"/><Relationship Id="rId394" Type="http://schemas.openxmlformats.org/officeDocument/2006/relationships/hyperlink" Target="https://africanmarketingconfederation.org/amc-conference-2023" TargetMode="External"/><Relationship Id="rId408" Type="http://schemas.openxmlformats.org/officeDocument/2006/relationships/hyperlink" Target="https://africanmarketingconfederation.org/amc-conference-2023" TargetMode="External"/><Relationship Id="rId615" Type="http://schemas.openxmlformats.org/officeDocument/2006/relationships/hyperlink" Target="https://africanmarketingconfederation.org/amc-conference-2023/gallery" TargetMode="External"/><Relationship Id="rId822" Type="http://schemas.openxmlformats.org/officeDocument/2006/relationships/hyperlink" Target="https://africanmarketingconfederation.org/amc-conference-2023/gallery" TargetMode="External"/><Relationship Id="rId1038" Type="http://schemas.openxmlformats.org/officeDocument/2006/relationships/hyperlink" Target="https://africanmarketingconfederation.org/amc-conference-2023/gallery" TargetMode="External"/><Relationship Id="rId1245" Type="http://schemas.openxmlformats.org/officeDocument/2006/relationships/hyperlink" Target="https://africanmarketingconfederation.org/amc-conference-2023/speakers" TargetMode="External"/><Relationship Id="rId254" Type="http://schemas.openxmlformats.org/officeDocument/2006/relationships/hyperlink" Target="https://africanmarketingconfederation.org/amc-conference-2022-thank-you" TargetMode="External"/><Relationship Id="rId699" Type="http://schemas.openxmlformats.org/officeDocument/2006/relationships/hyperlink" Target="https://africanmarketingconfederation.org/amc-conference-2023/gallery" TargetMode="External"/><Relationship Id="rId1091" Type="http://schemas.openxmlformats.org/officeDocument/2006/relationships/hyperlink" Target="https://africanmarketingconfederation.org/amc-conference-2023/gallery" TargetMode="External"/><Relationship Id="rId1105" Type="http://schemas.openxmlformats.org/officeDocument/2006/relationships/hyperlink" Target="https://africanmarketingconfederation.org/amc-conference-2023/gallery" TargetMode="External"/><Relationship Id="rId1312" Type="http://schemas.openxmlformats.org/officeDocument/2006/relationships/hyperlink" Target="https://africanmarketingconfederation.org/amc-conference-2025-highlights" TargetMode="External"/><Relationship Id="rId49" Type="http://schemas.openxmlformats.org/officeDocument/2006/relationships/hyperlink" Target="https://africanmarketingconfederation.org/about-us" TargetMode="External"/><Relationship Id="rId114" Type="http://schemas.openxmlformats.org/officeDocument/2006/relationships/hyperlink" Target="https://africanmarketingconfederation.org/" TargetMode="External"/><Relationship Id="rId461" Type="http://schemas.openxmlformats.org/officeDocument/2006/relationships/hyperlink" Target="https://africanmarketingconfederation.org/amc-conference-2023/amc-awards" TargetMode="External"/><Relationship Id="rId559" Type="http://schemas.openxmlformats.org/officeDocument/2006/relationships/hyperlink" Target="https://africanmarketingconfederation.org/amc-conference-2023/gallery" TargetMode="External"/><Relationship Id="rId766" Type="http://schemas.openxmlformats.org/officeDocument/2006/relationships/hyperlink" Target="https://africanmarketingconfederation.org/amc-conference-2023/gallery" TargetMode="External"/><Relationship Id="rId1189" Type="http://schemas.openxmlformats.org/officeDocument/2006/relationships/hyperlink" Target="https://africanmarketingconfederation.org/amc-conference-2024-recap" TargetMode="External"/><Relationship Id="rId198" Type="http://schemas.openxmlformats.org/officeDocument/2006/relationships/hyperlink" Target="https://africanmarketingconfederation.org/african-marketing-confederation-tourism-chapter" TargetMode="External"/><Relationship Id="rId321"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626" Type="http://schemas.openxmlformats.org/officeDocument/2006/relationships/hyperlink" Target="https://africanmarketingconfederation.org/amc-conference-2023/gallery" TargetMode="External"/><Relationship Id="rId973" Type="http://schemas.openxmlformats.org/officeDocument/2006/relationships/hyperlink" Target="https://africanmarketingconfederation.org/amc-conference-2023/gallery" TargetMode="External"/><Relationship Id="rId1049" Type="http://schemas.openxmlformats.org/officeDocument/2006/relationships/hyperlink" Target="https://africanmarketingconfederation.org/amc-conference-2023/gallery" TargetMode="External"/><Relationship Id="rId1256" Type="http://schemas.openxmlformats.org/officeDocument/2006/relationships/hyperlink" Target="https://africanmarketingconfederation.org/amc-conference-2023/speakers" TargetMode="External"/><Relationship Id="rId833" Type="http://schemas.openxmlformats.org/officeDocument/2006/relationships/hyperlink" Target="https://africanmarketingconfederation.org/amc-conference-2023/gallery" TargetMode="External"/><Relationship Id="rId1116" Type="http://schemas.openxmlformats.org/officeDocument/2006/relationships/hyperlink" Target="https://africanmarketingconfederation.org/amc-conference-2023/gallery" TargetMode="External"/><Relationship Id="rId265" Type="http://schemas.openxmlformats.org/officeDocument/2006/relationships/hyperlink" Target="https://africanmarketingconfederation.org/amc-conference-2022-thank-you" TargetMode="External"/><Relationship Id="rId472" Type="http://schemas.openxmlformats.org/officeDocument/2006/relationships/hyperlink" Target="https://africanmarketingconfederation.org/amc-conference-2023/amc-awards" TargetMode="External"/><Relationship Id="rId900" Type="http://schemas.openxmlformats.org/officeDocument/2006/relationships/hyperlink" Target="https://africanmarketingconfederation.org/amc-conference-2023/gallery" TargetMode="External"/><Relationship Id="rId1323" Type="http://schemas.openxmlformats.org/officeDocument/2006/relationships/hyperlink" Target="https://africanmarketingconfederation.org/amc-conference-2025-highlights" TargetMode="External"/><Relationship Id="rId125" Type="http://schemas.openxmlformats.org/officeDocument/2006/relationships/hyperlink" Target="https://africanmarketingconfederation.org/" TargetMode="External"/><Relationship Id="rId332" Type="http://schemas.openxmlformats.org/officeDocument/2006/relationships/hyperlink" Target="https://africanmarketingconfederation.org/amc-conference-2022" TargetMode="External"/><Relationship Id="rId777" Type="http://schemas.openxmlformats.org/officeDocument/2006/relationships/hyperlink" Target="https://africanmarketingconfederation.org/amc-conference-2023/gallery" TargetMode="External"/><Relationship Id="rId984" Type="http://schemas.openxmlformats.org/officeDocument/2006/relationships/hyperlink" Target="https://africanmarketingconfederation.org/amc-conference-2023/gallery" TargetMode="External"/><Relationship Id="rId637" Type="http://schemas.openxmlformats.org/officeDocument/2006/relationships/hyperlink" Target="https://africanmarketingconfederation.org/amc-conference-2023/gallery" TargetMode="External"/><Relationship Id="rId844" Type="http://schemas.openxmlformats.org/officeDocument/2006/relationships/hyperlink" Target="https://africanmarketingconfederation.org/amc-conference-2023/gallery" TargetMode="External"/><Relationship Id="rId1267" Type="http://schemas.openxmlformats.org/officeDocument/2006/relationships/hyperlink" Target="https://africanmarketingconfederation.org/amc-conference-2024-sponsors-packages" TargetMode="External"/><Relationship Id="rId276" Type="http://schemas.openxmlformats.org/officeDocument/2006/relationships/hyperlink" Target="https://africanmarketingconfederation.org/amc-conference-2022" TargetMode="External"/><Relationship Id="rId483" Type="http://schemas.openxmlformats.org/officeDocument/2006/relationships/hyperlink" Target="https://africanmarketingconfederation.org/amc-conference-2023/book-now" TargetMode="External"/><Relationship Id="rId690" Type="http://schemas.openxmlformats.org/officeDocument/2006/relationships/hyperlink" Target="https://africanmarketingconfederation.org/amc-conference-2023/gallery" TargetMode="External"/><Relationship Id="rId704" Type="http://schemas.openxmlformats.org/officeDocument/2006/relationships/hyperlink" Target="https://africanmarketingconfederation.org/amc-conference-2023/gallery" TargetMode="External"/><Relationship Id="rId911" Type="http://schemas.openxmlformats.org/officeDocument/2006/relationships/hyperlink" Target="https://africanmarketingconfederation.org/amc-conference-2023/gallery" TargetMode="External"/><Relationship Id="rId1127" Type="http://schemas.openxmlformats.org/officeDocument/2006/relationships/hyperlink" Target="https://africanmarketingconfederation.org/amc-conference-2023/gallery" TargetMode="External"/><Relationship Id="rId1334" Type="http://schemas.openxmlformats.org/officeDocument/2006/relationships/hyperlink" Target="https://africanmarketingconfederation.org/amc-conference-2025-highlights" TargetMode="External"/><Relationship Id="rId40" Type="http://schemas.openxmlformats.org/officeDocument/2006/relationships/hyperlink" Target="https://africanmarketingconfederation.org/amc-awards-2024" TargetMode="External"/><Relationship Id="rId136" Type="http://schemas.openxmlformats.org/officeDocument/2006/relationships/hyperlink" Target="https://africanmarketingconfederation.org/" TargetMode="External"/><Relationship Id="rId343" Type="http://schemas.openxmlformats.org/officeDocument/2006/relationships/hyperlink" Target="https://africanmarketingconfederation.org/amc-conference-2022" TargetMode="External"/><Relationship Id="rId550" Type="http://schemas.openxmlformats.org/officeDocument/2006/relationships/hyperlink" Target="https://africanmarketingconfederation.org/amc-conference-2023/gallery" TargetMode="External"/><Relationship Id="rId788" Type="http://schemas.openxmlformats.org/officeDocument/2006/relationships/hyperlink" Target="https://africanmarketingconfederation.org/amc-conference-2023/gallery" TargetMode="External"/><Relationship Id="rId995" Type="http://schemas.openxmlformats.org/officeDocument/2006/relationships/hyperlink" Target="https://africanmarketingconfederation.org/amc-conference-2023/gallery" TargetMode="External"/><Relationship Id="rId1180" Type="http://schemas.openxmlformats.org/officeDocument/2006/relationships/hyperlink" Target="https://africanmarketingconfederation.org/amc-conference-2024-recap" TargetMode="External"/><Relationship Id="rId203" Type="http://schemas.openxmlformats.org/officeDocument/2006/relationships/hyperlink" Target="https://africanmarketingconfederation.org/african-marketing-confederation-tourism-chapter" TargetMode="External"/><Relationship Id="rId648" Type="http://schemas.openxmlformats.org/officeDocument/2006/relationships/hyperlink" Target="https://africanmarketingconfederation.org/amc-conference-2023/gallery" TargetMode="External"/><Relationship Id="rId855" Type="http://schemas.openxmlformats.org/officeDocument/2006/relationships/hyperlink" Target="https://africanmarketingconfederation.org/amc-conference-2023/gallery" TargetMode="External"/><Relationship Id="rId1040" Type="http://schemas.openxmlformats.org/officeDocument/2006/relationships/hyperlink" Target="https://africanmarketingconfederation.org/amc-conference-2023/gallery" TargetMode="External"/><Relationship Id="rId1278" Type="http://schemas.openxmlformats.org/officeDocument/2006/relationships/hyperlink" Target="https://africanmarketingconfederation.org/amc-conference-2024-sponsors-packages" TargetMode="External"/><Relationship Id="rId287" Type="http://schemas.openxmlformats.org/officeDocument/2006/relationships/hyperlink" Target="https://africanmarketingconfederation.org/amc-conference-2022" TargetMode="External"/><Relationship Id="rId410" Type="http://schemas.openxmlformats.org/officeDocument/2006/relationships/hyperlink" Target="https://africanmarketingconfederation.org/amc-conference-2023" TargetMode="External"/><Relationship Id="rId494" Type="http://schemas.openxmlformats.org/officeDocument/2006/relationships/hyperlink" Target="https://africanmarketingconfederation.org/amc-conference-2023/book-now" TargetMode="External"/><Relationship Id="rId508" Type="http://schemas.openxmlformats.org/officeDocument/2006/relationships/hyperlink" Target="https://africanmarketingconfederation.org/amc-conference-2023/download-prospectus" TargetMode="External"/><Relationship Id="rId715" Type="http://schemas.openxmlformats.org/officeDocument/2006/relationships/hyperlink" Target="https://africanmarketingconfederation.org/amc-conference-2023/gallery" TargetMode="External"/><Relationship Id="rId922" Type="http://schemas.openxmlformats.org/officeDocument/2006/relationships/hyperlink" Target="https://africanmarketingconfederation.org/amc-conference-2023/gallery" TargetMode="External"/><Relationship Id="rId1138" Type="http://schemas.openxmlformats.org/officeDocument/2006/relationships/hyperlink" Target="https://africanmarketingconfederation.org/amc-conference-2023/gallery" TargetMode="External"/><Relationship Id="rId1345" Type="http://schemas.openxmlformats.org/officeDocument/2006/relationships/hyperlink" Target="https://africanmarketingconfederation.org/amc-conference-2025-highlights" TargetMode="External"/><Relationship Id="rId147" Type="http://schemas.openxmlformats.org/officeDocument/2006/relationships/hyperlink" Target="https://africanmarketingconfederation.org/african-marketing-confederation-tourism-chapter" TargetMode="External"/><Relationship Id="rId354" Type="http://schemas.openxmlformats.org/officeDocument/2006/relationships/hyperlink" Target="https://africanmarketingconfederation.org/amc-conference-2022" TargetMode="External"/><Relationship Id="rId799" Type="http://schemas.openxmlformats.org/officeDocument/2006/relationships/hyperlink" Target="https://africanmarketingconfederation.org/amc-conference-2023/gallery" TargetMode="External"/><Relationship Id="rId1191" Type="http://schemas.openxmlformats.org/officeDocument/2006/relationships/hyperlink" Target="https://africanmarketingconfederation.org/amc-conference-2024-recap" TargetMode="External"/><Relationship Id="rId1205" Type="http://schemas.openxmlformats.org/officeDocument/2006/relationships/hyperlink" Target="https://africanmarketingconfederation.org/amc-conference-2024-recap" TargetMode="External"/><Relationship Id="rId51" Type="http://schemas.openxmlformats.org/officeDocument/2006/relationships/hyperlink" Target="https://africanmarketingconfederation.org/about-us" TargetMode="External"/><Relationship Id="rId561" Type="http://schemas.openxmlformats.org/officeDocument/2006/relationships/hyperlink" Target="https://africanmarketingconfederation.org/amc-conference-2023/gallery" TargetMode="External"/><Relationship Id="rId659" Type="http://schemas.openxmlformats.org/officeDocument/2006/relationships/hyperlink" Target="https://africanmarketingconfederation.org/amc-conference-2023/gallery" TargetMode="External"/><Relationship Id="rId866" Type="http://schemas.openxmlformats.org/officeDocument/2006/relationships/hyperlink" Target="https://africanmarketingconfederation.org/amc-conference-2023/gallery" TargetMode="External"/><Relationship Id="rId1289" Type="http://schemas.openxmlformats.org/officeDocument/2006/relationships/hyperlink" Target="https://africanmarketingconfederation.org/amc-conference-2024-sponsors-packages" TargetMode="External"/><Relationship Id="rId214" Type="http://schemas.openxmlformats.org/officeDocument/2006/relationships/hyperlink" Target="https://africanmarketingconfederation.org/amc-conference-2022-prospectus" TargetMode="External"/><Relationship Id="rId298" Type="http://schemas.openxmlformats.org/officeDocument/2006/relationships/hyperlink" Target="https://africanmarketingconfederation.org/amc-conference-2022" TargetMode="External"/><Relationship Id="rId421" Type="http://schemas.openxmlformats.org/officeDocument/2006/relationships/hyperlink" Target="https://africanmarketingconfederation.org/amc-conference-2023" TargetMode="External"/><Relationship Id="rId519" Type="http://schemas.openxmlformats.org/officeDocument/2006/relationships/hyperlink" Target="https://africanmarketingconfederation.org/amc-conference-2023/download-prospectus" TargetMode="External"/><Relationship Id="rId1051" Type="http://schemas.openxmlformats.org/officeDocument/2006/relationships/hyperlink" Target="https://africanmarketingconfederation.org/amc-conference-2023/gallery" TargetMode="External"/><Relationship Id="rId1149" Type="http://schemas.openxmlformats.org/officeDocument/2006/relationships/hyperlink" Target="https://africanmarketingconfederation.org/amc-conference-2023/partners" TargetMode="External"/><Relationship Id="rId1356" Type="http://schemas.openxmlformats.org/officeDocument/2006/relationships/hyperlink" Target="https://africanmarketingconfederation.org/amc-conference-2025-highlights" TargetMode="External"/><Relationship Id="rId158" Type="http://schemas.openxmlformats.org/officeDocument/2006/relationships/hyperlink" Target="https://africanmarketingconfederation.org/african-marketing-confederation-tourism-chapter" TargetMode="External"/><Relationship Id="rId726" Type="http://schemas.openxmlformats.org/officeDocument/2006/relationships/hyperlink" Target="https://africanmarketingconfederation.org/amc-conference-2023/gallery" TargetMode="External"/><Relationship Id="rId933" Type="http://schemas.openxmlformats.org/officeDocument/2006/relationships/hyperlink" Target="https://africanmarketingconfederation.org/amc-conference-2023/gallery" TargetMode="External"/><Relationship Id="rId1009" Type="http://schemas.openxmlformats.org/officeDocument/2006/relationships/hyperlink" Target="https://africanmarketingconfederation.org/amc-conference-2023/gallery" TargetMode="External"/><Relationship Id="rId62" Type="http://schemas.openxmlformats.org/officeDocument/2006/relationships/hyperlink" Target="https://africanmarketingconfederation.org/about-us" TargetMode="External"/><Relationship Id="rId365" Type="http://schemas.openxmlformats.org/officeDocument/2006/relationships/hyperlink" Target="https://africanmarketingconfederation.org/amc-conference-2022" TargetMode="External"/><Relationship Id="rId572" Type="http://schemas.openxmlformats.org/officeDocument/2006/relationships/hyperlink" Target="https://africanmarketingconfederation.org/amc-conference-2023/gallery" TargetMode="External"/><Relationship Id="rId1216" Type="http://schemas.openxmlformats.org/officeDocument/2006/relationships/hyperlink" Target="https://africanmarketingconfederation.org/amc-conference-2023/programme" TargetMode="External"/><Relationship Id="rId225" Type="http://schemas.openxmlformats.org/officeDocument/2006/relationships/hyperlink" Target="https://africanmarketingconfederation.org/amc-conference-2022-prospectus" TargetMode="External"/><Relationship Id="rId432" Type="http://schemas.openxmlformats.org/officeDocument/2006/relationships/hyperlink" Target="https://africanmarketingconfederation.org/amc-conference-2023/amc-awards-book-now" TargetMode="External"/><Relationship Id="rId877" Type="http://schemas.openxmlformats.org/officeDocument/2006/relationships/hyperlink" Target="https://africanmarketingconfederation.org/amc-conference-2023/gallery" TargetMode="External"/><Relationship Id="rId1062" Type="http://schemas.openxmlformats.org/officeDocument/2006/relationships/hyperlink" Target="https://africanmarketingconfederation.org/amc-conference-2023/gallery" TargetMode="External"/><Relationship Id="rId737" Type="http://schemas.openxmlformats.org/officeDocument/2006/relationships/hyperlink" Target="https://africanmarketingconfederation.org/amc-conference-2023/gallery" TargetMode="External"/><Relationship Id="rId944" Type="http://schemas.openxmlformats.org/officeDocument/2006/relationships/hyperlink" Target="https://africanmarketingconfederation.org/amc-conference-2023/gallery" TargetMode="External"/><Relationship Id="rId1367" Type="http://schemas.openxmlformats.org/officeDocument/2006/relationships/hyperlink" Target="https://africanmarketingconfederation.org/amc-conference-2023" TargetMode="External"/><Relationship Id="rId73" Type="http://schemas.openxmlformats.org/officeDocument/2006/relationships/hyperlink" Target="https://africanmarketingconfederation.org/about-us" TargetMode="External"/><Relationship Id="rId169" Type="http://schemas.openxmlformats.org/officeDocument/2006/relationships/hyperlink" Target="https://africanmarketingconfederation.org/african-marketing-confederation-tourism-chapter" TargetMode="External"/><Relationship Id="rId376" Type="http://schemas.openxmlformats.org/officeDocument/2006/relationships/hyperlink" Target="https://africanmarketingconfederation.org/amc-conference-2022" TargetMode="External"/><Relationship Id="rId583" Type="http://schemas.openxmlformats.org/officeDocument/2006/relationships/hyperlink" Target="https://africanmarketingconfederation.org/amc-conference-2023/gallery" TargetMode="External"/><Relationship Id="rId790" Type="http://schemas.openxmlformats.org/officeDocument/2006/relationships/hyperlink" Target="https://africanmarketingconfederation.org/amc-conference-2023/gallery" TargetMode="External"/><Relationship Id="rId804" Type="http://schemas.openxmlformats.org/officeDocument/2006/relationships/hyperlink" Target="https://africanmarketingconfederation.org/amc-conference-2023/gallery" TargetMode="External"/><Relationship Id="rId1227" Type="http://schemas.openxmlformats.org/officeDocument/2006/relationships/hyperlink" Target="https://africanmarketingconfederation.org/amc-conference-2023/programme" TargetMode="External"/><Relationship Id="rId4" Type="http://schemas.openxmlformats.org/officeDocument/2006/relationships/hyperlink" Target="https://africanmarketingconfederation.org/african-marketing-confederation-tourism-chapter" TargetMode="External"/><Relationship Id="rId236" Type="http://schemas.openxmlformats.org/officeDocument/2006/relationships/hyperlink" Target="https://africanmarketingconfederation.org/amc-conference-2022-prospectus" TargetMode="External"/><Relationship Id="rId443" Type="http://schemas.openxmlformats.org/officeDocument/2006/relationships/hyperlink" Target="https://africanmarketingconfederation.org/amc-conference-2023/amc-awards-book-now" TargetMode="External"/><Relationship Id="rId650" Type="http://schemas.openxmlformats.org/officeDocument/2006/relationships/hyperlink" Target="https://africanmarketingconfederation.org/amc-conference-2023/gallery" TargetMode="External"/><Relationship Id="rId888" Type="http://schemas.openxmlformats.org/officeDocument/2006/relationships/hyperlink" Target="https://africanmarketingconfederation.org/amc-conference-2023/gallery" TargetMode="External"/><Relationship Id="rId1073" Type="http://schemas.openxmlformats.org/officeDocument/2006/relationships/hyperlink" Target="https://africanmarketingconfederation.org/amc-conference-2023/gallery" TargetMode="External"/><Relationship Id="rId1280" Type="http://schemas.openxmlformats.org/officeDocument/2006/relationships/hyperlink" Target="https://africanmarketingconfederation.org/amc-conference-2024-sponsors-packages" TargetMode="External"/><Relationship Id="rId303" Type="http://schemas.openxmlformats.org/officeDocument/2006/relationships/hyperlink" Target="https://africanmarketingconfederation.org/amc-conference-2022" TargetMode="External"/><Relationship Id="rId748" Type="http://schemas.openxmlformats.org/officeDocument/2006/relationships/hyperlink" Target="https://africanmarketingconfederation.org/amc-conference-2023/gallery" TargetMode="External"/><Relationship Id="rId955" Type="http://schemas.openxmlformats.org/officeDocument/2006/relationships/hyperlink" Target="https://africanmarketingconfederation.org/amc-conference-2023/gallery" TargetMode="External"/><Relationship Id="rId1140" Type="http://schemas.openxmlformats.org/officeDocument/2006/relationships/hyperlink" Target="https://africanmarketingconfederation.org/amc-conference-2023/partners" TargetMode="External"/><Relationship Id="rId1378" Type="http://schemas.openxmlformats.org/officeDocument/2006/relationships/hyperlink" Target="https://africanmarketingconfederation.org/amc-conference-2024-sponsors-packages" TargetMode="External"/><Relationship Id="rId84" Type="http://schemas.openxmlformats.org/officeDocument/2006/relationships/hyperlink" Target="https://africanmarketingconfederation.org/" TargetMode="External"/><Relationship Id="rId387" Type="http://schemas.openxmlformats.org/officeDocument/2006/relationships/hyperlink" Target="https://africanmarketingconfederation.org/amc-conference-2023" TargetMode="External"/><Relationship Id="rId510" Type="http://schemas.openxmlformats.org/officeDocument/2006/relationships/hyperlink" Target="https://africanmarketingconfederation.org/amc-conference-2023/download-prospectus" TargetMode="External"/><Relationship Id="rId594" Type="http://schemas.openxmlformats.org/officeDocument/2006/relationships/hyperlink" Target="https://africanmarketingconfederation.org/amc-conference-2023/gallery" TargetMode="External"/><Relationship Id="rId608" Type="http://schemas.openxmlformats.org/officeDocument/2006/relationships/hyperlink" Target="https://africanmarketingconfederation.org/amc-conference-2023/gallery" TargetMode="External"/><Relationship Id="rId815" Type="http://schemas.openxmlformats.org/officeDocument/2006/relationships/hyperlink" Target="https://africanmarketingconfederation.org/amc-conference-2023/gallery" TargetMode="External"/><Relationship Id="rId1238" Type="http://schemas.openxmlformats.org/officeDocument/2006/relationships/hyperlink" Target="https://africanmarketingconfederation.org/amc-conference-2023/programme" TargetMode="External"/><Relationship Id="rId247" Type="http://schemas.openxmlformats.org/officeDocument/2006/relationships/hyperlink" Target="https://africanmarketingconfederation.org/amc-conference-2022-thank-you" TargetMode="External"/><Relationship Id="rId899" Type="http://schemas.openxmlformats.org/officeDocument/2006/relationships/hyperlink" Target="https://africanmarketingconfederation.org/amc-conference-2023/gallery" TargetMode="External"/><Relationship Id="rId1000" Type="http://schemas.openxmlformats.org/officeDocument/2006/relationships/hyperlink" Target="https://africanmarketingconfederation.org/amc-conference-2023/gallery" TargetMode="External"/><Relationship Id="rId1084" Type="http://schemas.openxmlformats.org/officeDocument/2006/relationships/hyperlink" Target="https://africanmarketingconfederation.org/amc-conference-2023/gallery" TargetMode="External"/><Relationship Id="rId1305" Type="http://schemas.openxmlformats.org/officeDocument/2006/relationships/hyperlink" Target="https://africanmarketingconfederation.org/amc-conference-2025-highlights" TargetMode="External"/><Relationship Id="rId107" Type="http://schemas.openxmlformats.org/officeDocument/2006/relationships/hyperlink" Target="https://africanmarketingconfederation.org/" TargetMode="External"/><Relationship Id="rId454" Type="http://schemas.openxmlformats.org/officeDocument/2006/relationships/hyperlink" Target="https://africanmarketingconfederation.org/amc-conference-2023/amc-awards" TargetMode="External"/><Relationship Id="rId661" Type="http://schemas.openxmlformats.org/officeDocument/2006/relationships/hyperlink" Target="https://africanmarketingconfederation.org/amc-conference-2023/gallery" TargetMode="External"/><Relationship Id="rId759" Type="http://schemas.openxmlformats.org/officeDocument/2006/relationships/hyperlink" Target="https://africanmarketingconfederation.org/amc-conference-2023/gallery" TargetMode="External"/><Relationship Id="rId966" Type="http://schemas.openxmlformats.org/officeDocument/2006/relationships/hyperlink" Target="https://africanmarketingconfederation.org/amc-conference-2023/gallery" TargetMode="External"/><Relationship Id="rId1291" Type="http://schemas.openxmlformats.org/officeDocument/2006/relationships/hyperlink" Target="https://africanmarketingconfederation.org/amc-conference-2024-sponsors-packages" TargetMode="External"/><Relationship Id="rId11" Type="http://schemas.openxmlformats.org/officeDocument/2006/relationships/hyperlink" Target="https://africanmarketingconfederation.org/amc-conference-2023/book-now-thank-you" TargetMode="External"/><Relationship Id="rId314"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521" Type="http://schemas.openxmlformats.org/officeDocument/2006/relationships/hyperlink" Target="https://africanmarketingconfederation.org/amc-conference-2023/gallery" TargetMode="External"/><Relationship Id="rId619" Type="http://schemas.openxmlformats.org/officeDocument/2006/relationships/hyperlink" Target="https://africanmarketingconfederation.org/amc-conference-2023/gallery" TargetMode="External"/><Relationship Id="rId1151" Type="http://schemas.openxmlformats.org/officeDocument/2006/relationships/hyperlink" Target="https://africanmarketingconfederation.org/amc-conference-2023/partners" TargetMode="External"/><Relationship Id="rId1249" Type="http://schemas.openxmlformats.org/officeDocument/2006/relationships/hyperlink" Target="https://africanmarketingconfederation.org/amc-conference-2023/speakers"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african-marketing-confederation-tourism-chapter" TargetMode="External"/><Relationship Id="rId826" Type="http://schemas.openxmlformats.org/officeDocument/2006/relationships/hyperlink" Target="https://africanmarketingconfederation.org/amc-conference-2023/gallery" TargetMode="External"/><Relationship Id="rId1011" Type="http://schemas.openxmlformats.org/officeDocument/2006/relationships/hyperlink" Target="https://africanmarketingconfederation.org/amc-conference-2023/gallery" TargetMode="External"/><Relationship Id="rId1109" Type="http://schemas.openxmlformats.org/officeDocument/2006/relationships/hyperlink" Target="https://africanmarketingconfederation.org/amc-conference-2023/gallery"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amc-conference-2023/amc-awards" TargetMode="External"/><Relationship Id="rId672" Type="http://schemas.openxmlformats.org/officeDocument/2006/relationships/hyperlink" Target="https://africanmarketingconfederation.org/amc-conference-2023/gallery" TargetMode="External"/><Relationship Id="rId1095" Type="http://schemas.openxmlformats.org/officeDocument/2006/relationships/hyperlink" Target="https://africanmarketingconfederation.org/amc-conference-2023/gallery" TargetMode="External"/><Relationship Id="rId1316" Type="http://schemas.openxmlformats.org/officeDocument/2006/relationships/hyperlink" Target="https://africanmarketingconfederation.org/amc-conference-2025-highlights" TargetMode="External"/><Relationship Id="rId22" Type="http://schemas.openxmlformats.org/officeDocument/2006/relationships/hyperlink" Target="https://africanmarketingconfederation.org/amc-awards-2024" TargetMode="External"/><Relationship Id="rId118" Type="http://schemas.openxmlformats.org/officeDocument/2006/relationships/hyperlink" Target="https://africanmarketingconfederation.org/" TargetMode="External"/><Relationship Id="rId325" Type="http://schemas.openxmlformats.org/officeDocument/2006/relationships/hyperlink" Target="https://africanmarketingconfederation.org/amc-conference-2022" TargetMode="External"/><Relationship Id="rId532" Type="http://schemas.openxmlformats.org/officeDocument/2006/relationships/hyperlink" Target="https://africanmarketingconfederation.org/amc-conference-2023/gallery" TargetMode="External"/><Relationship Id="rId977" Type="http://schemas.openxmlformats.org/officeDocument/2006/relationships/hyperlink" Target="https://africanmarketingconfederation.org/amc-conference-2023/gallery" TargetMode="External"/><Relationship Id="rId1162" Type="http://schemas.openxmlformats.org/officeDocument/2006/relationships/hyperlink" Target="https://africanmarketingconfederation.org/amc-conference-2023/partners" TargetMode="External"/><Relationship Id="rId171" Type="http://schemas.openxmlformats.org/officeDocument/2006/relationships/hyperlink" Target="https://africanmarketingconfederation.org/african-marketing-confederation-tourism-chapter" TargetMode="External"/><Relationship Id="rId837" Type="http://schemas.openxmlformats.org/officeDocument/2006/relationships/hyperlink" Target="https://africanmarketingconfederation.org/amc-conference-2023/gallery" TargetMode="External"/><Relationship Id="rId1022" Type="http://schemas.openxmlformats.org/officeDocument/2006/relationships/hyperlink" Target="https://africanmarketingconfederation.org/amc-conference-2023/gallery" TargetMode="External"/><Relationship Id="rId269" Type="http://schemas.openxmlformats.org/officeDocument/2006/relationships/hyperlink" Target="https://africanmarketingconfederation.org/amc-conference-2022-thank-you" TargetMode="External"/><Relationship Id="rId476" Type="http://schemas.openxmlformats.org/officeDocument/2006/relationships/hyperlink" Target="https://africanmarketingconfederation.org/amc-conference-2023/book-now" TargetMode="External"/><Relationship Id="rId683" Type="http://schemas.openxmlformats.org/officeDocument/2006/relationships/hyperlink" Target="https://africanmarketingconfederation.org/amc-conference-2023/gallery" TargetMode="External"/><Relationship Id="rId890" Type="http://schemas.openxmlformats.org/officeDocument/2006/relationships/hyperlink" Target="https://africanmarketingconfederation.org/amc-conference-2023/gallery" TargetMode="External"/><Relationship Id="rId904" Type="http://schemas.openxmlformats.org/officeDocument/2006/relationships/hyperlink" Target="https://africanmarketingconfederation.org/amc-conference-2023/gallery" TargetMode="External"/><Relationship Id="rId1327" Type="http://schemas.openxmlformats.org/officeDocument/2006/relationships/hyperlink" Target="https://africanmarketingconfederation.org/amc-conference-2025-highlights" TargetMode="External"/><Relationship Id="rId33" Type="http://schemas.openxmlformats.org/officeDocument/2006/relationships/hyperlink" Target="https://africanmarketingconfederation.org/amc-awards-2024" TargetMode="External"/><Relationship Id="rId129" Type="http://schemas.openxmlformats.org/officeDocument/2006/relationships/hyperlink" Target="https://africanmarketingconfederation.org/" TargetMode="External"/><Relationship Id="rId336" Type="http://schemas.openxmlformats.org/officeDocument/2006/relationships/hyperlink" Target="https://africanmarketingconfederation.org/amc-conference-2022" TargetMode="External"/><Relationship Id="rId543" Type="http://schemas.openxmlformats.org/officeDocument/2006/relationships/hyperlink" Target="https://africanmarketingconfederation.org/amc-conference-2023/gallery" TargetMode="External"/><Relationship Id="rId988" Type="http://schemas.openxmlformats.org/officeDocument/2006/relationships/hyperlink" Target="https://africanmarketingconfederation.org/amc-conference-2023/gallery" TargetMode="External"/><Relationship Id="rId1173" Type="http://schemas.openxmlformats.org/officeDocument/2006/relationships/hyperlink" Target="https://africanmarketingconfederation.org/amc-conference-2024-recap" TargetMode="External"/><Relationship Id="rId1380" Type="http://schemas.openxmlformats.org/officeDocument/2006/relationships/vmlDrawing" Target="../drawings/vmlDrawing8.vml"/><Relationship Id="rId182" Type="http://schemas.openxmlformats.org/officeDocument/2006/relationships/hyperlink" Target="https://africanmarketingconfederation.org/african-marketing-confederation-tourism-chapter" TargetMode="External"/><Relationship Id="rId403" Type="http://schemas.openxmlformats.org/officeDocument/2006/relationships/hyperlink" Target="https://africanmarketingconfederation.org/amc-conference-2023" TargetMode="External"/><Relationship Id="rId750" Type="http://schemas.openxmlformats.org/officeDocument/2006/relationships/hyperlink" Target="https://africanmarketingconfederation.org/amc-conference-2023/gallery" TargetMode="External"/><Relationship Id="rId848" Type="http://schemas.openxmlformats.org/officeDocument/2006/relationships/hyperlink" Target="https://africanmarketingconfederation.org/amc-conference-2023/gallery" TargetMode="External"/><Relationship Id="rId1033" Type="http://schemas.openxmlformats.org/officeDocument/2006/relationships/hyperlink" Target="https://africanmarketingconfederation.org/amc-conference-2023/gallery" TargetMode="External"/><Relationship Id="rId487" Type="http://schemas.openxmlformats.org/officeDocument/2006/relationships/hyperlink" Target="https://africanmarketingconfederation.org/amc-conference-2023/book-now" TargetMode="External"/><Relationship Id="rId610" Type="http://schemas.openxmlformats.org/officeDocument/2006/relationships/hyperlink" Target="https://africanmarketingconfederation.org/amc-conference-2023/gallery" TargetMode="External"/><Relationship Id="rId694" Type="http://schemas.openxmlformats.org/officeDocument/2006/relationships/hyperlink" Target="https://africanmarketingconfederation.org/amc-conference-2023/gallery" TargetMode="External"/><Relationship Id="rId708" Type="http://schemas.openxmlformats.org/officeDocument/2006/relationships/hyperlink" Target="https://africanmarketingconfederation.org/amc-conference-2023/gallery" TargetMode="External"/><Relationship Id="rId915" Type="http://schemas.openxmlformats.org/officeDocument/2006/relationships/hyperlink" Target="https://africanmarketingconfederation.org/amc-conference-2023/gallery" TargetMode="External"/><Relationship Id="rId1240" Type="http://schemas.openxmlformats.org/officeDocument/2006/relationships/hyperlink" Target="https://africanmarketingconfederation.org/amc-conference-2023/programme" TargetMode="External"/><Relationship Id="rId1338" Type="http://schemas.openxmlformats.org/officeDocument/2006/relationships/hyperlink" Target="https://africanmarketingconfederation.org/amc-conference-2025-highlights" TargetMode="External"/><Relationship Id="rId347" Type="http://schemas.openxmlformats.org/officeDocument/2006/relationships/hyperlink" Target="https://africanmarketingconfederation.org/amc-conference-2022" TargetMode="External"/><Relationship Id="rId999" Type="http://schemas.openxmlformats.org/officeDocument/2006/relationships/hyperlink" Target="https://africanmarketingconfederation.org/amc-conference-2023/gallery" TargetMode="External"/><Relationship Id="rId1100" Type="http://schemas.openxmlformats.org/officeDocument/2006/relationships/hyperlink" Target="https://africanmarketingconfederation.org/amc-conference-2023/gallery" TargetMode="External"/><Relationship Id="rId1184" Type="http://schemas.openxmlformats.org/officeDocument/2006/relationships/hyperlink" Target="https://africanmarketingconfederation.org/amc-conference-2024-recap" TargetMode="External"/><Relationship Id="rId44" Type="http://schemas.openxmlformats.org/officeDocument/2006/relationships/hyperlink" Target="https://africanmarketingconfederation.org/about-us" TargetMode="External"/><Relationship Id="rId554" Type="http://schemas.openxmlformats.org/officeDocument/2006/relationships/hyperlink" Target="https://africanmarketingconfederation.org/amc-conference-2023/gallery" TargetMode="External"/><Relationship Id="rId761" Type="http://schemas.openxmlformats.org/officeDocument/2006/relationships/hyperlink" Target="https://africanmarketingconfederation.org/amc-conference-2023/gallery" TargetMode="External"/><Relationship Id="rId859" Type="http://schemas.openxmlformats.org/officeDocument/2006/relationships/hyperlink" Target="https://africanmarketingconfederation.org/amc-conference-2023/gallery" TargetMode="External"/><Relationship Id="rId193" Type="http://schemas.openxmlformats.org/officeDocument/2006/relationships/hyperlink" Target="https://africanmarketingconfederation.org/african-marketing-confederation-tourism-chapter" TargetMode="External"/><Relationship Id="rId207" Type="http://schemas.openxmlformats.org/officeDocument/2006/relationships/hyperlink" Target="https://africanmarketingconfederation.org/amc-conference-2022-prospectus" TargetMode="External"/><Relationship Id="rId414" Type="http://schemas.openxmlformats.org/officeDocument/2006/relationships/hyperlink" Target="https://africanmarketingconfederation.org/amc-conference-2023" TargetMode="External"/><Relationship Id="rId498" Type="http://schemas.openxmlformats.org/officeDocument/2006/relationships/hyperlink" Target="https://africanmarketingconfederation.org/amc-conference-2023/download-prospectus" TargetMode="External"/><Relationship Id="rId621" Type="http://schemas.openxmlformats.org/officeDocument/2006/relationships/hyperlink" Target="https://africanmarketingconfederation.org/amc-conference-2023/gallery" TargetMode="External"/><Relationship Id="rId1044" Type="http://schemas.openxmlformats.org/officeDocument/2006/relationships/hyperlink" Target="https://africanmarketingconfederation.org/amc-conference-2023/gallery" TargetMode="External"/><Relationship Id="rId1251" Type="http://schemas.openxmlformats.org/officeDocument/2006/relationships/hyperlink" Target="https://africanmarketingconfederation.org/amc-conference-2023/speakers" TargetMode="External"/><Relationship Id="rId1349" Type="http://schemas.openxmlformats.org/officeDocument/2006/relationships/hyperlink" Target="https://africanmarketingconfederation.org/amc-conference-2025-highlights" TargetMode="External"/><Relationship Id="rId260" Type="http://schemas.openxmlformats.org/officeDocument/2006/relationships/hyperlink" Target="https://africanmarketingconfederation.org/amc-conference-2022-thank-you" TargetMode="External"/><Relationship Id="rId719" Type="http://schemas.openxmlformats.org/officeDocument/2006/relationships/hyperlink" Target="https://africanmarketingconfederation.org/amc-conference-2023/gallery" TargetMode="External"/><Relationship Id="rId926" Type="http://schemas.openxmlformats.org/officeDocument/2006/relationships/hyperlink" Target="https://africanmarketingconfederation.org/amc-conference-2023/gallery" TargetMode="External"/><Relationship Id="rId1111" Type="http://schemas.openxmlformats.org/officeDocument/2006/relationships/hyperlink" Target="https://africanmarketingconfederation.org/amc-conference-2023/gallery" TargetMode="External"/><Relationship Id="rId55" Type="http://schemas.openxmlformats.org/officeDocument/2006/relationships/hyperlink" Target="https://africanmarketingconfederation.org/about-us" TargetMode="External"/><Relationship Id="rId120" Type="http://schemas.openxmlformats.org/officeDocument/2006/relationships/hyperlink" Target="https://africanmarketingconfederation.org/" TargetMode="External"/><Relationship Id="rId358" Type="http://schemas.openxmlformats.org/officeDocument/2006/relationships/hyperlink" Target="https://africanmarketingconfederation.org/amc-conference-2022" TargetMode="External"/><Relationship Id="rId565" Type="http://schemas.openxmlformats.org/officeDocument/2006/relationships/hyperlink" Target="https://africanmarketingconfederation.org/amc-conference-2023/gallery" TargetMode="External"/><Relationship Id="rId772" Type="http://schemas.openxmlformats.org/officeDocument/2006/relationships/hyperlink" Target="https://africanmarketingconfederation.org/amc-conference-2023/gallery" TargetMode="External"/><Relationship Id="rId1195" Type="http://schemas.openxmlformats.org/officeDocument/2006/relationships/hyperlink" Target="https://africanmarketingconfederation.org/amc-conference-2024-recap" TargetMode="External"/><Relationship Id="rId1209" Type="http://schemas.openxmlformats.org/officeDocument/2006/relationships/hyperlink" Target="https://africanmarketingconfederation.org/amc-conference-2024-recap"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 TargetMode="External"/><Relationship Id="rId632" Type="http://schemas.openxmlformats.org/officeDocument/2006/relationships/hyperlink" Target="https://africanmarketingconfederation.org/amc-conference-2023/gallery" TargetMode="External"/><Relationship Id="rId1055" Type="http://schemas.openxmlformats.org/officeDocument/2006/relationships/hyperlink" Target="https://africanmarketingconfederation.org/amc-conference-2023/gallery" TargetMode="External"/><Relationship Id="rId1262" Type="http://schemas.openxmlformats.org/officeDocument/2006/relationships/hyperlink" Target="https://africanmarketingconfederation.org/amc-conference-2023/speakers" TargetMode="External"/><Relationship Id="rId271" Type="http://schemas.openxmlformats.org/officeDocument/2006/relationships/hyperlink" Target="https://africanmarketingconfederation.org/amc-conference-2022-thank-you" TargetMode="External"/><Relationship Id="rId937" Type="http://schemas.openxmlformats.org/officeDocument/2006/relationships/hyperlink" Target="https://africanmarketingconfederation.org/amc-conference-2023/gallery" TargetMode="External"/><Relationship Id="rId1122" Type="http://schemas.openxmlformats.org/officeDocument/2006/relationships/hyperlink" Target="https://africanmarketingconfederation.org/amc-conference-2023/gallery" TargetMode="External"/><Relationship Id="rId66" Type="http://schemas.openxmlformats.org/officeDocument/2006/relationships/hyperlink" Target="https://africanmarketingconfederation.org/about-us" TargetMode="External"/><Relationship Id="rId131" Type="http://schemas.openxmlformats.org/officeDocument/2006/relationships/hyperlink" Target="https://africanmarketingconfederation.org/" TargetMode="External"/><Relationship Id="rId369" Type="http://schemas.openxmlformats.org/officeDocument/2006/relationships/hyperlink" Target="https://africanmarketingconfederation.org/amc-conference-2022" TargetMode="External"/><Relationship Id="rId576" Type="http://schemas.openxmlformats.org/officeDocument/2006/relationships/hyperlink" Target="https://africanmarketingconfederation.org/amc-conference-2023/gallery" TargetMode="External"/><Relationship Id="rId783" Type="http://schemas.openxmlformats.org/officeDocument/2006/relationships/hyperlink" Target="https://africanmarketingconfederation.org/amc-conference-2023/gallery" TargetMode="External"/><Relationship Id="rId990" Type="http://schemas.openxmlformats.org/officeDocument/2006/relationships/hyperlink" Target="https://africanmarketingconfederation.org/amc-conference-2023/gallery" TargetMode="External"/><Relationship Id="rId229" Type="http://schemas.openxmlformats.org/officeDocument/2006/relationships/hyperlink" Target="https://africanmarketingconfederation.org/amc-conference-2022-prospectus" TargetMode="External"/><Relationship Id="rId436" Type="http://schemas.openxmlformats.org/officeDocument/2006/relationships/hyperlink" Target="https://africanmarketingconfederation.org/amc-conference-2023/amc-awards-book-now" TargetMode="External"/><Relationship Id="rId643" Type="http://schemas.openxmlformats.org/officeDocument/2006/relationships/hyperlink" Target="https://africanmarketingconfederation.org/amc-conference-2023/gallery" TargetMode="External"/><Relationship Id="rId1066" Type="http://schemas.openxmlformats.org/officeDocument/2006/relationships/hyperlink" Target="https://africanmarketingconfederation.org/amc-conference-2023/gallery" TargetMode="External"/><Relationship Id="rId1273" Type="http://schemas.openxmlformats.org/officeDocument/2006/relationships/hyperlink" Target="https://africanmarketingconfederation.org/amc-conference-2024-sponsors-packages" TargetMode="External"/><Relationship Id="rId850" Type="http://schemas.openxmlformats.org/officeDocument/2006/relationships/hyperlink" Target="https://africanmarketingconfederation.org/amc-conference-2023/gallery" TargetMode="External"/><Relationship Id="rId948" Type="http://schemas.openxmlformats.org/officeDocument/2006/relationships/hyperlink" Target="https://africanmarketingconfederation.org/amc-conference-2023/gallery" TargetMode="External"/><Relationship Id="rId1133" Type="http://schemas.openxmlformats.org/officeDocument/2006/relationships/hyperlink" Target="https://africanmarketingconfederation.org/amc-conference-2023/gallery" TargetMode="External"/><Relationship Id="rId77" Type="http://schemas.openxmlformats.org/officeDocument/2006/relationships/hyperlink" Target="https://africanmarketingconfederation.org/about-us" TargetMode="External"/><Relationship Id="rId282" Type="http://schemas.openxmlformats.org/officeDocument/2006/relationships/hyperlink" Target="https://africanmarketingconfederation.org/amc-conference-2022" TargetMode="External"/><Relationship Id="rId503" Type="http://schemas.openxmlformats.org/officeDocument/2006/relationships/hyperlink" Target="https://africanmarketingconfederation.org/amc-conference-2023/download-prospectus" TargetMode="External"/><Relationship Id="rId587" Type="http://schemas.openxmlformats.org/officeDocument/2006/relationships/hyperlink" Target="https://africanmarketingconfederation.org/amc-conference-2023/gallery" TargetMode="External"/><Relationship Id="rId710" Type="http://schemas.openxmlformats.org/officeDocument/2006/relationships/hyperlink" Target="https://africanmarketingconfederation.org/amc-conference-2023/gallery" TargetMode="External"/><Relationship Id="rId808" Type="http://schemas.openxmlformats.org/officeDocument/2006/relationships/hyperlink" Target="https://africanmarketingconfederation.org/amc-conference-2023/gallery" TargetMode="External"/><Relationship Id="rId1340" Type="http://schemas.openxmlformats.org/officeDocument/2006/relationships/hyperlink" Target="https://africanmarketingconfederation.org/amc-conference-2025-highlights"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 TargetMode="External"/><Relationship Id="rId447" Type="http://schemas.openxmlformats.org/officeDocument/2006/relationships/hyperlink" Target="https://africanmarketingconfederation.org/amc-conference-2023/amc-awards-book-now" TargetMode="External"/><Relationship Id="rId794" Type="http://schemas.openxmlformats.org/officeDocument/2006/relationships/hyperlink" Target="https://africanmarketingconfederation.org/amc-conference-2023/gallery" TargetMode="External"/><Relationship Id="rId1077" Type="http://schemas.openxmlformats.org/officeDocument/2006/relationships/hyperlink" Target="https://africanmarketingconfederation.org/amc-conference-2023/gallery" TargetMode="External"/><Relationship Id="rId1200" Type="http://schemas.openxmlformats.org/officeDocument/2006/relationships/hyperlink" Target="https://africanmarketingconfederation.org/amc-conference-2024-recap" TargetMode="External"/><Relationship Id="rId654" Type="http://schemas.openxmlformats.org/officeDocument/2006/relationships/hyperlink" Target="https://africanmarketingconfederation.org/amc-conference-2023/gallery" TargetMode="External"/><Relationship Id="rId861" Type="http://schemas.openxmlformats.org/officeDocument/2006/relationships/hyperlink" Target="https://africanmarketingconfederation.org/amc-conference-2023/gallery" TargetMode="External"/><Relationship Id="rId959" Type="http://schemas.openxmlformats.org/officeDocument/2006/relationships/hyperlink" Target="https://africanmarketingconfederation.org/amc-conference-2023/gallery" TargetMode="External"/><Relationship Id="rId1284" Type="http://schemas.openxmlformats.org/officeDocument/2006/relationships/hyperlink" Target="https://africanmarketingconfederation.org/amc-conference-2024-sponsors-packages"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514" Type="http://schemas.openxmlformats.org/officeDocument/2006/relationships/hyperlink" Target="https://africanmarketingconfederation.org/amc-conference-2023/download-prospectus" TargetMode="External"/><Relationship Id="rId721" Type="http://schemas.openxmlformats.org/officeDocument/2006/relationships/hyperlink" Target="https://africanmarketingconfederation.org/amc-conference-2023/gallery" TargetMode="External"/><Relationship Id="rId1144" Type="http://schemas.openxmlformats.org/officeDocument/2006/relationships/hyperlink" Target="https://africanmarketingconfederation.org/amc-conference-2023/partners" TargetMode="External"/><Relationship Id="rId1351" Type="http://schemas.openxmlformats.org/officeDocument/2006/relationships/hyperlink" Target="https://africanmarketingconfederation.org/amc-conference-2025-highlights" TargetMode="External"/><Relationship Id="rId88" Type="http://schemas.openxmlformats.org/officeDocument/2006/relationships/hyperlink" Target="https://africanmarketingconfederation.org/" TargetMode="External"/><Relationship Id="rId153" Type="http://schemas.openxmlformats.org/officeDocument/2006/relationships/hyperlink" Target="https://africanmarketingconfederation.org/african-marketing-confederation-tourism-chapter" TargetMode="External"/><Relationship Id="rId360" Type="http://schemas.openxmlformats.org/officeDocument/2006/relationships/hyperlink" Target="https://africanmarketingconfederation.org/amc-conference-2022" TargetMode="External"/><Relationship Id="rId598" Type="http://schemas.openxmlformats.org/officeDocument/2006/relationships/hyperlink" Target="https://africanmarketingconfederation.org/amc-conference-2023/gallery" TargetMode="External"/><Relationship Id="rId819" Type="http://schemas.openxmlformats.org/officeDocument/2006/relationships/hyperlink" Target="https://africanmarketingconfederation.org/amc-conference-2023/gallery" TargetMode="External"/><Relationship Id="rId1004" Type="http://schemas.openxmlformats.org/officeDocument/2006/relationships/hyperlink" Target="https://africanmarketingconfederation.org/amc-conference-2023/gallery" TargetMode="External"/><Relationship Id="rId1211" Type="http://schemas.openxmlformats.org/officeDocument/2006/relationships/hyperlink" Target="https://africanmarketingconfederation.org/amc-conference-2024-recap"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 TargetMode="External"/><Relationship Id="rId665" Type="http://schemas.openxmlformats.org/officeDocument/2006/relationships/hyperlink" Target="https://africanmarketingconfederation.org/amc-conference-2023/gallery" TargetMode="External"/><Relationship Id="rId872" Type="http://schemas.openxmlformats.org/officeDocument/2006/relationships/hyperlink" Target="https://africanmarketingconfederation.org/amc-conference-2023/gallery" TargetMode="External"/><Relationship Id="rId1088" Type="http://schemas.openxmlformats.org/officeDocument/2006/relationships/hyperlink" Target="https://africanmarketingconfederation.org/amc-conference-2023/gallery" TargetMode="External"/><Relationship Id="rId1295" Type="http://schemas.openxmlformats.org/officeDocument/2006/relationships/hyperlink" Target="https://africanmarketingconfederation.org/amc-conference-2025-highlights" TargetMode="External"/><Relationship Id="rId1309" Type="http://schemas.openxmlformats.org/officeDocument/2006/relationships/hyperlink" Target="https://africanmarketingconfederation.org/amc-conference-2025-highlights" TargetMode="External"/><Relationship Id="rId15" Type="http://schemas.openxmlformats.org/officeDocument/2006/relationships/hyperlink" Target="https://africanmarketingconfederation.org/amc-conference-2023/partners" TargetMode="External"/><Relationship Id="rId318" Type="http://schemas.openxmlformats.org/officeDocument/2006/relationships/hyperlink" Target="https://africanmarketingconfederation.org/amc-conference-2022" TargetMode="External"/><Relationship Id="rId525" Type="http://schemas.openxmlformats.org/officeDocument/2006/relationships/hyperlink" Target="https://africanmarketingconfederation.org/amc-conference-2023/gallery" TargetMode="External"/><Relationship Id="rId732" Type="http://schemas.openxmlformats.org/officeDocument/2006/relationships/hyperlink" Target="https://africanmarketingconfederation.org/amc-conference-2023/gallery" TargetMode="External"/><Relationship Id="rId1155" Type="http://schemas.openxmlformats.org/officeDocument/2006/relationships/hyperlink" Target="https://africanmarketingconfederation.org/amc-conference-2023/partners" TargetMode="External"/><Relationship Id="rId1362" Type="http://schemas.openxmlformats.org/officeDocument/2006/relationships/hyperlink" Target="https://africanmarketingconfederation.org/" TargetMode="External"/><Relationship Id="rId99" Type="http://schemas.openxmlformats.org/officeDocument/2006/relationships/hyperlink" Target="https://africanmarketingconfederation.org/" TargetMode="External"/><Relationship Id="rId164" Type="http://schemas.openxmlformats.org/officeDocument/2006/relationships/hyperlink" Target="https://africanmarketingconfederation.org/african-marketing-confederation-tourism-chapter" TargetMode="External"/><Relationship Id="rId371" Type="http://schemas.openxmlformats.org/officeDocument/2006/relationships/hyperlink" Target="https://africanmarketingconfederation.org/amc-conference-2022" TargetMode="External"/><Relationship Id="rId1015" Type="http://schemas.openxmlformats.org/officeDocument/2006/relationships/hyperlink" Target="https://africanmarketingconfederation.org/amc-conference-2023/gallery" TargetMode="External"/><Relationship Id="rId1222" Type="http://schemas.openxmlformats.org/officeDocument/2006/relationships/hyperlink" Target="https://africanmarketingconfederation.org/amc-conference-2023/programme" TargetMode="External"/><Relationship Id="rId469" Type="http://schemas.openxmlformats.org/officeDocument/2006/relationships/hyperlink" Target="https://africanmarketingconfederation.org/amc-conference-2023/amc-awards" TargetMode="External"/><Relationship Id="rId676" Type="http://schemas.openxmlformats.org/officeDocument/2006/relationships/hyperlink" Target="https://africanmarketingconfederation.org/amc-conference-2023/gallery" TargetMode="External"/><Relationship Id="rId883" Type="http://schemas.openxmlformats.org/officeDocument/2006/relationships/hyperlink" Target="https://africanmarketingconfederation.org/amc-conference-2023/gallery" TargetMode="External"/><Relationship Id="rId1099" Type="http://schemas.openxmlformats.org/officeDocument/2006/relationships/hyperlink" Target="https://africanmarketingconfederation.org/amc-conference-2023/gallery" TargetMode="External"/><Relationship Id="rId26" Type="http://schemas.openxmlformats.org/officeDocument/2006/relationships/hyperlink" Target="https://africanmarketingconfederation.org/amc-awards-2024" TargetMode="External"/><Relationship Id="rId231" Type="http://schemas.openxmlformats.org/officeDocument/2006/relationships/hyperlink" Target="https://africanmarketingconfederation.org/amc-conference-2022-prospectus" TargetMode="External"/><Relationship Id="rId329" Type="http://schemas.openxmlformats.org/officeDocument/2006/relationships/hyperlink" Target="https://africanmarketingconfederation.org/amc-conference-2022" TargetMode="External"/><Relationship Id="rId536" Type="http://schemas.openxmlformats.org/officeDocument/2006/relationships/hyperlink" Target="https://africanmarketingconfederation.org/amc-conference-2023/gallery" TargetMode="External"/><Relationship Id="rId1166" Type="http://schemas.openxmlformats.org/officeDocument/2006/relationships/hyperlink" Target="https://africanmarketingconfederation.org/amc-conference-2023/partners" TargetMode="External"/><Relationship Id="rId1373" Type="http://schemas.openxmlformats.org/officeDocument/2006/relationships/hyperlink" Target="https://africanmarketingconfederation.org/amc-conference-2023/gallery" TargetMode="External"/><Relationship Id="rId175" Type="http://schemas.openxmlformats.org/officeDocument/2006/relationships/hyperlink" Target="https://africanmarketingconfederation.org/african-marketing-confederation-tourism-chapter" TargetMode="External"/><Relationship Id="rId743" Type="http://schemas.openxmlformats.org/officeDocument/2006/relationships/hyperlink" Target="https://africanmarketingconfederation.org/amc-conference-2023/gallery" TargetMode="External"/><Relationship Id="rId950" Type="http://schemas.openxmlformats.org/officeDocument/2006/relationships/hyperlink" Target="https://africanmarketingconfederation.org/amc-conference-2023/gallery" TargetMode="External"/><Relationship Id="rId1026" Type="http://schemas.openxmlformats.org/officeDocument/2006/relationships/hyperlink" Target="https://africanmarketingconfederation.org/amc-conference-2023/gallery" TargetMode="External"/><Relationship Id="rId382" Type="http://schemas.openxmlformats.org/officeDocument/2006/relationships/hyperlink" Target="https://africanmarketingconfederation.org/amc-conference-2023" TargetMode="External"/><Relationship Id="rId603" Type="http://schemas.openxmlformats.org/officeDocument/2006/relationships/hyperlink" Target="https://africanmarketingconfederation.org/amc-conference-2023/gallery" TargetMode="External"/><Relationship Id="rId687" Type="http://schemas.openxmlformats.org/officeDocument/2006/relationships/hyperlink" Target="https://africanmarketingconfederation.org/amc-conference-2023/gallery" TargetMode="External"/><Relationship Id="rId810" Type="http://schemas.openxmlformats.org/officeDocument/2006/relationships/hyperlink" Target="https://africanmarketingconfederation.org/amc-conference-2023/gallery" TargetMode="External"/><Relationship Id="rId908" Type="http://schemas.openxmlformats.org/officeDocument/2006/relationships/hyperlink" Target="https://africanmarketingconfederation.org/amc-conference-2023/gallery" TargetMode="External"/><Relationship Id="rId1233" Type="http://schemas.openxmlformats.org/officeDocument/2006/relationships/hyperlink" Target="https://africanmarketingconfederation.org/amc-conference-2023/programme" TargetMode="External"/><Relationship Id="rId242" Type="http://schemas.openxmlformats.org/officeDocument/2006/relationships/hyperlink" Target="https://africanmarketingconfederation.org/amc-conference-2022-thank-you" TargetMode="External"/><Relationship Id="rId894" Type="http://schemas.openxmlformats.org/officeDocument/2006/relationships/hyperlink" Target="https://africanmarketingconfederation.org/amc-conference-2023/gallery" TargetMode="External"/><Relationship Id="rId1177" Type="http://schemas.openxmlformats.org/officeDocument/2006/relationships/hyperlink" Target="https://africanmarketingconfederation.org/amc-conference-2024-recap" TargetMode="External"/><Relationship Id="rId1300" Type="http://schemas.openxmlformats.org/officeDocument/2006/relationships/hyperlink" Target="https://africanmarketingconfederation.org/amc-conference-2025-highlights" TargetMode="External"/><Relationship Id="rId37" Type="http://schemas.openxmlformats.org/officeDocument/2006/relationships/hyperlink" Target="https://africanmarketingconfederation.org/amc-awards-2024" TargetMode="External"/><Relationship Id="rId102" Type="http://schemas.openxmlformats.org/officeDocument/2006/relationships/hyperlink" Target="https://africanmarketingconfederation.org/" TargetMode="External"/><Relationship Id="rId547" Type="http://schemas.openxmlformats.org/officeDocument/2006/relationships/hyperlink" Target="https://africanmarketingconfederation.org/amc-conference-2023/gallery" TargetMode="External"/><Relationship Id="rId754" Type="http://schemas.openxmlformats.org/officeDocument/2006/relationships/hyperlink" Target="https://africanmarketingconfederation.org/amc-conference-2023/gallery" TargetMode="External"/><Relationship Id="rId961" Type="http://schemas.openxmlformats.org/officeDocument/2006/relationships/hyperlink" Target="https://africanmarketingconfederation.org/amc-conference-2023/gallery" TargetMode="External"/><Relationship Id="rId90" Type="http://schemas.openxmlformats.org/officeDocument/2006/relationships/hyperlink" Target="https://africanmarketingconfederation.org/" TargetMode="External"/><Relationship Id="rId186" Type="http://schemas.openxmlformats.org/officeDocument/2006/relationships/hyperlink" Target="https://africanmarketingconfederation.org/african-marketing-confederation-tourism-chapter"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614" Type="http://schemas.openxmlformats.org/officeDocument/2006/relationships/hyperlink" Target="https://africanmarketingconfederation.org/amc-conference-2023/gallery" TargetMode="External"/><Relationship Id="rId821" Type="http://schemas.openxmlformats.org/officeDocument/2006/relationships/hyperlink" Target="https://africanmarketingconfederation.org/amc-conference-2023/gallery" TargetMode="External"/><Relationship Id="rId1037" Type="http://schemas.openxmlformats.org/officeDocument/2006/relationships/hyperlink" Target="https://africanmarketingconfederation.org/amc-conference-2023/gallery" TargetMode="External"/><Relationship Id="rId1244" Type="http://schemas.openxmlformats.org/officeDocument/2006/relationships/hyperlink" Target="https://africanmarketingconfederation.org/amc-conference-2023/speakers" TargetMode="External"/><Relationship Id="rId253" Type="http://schemas.openxmlformats.org/officeDocument/2006/relationships/hyperlink" Target="https://africanmarketingconfederation.org/amc-conference-2022-thank-you" TargetMode="External"/><Relationship Id="rId460" Type="http://schemas.openxmlformats.org/officeDocument/2006/relationships/hyperlink" Target="https://africanmarketingconfederation.org/amc-conference-2023/amc-awards" TargetMode="External"/><Relationship Id="rId698" Type="http://schemas.openxmlformats.org/officeDocument/2006/relationships/hyperlink" Target="https://africanmarketingconfederation.org/amc-conference-2023/gallery" TargetMode="External"/><Relationship Id="rId919" Type="http://schemas.openxmlformats.org/officeDocument/2006/relationships/hyperlink" Target="https://africanmarketingconfederation.org/amc-conference-2023/gallery" TargetMode="External"/><Relationship Id="rId1090" Type="http://schemas.openxmlformats.org/officeDocument/2006/relationships/hyperlink" Target="https://africanmarketingconfederation.org/amc-conference-2023/gallery" TargetMode="External"/><Relationship Id="rId1104" Type="http://schemas.openxmlformats.org/officeDocument/2006/relationships/hyperlink" Target="https://africanmarketingconfederation.org/amc-conference-2023/gallery" TargetMode="External"/><Relationship Id="rId1311" Type="http://schemas.openxmlformats.org/officeDocument/2006/relationships/hyperlink" Target="https://africanmarketingconfederation.org/amc-conference-2025-highlights" TargetMode="External"/><Relationship Id="rId48" Type="http://schemas.openxmlformats.org/officeDocument/2006/relationships/hyperlink" Target="https://africanmarketingconfederation.org/about-us"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 TargetMode="External"/><Relationship Id="rId558" Type="http://schemas.openxmlformats.org/officeDocument/2006/relationships/hyperlink" Target="https://africanmarketingconfederation.org/amc-conference-2023/gallery" TargetMode="External"/><Relationship Id="rId765" Type="http://schemas.openxmlformats.org/officeDocument/2006/relationships/hyperlink" Target="https://africanmarketingconfederation.org/amc-conference-2023/gallery" TargetMode="External"/><Relationship Id="rId972" Type="http://schemas.openxmlformats.org/officeDocument/2006/relationships/hyperlink" Target="https://africanmarketingconfederation.org/amc-conference-2023/gallery" TargetMode="External"/><Relationship Id="rId1188" Type="http://schemas.openxmlformats.org/officeDocument/2006/relationships/hyperlink" Target="https://africanmarketingconfederation.org/amc-conference-2024-recap" TargetMode="External"/><Relationship Id="rId197" Type="http://schemas.openxmlformats.org/officeDocument/2006/relationships/hyperlink" Target="https://africanmarketingconfederation.org/african-marketing-confederation-tourism-chapter" TargetMode="External"/><Relationship Id="rId418" Type="http://schemas.openxmlformats.org/officeDocument/2006/relationships/hyperlink" Target="https://africanmarketingconfederation.org/amc-conference-2023" TargetMode="External"/><Relationship Id="rId625" Type="http://schemas.openxmlformats.org/officeDocument/2006/relationships/hyperlink" Target="https://africanmarketingconfederation.org/amc-conference-2023/gallery" TargetMode="External"/><Relationship Id="rId832" Type="http://schemas.openxmlformats.org/officeDocument/2006/relationships/hyperlink" Target="https://africanmarketingconfederation.org/amc-conference-2023/gallery" TargetMode="External"/><Relationship Id="rId1048" Type="http://schemas.openxmlformats.org/officeDocument/2006/relationships/hyperlink" Target="https://africanmarketingconfederation.org/amc-conference-2023/gallery" TargetMode="External"/><Relationship Id="rId1255" Type="http://schemas.openxmlformats.org/officeDocument/2006/relationships/hyperlink" Target="https://africanmarketingconfederation.org/amc-conference-2023/speakers"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 TargetMode="External"/><Relationship Id="rId1115" Type="http://schemas.openxmlformats.org/officeDocument/2006/relationships/hyperlink" Target="https://africanmarketingconfederation.org/amc-conference-2023/gallery" TargetMode="External"/><Relationship Id="rId1322" Type="http://schemas.openxmlformats.org/officeDocument/2006/relationships/hyperlink" Target="https://africanmarketingconfederation.org/amc-conference-2025-highlights" TargetMode="External"/><Relationship Id="rId59" Type="http://schemas.openxmlformats.org/officeDocument/2006/relationships/hyperlink" Target="https://africanmarketingconfederation.org/about-us" TargetMode="External"/><Relationship Id="rId124" Type="http://schemas.openxmlformats.org/officeDocument/2006/relationships/hyperlink" Target="https://africanmarketingconfederation.org/" TargetMode="External"/><Relationship Id="rId569" Type="http://schemas.openxmlformats.org/officeDocument/2006/relationships/hyperlink" Target="https://africanmarketingconfederation.org/amc-conference-2023/gallery" TargetMode="External"/><Relationship Id="rId776" Type="http://schemas.openxmlformats.org/officeDocument/2006/relationships/hyperlink" Target="https://africanmarketingconfederation.org/amc-conference-2023/gallery" TargetMode="External"/><Relationship Id="rId983" Type="http://schemas.openxmlformats.org/officeDocument/2006/relationships/hyperlink" Target="https://africanmarketingconfederation.org/amc-conference-2023/gallery" TargetMode="External"/><Relationship Id="rId1199" Type="http://schemas.openxmlformats.org/officeDocument/2006/relationships/hyperlink" Target="https://africanmarketingconfederation.org/amc-conference-2024-recap" TargetMode="External"/><Relationship Id="rId331" Type="http://schemas.openxmlformats.org/officeDocument/2006/relationships/hyperlink" Target="https://africanmarketingconfederation.org/amc-conference-2022" TargetMode="External"/><Relationship Id="rId429" Type="http://schemas.openxmlformats.org/officeDocument/2006/relationships/hyperlink" Target="https://africanmarketingconfederation.org/amc-conference-2023" TargetMode="External"/><Relationship Id="rId636" Type="http://schemas.openxmlformats.org/officeDocument/2006/relationships/hyperlink" Target="https://africanmarketingconfederation.org/amc-conference-2023/gallery" TargetMode="External"/><Relationship Id="rId1059" Type="http://schemas.openxmlformats.org/officeDocument/2006/relationships/hyperlink" Target="https://africanmarketingconfederation.org/amc-conference-2023/gallery" TargetMode="External"/><Relationship Id="rId1266" Type="http://schemas.openxmlformats.org/officeDocument/2006/relationships/hyperlink" Target="https://africanmarketingconfederation.org/amc-conference-2024-sponsors-packages" TargetMode="External"/><Relationship Id="rId843" Type="http://schemas.openxmlformats.org/officeDocument/2006/relationships/hyperlink" Target="https://africanmarketingconfederation.org/amc-conference-2023/gallery" TargetMode="External"/><Relationship Id="rId1126" Type="http://schemas.openxmlformats.org/officeDocument/2006/relationships/hyperlink" Target="https://africanmarketingconfederation.org/amc-conference-2023/gallery" TargetMode="External"/><Relationship Id="rId275" Type="http://schemas.openxmlformats.org/officeDocument/2006/relationships/hyperlink" Target="https://africanmarketingconfederation.org/amc-conference-2022" TargetMode="External"/><Relationship Id="rId482" Type="http://schemas.openxmlformats.org/officeDocument/2006/relationships/hyperlink" Target="https://africanmarketingconfederation.org/amc-conference-2023/book-now" TargetMode="External"/><Relationship Id="rId703" Type="http://schemas.openxmlformats.org/officeDocument/2006/relationships/hyperlink" Target="https://africanmarketingconfederation.org/amc-conference-2023/gallery" TargetMode="External"/><Relationship Id="rId910" Type="http://schemas.openxmlformats.org/officeDocument/2006/relationships/hyperlink" Target="https://africanmarketingconfederation.org/amc-conference-2023/gallery" TargetMode="External"/><Relationship Id="rId1333" Type="http://schemas.openxmlformats.org/officeDocument/2006/relationships/hyperlink" Target="https://africanmarketingconfederation.org/amc-conference-2025-highlights" TargetMode="External"/><Relationship Id="rId135" Type="http://schemas.openxmlformats.org/officeDocument/2006/relationships/hyperlink" Target="https://africanmarketingconfederation.org/" TargetMode="External"/><Relationship Id="rId342" Type="http://schemas.openxmlformats.org/officeDocument/2006/relationships/hyperlink" Target="https://africanmarketingconfederation.org/amc-conference-2022" TargetMode="External"/><Relationship Id="rId787" Type="http://schemas.openxmlformats.org/officeDocument/2006/relationships/hyperlink" Target="https://africanmarketingconfederation.org/amc-conference-2023/gallery" TargetMode="External"/><Relationship Id="rId994" Type="http://schemas.openxmlformats.org/officeDocument/2006/relationships/hyperlink" Target="https://africanmarketingconfederation.org/amc-conference-2023/gallery" TargetMode="External"/><Relationship Id="rId202" Type="http://schemas.openxmlformats.org/officeDocument/2006/relationships/hyperlink" Target="https://africanmarketingconfederation.org/african-marketing-confederation-tourism-chapter" TargetMode="External"/><Relationship Id="rId647" Type="http://schemas.openxmlformats.org/officeDocument/2006/relationships/hyperlink" Target="https://africanmarketingconfederation.org/amc-conference-2023/gallery" TargetMode="External"/><Relationship Id="rId854" Type="http://schemas.openxmlformats.org/officeDocument/2006/relationships/hyperlink" Target="https://africanmarketingconfederation.org/amc-conference-2023/gallery" TargetMode="External"/><Relationship Id="rId1277" Type="http://schemas.openxmlformats.org/officeDocument/2006/relationships/hyperlink" Target="https://africanmarketingconfederation.org/amc-conference-2024-sponsors-packages" TargetMode="External"/><Relationship Id="rId286" Type="http://schemas.openxmlformats.org/officeDocument/2006/relationships/hyperlink" Target="https://africanmarketingconfederation.org/amc-conference-2022" TargetMode="External"/><Relationship Id="rId493" Type="http://schemas.openxmlformats.org/officeDocument/2006/relationships/hyperlink" Target="https://africanmarketingconfederation.org/amc-conference-2023/book-now" TargetMode="External"/><Relationship Id="rId507" Type="http://schemas.openxmlformats.org/officeDocument/2006/relationships/hyperlink" Target="https://africanmarketingconfederation.org/amc-conference-2023/download-prospectus" TargetMode="External"/><Relationship Id="rId714" Type="http://schemas.openxmlformats.org/officeDocument/2006/relationships/hyperlink" Target="https://africanmarketingconfederation.org/amc-conference-2023/gallery" TargetMode="External"/><Relationship Id="rId921" Type="http://schemas.openxmlformats.org/officeDocument/2006/relationships/hyperlink" Target="https://africanmarketingconfederation.org/amc-conference-2023/gallery" TargetMode="External"/><Relationship Id="rId1137" Type="http://schemas.openxmlformats.org/officeDocument/2006/relationships/hyperlink" Target="https://africanmarketingconfederation.org/amc-conference-2023/gallery" TargetMode="External"/><Relationship Id="rId1344" Type="http://schemas.openxmlformats.org/officeDocument/2006/relationships/hyperlink" Target="https://africanmarketingconfederation.org/amc-conference-2025-highlights" TargetMode="External"/><Relationship Id="rId50" Type="http://schemas.openxmlformats.org/officeDocument/2006/relationships/hyperlink" Target="https://africanmarketingconfederation.org/about-us" TargetMode="External"/><Relationship Id="rId146" Type="http://schemas.openxmlformats.org/officeDocument/2006/relationships/hyperlink" Target="https://africanmarketingconfederation.org/african-marketing-confederation-tourism-chapter" TargetMode="External"/><Relationship Id="rId353" Type="http://schemas.openxmlformats.org/officeDocument/2006/relationships/hyperlink" Target="https://africanmarketingconfederation.org/amc-conference-2022" TargetMode="External"/><Relationship Id="rId560" Type="http://schemas.openxmlformats.org/officeDocument/2006/relationships/hyperlink" Target="https://africanmarketingconfederation.org/amc-conference-2023/gallery" TargetMode="External"/><Relationship Id="rId798" Type="http://schemas.openxmlformats.org/officeDocument/2006/relationships/hyperlink" Target="https://africanmarketingconfederation.org/amc-conference-2023/gallery" TargetMode="External"/><Relationship Id="rId1190" Type="http://schemas.openxmlformats.org/officeDocument/2006/relationships/hyperlink" Target="https://africanmarketingconfederation.org/amc-conference-2024-recap" TargetMode="External"/><Relationship Id="rId1204" Type="http://schemas.openxmlformats.org/officeDocument/2006/relationships/hyperlink" Target="https://africanmarketingconfederation.org/amc-conference-2024-recap" TargetMode="External"/><Relationship Id="rId213" Type="http://schemas.openxmlformats.org/officeDocument/2006/relationships/hyperlink" Target="https://africanmarketingconfederation.org/amc-conference-2022-prospectus" TargetMode="External"/><Relationship Id="rId420" Type="http://schemas.openxmlformats.org/officeDocument/2006/relationships/hyperlink" Target="https://africanmarketingconfederation.org/amc-conference-2023" TargetMode="External"/><Relationship Id="rId658" Type="http://schemas.openxmlformats.org/officeDocument/2006/relationships/hyperlink" Target="https://africanmarketingconfederation.org/amc-conference-2023/gallery" TargetMode="External"/><Relationship Id="rId865" Type="http://schemas.openxmlformats.org/officeDocument/2006/relationships/hyperlink" Target="https://africanmarketingconfederation.org/amc-conference-2023/gallery" TargetMode="External"/><Relationship Id="rId1050" Type="http://schemas.openxmlformats.org/officeDocument/2006/relationships/hyperlink" Target="https://africanmarketingconfederation.org/amc-conference-2023/gallery" TargetMode="External"/><Relationship Id="rId1288" Type="http://schemas.openxmlformats.org/officeDocument/2006/relationships/hyperlink" Target="https://africanmarketingconfederation.org/amc-conference-2024-sponsors-packages" TargetMode="External"/><Relationship Id="rId297" Type="http://schemas.openxmlformats.org/officeDocument/2006/relationships/hyperlink" Target="https://africanmarketingconfederation.org/amc-conference-2022" TargetMode="External"/><Relationship Id="rId518" Type="http://schemas.openxmlformats.org/officeDocument/2006/relationships/hyperlink" Target="https://africanmarketingconfederation.org/amc-conference-2023/download-prospectus" TargetMode="External"/><Relationship Id="rId725" Type="http://schemas.openxmlformats.org/officeDocument/2006/relationships/hyperlink" Target="https://africanmarketingconfederation.org/amc-conference-2023/gallery" TargetMode="External"/><Relationship Id="rId932" Type="http://schemas.openxmlformats.org/officeDocument/2006/relationships/hyperlink" Target="https://africanmarketingconfederation.org/amc-conference-2023/gallery" TargetMode="External"/><Relationship Id="rId1148" Type="http://schemas.openxmlformats.org/officeDocument/2006/relationships/hyperlink" Target="https://africanmarketingconfederation.org/amc-conference-2023/partners" TargetMode="External"/><Relationship Id="rId1355" Type="http://schemas.openxmlformats.org/officeDocument/2006/relationships/hyperlink" Target="https://africanmarketingconfederation.org/amc-conference-2025-highlights" TargetMode="External"/><Relationship Id="rId157" Type="http://schemas.openxmlformats.org/officeDocument/2006/relationships/hyperlink" Target="https://africanmarketingconfederation.org/african-marketing-confederation-tourism-chapter" TargetMode="External"/><Relationship Id="rId364" Type="http://schemas.openxmlformats.org/officeDocument/2006/relationships/hyperlink" Target="https://africanmarketingconfederation.org/amc-conference-2022" TargetMode="External"/><Relationship Id="rId1008" Type="http://schemas.openxmlformats.org/officeDocument/2006/relationships/hyperlink" Target="https://africanmarketingconfederation.org/amc-conference-2023/gallery" TargetMode="External"/><Relationship Id="rId1215" Type="http://schemas.openxmlformats.org/officeDocument/2006/relationships/hyperlink" Target="https://africanmarketingconfederation.org/amc-conference-2023/programme" TargetMode="External"/><Relationship Id="rId61" Type="http://schemas.openxmlformats.org/officeDocument/2006/relationships/hyperlink" Target="https://africanmarketingconfederation.org/about-us" TargetMode="External"/><Relationship Id="rId571" Type="http://schemas.openxmlformats.org/officeDocument/2006/relationships/hyperlink" Target="https://africanmarketingconfederation.org/amc-conference-2023/gallery" TargetMode="External"/><Relationship Id="rId669" Type="http://schemas.openxmlformats.org/officeDocument/2006/relationships/hyperlink" Target="https://africanmarketingconfederation.org/amc-conference-2023/gallery" TargetMode="External"/><Relationship Id="rId876" Type="http://schemas.openxmlformats.org/officeDocument/2006/relationships/hyperlink" Target="https://africanmarketingconfederation.org/amc-conference-2023/gallery" TargetMode="External"/><Relationship Id="rId1299" Type="http://schemas.openxmlformats.org/officeDocument/2006/relationships/hyperlink" Target="https://africanmarketingconfederation.org/amc-conference-2025-highlights" TargetMode="External"/><Relationship Id="rId19" Type="http://schemas.openxmlformats.org/officeDocument/2006/relationships/hyperlink" Target="https://africanmarketingconfederation.org/amc-conference-2024-sponsors-packages" TargetMode="External"/><Relationship Id="rId224" Type="http://schemas.openxmlformats.org/officeDocument/2006/relationships/hyperlink" Target="https://africanmarketingconfederation.org/amc-conference-2022-prospectus" TargetMode="External"/><Relationship Id="rId431" Type="http://schemas.openxmlformats.org/officeDocument/2006/relationships/hyperlink" Target="https://africanmarketingconfederation.org/amc-conference-2023/amc-awards-book-now" TargetMode="External"/><Relationship Id="rId529" Type="http://schemas.openxmlformats.org/officeDocument/2006/relationships/hyperlink" Target="https://africanmarketingconfederation.org/amc-conference-2023/gallery" TargetMode="External"/><Relationship Id="rId736" Type="http://schemas.openxmlformats.org/officeDocument/2006/relationships/hyperlink" Target="https://africanmarketingconfederation.org/amc-conference-2023/gallery" TargetMode="External"/><Relationship Id="rId1061" Type="http://schemas.openxmlformats.org/officeDocument/2006/relationships/hyperlink" Target="https://africanmarketingconfederation.org/amc-conference-2023/gallery" TargetMode="External"/><Relationship Id="rId1159" Type="http://schemas.openxmlformats.org/officeDocument/2006/relationships/hyperlink" Target="https://africanmarketingconfederation.org/amc-conference-2023/partners" TargetMode="External"/><Relationship Id="rId1366" Type="http://schemas.openxmlformats.org/officeDocument/2006/relationships/hyperlink" Target="https://africanmarketingconfederation.org/amc-conference-2022" TargetMode="External"/><Relationship Id="rId168" Type="http://schemas.openxmlformats.org/officeDocument/2006/relationships/hyperlink" Target="https://africanmarketingconfederation.org/african-marketing-confederation-tourism-chapter" TargetMode="External"/><Relationship Id="rId943" Type="http://schemas.openxmlformats.org/officeDocument/2006/relationships/hyperlink" Target="https://africanmarketingconfederation.org/amc-conference-2023/gallery" TargetMode="External"/><Relationship Id="rId1019" Type="http://schemas.openxmlformats.org/officeDocument/2006/relationships/hyperlink" Target="https://africanmarketingconfederation.org/amc-conference-2023/gallery" TargetMode="External"/><Relationship Id="rId72" Type="http://schemas.openxmlformats.org/officeDocument/2006/relationships/hyperlink" Target="https://africanmarketingconfederation.org/about-us" TargetMode="External"/><Relationship Id="rId375" Type="http://schemas.openxmlformats.org/officeDocument/2006/relationships/hyperlink" Target="https://africanmarketingconfederation.org/amc-conference-2022" TargetMode="External"/><Relationship Id="rId582" Type="http://schemas.openxmlformats.org/officeDocument/2006/relationships/hyperlink" Target="https://africanmarketingconfederation.org/amc-conference-2023/gallery" TargetMode="External"/><Relationship Id="rId803" Type="http://schemas.openxmlformats.org/officeDocument/2006/relationships/hyperlink" Target="https://africanmarketingconfederation.org/amc-conference-2023/gallery" TargetMode="External"/><Relationship Id="rId1226" Type="http://schemas.openxmlformats.org/officeDocument/2006/relationships/hyperlink" Target="https://africanmarketingconfederation.org/amc-conference-2023/programme" TargetMode="External"/><Relationship Id="rId3" Type="http://schemas.openxmlformats.org/officeDocument/2006/relationships/hyperlink" Target="https://africanmarketingconfederation.org/" TargetMode="External"/><Relationship Id="rId235" Type="http://schemas.openxmlformats.org/officeDocument/2006/relationships/hyperlink" Target="https://africanmarketingconfederation.org/amc-conference-2022-prospectus" TargetMode="External"/><Relationship Id="rId442" Type="http://schemas.openxmlformats.org/officeDocument/2006/relationships/hyperlink" Target="https://africanmarketingconfederation.org/amc-conference-2023/amc-awards-book-now" TargetMode="External"/><Relationship Id="rId887" Type="http://schemas.openxmlformats.org/officeDocument/2006/relationships/hyperlink" Target="https://africanmarketingconfederation.org/amc-conference-2023/gallery" TargetMode="External"/><Relationship Id="rId1072" Type="http://schemas.openxmlformats.org/officeDocument/2006/relationships/hyperlink" Target="https://africanmarketingconfederation.org/amc-conference-2023/gallery" TargetMode="External"/><Relationship Id="rId302" Type="http://schemas.openxmlformats.org/officeDocument/2006/relationships/hyperlink" Target="https://africanmarketingconfederation.org/amc-conference-2022" TargetMode="External"/><Relationship Id="rId747" Type="http://schemas.openxmlformats.org/officeDocument/2006/relationships/hyperlink" Target="https://africanmarketingconfederation.org/amc-conference-2023/gallery" TargetMode="External"/><Relationship Id="rId954" Type="http://schemas.openxmlformats.org/officeDocument/2006/relationships/hyperlink" Target="https://africanmarketingconfederation.org/amc-conference-2023/gallery" TargetMode="External"/><Relationship Id="rId1377" Type="http://schemas.openxmlformats.org/officeDocument/2006/relationships/hyperlink" Target="https://africanmarketingconfederation.org/amc-conference-2023/speakers" TargetMode="External"/><Relationship Id="rId83" Type="http://schemas.openxmlformats.org/officeDocument/2006/relationships/hyperlink" Target="https://africanmarketingconfederation.org/" TargetMode="External"/><Relationship Id="rId179" Type="http://schemas.openxmlformats.org/officeDocument/2006/relationships/hyperlink" Target="https://africanmarketingconfederation.org/african-marketing-confederation-tourism-chapter" TargetMode="External"/><Relationship Id="rId386" Type="http://schemas.openxmlformats.org/officeDocument/2006/relationships/hyperlink" Target="https://africanmarketingconfederation.org/amc-conference-2023" TargetMode="External"/><Relationship Id="rId593" Type="http://schemas.openxmlformats.org/officeDocument/2006/relationships/hyperlink" Target="https://africanmarketingconfederation.org/amc-conference-2023/gallery" TargetMode="External"/><Relationship Id="rId607" Type="http://schemas.openxmlformats.org/officeDocument/2006/relationships/hyperlink" Target="https://africanmarketingconfederation.org/amc-conference-2023/gallery" TargetMode="External"/><Relationship Id="rId814" Type="http://schemas.openxmlformats.org/officeDocument/2006/relationships/hyperlink" Target="https://africanmarketingconfederation.org/amc-conference-2023/gallery" TargetMode="External"/><Relationship Id="rId1237" Type="http://schemas.openxmlformats.org/officeDocument/2006/relationships/hyperlink" Target="https://africanmarketingconfederation.org/amc-conference-2023/programme" TargetMode="External"/><Relationship Id="rId246" Type="http://schemas.openxmlformats.org/officeDocument/2006/relationships/hyperlink" Target="https://africanmarketingconfederation.org/amc-conference-2022-thank-you" TargetMode="External"/><Relationship Id="rId453" Type="http://schemas.openxmlformats.org/officeDocument/2006/relationships/hyperlink" Target="https://africanmarketingconfederation.org/amc-conference-2023/amc-awards" TargetMode="External"/><Relationship Id="rId660" Type="http://schemas.openxmlformats.org/officeDocument/2006/relationships/hyperlink" Target="https://africanmarketingconfederation.org/amc-conference-2023/gallery" TargetMode="External"/><Relationship Id="rId898" Type="http://schemas.openxmlformats.org/officeDocument/2006/relationships/hyperlink" Target="https://africanmarketingconfederation.org/amc-conference-2023/gallery" TargetMode="External"/><Relationship Id="rId1083" Type="http://schemas.openxmlformats.org/officeDocument/2006/relationships/hyperlink" Target="https://africanmarketingconfederation.org/amc-conference-2023/gallery" TargetMode="External"/><Relationship Id="rId1290" Type="http://schemas.openxmlformats.org/officeDocument/2006/relationships/hyperlink" Target="https://africanmarketingconfederation.org/amc-conference-2024-sponsors-packages" TargetMode="External"/><Relationship Id="rId1304" Type="http://schemas.openxmlformats.org/officeDocument/2006/relationships/hyperlink" Target="https://africanmarketingconfederation.org/amc-conference-2025-highlights" TargetMode="External"/><Relationship Id="rId106" Type="http://schemas.openxmlformats.org/officeDocument/2006/relationships/hyperlink" Target="https://africanmarketingconfederation.org/" TargetMode="External"/><Relationship Id="rId313" Type="http://schemas.openxmlformats.org/officeDocument/2006/relationships/hyperlink" Target="https://africanmarketingconfederation.org/amc-conference-2022" TargetMode="External"/><Relationship Id="rId758" Type="http://schemas.openxmlformats.org/officeDocument/2006/relationships/hyperlink" Target="https://africanmarketingconfederation.org/amc-conference-2023/gallery" TargetMode="External"/><Relationship Id="rId965" Type="http://schemas.openxmlformats.org/officeDocument/2006/relationships/hyperlink" Target="https://africanmarketingconfederation.org/amc-conference-2023/gallery" TargetMode="External"/><Relationship Id="rId1150" Type="http://schemas.openxmlformats.org/officeDocument/2006/relationships/hyperlink" Target="https://africanmarketingconfederation.org/amc-conference-2023/partners" TargetMode="External"/><Relationship Id="rId10" Type="http://schemas.openxmlformats.org/officeDocument/2006/relationships/hyperlink" Target="https://africanmarketingconfederation.org/amc-conference-2023/amc-awards" TargetMode="External"/><Relationship Id="rId94" Type="http://schemas.openxmlformats.org/officeDocument/2006/relationships/hyperlink" Target="https://africanmarketingconfederation.org/" TargetMode="External"/><Relationship Id="rId397" Type="http://schemas.openxmlformats.org/officeDocument/2006/relationships/hyperlink" Target="https://africanmarketingconfederation.org/amc-conference-2023" TargetMode="External"/><Relationship Id="rId520" Type="http://schemas.openxmlformats.org/officeDocument/2006/relationships/hyperlink" Target="https://africanmarketingconfederation.org/amc-conference-2023/download-prospectus" TargetMode="External"/><Relationship Id="rId618" Type="http://schemas.openxmlformats.org/officeDocument/2006/relationships/hyperlink" Target="https://africanmarketingconfederation.org/amc-conference-2023/gallery" TargetMode="External"/><Relationship Id="rId825" Type="http://schemas.openxmlformats.org/officeDocument/2006/relationships/hyperlink" Target="https://africanmarketingconfederation.org/amc-conference-2023/gallery" TargetMode="External"/><Relationship Id="rId1248" Type="http://schemas.openxmlformats.org/officeDocument/2006/relationships/hyperlink" Target="https://africanmarketingconfederation.org/amc-conference-2023/speakers" TargetMode="External"/><Relationship Id="rId257" Type="http://schemas.openxmlformats.org/officeDocument/2006/relationships/hyperlink" Target="https://africanmarketingconfederation.org/amc-conference-2022-thank-you" TargetMode="External"/><Relationship Id="rId464" Type="http://schemas.openxmlformats.org/officeDocument/2006/relationships/hyperlink" Target="https://africanmarketingconfederation.org/amc-conference-2023/amc-awards" TargetMode="External"/><Relationship Id="rId1010" Type="http://schemas.openxmlformats.org/officeDocument/2006/relationships/hyperlink" Target="https://africanmarketingconfederation.org/amc-conference-2023/gallery" TargetMode="External"/><Relationship Id="rId1094" Type="http://schemas.openxmlformats.org/officeDocument/2006/relationships/hyperlink" Target="https://africanmarketingconfederation.org/amc-conference-2023/gallery" TargetMode="External"/><Relationship Id="rId1108" Type="http://schemas.openxmlformats.org/officeDocument/2006/relationships/hyperlink" Target="https://africanmarketingconfederation.org/amc-conference-2023/gallery" TargetMode="External"/><Relationship Id="rId1315" Type="http://schemas.openxmlformats.org/officeDocument/2006/relationships/hyperlink" Target="https://africanmarketingconfederation.org/amc-conference-2025-highlights" TargetMode="External"/><Relationship Id="rId117" Type="http://schemas.openxmlformats.org/officeDocument/2006/relationships/hyperlink" Target="https://africanmarketingconfederation.org/" TargetMode="External"/><Relationship Id="rId671" Type="http://schemas.openxmlformats.org/officeDocument/2006/relationships/hyperlink" Target="https://africanmarketingconfederation.org/amc-conference-2023/gallery" TargetMode="External"/><Relationship Id="rId769" Type="http://schemas.openxmlformats.org/officeDocument/2006/relationships/hyperlink" Target="https://africanmarketingconfederation.org/amc-conference-2023/gallery" TargetMode="External"/><Relationship Id="rId976" Type="http://schemas.openxmlformats.org/officeDocument/2006/relationships/hyperlink" Target="https://africanmarketingconfederation.org/amc-conference-2023/gallery" TargetMode="External"/><Relationship Id="rId324" Type="http://schemas.openxmlformats.org/officeDocument/2006/relationships/hyperlink" Target="https://africanmarketingconfederation.org/amc-conference-2022" TargetMode="External"/><Relationship Id="rId531" Type="http://schemas.openxmlformats.org/officeDocument/2006/relationships/hyperlink" Target="https://africanmarketingconfederation.org/amc-conference-2023/gallery" TargetMode="External"/><Relationship Id="rId629" Type="http://schemas.openxmlformats.org/officeDocument/2006/relationships/hyperlink" Target="https://africanmarketingconfederation.org/amc-conference-2023/gallery" TargetMode="External"/><Relationship Id="rId1161" Type="http://schemas.openxmlformats.org/officeDocument/2006/relationships/hyperlink" Target="https://africanmarketingconfederation.org/amc-conference-2023/partners" TargetMode="External"/><Relationship Id="rId1259" Type="http://schemas.openxmlformats.org/officeDocument/2006/relationships/hyperlink" Target="https://africanmarketingconfederation.org/amc-conference-2023/speakers" TargetMode="External"/><Relationship Id="rId836" Type="http://schemas.openxmlformats.org/officeDocument/2006/relationships/hyperlink" Target="https://africanmarketingconfederation.org/amc-conference-2023/gallery" TargetMode="External"/><Relationship Id="rId1021" Type="http://schemas.openxmlformats.org/officeDocument/2006/relationships/hyperlink" Target="https://africanmarketingconfederation.org/amc-conference-2023/gallery" TargetMode="External"/><Relationship Id="rId1119" Type="http://schemas.openxmlformats.org/officeDocument/2006/relationships/hyperlink" Target="https://africanmarketingconfederation.org/amc-conference-2023/gallery" TargetMode="External"/><Relationship Id="rId903" Type="http://schemas.openxmlformats.org/officeDocument/2006/relationships/hyperlink" Target="https://africanmarketingconfederation.org/amc-conference-2023/gallery" TargetMode="External"/><Relationship Id="rId1326" Type="http://schemas.openxmlformats.org/officeDocument/2006/relationships/hyperlink" Target="https://africanmarketingconfederation.org/amc-conference-2025-highlights" TargetMode="External"/><Relationship Id="rId32" Type="http://schemas.openxmlformats.org/officeDocument/2006/relationships/hyperlink" Target="https://africanmarketingconfederation.org/amc-awards-2024" TargetMode="External"/><Relationship Id="rId181" Type="http://schemas.openxmlformats.org/officeDocument/2006/relationships/hyperlink" Target="https://africanmarketingconfederation.org/african-marketing-confederation-tourism-chapter" TargetMode="External"/><Relationship Id="rId279" Type="http://schemas.openxmlformats.org/officeDocument/2006/relationships/hyperlink" Target="https://africanmarketingconfederation.org/amc-conference-2022" TargetMode="External"/><Relationship Id="rId486" Type="http://schemas.openxmlformats.org/officeDocument/2006/relationships/hyperlink" Target="https://africanmarketingconfederation.org/amc-conference-2023/book-now" TargetMode="External"/><Relationship Id="rId693" Type="http://schemas.openxmlformats.org/officeDocument/2006/relationships/hyperlink" Target="https://africanmarketingconfederation.org/amc-conference-2023/gallery" TargetMode="External"/><Relationship Id="rId139" Type="http://schemas.openxmlformats.org/officeDocument/2006/relationships/hyperlink" Target="https://africanmarketingconfederation.org/" TargetMode="External"/><Relationship Id="rId346" Type="http://schemas.openxmlformats.org/officeDocument/2006/relationships/hyperlink" Target="https://africanmarketingconfederation.org/amc-conference-2022" TargetMode="External"/><Relationship Id="rId553" Type="http://schemas.openxmlformats.org/officeDocument/2006/relationships/hyperlink" Target="https://africanmarketingconfederation.org/amc-conference-2023/gallery" TargetMode="External"/><Relationship Id="rId760" Type="http://schemas.openxmlformats.org/officeDocument/2006/relationships/hyperlink" Target="https://africanmarketingconfederation.org/amc-conference-2023/gallery" TargetMode="External"/><Relationship Id="rId998" Type="http://schemas.openxmlformats.org/officeDocument/2006/relationships/hyperlink" Target="https://africanmarketingconfederation.org/amc-conference-2023/gallery" TargetMode="External"/><Relationship Id="rId1183" Type="http://schemas.openxmlformats.org/officeDocument/2006/relationships/hyperlink" Target="https://africanmarketingconfederation.org/amc-conference-2024-recap" TargetMode="External"/><Relationship Id="rId206" Type="http://schemas.openxmlformats.org/officeDocument/2006/relationships/hyperlink" Target="https://africanmarketingconfederation.org/amc-conference-2022-prospectus" TargetMode="External"/><Relationship Id="rId413" Type="http://schemas.openxmlformats.org/officeDocument/2006/relationships/hyperlink" Target="https://africanmarketingconfederation.org/amc-conference-2023" TargetMode="External"/><Relationship Id="rId858" Type="http://schemas.openxmlformats.org/officeDocument/2006/relationships/hyperlink" Target="https://africanmarketingconfederation.org/amc-conference-2023/gallery" TargetMode="External"/><Relationship Id="rId1043" Type="http://schemas.openxmlformats.org/officeDocument/2006/relationships/hyperlink" Target="https://africanmarketingconfederation.org/amc-conference-2023/gallery" TargetMode="External"/><Relationship Id="rId620" Type="http://schemas.openxmlformats.org/officeDocument/2006/relationships/hyperlink" Target="https://africanmarketingconfederation.org/amc-conference-2023/gallery" TargetMode="External"/><Relationship Id="rId718" Type="http://schemas.openxmlformats.org/officeDocument/2006/relationships/hyperlink" Target="https://africanmarketingconfederation.org/amc-conference-2023/gallery" TargetMode="External"/><Relationship Id="rId925" Type="http://schemas.openxmlformats.org/officeDocument/2006/relationships/hyperlink" Target="https://africanmarketingconfederation.org/amc-conference-2023/gallery" TargetMode="External"/><Relationship Id="rId1250" Type="http://schemas.openxmlformats.org/officeDocument/2006/relationships/hyperlink" Target="https://africanmarketingconfederation.org/amc-conference-2023/speakers" TargetMode="External"/><Relationship Id="rId1348" Type="http://schemas.openxmlformats.org/officeDocument/2006/relationships/hyperlink" Target="https://africanmarketingconfederation.org/amc-conference-2025-highlights" TargetMode="External"/><Relationship Id="rId1110" Type="http://schemas.openxmlformats.org/officeDocument/2006/relationships/hyperlink" Target="https://africanmarketingconfederation.org/amc-conference-2023/gallery" TargetMode="External"/><Relationship Id="rId1208" Type="http://schemas.openxmlformats.org/officeDocument/2006/relationships/hyperlink" Target="https://africanmarketingconfederation.org/amc-conference-2024-recap" TargetMode="External"/><Relationship Id="rId54" Type="http://schemas.openxmlformats.org/officeDocument/2006/relationships/hyperlink" Target="https://africanmarketingconfederation.org/about-us" TargetMode="External"/><Relationship Id="rId270" Type="http://schemas.openxmlformats.org/officeDocument/2006/relationships/hyperlink" Target="https://africanmarketingconfederation.org/amc-conference-2022-thank-you" TargetMode="External"/><Relationship Id="rId130" Type="http://schemas.openxmlformats.org/officeDocument/2006/relationships/hyperlink" Target="https://africanmarketingconfederation.org/" TargetMode="External"/><Relationship Id="rId368" Type="http://schemas.openxmlformats.org/officeDocument/2006/relationships/hyperlink" Target="https://africanmarketingconfederation.org/amc-conference-2022" TargetMode="External"/><Relationship Id="rId575" Type="http://schemas.openxmlformats.org/officeDocument/2006/relationships/hyperlink" Target="https://africanmarketingconfederation.org/amc-conference-2023/gallery" TargetMode="External"/><Relationship Id="rId782" Type="http://schemas.openxmlformats.org/officeDocument/2006/relationships/hyperlink" Target="https://africanmarketingconfederation.org/amc-conference-2023/gallery"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amc-awards-book-now" TargetMode="External"/><Relationship Id="rId642" Type="http://schemas.openxmlformats.org/officeDocument/2006/relationships/hyperlink" Target="https://africanmarketingconfederation.org/amc-conference-2023/gallery" TargetMode="External"/><Relationship Id="rId1065" Type="http://schemas.openxmlformats.org/officeDocument/2006/relationships/hyperlink" Target="https://africanmarketingconfederation.org/amc-conference-2023/gallery" TargetMode="External"/><Relationship Id="rId1272" Type="http://schemas.openxmlformats.org/officeDocument/2006/relationships/hyperlink" Target="https://africanmarketingconfederation.org/amc-conference-2024-sponsors-packages" TargetMode="External"/><Relationship Id="rId502" Type="http://schemas.openxmlformats.org/officeDocument/2006/relationships/hyperlink" Target="https://africanmarketingconfederation.org/amc-conference-2023/download-prospectus" TargetMode="External"/><Relationship Id="rId947" Type="http://schemas.openxmlformats.org/officeDocument/2006/relationships/hyperlink" Target="https://africanmarketingconfederation.org/amc-conference-2023/gallery" TargetMode="External"/><Relationship Id="rId1132" Type="http://schemas.openxmlformats.org/officeDocument/2006/relationships/hyperlink" Target="https://africanmarketingconfederation.org/amc-conference-2023/gallery" TargetMode="External"/><Relationship Id="rId76" Type="http://schemas.openxmlformats.org/officeDocument/2006/relationships/hyperlink" Target="https://africanmarketingconfederation.org/about-us" TargetMode="External"/><Relationship Id="rId807" Type="http://schemas.openxmlformats.org/officeDocument/2006/relationships/hyperlink" Target="https://africanmarketingconfederation.org/amc-conference-2023/gallery" TargetMode="External"/><Relationship Id="rId292" Type="http://schemas.openxmlformats.org/officeDocument/2006/relationships/hyperlink" Target="https://africanmarketingconfederation.org/amc-conference-2022" TargetMode="External"/><Relationship Id="rId597" Type="http://schemas.openxmlformats.org/officeDocument/2006/relationships/hyperlink" Target="https://africanmarketingconfederation.org/amc-conference-2023/gallery" TargetMode="External"/><Relationship Id="rId152" Type="http://schemas.openxmlformats.org/officeDocument/2006/relationships/hyperlink" Target="https://africanmarketingconfederation.org/african-marketing-confederation-tourism-chapter" TargetMode="External"/><Relationship Id="rId457" Type="http://schemas.openxmlformats.org/officeDocument/2006/relationships/hyperlink" Target="https://africanmarketingconfederation.org/amc-conference-2023/amc-awards" TargetMode="External"/><Relationship Id="rId1087" Type="http://schemas.openxmlformats.org/officeDocument/2006/relationships/hyperlink" Target="https://africanmarketingconfederation.org/amc-conference-2023/gallery" TargetMode="External"/><Relationship Id="rId1294" Type="http://schemas.openxmlformats.org/officeDocument/2006/relationships/hyperlink" Target="https://africanmarketingconfederation.org/amc-conference-2024-sponsors-packages" TargetMode="External"/><Relationship Id="rId664" Type="http://schemas.openxmlformats.org/officeDocument/2006/relationships/hyperlink" Target="https://africanmarketingconfederation.org/amc-conference-2023/gallery" TargetMode="External"/><Relationship Id="rId871" Type="http://schemas.openxmlformats.org/officeDocument/2006/relationships/hyperlink" Target="https://africanmarketingconfederation.org/amc-conference-2023/gallery" TargetMode="External"/><Relationship Id="rId969" Type="http://schemas.openxmlformats.org/officeDocument/2006/relationships/hyperlink" Target="https://africanmarketingconfederation.org/amc-conference-2023/gallery" TargetMode="External"/><Relationship Id="rId317" Type="http://schemas.openxmlformats.org/officeDocument/2006/relationships/hyperlink" Target="https://africanmarketingconfederation.org/amc-conference-2022" TargetMode="External"/><Relationship Id="rId524" Type="http://schemas.openxmlformats.org/officeDocument/2006/relationships/hyperlink" Target="https://africanmarketingconfederation.org/amc-conference-2023/gallery" TargetMode="External"/><Relationship Id="rId731" Type="http://schemas.openxmlformats.org/officeDocument/2006/relationships/hyperlink" Target="https://africanmarketingconfederation.org/amc-conference-2023/gallery" TargetMode="External"/><Relationship Id="rId1154" Type="http://schemas.openxmlformats.org/officeDocument/2006/relationships/hyperlink" Target="https://africanmarketingconfederation.org/amc-conference-2023/partners" TargetMode="External"/><Relationship Id="rId1361" Type="http://schemas.openxmlformats.org/officeDocument/2006/relationships/hyperlink" Target="https://africanmarketingconfederation.org/about-us" TargetMode="External"/><Relationship Id="rId98" Type="http://schemas.openxmlformats.org/officeDocument/2006/relationships/hyperlink" Target="https://africanmarketingconfederation.org/" TargetMode="External"/><Relationship Id="rId829" Type="http://schemas.openxmlformats.org/officeDocument/2006/relationships/hyperlink" Target="https://africanmarketingconfederation.org/amc-conference-2023/gallery" TargetMode="External"/><Relationship Id="rId1014" Type="http://schemas.openxmlformats.org/officeDocument/2006/relationships/hyperlink" Target="https://africanmarketingconfederation.org/amc-conference-2023/gallery" TargetMode="External"/><Relationship Id="rId1221" Type="http://schemas.openxmlformats.org/officeDocument/2006/relationships/hyperlink" Target="https://africanmarketingconfederation.org/amc-conference-2023/programme" TargetMode="External"/><Relationship Id="rId1319" Type="http://schemas.openxmlformats.org/officeDocument/2006/relationships/hyperlink" Target="https://africanmarketingconfederation.org/amc-conference-2025-highlights" TargetMode="External"/><Relationship Id="rId25" Type="http://schemas.openxmlformats.org/officeDocument/2006/relationships/hyperlink" Target="https://africanmarketingconfederation.org/amc-awards-2024" TargetMode="External"/><Relationship Id="rId174" Type="http://schemas.openxmlformats.org/officeDocument/2006/relationships/hyperlink" Target="https://africanmarketingconfederation.org/african-marketing-confederation-tourism-chapter" TargetMode="External"/><Relationship Id="rId381" Type="http://schemas.openxmlformats.org/officeDocument/2006/relationships/hyperlink" Target="https://africanmarketingconfederation.org/amc-conference-2023" TargetMode="External"/><Relationship Id="rId241" Type="http://schemas.openxmlformats.org/officeDocument/2006/relationships/hyperlink" Target="https://africanmarketingconfederation.org/amc-conference-2022-thank-you" TargetMode="External"/><Relationship Id="rId479" Type="http://schemas.openxmlformats.org/officeDocument/2006/relationships/hyperlink" Target="https://africanmarketingconfederation.org/amc-conference-2023/book-now" TargetMode="External"/><Relationship Id="rId686" Type="http://schemas.openxmlformats.org/officeDocument/2006/relationships/hyperlink" Target="https://africanmarketingconfederation.org/amc-conference-2023/gallery" TargetMode="External"/><Relationship Id="rId893" Type="http://schemas.openxmlformats.org/officeDocument/2006/relationships/hyperlink" Target="https://africanmarketingconfederation.org/amc-conference-2023/gallery" TargetMode="External"/><Relationship Id="rId339" Type="http://schemas.openxmlformats.org/officeDocument/2006/relationships/hyperlink" Target="https://africanmarketingconfederation.org/amc-conference-2022" TargetMode="External"/><Relationship Id="rId546" Type="http://schemas.openxmlformats.org/officeDocument/2006/relationships/hyperlink" Target="https://africanmarketingconfederation.org/amc-conference-2023/gallery" TargetMode="External"/><Relationship Id="rId753" Type="http://schemas.openxmlformats.org/officeDocument/2006/relationships/hyperlink" Target="https://africanmarketingconfederation.org/amc-conference-2023/gallery" TargetMode="External"/><Relationship Id="rId1176" Type="http://schemas.openxmlformats.org/officeDocument/2006/relationships/hyperlink" Target="https://africanmarketingconfederation.org/amc-conference-2024-recap" TargetMode="External"/><Relationship Id="rId101" Type="http://schemas.openxmlformats.org/officeDocument/2006/relationships/hyperlink" Target="https://africanmarketingconfederation.org/" TargetMode="External"/><Relationship Id="rId406" Type="http://schemas.openxmlformats.org/officeDocument/2006/relationships/hyperlink" Target="https://africanmarketingconfederation.org/amc-conference-2023" TargetMode="External"/><Relationship Id="rId960" Type="http://schemas.openxmlformats.org/officeDocument/2006/relationships/hyperlink" Target="https://africanmarketingconfederation.org/amc-conference-2023/gallery" TargetMode="External"/><Relationship Id="rId1036" Type="http://schemas.openxmlformats.org/officeDocument/2006/relationships/hyperlink" Target="https://africanmarketingconfederation.org/amc-conference-2023/gallery" TargetMode="External"/><Relationship Id="rId1243" Type="http://schemas.openxmlformats.org/officeDocument/2006/relationships/hyperlink" Target="https://africanmarketingconfederation.org/amc-conference-2023/programme" TargetMode="External"/><Relationship Id="rId613" Type="http://schemas.openxmlformats.org/officeDocument/2006/relationships/hyperlink" Target="https://africanmarketingconfederation.org/amc-conference-2023/gallery" TargetMode="External"/><Relationship Id="rId820" Type="http://schemas.openxmlformats.org/officeDocument/2006/relationships/hyperlink" Target="https://africanmarketingconfederation.org/amc-conference-2023/gallery" TargetMode="External"/><Relationship Id="rId918" Type="http://schemas.openxmlformats.org/officeDocument/2006/relationships/hyperlink" Target="https://africanmarketingconfederation.org/amc-conference-2023/gallery" TargetMode="External"/><Relationship Id="rId1103" Type="http://schemas.openxmlformats.org/officeDocument/2006/relationships/hyperlink" Target="https://africanmarketingconfederation.org/amc-conference-2023/gallery" TargetMode="External"/><Relationship Id="rId1310" Type="http://schemas.openxmlformats.org/officeDocument/2006/relationships/hyperlink" Target="https://africanmarketingconfederation.org/amc-conference-2025-highlights" TargetMode="External"/><Relationship Id="rId47" Type="http://schemas.openxmlformats.org/officeDocument/2006/relationships/hyperlink" Target="https://africanmarketingconfederation.org/about-us" TargetMode="External"/><Relationship Id="rId196" Type="http://schemas.openxmlformats.org/officeDocument/2006/relationships/hyperlink" Target="https://africanmarketingconfederation.org/african-marketing-confederation-tourism-chapter" TargetMode="External"/><Relationship Id="rId263" Type="http://schemas.openxmlformats.org/officeDocument/2006/relationships/hyperlink" Target="https://africanmarketingconfederation.org/amc-conference-2022-thank-you" TargetMode="External"/><Relationship Id="rId470" Type="http://schemas.openxmlformats.org/officeDocument/2006/relationships/hyperlink" Target="https://africanmarketingconfederation.org/amc-conference-2023/amc-awards" TargetMode="External"/><Relationship Id="rId123" Type="http://schemas.openxmlformats.org/officeDocument/2006/relationships/hyperlink" Target="https://africanmarketingconfederation.org/" TargetMode="External"/><Relationship Id="rId330" Type="http://schemas.openxmlformats.org/officeDocument/2006/relationships/hyperlink" Target="https://africanmarketingconfederation.org/amc-conference-2022" TargetMode="External"/><Relationship Id="rId568" Type="http://schemas.openxmlformats.org/officeDocument/2006/relationships/hyperlink" Target="https://africanmarketingconfederation.org/amc-conference-2023/gallery" TargetMode="External"/><Relationship Id="rId775" Type="http://schemas.openxmlformats.org/officeDocument/2006/relationships/hyperlink" Target="https://africanmarketingconfederation.org/amc-conference-2023/gallery" TargetMode="External"/><Relationship Id="rId982" Type="http://schemas.openxmlformats.org/officeDocument/2006/relationships/hyperlink" Target="https://africanmarketingconfederation.org/amc-conference-2023/gallery" TargetMode="External"/><Relationship Id="rId1198" Type="http://schemas.openxmlformats.org/officeDocument/2006/relationships/hyperlink" Target="https://africanmarketingconfederation.org/amc-conference-2024-recap" TargetMode="External"/><Relationship Id="rId428" Type="http://schemas.openxmlformats.org/officeDocument/2006/relationships/hyperlink" Target="https://africanmarketingconfederation.org/amc-conference-2023" TargetMode="External"/><Relationship Id="rId635" Type="http://schemas.openxmlformats.org/officeDocument/2006/relationships/hyperlink" Target="https://africanmarketingconfederation.org/amc-conference-2023/gallery" TargetMode="External"/><Relationship Id="rId842" Type="http://schemas.openxmlformats.org/officeDocument/2006/relationships/hyperlink" Target="https://africanmarketingconfederation.org/amc-conference-2023/gallery" TargetMode="External"/><Relationship Id="rId1058" Type="http://schemas.openxmlformats.org/officeDocument/2006/relationships/hyperlink" Target="https://africanmarketingconfederation.org/amc-conference-2023/gallery" TargetMode="External"/><Relationship Id="rId1265" Type="http://schemas.openxmlformats.org/officeDocument/2006/relationships/hyperlink" Target="https://africanmarketingconfederation.org/amc-conference-2024-sponsors-packages" TargetMode="External"/><Relationship Id="rId702" Type="http://schemas.openxmlformats.org/officeDocument/2006/relationships/hyperlink" Target="https://africanmarketingconfederation.org/amc-conference-2023/gallery" TargetMode="External"/><Relationship Id="rId1125" Type="http://schemas.openxmlformats.org/officeDocument/2006/relationships/hyperlink" Target="https://africanmarketingconfederation.org/amc-conference-2023/gallery" TargetMode="External"/><Relationship Id="rId1332" Type="http://schemas.openxmlformats.org/officeDocument/2006/relationships/hyperlink" Target="https://africanmarketingconfederation.org/amc-conference-2025-highlights" TargetMode="External"/><Relationship Id="rId69" Type="http://schemas.openxmlformats.org/officeDocument/2006/relationships/hyperlink" Target="https://africanmarketingconfederation.org/about-us" TargetMode="External"/><Relationship Id="rId285" Type="http://schemas.openxmlformats.org/officeDocument/2006/relationships/hyperlink" Target="https://africanmarketingconfederation.org/amc-conference-2022" TargetMode="External"/><Relationship Id="rId492" Type="http://schemas.openxmlformats.org/officeDocument/2006/relationships/hyperlink" Target="https://africanmarketingconfederation.org/amc-conference-2023/book-now" TargetMode="External"/><Relationship Id="rId797" Type="http://schemas.openxmlformats.org/officeDocument/2006/relationships/hyperlink" Target="https://africanmarketingconfederation.org/amc-conference-2023/gallery" TargetMode="External"/><Relationship Id="rId145" Type="http://schemas.openxmlformats.org/officeDocument/2006/relationships/hyperlink" Target="https://africanmarketingconfederation.org/african-marketing-confederation-tourism-chapter" TargetMode="External"/><Relationship Id="rId352" Type="http://schemas.openxmlformats.org/officeDocument/2006/relationships/hyperlink" Target="https://africanmarketingconfederation.org/amc-conference-2022" TargetMode="External"/><Relationship Id="rId1287" Type="http://schemas.openxmlformats.org/officeDocument/2006/relationships/hyperlink" Target="https://africanmarketingconfederation.org/amc-conference-2024-sponsors-packages" TargetMode="External"/><Relationship Id="rId212" Type="http://schemas.openxmlformats.org/officeDocument/2006/relationships/hyperlink" Target="https://africanmarketingconfederation.org/amc-conference-2022-prospectus" TargetMode="External"/><Relationship Id="rId657" Type="http://schemas.openxmlformats.org/officeDocument/2006/relationships/hyperlink" Target="https://africanmarketingconfederation.org/amc-conference-2023/gallery" TargetMode="External"/><Relationship Id="rId864" Type="http://schemas.openxmlformats.org/officeDocument/2006/relationships/hyperlink" Target="https://africanmarketingconfederation.org/amc-conference-2023/gallery" TargetMode="External"/><Relationship Id="rId517" Type="http://schemas.openxmlformats.org/officeDocument/2006/relationships/hyperlink" Target="https://africanmarketingconfederation.org/amc-conference-2023/download-prospectus" TargetMode="External"/><Relationship Id="rId724" Type="http://schemas.openxmlformats.org/officeDocument/2006/relationships/hyperlink" Target="https://africanmarketingconfederation.org/amc-conference-2023/gallery" TargetMode="External"/><Relationship Id="rId931" Type="http://schemas.openxmlformats.org/officeDocument/2006/relationships/hyperlink" Target="https://africanmarketingconfederation.org/amc-conference-2023/gallery" TargetMode="External"/><Relationship Id="rId1147" Type="http://schemas.openxmlformats.org/officeDocument/2006/relationships/hyperlink" Target="https://africanmarketingconfederation.org/amc-conference-2023/partners" TargetMode="External"/><Relationship Id="rId1354" Type="http://schemas.openxmlformats.org/officeDocument/2006/relationships/hyperlink" Target="https://africanmarketingconfederation.org/amc-conference-2025-highlights" TargetMode="External"/><Relationship Id="rId60" Type="http://schemas.openxmlformats.org/officeDocument/2006/relationships/hyperlink" Target="https://africanmarketingconfederation.org/about-us" TargetMode="External"/><Relationship Id="rId1007" Type="http://schemas.openxmlformats.org/officeDocument/2006/relationships/hyperlink" Target="https://africanmarketingconfederation.org/amc-conference-2023/gallery" TargetMode="External"/><Relationship Id="rId1214" Type="http://schemas.openxmlformats.org/officeDocument/2006/relationships/hyperlink" Target="https://africanmarketingconfederation.org/amc-conference-2023/programme" TargetMode="External"/><Relationship Id="rId18" Type="http://schemas.openxmlformats.org/officeDocument/2006/relationships/hyperlink" Target="https://africanmarketingconfederation.org/amc-conference-2023/speakers" TargetMode="External"/><Relationship Id="rId167" Type="http://schemas.openxmlformats.org/officeDocument/2006/relationships/hyperlink" Target="https://africanmarketingconfederation.org/african-marketing-confederation-tourism-chapter" TargetMode="External"/><Relationship Id="rId374" Type="http://schemas.openxmlformats.org/officeDocument/2006/relationships/hyperlink" Target="https://africanmarketingconfederation.org/amc-conference-2022" TargetMode="External"/><Relationship Id="rId581" Type="http://schemas.openxmlformats.org/officeDocument/2006/relationships/hyperlink" Target="https://africanmarketingconfederation.org/amc-conference-2023/gallery" TargetMode="External"/><Relationship Id="rId234" Type="http://schemas.openxmlformats.org/officeDocument/2006/relationships/hyperlink" Target="https://africanmarketingconfederation.org/amc-conference-2022-prospectus" TargetMode="External"/><Relationship Id="rId679" Type="http://schemas.openxmlformats.org/officeDocument/2006/relationships/hyperlink" Target="https://africanmarketingconfederation.org/amc-conference-2023/gallery" TargetMode="External"/><Relationship Id="rId886" Type="http://schemas.openxmlformats.org/officeDocument/2006/relationships/hyperlink" Target="https://africanmarketingconfederation.org/amc-conference-2023/gallery" TargetMode="External"/><Relationship Id="rId2" Type="http://schemas.openxmlformats.org/officeDocument/2006/relationships/hyperlink" Target="https://africanmarketingconfederation.org/about-us" TargetMode="External"/><Relationship Id="rId441" Type="http://schemas.openxmlformats.org/officeDocument/2006/relationships/hyperlink" Target="https://africanmarketingconfederation.org/amc-conference-2023/amc-awards-book-now" TargetMode="External"/><Relationship Id="rId539" Type="http://schemas.openxmlformats.org/officeDocument/2006/relationships/hyperlink" Target="https://africanmarketingconfederation.org/amc-conference-2023/gallery" TargetMode="External"/><Relationship Id="rId746" Type="http://schemas.openxmlformats.org/officeDocument/2006/relationships/hyperlink" Target="https://africanmarketingconfederation.org/amc-conference-2023/gallery" TargetMode="External"/><Relationship Id="rId1071" Type="http://schemas.openxmlformats.org/officeDocument/2006/relationships/hyperlink" Target="https://africanmarketingconfederation.org/amc-conference-2023/gallery" TargetMode="External"/><Relationship Id="rId1169" Type="http://schemas.openxmlformats.org/officeDocument/2006/relationships/hyperlink" Target="https://africanmarketingconfederation.org/amc-conference-2023/partners" TargetMode="External"/><Relationship Id="rId1376" Type="http://schemas.openxmlformats.org/officeDocument/2006/relationships/hyperlink" Target="https://africanmarketingconfederation.org/amc-conference-2023/programme" TargetMode="External"/><Relationship Id="rId301" Type="http://schemas.openxmlformats.org/officeDocument/2006/relationships/hyperlink" Target="https://africanmarketingconfederation.org/amc-conference-2022" TargetMode="External"/><Relationship Id="rId953" Type="http://schemas.openxmlformats.org/officeDocument/2006/relationships/hyperlink" Target="https://africanmarketingconfederation.org/amc-conference-2023/gallery" TargetMode="External"/><Relationship Id="rId1029" Type="http://schemas.openxmlformats.org/officeDocument/2006/relationships/hyperlink" Target="https://africanmarketingconfederation.org/amc-conference-2023/gallery" TargetMode="External"/><Relationship Id="rId1236" Type="http://schemas.openxmlformats.org/officeDocument/2006/relationships/hyperlink" Target="https://africanmarketingconfederation.org/amc-conference-2023/programme" TargetMode="External"/><Relationship Id="rId82" Type="http://schemas.openxmlformats.org/officeDocument/2006/relationships/hyperlink" Target="https://africanmarketingconfederation.org/" TargetMode="External"/><Relationship Id="rId606" Type="http://schemas.openxmlformats.org/officeDocument/2006/relationships/hyperlink" Target="https://africanmarketingconfederation.org/amc-conference-2023/gallery" TargetMode="External"/><Relationship Id="rId813" Type="http://schemas.openxmlformats.org/officeDocument/2006/relationships/hyperlink" Target="https://africanmarketingconfederation.org/amc-conference-2023/gallery" TargetMode="External"/><Relationship Id="rId1303" Type="http://schemas.openxmlformats.org/officeDocument/2006/relationships/hyperlink" Target="https://africanmarketingconfederation.org/amc-conference-2025-highlights" TargetMode="External"/><Relationship Id="rId189" Type="http://schemas.openxmlformats.org/officeDocument/2006/relationships/hyperlink" Target="https://africanmarketingconfederation.org/african-marketing-confederation-tourism-chapter" TargetMode="External"/><Relationship Id="rId396" Type="http://schemas.openxmlformats.org/officeDocument/2006/relationships/hyperlink" Target="https://africanmarketingconfederation.org/amc-conference-2023" TargetMode="External"/><Relationship Id="rId256" Type="http://schemas.openxmlformats.org/officeDocument/2006/relationships/hyperlink" Target="https://africanmarketingconfederation.org/amc-conference-2022-thank-you" TargetMode="External"/><Relationship Id="rId463" Type="http://schemas.openxmlformats.org/officeDocument/2006/relationships/hyperlink" Target="https://africanmarketingconfederation.org/amc-conference-2023/amc-awards" TargetMode="External"/><Relationship Id="rId670" Type="http://schemas.openxmlformats.org/officeDocument/2006/relationships/hyperlink" Target="https://africanmarketingconfederation.org/amc-conference-2023/gallery" TargetMode="External"/><Relationship Id="rId1093" Type="http://schemas.openxmlformats.org/officeDocument/2006/relationships/hyperlink" Target="https://africanmarketingconfederation.org/amc-conference-2023/gallery" TargetMode="External"/><Relationship Id="rId116" Type="http://schemas.openxmlformats.org/officeDocument/2006/relationships/hyperlink" Target="https://africanmarketingconfederation.org/" TargetMode="External"/><Relationship Id="rId323" Type="http://schemas.openxmlformats.org/officeDocument/2006/relationships/hyperlink" Target="https://africanmarketingconfederation.org/amc-conference-2022" TargetMode="External"/><Relationship Id="rId530" Type="http://schemas.openxmlformats.org/officeDocument/2006/relationships/hyperlink" Target="https://africanmarketingconfederation.org/amc-conference-2023/gallery" TargetMode="External"/><Relationship Id="rId768" Type="http://schemas.openxmlformats.org/officeDocument/2006/relationships/hyperlink" Target="https://africanmarketingconfederation.org/amc-conference-2023/gallery" TargetMode="External"/><Relationship Id="rId975" Type="http://schemas.openxmlformats.org/officeDocument/2006/relationships/hyperlink" Target="https://africanmarketingconfederation.org/amc-conference-2023/gallery" TargetMode="External"/><Relationship Id="rId1160" Type="http://schemas.openxmlformats.org/officeDocument/2006/relationships/hyperlink" Target="https://africanmarketingconfederation.org/amc-conference-2023/partners" TargetMode="External"/><Relationship Id="rId628" Type="http://schemas.openxmlformats.org/officeDocument/2006/relationships/hyperlink" Target="https://africanmarketingconfederation.org/amc-conference-2023/gallery" TargetMode="External"/><Relationship Id="rId835" Type="http://schemas.openxmlformats.org/officeDocument/2006/relationships/hyperlink" Target="https://africanmarketingconfederation.org/amc-conference-2023/gallery" TargetMode="External"/><Relationship Id="rId1258" Type="http://schemas.openxmlformats.org/officeDocument/2006/relationships/hyperlink" Target="https://africanmarketingconfederation.org/amc-conference-2023/speakers" TargetMode="External"/><Relationship Id="rId1020" Type="http://schemas.openxmlformats.org/officeDocument/2006/relationships/hyperlink" Target="https://africanmarketingconfederation.org/amc-conference-2023/gallery" TargetMode="External"/><Relationship Id="rId1118" Type="http://schemas.openxmlformats.org/officeDocument/2006/relationships/hyperlink" Target="https://africanmarketingconfederation.org/amc-conference-2023/gallery" TargetMode="External"/><Relationship Id="rId1325" Type="http://schemas.openxmlformats.org/officeDocument/2006/relationships/hyperlink" Target="https://africanmarketingconfederation.org/amc-conference-2025-highlights" TargetMode="External"/><Relationship Id="rId902" Type="http://schemas.openxmlformats.org/officeDocument/2006/relationships/hyperlink" Target="https://africanmarketingconfederation.org/amc-conference-2023/gallery" TargetMode="External"/><Relationship Id="rId31" Type="http://schemas.openxmlformats.org/officeDocument/2006/relationships/hyperlink" Target="https://africanmarketingconfederation.org/amc-awards-2024" TargetMode="External"/><Relationship Id="rId180" Type="http://schemas.openxmlformats.org/officeDocument/2006/relationships/hyperlink" Target="https://africanmarketingconfederation.org/african-marketing-confederation-tourism-chapter" TargetMode="External"/><Relationship Id="rId278" Type="http://schemas.openxmlformats.org/officeDocument/2006/relationships/hyperlink" Target="https://africanmarketingconfederation.org/amc-conference-2022" TargetMode="External"/><Relationship Id="rId485" Type="http://schemas.openxmlformats.org/officeDocument/2006/relationships/hyperlink" Target="https://africanmarketingconfederation.org/amc-conference-2023/book-now" TargetMode="External"/><Relationship Id="rId692" Type="http://schemas.openxmlformats.org/officeDocument/2006/relationships/hyperlink" Target="https://africanmarketingconfederation.org/amc-conference-2023/gallery" TargetMode="External"/><Relationship Id="rId138" Type="http://schemas.openxmlformats.org/officeDocument/2006/relationships/hyperlink" Target="https://africanmarketingconfederation.org/" TargetMode="External"/><Relationship Id="rId345" Type="http://schemas.openxmlformats.org/officeDocument/2006/relationships/hyperlink" Target="https://africanmarketingconfederation.org/amc-conference-2022" TargetMode="External"/><Relationship Id="rId552" Type="http://schemas.openxmlformats.org/officeDocument/2006/relationships/hyperlink" Target="https://africanmarketingconfederation.org/amc-conference-2023/gallery" TargetMode="External"/><Relationship Id="rId997" Type="http://schemas.openxmlformats.org/officeDocument/2006/relationships/hyperlink" Target="https://africanmarketingconfederation.org/amc-conference-2023/gallery" TargetMode="External"/><Relationship Id="rId1182" Type="http://schemas.openxmlformats.org/officeDocument/2006/relationships/hyperlink" Target="https://africanmarketingconfederation.org/amc-conference-2024-recap" TargetMode="External"/><Relationship Id="rId205" Type="http://schemas.openxmlformats.org/officeDocument/2006/relationships/hyperlink" Target="https://africanmarketingconfederation.org/amc-conference-2022-prospectus" TargetMode="External"/><Relationship Id="rId412" Type="http://schemas.openxmlformats.org/officeDocument/2006/relationships/hyperlink" Target="https://africanmarketingconfederation.org/amc-conference-2023" TargetMode="External"/><Relationship Id="rId857" Type="http://schemas.openxmlformats.org/officeDocument/2006/relationships/hyperlink" Target="https://africanmarketingconfederation.org/amc-conference-2023/gallery" TargetMode="External"/><Relationship Id="rId1042" Type="http://schemas.openxmlformats.org/officeDocument/2006/relationships/hyperlink" Target="https://africanmarketingconfederation.org/amc-conference-2023/gallery" TargetMode="External"/><Relationship Id="rId717" Type="http://schemas.openxmlformats.org/officeDocument/2006/relationships/hyperlink" Target="https://africanmarketingconfederation.org/amc-conference-2023/gallery" TargetMode="External"/><Relationship Id="rId924" Type="http://schemas.openxmlformats.org/officeDocument/2006/relationships/hyperlink" Target="https://africanmarketingconfederation.org/amc-conference-2023/gallery" TargetMode="External"/><Relationship Id="rId1347" Type="http://schemas.openxmlformats.org/officeDocument/2006/relationships/hyperlink" Target="https://africanmarketingconfederation.org/amc-conference-2025-highlights" TargetMode="External"/><Relationship Id="rId53" Type="http://schemas.openxmlformats.org/officeDocument/2006/relationships/hyperlink" Target="https://africanmarketingconfederation.org/about-us" TargetMode="External"/><Relationship Id="rId1207" Type="http://schemas.openxmlformats.org/officeDocument/2006/relationships/hyperlink" Target="https://africanmarketingconfederation.org/amc-conference-2024-recap" TargetMode="External"/><Relationship Id="rId367" Type="http://schemas.openxmlformats.org/officeDocument/2006/relationships/hyperlink" Target="https://africanmarketingconfederation.org/amc-conference-2022" TargetMode="External"/><Relationship Id="rId574" Type="http://schemas.openxmlformats.org/officeDocument/2006/relationships/hyperlink" Target="https://africanmarketingconfederation.org/amc-conference-2023/gallery" TargetMode="External"/><Relationship Id="rId227" Type="http://schemas.openxmlformats.org/officeDocument/2006/relationships/hyperlink" Target="https://africanmarketingconfederation.org/amc-conference-2022-prospectus" TargetMode="External"/><Relationship Id="rId781" Type="http://schemas.openxmlformats.org/officeDocument/2006/relationships/hyperlink" Target="https://africanmarketingconfederation.org/amc-conference-2023/gallery" TargetMode="External"/><Relationship Id="rId879" Type="http://schemas.openxmlformats.org/officeDocument/2006/relationships/hyperlink" Target="https://africanmarketingconfederation.org/amc-conference-2023/gallery" TargetMode="External"/><Relationship Id="rId434" Type="http://schemas.openxmlformats.org/officeDocument/2006/relationships/hyperlink" Target="https://africanmarketingconfederation.org/amc-conference-2023/amc-awards-book-now" TargetMode="External"/><Relationship Id="rId641" Type="http://schemas.openxmlformats.org/officeDocument/2006/relationships/hyperlink" Target="https://africanmarketingconfederation.org/amc-conference-2023/gallery" TargetMode="External"/><Relationship Id="rId739" Type="http://schemas.openxmlformats.org/officeDocument/2006/relationships/hyperlink" Target="https://africanmarketingconfederation.org/amc-conference-2023/gallery" TargetMode="External"/><Relationship Id="rId1064" Type="http://schemas.openxmlformats.org/officeDocument/2006/relationships/hyperlink" Target="https://africanmarketingconfederation.org/amc-conference-2023/gallery" TargetMode="External"/><Relationship Id="rId1271" Type="http://schemas.openxmlformats.org/officeDocument/2006/relationships/hyperlink" Target="https://africanmarketingconfederation.org/amc-conference-2024-sponsors-packages" TargetMode="External"/><Relationship Id="rId1369" Type="http://schemas.openxmlformats.org/officeDocument/2006/relationships/hyperlink" Target="https://africanmarketingconfederation.org/amc-conference-2023/amc-awards" TargetMode="External"/><Relationship Id="rId501" Type="http://schemas.openxmlformats.org/officeDocument/2006/relationships/hyperlink" Target="https://africanmarketingconfederation.org/amc-conference-2023/download-prospectus" TargetMode="External"/><Relationship Id="rId946" Type="http://schemas.openxmlformats.org/officeDocument/2006/relationships/hyperlink" Target="https://africanmarketingconfederation.org/amc-conference-2023/gallery" TargetMode="External"/><Relationship Id="rId1131" Type="http://schemas.openxmlformats.org/officeDocument/2006/relationships/hyperlink" Target="https://africanmarketingconfederation.org/amc-conference-2023/gallery" TargetMode="External"/><Relationship Id="rId1229" Type="http://schemas.openxmlformats.org/officeDocument/2006/relationships/hyperlink" Target="https://africanmarketingconfederation.org/amc-conference-2023/programme" TargetMode="External"/><Relationship Id="rId75" Type="http://schemas.openxmlformats.org/officeDocument/2006/relationships/hyperlink" Target="https://africanmarketingconfederation.org/about-us" TargetMode="External"/><Relationship Id="rId806" Type="http://schemas.openxmlformats.org/officeDocument/2006/relationships/hyperlink" Target="https://africanmarketingconfederation.org/amc-conference-2023/gallery" TargetMode="External"/><Relationship Id="rId291" Type="http://schemas.openxmlformats.org/officeDocument/2006/relationships/hyperlink" Target="https://africanmarketingconfederation.org/amc-conference-2022" TargetMode="External"/><Relationship Id="rId151" Type="http://schemas.openxmlformats.org/officeDocument/2006/relationships/hyperlink" Target="https://africanmarketingconfederation.org/african-marketing-confederation-tourism-chapter" TargetMode="External"/><Relationship Id="rId389" Type="http://schemas.openxmlformats.org/officeDocument/2006/relationships/hyperlink" Target="https://africanmarketingconfederation.org/amc-conference-2023" TargetMode="External"/><Relationship Id="rId596" Type="http://schemas.openxmlformats.org/officeDocument/2006/relationships/hyperlink" Target="https://africanmarketingconfederation.org/amc-conference-2023/gallery" TargetMode="External"/><Relationship Id="rId249" Type="http://schemas.openxmlformats.org/officeDocument/2006/relationships/hyperlink" Target="https://africanmarketingconfederation.org/amc-conference-2022-thank-you" TargetMode="External"/><Relationship Id="rId456" Type="http://schemas.openxmlformats.org/officeDocument/2006/relationships/hyperlink" Target="https://africanmarketingconfederation.org/amc-conference-2023/amc-awards" TargetMode="External"/><Relationship Id="rId663" Type="http://schemas.openxmlformats.org/officeDocument/2006/relationships/hyperlink" Target="https://africanmarketingconfederation.org/amc-conference-2023/gallery" TargetMode="External"/><Relationship Id="rId870" Type="http://schemas.openxmlformats.org/officeDocument/2006/relationships/hyperlink" Target="https://africanmarketingconfederation.org/amc-conference-2023/gallery" TargetMode="External"/><Relationship Id="rId1086" Type="http://schemas.openxmlformats.org/officeDocument/2006/relationships/hyperlink" Target="https://africanmarketingconfederation.org/amc-conference-2023/gallery" TargetMode="External"/><Relationship Id="rId1293" Type="http://schemas.openxmlformats.org/officeDocument/2006/relationships/hyperlink" Target="https://africanmarketingconfederation.org/amc-conference-2024-sponsors-packages" TargetMode="External"/><Relationship Id="rId109" Type="http://schemas.openxmlformats.org/officeDocument/2006/relationships/hyperlink" Target="https://africanmarketingconfederation.org/" TargetMode="External"/><Relationship Id="rId316" Type="http://schemas.openxmlformats.org/officeDocument/2006/relationships/hyperlink" Target="https://africanmarketingconfederation.org/amc-conference-2022" TargetMode="External"/><Relationship Id="rId523" Type="http://schemas.openxmlformats.org/officeDocument/2006/relationships/hyperlink" Target="https://africanmarketingconfederation.org/amc-conference-2023/gallery" TargetMode="External"/><Relationship Id="rId968" Type="http://schemas.openxmlformats.org/officeDocument/2006/relationships/hyperlink" Target="https://africanmarketingconfederation.org/amc-conference-2023/gallery" TargetMode="External"/><Relationship Id="rId1153" Type="http://schemas.openxmlformats.org/officeDocument/2006/relationships/hyperlink" Target="https://africanmarketingconfederation.org/amc-conference-2023/partners" TargetMode="External"/><Relationship Id="rId97" Type="http://schemas.openxmlformats.org/officeDocument/2006/relationships/hyperlink" Target="https://africanmarketingconfederation.org/" TargetMode="External"/><Relationship Id="rId730" Type="http://schemas.openxmlformats.org/officeDocument/2006/relationships/hyperlink" Target="https://africanmarketingconfederation.org/amc-conference-2023/gallery" TargetMode="External"/><Relationship Id="rId828" Type="http://schemas.openxmlformats.org/officeDocument/2006/relationships/hyperlink" Target="https://africanmarketingconfederation.org/amc-conference-2023/gallery" TargetMode="External"/><Relationship Id="rId1013" Type="http://schemas.openxmlformats.org/officeDocument/2006/relationships/hyperlink" Target="https://africanmarketingconfederation.org/amc-conference-2023/gallery" TargetMode="External"/><Relationship Id="rId1360" Type="http://schemas.openxmlformats.org/officeDocument/2006/relationships/hyperlink" Target="https://africanmarketingconfederation.org/amc-awards-2024" TargetMode="External"/><Relationship Id="rId1220" Type="http://schemas.openxmlformats.org/officeDocument/2006/relationships/hyperlink" Target="https://africanmarketingconfederation.org/amc-conference-2023/programme" TargetMode="External"/><Relationship Id="rId1318" Type="http://schemas.openxmlformats.org/officeDocument/2006/relationships/hyperlink" Target="https://africanmarketingconfederation.org/amc-conference-2025-highlights" TargetMode="External"/><Relationship Id="rId24" Type="http://schemas.openxmlformats.org/officeDocument/2006/relationships/hyperlink" Target="https://africanmarketingconfederation.org/amc-awards-2024" TargetMode="External"/><Relationship Id="rId173" Type="http://schemas.openxmlformats.org/officeDocument/2006/relationships/hyperlink" Target="https://africanmarketingconfederation.org/african-marketing-confederation-tourism-chapter" TargetMode="External"/><Relationship Id="rId380" Type="http://schemas.openxmlformats.org/officeDocument/2006/relationships/hyperlink" Target="https://africanmarketingconfederation.org/amc-conference-2023" TargetMode="External"/><Relationship Id="rId240" Type="http://schemas.openxmlformats.org/officeDocument/2006/relationships/hyperlink" Target="https://africanmarketingconfederation.org/amc-conference-2022-prospectus" TargetMode="External"/><Relationship Id="rId478" Type="http://schemas.openxmlformats.org/officeDocument/2006/relationships/hyperlink" Target="https://africanmarketingconfederation.org/amc-conference-2023/book-now" TargetMode="External"/><Relationship Id="rId685" Type="http://schemas.openxmlformats.org/officeDocument/2006/relationships/hyperlink" Target="https://africanmarketingconfederation.org/amc-conference-2023/gallery" TargetMode="External"/><Relationship Id="rId892" Type="http://schemas.openxmlformats.org/officeDocument/2006/relationships/hyperlink" Target="https://africanmarketingconfederation.org/amc-conference-2023/gallery" TargetMode="External"/><Relationship Id="rId100" Type="http://schemas.openxmlformats.org/officeDocument/2006/relationships/hyperlink" Target="https://africanmarketingconfederation.org/" TargetMode="External"/><Relationship Id="rId338" Type="http://schemas.openxmlformats.org/officeDocument/2006/relationships/hyperlink" Target="https://africanmarketingconfederation.org/amc-conference-2022" TargetMode="External"/><Relationship Id="rId545" Type="http://schemas.openxmlformats.org/officeDocument/2006/relationships/hyperlink" Target="https://africanmarketingconfederation.org/amc-conference-2023/gallery" TargetMode="External"/><Relationship Id="rId752" Type="http://schemas.openxmlformats.org/officeDocument/2006/relationships/hyperlink" Target="https://africanmarketingconfederation.org/amc-conference-2023/gallery" TargetMode="External"/><Relationship Id="rId1175" Type="http://schemas.openxmlformats.org/officeDocument/2006/relationships/hyperlink" Target="https://africanmarketingconfederation.org/amc-conference-2024-recap" TargetMode="External"/><Relationship Id="rId405" Type="http://schemas.openxmlformats.org/officeDocument/2006/relationships/hyperlink" Target="https://africanmarketingconfederation.org/amc-conference-2023" TargetMode="External"/><Relationship Id="rId612" Type="http://schemas.openxmlformats.org/officeDocument/2006/relationships/hyperlink" Target="https://africanmarketingconfederation.org/amc-conference-2023/gallery" TargetMode="External"/><Relationship Id="rId1035" Type="http://schemas.openxmlformats.org/officeDocument/2006/relationships/hyperlink" Target="https://africanmarketingconfederation.org/amc-conference-2023/gallery" TargetMode="External"/><Relationship Id="rId1242" Type="http://schemas.openxmlformats.org/officeDocument/2006/relationships/hyperlink" Target="https://africanmarketingconfederation.org/amc-conference-2023/programme" TargetMode="External"/><Relationship Id="rId917" Type="http://schemas.openxmlformats.org/officeDocument/2006/relationships/hyperlink" Target="https://africanmarketingconfederation.org/amc-conference-2023/gallery" TargetMode="External"/><Relationship Id="rId1102" Type="http://schemas.openxmlformats.org/officeDocument/2006/relationships/hyperlink" Target="https://africanmarketingconfederation.org/amc-conference-2023/gallery"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17" Type="http://schemas.openxmlformats.org/officeDocument/2006/relationships/hyperlink" Target="https://africanmarketingconfederation.org/amc-conference-2022" TargetMode="External"/><Relationship Id="rId299" Type="http://schemas.openxmlformats.org/officeDocument/2006/relationships/hyperlink" Target="https://africanmarketingconfederation.org/amc-conference-2023/book-now-thank-you" TargetMode="External"/><Relationship Id="rId21" Type="http://schemas.openxmlformats.org/officeDocument/2006/relationships/hyperlink" Target="https://africanmarketingconfederation.org/amc-conference-2023/amc-awards-book-now" TargetMode="External"/><Relationship Id="rId63" Type="http://schemas.openxmlformats.org/officeDocument/2006/relationships/hyperlink" Target="https://africanmarketingconfederation.org/amc-conference-2022-prospectus" TargetMode="External"/><Relationship Id="rId159" Type="http://schemas.openxmlformats.org/officeDocument/2006/relationships/hyperlink" Target="https://africanmarketingconfederation.org/amc-conference-2022-thank-you" TargetMode="External"/><Relationship Id="rId324" Type="http://schemas.openxmlformats.org/officeDocument/2006/relationships/hyperlink" Target="https://africanmarketingconfederation.org/wp-admin/post.php?post=5619&amp;action=edit" TargetMode="External"/><Relationship Id="rId170" Type="http://schemas.openxmlformats.org/officeDocument/2006/relationships/hyperlink" Target="https://africanmarketingconfederation.org/wp-admin/post.php?post=13098&amp;action=edit" TargetMode="External"/><Relationship Id="rId226" Type="http://schemas.openxmlformats.org/officeDocument/2006/relationships/hyperlink" Target="https://africanmarketingconfederation.org/wp-admin/post.php?post=8&amp;action=edit" TargetMode="External"/><Relationship Id="rId268" Type="http://schemas.openxmlformats.org/officeDocument/2006/relationships/hyperlink" Target="https://africanmarketingconfederation.org/wp-admin/post.php?post=22401&amp;action=edit" TargetMode="External"/><Relationship Id="rId32" Type="http://schemas.openxmlformats.org/officeDocument/2006/relationships/hyperlink" Target="https://africanmarketingconfederation.org/wp-admin/post.php?post=13282&amp;action=edit" TargetMode="External"/><Relationship Id="rId74" Type="http://schemas.openxmlformats.org/officeDocument/2006/relationships/hyperlink" Target="https://africanmarketingconfederation.org/wp-admin/post.php?post=13164&amp;action=edit" TargetMode="External"/><Relationship Id="rId128" Type="http://schemas.openxmlformats.org/officeDocument/2006/relationships/hyperlink" Target="https://africanmarketingconfederation.org/wp-admin/post.php?post=13164&amp;action=edit" TargetMode="External"/><Relationship Id="rId5" Type="http://schemas.openxmlformats.org/officeDocument/2006/relationships/hyperlink" Target="https://africanmarketingconfederation.org/about-us" TargetMode="External"/><Relationship Id="rId181" Type="http://schemas.openxmlformats.org/officeDocument/2006/relationships/hyperlink" Target="https://africanmarketingconfederation.org/amc-conference-2024-sponsors-packages" TargetMode="External"/><Relationship Id="rId237" Type="http://schemas.openxmlformats.org/officeDocument/2006/relationships/hyperlink" Target="https://africanmarketingconfederation.org/amc-awards-2024" TargetMode="External"/><Relationship Id="rId279" Type="http://schemas.openxmlformats.org/officeDocument/2006/relationships/hyperlink" Target="https://africanmarketingconfederation.org/about-us" TargetMode="External"/><Relationship Id="rId43" Type="http://schemas.openxmlformats.org/officeDocument/2006/relationships/hyperlink" Target="https://africanmarketingconfederation.org/" TargetMode="External"/><Relationship Id="rId139" Type="http://schemas.openxmlformats.org/officeDocument/2006/relationships/hyperlink" Target="https://africanmarketingconfederation.org/amc-conference-2023/programme" TargetMode="External"/><Relationship Id="rId290" Type="http://schemas.openxmlformats.org/officeDocument/2006/relationships/hyperlink" Target="https://africanmarketingconfederation.org/wp-admin/post.php?post=4941&amp;action=edit" TargetMode="External"/><Relationship Id="rId304" Type="http://schemas.openxmlformats.org/officeDocument/2006/relationships/hyperlink" Target="https://africanmarketingconfederation.org/wp-admin/post.php?post=13549&amp;action=edit" TargetMode="External"/><Relationship Id="rId85" Type="http://schemas.openxmlformats.org/officeDocument/2006/relationships/hyperlink" Target="https://africanmarketingconfederation.org/amc-conference-2023/book-now-thank-you" TargetMode="External"/><Relationship Id="rId150" Type="http://schemas.openxmlformats.org/officeDocument/2006/relationships/hyperlink" Target="https://africanmarketingconfederation.org/wp-admin/post.php?post=84&amp;action=edit" TargetMode="External"/><Relationship Id="rId192" Type="http://schemas.openxmlformats.org/officeDocument/2006/relationships/hyperlink" Target="https://africanmarketingconfederation.org/wp-admin/post.php?post=16125&amp;action=edit" TargetMode="External"/><Relationship Id="rId206" Type="http://schemas.openxmlformats.org/officeDocument/2006/relationships/hyperlink" Target="https://africanmarketingconfederation.org/wp-admin/post.php?post=12407&amp;action=edit" TargetMode="External"/><Relationship Id="rId248" Type="http://schemas.openxmlformats.org/officeDocument/2006/relationships/hyperlink" Target="https://africanmarketingconfederation.org/wp-admin/post.php?post=12954&amp;action=edit" TargetMode="External"/><Relationship Id="rId12" Type="http://schemas.openxmlformats.org/officeDocument/2006/relationships/hyperlink" Target="https://africanmarketingconfederation.org/wp-admin/post.php?post=4494&amp;action=edit" TargetMode="External"/><Relationship Id="rId108" Type="http://schemas.openxmlformats.org/officeDocument/2006/relationships/hyperlink" Target="https://africanmarketingconfederation.org/wp-admin/post.php?post=30257&amp;action=edit" TargetMode="External"/><Relationship Id="rId315" Type="http://schemas.openxmlformats.org/officeDocument/2006/relationships/hyperlink" Target="https://africanmarketingconfederation.org/amc-conference-2025-highlights" TargetMode="External"/><Relationship Id="rId54" Type="http://schemas.openxmlformats.org/officeDocument/2006/relationships/hyperlink" Target="https://africanmarketingconfederation.org/wp-admin/post.php?post=4494&amp;action=edit" TargetMode="External"/><Relationship Id="rId96" Type="http://schemas.openxmlformats.org/officeDocument/2006/relationships/hyperlink" Target="https://africanmarketingconfederation.org/wp-admin/post.php?post=13282&amp;action=edit" TargetMode="External"/><Relationship Id="rId161" Type="http://schemas.openxmlformats.org/officeDocument/2006/relationships/hyperlink" Target="https://africanmarketingconfederation.org/amc-conference-2023" TargetMode="External"/><Relationship Id="rId217" Type="http://schemas.openxmlformats.org/officeDocument/2006/relationships/hyperlink" Target="https://africanmarketingconfederation.org/amc-conference-2023/speakers" TargetMode="External"/><Relationship Id="rId259" Type="http://schemas.openxmlformats.org/officeDocument/2006/relationships/hyperlink" Target="https://africanmarketingconfederation.org/amc-conference-2023/gallery" TargetMode="External"/><Relationship Id="rId23" Type="http://schemas.openxmlformats.org/officeDocument/2006/relationships/hyperlink" Target="https://africanmarketingconfederation.org/amc-conference-2023/book-now" TargetMode="External"/><Relationship Id="rId119" Type="http://schemas.openxmlformats.org/officeDocument/2006/relationships/hyperlink" Target="https://africanmarketingconfederation.org/amc-conference-2022-prospectus" TargetMode="External"/><Relationship Id="rId270" Type="http://schemas.openxmlformats.org/officeDocument/2006/relationships/hyperlink" Target="https://africanmarketingconfederation.org/wp-admin/post.php?post=22401&amp;action=edit" TargetMode="External"/><Relationship Id="rId326" Type="http://schemas.openxmlformats.org/officeDocument/2006/relationships/hyperlink" Target="https://africanmarketingconfederation.org/wp-admin/post.php?post=4941&amp;action=edit" TargetMode="External"/><Relationship Id="rId65" Type="http://schemas.openxmlformats.org/officeDocument/2006/relationships/hyperlink" Target="https://africanmarketingconfederation.org/amc-conference-2022-thank-you" TargetMode="External"/><Relationship Id="rId130" Type="http://schemas.openxmlformats.org/officeDocument/2006/relationships/hyperlink" Target="https://africanmarketingconfederation.org/wp-admin/post.php?post=12407&amp;action=edit" TargetMode="External"/><Relationship Id="rId172" Type="http://schemas.openxmlformats.org/officeDocument/2006/relationships/hyperlink" Target="https://africanmarketingconfederation.org/wp-admin/post.php?post=13549&amp;action=edit" TargetMode="External"/><Relationship Id="rId228" Type="http://schemas.openxmlformats.org/officeDocument/2006/relationships/hyperlink" Target="https://africanmarketingconfederation.org/wp-admin/post.php?post=8&amp;action=edit" TargetMode="External"/><Relationship Id="rId281" Type="http://schemas.openxmlformats.org/officeDocument/2006/relationships/hyperlink" Target="https://africanmarketingconfederation.org/african-marketing-confederation-tourism-chapter" TargetMode="External"/><Relationship Id="rId34" Type="http://schemas.openxmlformats.org/officeDocument/2006/relationships/hyperlink" Target="https://africanmarketingconfederation.org/wp-admin/post.php?post=12945&amp;action=edit" TargetMode="External"/><Relationship Id="rId76" Type="http://schemas.openxmlformats.org/officeDocument/2006/relationships/hyperlink" Target="https://africanmarketingconfederation.org/wp-admin/post.php?post=13164&amp;action=edit" TargetMode="External"/><Relationship Id="rId141" Type="http://schemas.openxmlformats.org/officeDocument/2006/relationships/hyperlink" Target="https://africanmarketingconfederation.org/amc-conference-2023/speakers" TargetMode="External"/><Relationship Id="rId7" Type="http://schemas.openxmlformats.org/officeDocument/2006/relationships/hyperlink" Target="https://africanmarketingconfederation.org/african-marketing-confederation-tourism-chapter" TargetMode="External"/><Relationship Id="rId183" Type="http://schemas.openxmlformats.org/officeDocument/2006/relationships/hyperlink" Target="https://africanmarketingconfederation.org/amc-conference-2025-highlights" TargetMode="External"/><Relationship Id="rId239" Type="http://schemas.openxmlformats.org/officeDocument/2006/relationships/hyperlink" Target="https://africanmarketingconfederation.org/amc-conference-2022" TargetMode="External"/><Relationship Id="rId250" Type="http://schemas.openxmlformats.org/officeDocument/2006/relationships/hyperlink" Target="https://africanmarketingconfederation.org/wp-admin/post.php?post=13164&amp;action=edit" TargetMode="External"/><Relationship Id="rId271" Type="http://schemas.openxmlformats.org/officeDocument/2006/relationships/hyperlink" Target="https://africanmarketingconfederation.org/amc-conference-2024-sponsors-packages" TargetMode="External"/><Relationship Id="rId292" Type="http://schemas.openxmlformats.org/officeDocument/2006/relationships/hyperlink" Target="https://africanmarketingconfederation.org/wp-admin/post.php?post=12371&amp;action=edit" TargetMode="External"/><Relationship Id="rId306" Type="http://schemas.openxmlformats.org/officeDocument/2006/relationships/hyperlink" Target="https://africanmarketingconfederation.org/wp-admin/post.php?post=13282&amp;action=edit" TargetMode="External"/><Relationship Id="rId24" Type="http://schemas.openxmlformats.org/officeDocument/2006/relationships/hyperlink" Target="https://africanmarketingconfederation.org/wp-admin/post.php?post=12407&amp;action=edit" TargetMode="External"/><Relationship Id="rId45" Type="http://schemas.openxmlformats.org/officeDocument/2006/relationships/hyperlink" Target="https://africanmarketingconfederation.org/" TargetMode="External"/><Relationship Id="rId66" Type="http://schemas.openxmlformats.org/officeDocument/2006/relationships/hyperlink" Target="https://africanmarketingconfederation.org/wp-admin/post.php?post=4941&amp;action=edit" TargetMode="External"/><Relationship Id="rId87" Type="http://schemas.openxmlformats.org/officeDocument/2006/relationships/hyperlink" Target="https://africanmarketingconfederation.org/amc-conference-2023/download-prospectus" TargetMode="External"/><Relationship Id="rId110" Type="http://schemas.openxmlformats.org/officeDocument/2006/relationships/hyperlink" Target="https://africanmarketingconfederation.org/wp-admin/post.php?post=8&amp;action=edit" TargetMode="External"/><Relationship Id="rId131" Type="http://schemas.openxmlformats.org/officeDocument/2006/relationships/hyperlink" Target="https://africanmarketingconfederation.org/amc-conference-2023/book-now-thank-you" TargetMode="External"/><Relationship Id="rId327" Type="http://schemas.openxmlformats.org/officeDocument/2006/relationships/hyperlink" Target="https://africanmarketingconfederation.org/amc-conference-2025-highlights" TargetMode="External"/><Relationship Id="rId152" Type="http://schemas.openxmlformats.org/officeDocument/2006/relationships/hyperlink" Target="https://africanmarketingconfederation.org/wp-admin/post.php?post=28165&amp;action=edit" TargetMode="External"/><Relationship Id="rId173" Type="http://schemas.openxmlformats.org/officeDocument/2006/relationships/hyperlink" Target="https://africanmarketingconfederation.org/amc-conference-2023/partners" TargetMode="External"/><Relationship Id="rId194" Type="http://schemas.openxmlformats.org/officeDocument/2006/relationships/hyperlink" Target="https://africanmarketingconfederation.org/wp-admin/post.php?post=4494&amp;action=edit" TargetMode="External"/><Relationship Id="rId208" Type="http://schemas.openxmlformats.org/officeDocument/2006/relationships/hyperlink" Target="https://africanmarketingconfederation.org/wp-admin/post.php?post=12497&amp;action=edit" TargetMode="External"/><Relationship Id="rId229" Type="http://schemas.openxmlformats.org/officeDocument/2006/relationships/hyperlink" Target="https://africanmarketingconfederation.org/about-us" TargetMode="External"/><Relationship Id="rId240" Type="http://schemas.openxmlformats.org/officeDocument/2006/relationships/hyperlink" Target="https://africanmarketingconfederation.org/wp-admin/post.php?post=4494&amp;action=edit" TargetMode="External"/><Relationship Id="rId261" Type="http://schemas.openxmlformats.org/officeDocument/2006/relationships/hyperlink" Target="https://africanmarketingconfederation.org/amc-conference-2023/partners" TargetMode="External"/><Relationship Id="rId14" Type="http://schemas.openxmlformats.org/officeDocument/2006/relationships/hyperlink" Target="https://africanmarketingconfederation.org/wp-admin/post.php?post=5619&amp;action=edit" TargetMode="External"/><Relationship Id="rId35" Type="http://schemas.openxmlformats.org/officeDocument/2006/relationships/hyperlink" Target="https://africanmarketingconfederation.org/amc-conference-2023/speakers" TargetMode="External"/><Relationship Id="rId56" Type="http://schemas.openxmlformats.org/officeDocument/2006/relationships/hyperlink" Target="https://africanmarketingconfederation.org/wp-admin/post.php?post=4494&amp;action=edit"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wp-admin/post.php?post=12945&amp;action=edit" TargetMode="External"/><Relationship Id="rId282" Type="http://schemas.openxmlformats.org/officeDocument/2006/relationships/hyperlink" Target="https://africanmarketingconfederation.org/wp-admin/post.php?post=28165&amp;action=edit" TargetMode="External"/><Relationship Id="rId317" Type="http://schemas.openxmlformats.org/officeDocument/2006/relationships/hyperlink" Target="https://africanmarketingconfederation.org/" TargetMode="External"/><Relationship Id="rId8" Type="http://schemas.openxmlformats.org/officeDocument/2006/relationships/hyperlink" Target="https://africanmarketingconfederation.org/wp-admin/post.php?post=28165&amp;action=edit" TargetMode="External"/><Relationship Id="rId98" Type="http://schemas.openxmlformats.org/officeDocument/2006/relationships/hyperlink" Target="https://africanmarketingconfederation.org/wp-admin/post.php?post=13282&amp;action=edit" TargetMode="External"/><Relationship Id="rId121" Type="http://schemas.openxmlformats.org/officeDocument/2006/relationships/hyperlink" Target="https://africanmarketingconfederation.org/amc-conference-2022-thank-you" TargetMode="External"/><Relationship Id="rId142" Type="http://schemas.openxmlformats.org/officeDocument/2006/relationships/hyperlink" Target="https://africanmarketingconfederation.org/wp-admin/post.php?post=13179&amp;action=edit" TargetMode="External"/><Relationship Id="rId163" Type="http://schemas.openxmlformats.org/officeDocument/2006/relationships/hyperlink" Target="https://africanmarketingconfederation.org/amc-conference-2023/amc-awards" TargetMode="External"/><Relationship Id="rId184" Type="http://schemas.openxmlformats.org/officeDocument/2006/relationships/hyperlink" Target="https://africanmarketingconfederation.org/wp-admin/post.php?post=30257&amp;action=edit" TargetMode="External"/><Relationship Id="rId219" Type="http://schemas.openxmlformats.org/officeDocument/2006/relationships/hyperlink" Target="https://africanmarketingconfederation.org/amc-conference-2024-recap" TargetMode="External"/><Relationship Id="rId230" Type="http://schemas.openxmlformats.org/officeDocument/2006/relationships/hyperlink" Target="https://africanmarketingconfederation.org/wp-admin/post.php?post=84&amp;action=edit" TargetMode="External"/><Relationship Id="rId251" Type="http://schemas.openxmlformats.org/officeDocument/2006/relationships/hyperlink" Target="https://africanmarketingconfederation.org/amc-conference-2023/book-now" TargetMode="External"/><Relationship Id="rId25" Type="http://schemas.openxmlformats.org/officeDocument/2006/relationships/hyperlink" Target="https://africanmarketingconfederation.org/amc-conference-2023/book-now-thank-you" TargetMode="External"/><Relationship Id="rId46" Type="http://schemas.openxmlformats.org/officeDocument/2006/relationships/hyperlink" Target="https://africanmarketingconfederation.org/wp-admin/post.php?post=8&amp;action=edit" TargetMode="External"/><Relationship Id="rId67" Type="http://schemas.openxmlformats.org/officeDocument/2006/relationships/hyperlink" Target="https://africanmarketingconfederation.org/amc-conference-2022-thank-you" TargetMode="External"/><Relationship Id="rId272" Type="http://schemas.openxmlformats.org/officeDocument/2006/relationships/hyperlink" Target="https://africanmarketingconfederation.org/wp-admin/post.php?post=18318&amp;action=edit" TargetMode="External"/><Relationship Id="rId293" Type="http://schemas.openxmlformats.org/officeDocument/2006/relationships/hyperlink" Target="https://africanmarketingconfederation.org/amc-conference-2023/amc-awards" TargetMode="External"/><Relationship Id="rId307" Type="http://schemas.openxmlformats.org/officeDocument/2006/relationships/hyperlink" Target="https://africanmarketingconfederation.org/amc-conference-2023/programme" TargetMode="External"/><Relationship Id="rId328" Type="http://schemas.openxmlformats.org/officeDocument/2006/relationships/hyperlink" Target="https://africanmarketingconfederation.org/wp-admin/post.php?post=30257&amp;action=edit" TargetMode="External"/><Relationship Id="rId88" Type="http://schemas.openxmlformats.org/officeDocument/2006/relationships/hyperlink" Target="https://africanmarketingconfederation.org/wp-admin/post.php?post=13098&amp;action=edit" TargetMode="External"/><Relationship Id="rId111" Type="http://schemas.openxmlformats.org/officeDocument/2006/relationships/hyperlink" Target="https://africanmarketingconfederation.org/about-us" TargetMode="External"/><Relationship Id="rId132" Type="http://schemas.openxmlformats.org/officeDocument/2006/relationships/hyperlink" Target="https://africanmarketingconfederation.org/wp-admin/post.php?post=12497&amp;action=edit" TargetMode="External"/><Relationship Id="rId153" Type="http://schemas.openxmlformats.org/officeDocument/2006/relationships/hyperlink" Target="https://africanmarketingconfederation.org/amc-awards-2024" TargetMode="External"/><Relationship Id="rId174" Type="http://schemas.openxmlformats.org/officeDocument/2006/relationships/hyperlink" Target="https://africanmarketingconfederation.org/wp-admin/post.php?post=13282&amp;action=edit"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3/download-prospectus" TargetMode="External"/><Relationship Id="rId220" Type="http://schemas.openxmlformats.org/officeDocument/2006/relationships/hyperlink" Target="https://africanmarketingconfederation.org/wp-admin/post.php?post=22401&amp;action=edit" TargetMode="External"/><Relationship Id="rId241"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2-thank-you" TargetMode="External"/><Relationship Id="rId36" Type="http://schemas.openxmlformats.org/officeDocument/2006/relationships/hyperlink" Target="https://africanmarketingconfederation.org/wp-admin/post.php?post=13179&amp;action=edit" TargetMode="External"/><Relationship Id="rId57" Type="http://schemas.openxmlformats.org/officeDocument/2006/relationships/hyperlink" Target="https://africanmarketingconfederation.org/amc-conference-2022" TargetMode="External"/><Relationship Id="rId262" Type="http://schemas.openxmlformats.org/officeDocument/2006/relationships/hyperlink" Target="https://africanmarketingconfederation.org/wp-admin/post.php?post=13282&amp;action=edit" TargetMode="External"/><Relationship Id="rId283" Type="http://schemas.openxmlformats.org/officeDocument/2006/relationships/hyperlink" Target="https://africanmarketingconfederation.org/amc-awards-2024" TargetMode="External"/><Relationship Id="rId318" Type="http://schemas.openxmlformats.org/officeDocument/2006/relationships/hyperlink" Target="https://africanmarketingconfederation.org/wp-admin/post.php?post=8&amp;action=edit" TargetMode="External"/><Relationship Id="rId78" Type="http://schemas.openxmlformats.org/officeDocument/2006/relationships/hyperlink" Target="https://africanmarketingconfederation.org/wp-admin/post.php?post=13164&amp;action=edit" TargetMode="External"/><Relationship Id="rId99" Type="http://schemas.openxmlformats.org/officeDocument/2006/relationships/hyperlink" Target="https://africanmarketingconfederation.org/amc-conference-2023/programme" TargetMode="External"/><Relationship Id="rId101" Type="http://schemas.openxmlformats.org/officeDocument/2006/relationships/hyperlink" Target="https://africanmarketingconfederation.org/amc-conference-2023/speakers" TargetMode="External"/><Relationship Id="rId122" Type="http://schemas.openxmlformats.org/officeDocument/2006/relationships/hyperlink" Target="https://africanmarketingconfederation.org/wp-admin/post.php?post=4941&amp;action=edit" TargetMode="External"/><Relationship Id="rId143" Type="http://schemas.openxmlformats.org/officeDocument/2006/relationships/hyperlink" Target="https://africanmarketingconfederation.org/amc-conference-2024-recap" TargetMode="External"/><Relationship Id="rId164" Type="http://schemas.openxmlformats.org/officeDocument/2006/relationships/hyperlink" Target="https://africanmarketingconfederation.org/wp-admin/post.php?post=12954&amp;action=edit" TargetMode="External"/><Relationship Id="rId185" Type="http://schemas.openxmlformats.org/officeDocument/2006/relationships/hyperlink" Target="https://africanmarketingconfederation.org/" TargetMode="External"/><Relationship Id="rId9" Type="http://schemas.openxmlformats.org/officeDocument/2006/relationships/hyperlink" Target="https://africanmarketingconfederation.org/amc-awards-2024" TargetMode="External"/><Relationship Id="rId210" Type="http://schemas.openxmlformats.org/officeDocument/2006/relationships/hyperlink" Target="https://africanmarketingconfederation.org/wp-admin/post.php?post=13098&amp;action=edit" TargetMode="External"/><Relationship Id="rId26" Type="http://schemas.openxmlformats.org/officeDocument/2006/relationships/hyperlink" Target="https://africanmarketingconfederation.org/wp-admin/post.php?post=12497&amp;action=edit" TargetMode="External"/><Relationship Id="rId231" Type="http://schemas.openxmlformats.org/officeDocument/2006/relationships/hyperlink" Target="https://africanmarketingconfederation.org/african-marketing-confederation-tourism-chapter" TargetMode="External"/><Relationship Id="rId252" Type="http://schemas.openxmlformats.org/officeDocument/2006/relationships/hyperlink" Target="https://africanmarketingconfederation.org/wp-admin/post.php?post=12407&amp;action=edit" TargetMode="External"/><Relationship Id="rId273" Type="http://schemas.openxmlformats.org/officeDocument/2006/relationships/hyperlink" Target="https://africanmarketingconfederation.org/amc-conference-2025-highlights" TargetMode="External"/><Relationship Id="rId294" Type="http://schemas.openxmlformats.org/officeDocument/2006/relationships/hyperlink" Target="https://africanmarketingconfederation.org/wp-admin/post.php?post=12954&amp;action=edit" TargetMode="External"/><Relationship Id="rId308" Type="http://schemas.openxmlformats.org/officeDocument/2006/relationships/hyperlink" Target="https://africanmarketingconfederation.org/wp-admin/post.php?post=12945&amp;action=edit" TargetMode="External"/><Relationship Id="rId329" Type="http://schemas.openxmlformats.org/officeDocument/2006/relationships/vmlDrawing" Target="../drawings/vmlDrawing12.vml"/><Relationship Id="rId47" Type="http://schemas.openxmlformats.org/officeDocument/2006/relationships/hyperlink" Target="https://africanmarketingconfederation.org/about-us" TargetMode="External"/><Relationship Id="rId68" Type="http://schemas.openxmlformats.org/officeDocument/2006/relationships/hyperlink" Target="https://africanmarketingconfederation.org/wp-admin/post.php?post=4941&amp;action=edit" TargetMode="External"/><Relationship Id="rId89" Type="http://schemas.openxmlformats.org/officeDocument/2006/relationships/hyperlink" Target="https://africanmarketingconfederation.org/amc-conference-2023/download-prospectus" TargetMode="External"/><Relationship Id="rId112" Type="http://schemas.openxmlformats.org/officeDocument/2006/relationships/hyperlink" Target="https://africanmarketingconfederation.org/wp-admin/post.php?post=84&amp;action=edit" TargetMode="External"/><Relationship Id="rId133" Type="http://schemas.openxmlformats.org/officeDocument/2006/relationships/hyperlink" Target="https://africanmarketingconfederation.org/amc-conference-2023/download-prospectus" TargetMode="External"/><Relationship Id="rId154" Type="http://schemas.openxmlformats.org/officeDocument/2006/relationships/hyperlink" Target="https://africanmarketingconfederation.org/wp-admin/post.php?post=16125&amp;action=edit" TargetMode="External"/><Relationship Id="rId175" Type="http://schemas.openxmlformats.org/officeDocument/2006/relationships/hyperlink" Target="https://africanmarketingconfederation.org/amc-conference-2023/programme" TargetMode="External"/><Relationship Id="rId196" Type="http://schemas.openxmlformats.org/officeDocument/2006/relationships/hyperlink" Target="https://africanmarketingconfederation.org/wp-admin/post.php?post=5619&amp;action=edit" TargetMode="External"/><Relationship Id="rId200" Type="http://schemas.openxmlformats.org/officeDocument/2006/relationships/hyperlink" Target="https://africanmarketingconfederation.org/wp-admin/post.php?post=12371&amp;action=edit" TargetMode="External"/><Relationship Id="rId16" Type="http://schemas.openxmlformats.org/officeDocument/2006/relationships/hyperlink" Target="https://africanmarketingconfederation.org/wp-admin/post.php?post=4941&amp;action=edit" TargetMode="External"/><Relationship Id="rId221" Type="http://schemas.openxmlformats.org/officeDocument/2006/relationships/hyperlink" Target="https://africanmarketingconfederation.org/amc-conference-2024-sponsors-packages" TargetMode="External"/><Relationship Id="rId242" Type="http://schemas.openxmlformats.org/officeDocument/2006/relationships/hyperlink" Target="https://africanmarketingconfederation.org/wp-admin/post.php?post=5619&amp;action=edit" TargetMode="External"/><Relationship Id="rId263" Type="http://schemas.openxmlformats.org/officeDocument/2006/relationships/hyperlink" Target="https://africanmarketingconfederation.org/amc-conference-2023/programme" TargetMode="External"/><Relationship Id="rId284" Type="http://schemas.openxmlformats.org/officeDocument/2006/relationships/hyperlink" Target="https://africanmarketingconfederation.org/wp-admin/post.php?post=16125&amp;action=edit" TargetMode="External"/><Relationship Id="rId319" Type="http://schemas.openxmlformats.org/officeDocument/2006/relationships/hyperlink" Target="https://africanmarketingconfederation.org/about-us" TargetMode="External"/><Relationship Id="rId37" Type="http://schemas.openxmlformats.org/officeDocument/2006/relationships/hyperlink" Target="https://africanmarketingconfederation.org/amc-conference-2024-recap" TargetMode="External"/><Relationship Id="rId58" Type="http://schemas.openxmlformats.org/officeDocument/2006/relationships/hyperlink" Target="https://africanmarketingconfederation.org/wp-admin/post.php?post=4494&amp;action=edit" TargetMode="External"/><Relationship Id="rId79" Type="http://schemas.openxmlformats.org/officeDocument/2006/relationships/hyperlink" Target="https://africanmarketingconfederation.org/amc-conference-2023/book-now" TargetMode="External"/><Relationship Id="rId102" Type="http://schemas.openxmlformats.org/officeDocument/2006/relationships/hyperlink" Target="https://africanmarketingconfederation.org/wp-admin/post.php?post=13179&amp;action=edit" TargetMode="External"/><Relationship Id="rId123" Type="http://schemas.openxmlformats.org/officeDocument/2006/relationships/hyperlink" Target="https://africanmarketingconfederation.org/amc-conference-2023" TargetMode="External"/><Relationship Id="rId144" Type="http://schemas.openxmlformats.org/officeDocument/2006/relationships/hyperlink" Target="https://africanmarketingconfederation.org/wp-admin/post.php?post=22401&amp;action=edit" TargetMode="External"/><Relationship Id="rId330" Type="http://schemas.openxmlformats.org/officeDocument/2006/relationships/comments" Target="../comments12.xml"/><Relationship Id="rId90" Type="http://schemas.openxmlformats.org/officeDocument/2006/relationships/hyperlink" Target="https://africanmarketingconfederation.org/wp-admin/post.php?post=13098&amp;action=edit" TargetMode="External"/><Relationship Id="rId165" Type="http://schemas.openxmlformats.org/officeDocument/2006/relationships/hyperlink" Target="https://africanmarketingconfederation.org/amc-conference-2023/book-now" TargetMode="External"/><Relationship Id="rId186" Type="http://schemas.openxmlformats.org/officeDocument/2006/relationships/hyperlink" Target="https://africanmarketingconfederation.org/wp-admin/post.php?post=8&amp;action=edit" TargetMode="External"/><Relationship Id="rId211" Type="http://schemas.openxmlformats.org/officeDocument/2006/relationships/hyperlink" Target="https://africanmarketingconfederation.org/amc-conference-2023/gallery" TargetMode="External"/><Relationship Id="rId232" Type="http://schemas.openxmlformats.org/officeDocument/2006/relationships/hyperlink" Target="https://africanmarketingconfederation.org/wp-admin/post.php?post=28165&amp;action=edit" TargetMode="External"/><Relationship Id="rId253" Type="http://schemas.openxmlformats.org/officeDocument/2006/relationships/hyperlink" Target="https://africanmarketingconfederation.org/amc-conference-2023/book-now" TargetMode="External"/><Relationship Id="rId274" Type="http://schemas.openxmlformats.org/officeDocument/2006/relationships/hyperlink" Target="https://africanmarketingconfederation.org/wp-admin/post.php?post=30257&amp;action=edit" TargetMode="External"/><Relationship Id="rId295" Type="http://schemas.openxmlformats.org/officeDocument/2006/relationships/hyperlink" Target="https://africanmarketingconfederation.org/amc-conference-2023/amc-awards-book-now" TargetMode="External"/><Relationship Id="rId309" Type="http://schemas.openxmlformats.org/officeDocument/2006/relationships/hyperlink" Target="https://africanmarketingconfederation.org/amc-conference-2023/speakers" TargetMode="External"/><Relationship Id="rId27" Type="http://schemas.openxmlformats.org/officeDocument/2006/relationships/hyperlink" Target="https://africanmarketingconfederation.org/amc-conference-2023/download-prospectus" TargetMode="External"/><Relationship Id="rId48" Type="http://schemas.openxmlformats.org/officeDocument/2006/relationships/hyperlink" Target="https://africanmarketingconfederation.org/wp-admin/post.php?post=84&amp;action=edit" TargetMode="External"/><Relationship Id="rId69" Type="http://schemas.openxmlformats.org/officeDocument/2006/relationships/hyperlink" Target="https://africanmarketingconfederation.org/amc-conference-2023" TargetMode="External"/><Relationship Id="rId113" Type="http://schemas.openxmlformats.org/officeDocument/2006/relationships/hyperlink" Target="https://africanmarketingconfederation.org/african-marketing-confederation-tourism-chapter" TargetMode="External"/><Relationship Id="rId134" Type="http://schemas.openxmlformats.org/officeDocument/2006/relationships/hyperlink" Target="https://africanmarketingconfederation.org/wp-admin/post.php?post=13098&amp;action=edit" TargetMode="External"/><Relationship Id="rId320" Type="http://schemas.openxmlformats.org/officeDocument/2006/relationships/hyperlink" Target="https://africanmarketingconfederation.org/wp-admin/post.php?post=84&amp;action=edit" TargetMode="External"/><Relationship Id="rId80" Type="http://schemas.openxmlformats.org/officeDocument/2006/relationships/hyperlink" Target="https://africanmarketingconfederation.org/wp-admin/post.php?post=12407&amp;action=edit" TargetMode="External"/><Relationship Id="rId155" Type="http://schemas.openxmlformats.org/officeDocument/2006/relationships/hyperlink" Target="https://africanmarketingconfederation.org/amc-conference-2022" TargetMode="External"/><Relationship Id="rId176" Type="http://schemas.openxmlformats.org/officeDocument/2006/relationships/hyperlink" Target="https://africanmarketingconfederation.org/wp-admin/post.php?post=12945&amp;action=edit" TargetMode="External"/><Relationship Id="rId197" Type="http://schemas.openxmlformats.org/officeDocument/2006/relationships/hyperlink" Target="https://africanmarketingconfederation.org/amc-conference-2022-thank-you" TargetMode="External"/><Relationship Id="rId201" Type="http://schemas.openxmlformats.org/officeDocument/2006/relationships/hyperlink" Target="https://africanmarketingconfederation.org/amc-conference-2023/amc-awards" TargetMode="External"/><Relationship Id="rId222" Type="http://schemas.openxmlformats.org/officeDocument/2006/relationships/hyperlink" Target="https://africanmarketingconfederation.org/wp-admin/post.php?post=18318&amp;action=edit" TargetMode="External"/><Relationship Id="rId243" Type="http://schemas.openxmlformats.org/officeDocument/2006/relationships/hyperlink" Target="https://africanmarketingconfederation.org/amc-conference-2022-thank-you" TargetMode="External"/><Relationship Id="rId264" Type="http://schemas.openxmlformats.org/officeDocument/2006/relationships/hyperlink" Target="https://africanmarketingconfederation.org/wp-admin/post.php?post=12945&amp;action=edit" TargetMode="External"/><Relationship Id="rId285" Type="http://schemas.openxmlformats.org/officeDocument/2006/relationships/hyperlink" Target="https://africanmarketingconfederation.org/amc-conference-2022" TargetMode="External"/><Relationship Id="rId17" Type="http://schemas.openxmlformats.org/officeDocument/2006/relationships/hyperlink" Target="https://africanmarketingconfederation.org/amc-conference-2023" TargetMode="External"/><Relationship Id="rId38" Type="http://schemas.openxmlformats.org/officeDocument/2006/relationships/hyperlink" Target="https://africanmarketingconfederation.org/wp-admin/post.php?post=22401&amp;action=edit" TargetMode="External"/><Relationship Id="rId59" Type="http://schemas.openxmlformats.org/officeDocument/2006/relationships/hyperlink" Target="https://africanmarketingconfederation.org/amc-conference-2022-prospectus" TargetMode="External"/><Relationship Id="rId103" Type="http://schemas.openxmlformats.org/officeDocument/2006/relationships/hyperlink" Target="https://africanmarketingconfederation.org/amc-conference-2024-sponsors-packages" TargetMode="External"/><Relationship Id="rId124" Type="http://schemas.openxmlformats.org/officeDocument/2006/relationships/hyperlink" Target="https://africanmarketingconfederation.org/wp-admin/post.php?post=12371&amp;action=edit" TargetMode="External"/><Relationship Id="rId310" Type="http://schemas.openxmlformats.org/officeDocument/2006/relationships/hyperlink" Target="https://africanmarketingconfederation.org/wp-admin/post.php?post=13179&amp;action=edit" TargetMode="External"/><Relationship Id="rId70" Type="http://schemas.openxmlformats.org/officeDocument/2006/relationships/hyperlink" Target="https://africanmarketingconfederation.org/wp-admin/post.php?post=12371&amp;action=edit" TargetMode="External"/><Relationship Id="rId91" Type="http://schemas.openxmlformats.org/officeDocument/2006/relationships/hyperlink" Target="https://africanmarketingconfederation.org/amc-conference-2023/gallery" TargetMode="External"/><Relationship Id="rId145" Type="http://schemas.openxmlformats.org/officeDocument/2006/relationships/hyperlink" Target="https://africanmarketingconfederation.org/amc-conference-2024-sponsors-packages" TargetMode="External"/><Relationship Id="rId166" Type="http://schemas.openxmlformats.org/officeDocument/2006/relationships/hyperlink" Target="https://africanmarketingconfederation.org/wp-admin/post.php?post=12407&amp;action=edit" TargetMode="External"/><Relationship Id="rId187"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conference-2023/amc-awards-book-now" TargetMode="External"/><Relationship Id="rId212" Type="http://schemas.openxmlformats.org/officeDocument/2006/relationships/hyperlink" Target="https://africanmarketingconfederation.org/wp-admin/post.php?post=13549&amp;action=edit" TargetMode="External"/><Relationship Id="rId233" Type="http://schemas.openxmlformats.org/officeDocument/2006/relationships/hyperlink" Target="https://africanmarketingconfederation.org/african-marketing-confederation-tourism-chapter" TargetMode="External"/><Relationship Id="rId254" Type="http://schemas.openxmlformats.org/officeDocument/2006/relationships/hyperlink" Target="https://africanmarketingconfederation.org/wp-admin/post.php?post=12407&amp;action=edit" TargetMode="External"/><Relationship Id="rId28" Type="http://schemas.openxmlformats.org/officeDocument/2006/relationships/hyperlink" Target="https://africanmarketingconfederation.org/wp-admin/post.php?post=13098&amp;action=edit" TargetMode="External"/><Relationship Id="rId49" Type="http://schemas.openxmlformats.org/officeDocument/2006/relationships/hyperlink" Target="https://africanmarketingconfederation.org/about-us" TargetMode="External"/><Relationship Id="rId114" Type="http://schemas.openxmlformats.org/officeDocument/2006/relationships/hyperlink" Target="https://africanmarketingconfederation.org/wp-admin/post.php?post=28165&amp;action=edit" TargetMode="External"/><Relationship Id="rId275" Type="http://schemas.openxmlformats.org/officeDocument/2006/relationships/hyperlink" Target="https://africanmarketingconfederation.org/amc-conference-2025-highlights" TargetMode="External"/><Relationship Id="rId296" Type="http://schemas.openxmlformats.org/officeDocument/2006/relationships/hyperlink" Target="https://africanmarketingconfederation.org/wp-admin/post.php?post=13164&amp;action=edit" TargetMode="External"/><Relationship Id="rId300" Type="http://schemas.openxmlformats.org/officeDocument/2006/relationships/hyperlink" Target="https://africanmarketingconfederation.org/wp-admin/post.php?post=12497&amp;action=edit" TargetMode="External"/><Relationship Id="rId60" Type="http://schemas.openxmlformats.org/officeDocument/2006/relationships/hyperlink" Target="https://africanmarketingconfederation.org/wp-admin/post.php?post=5619&amp;action=edit" TargetMode="External"/><Relationship Id="rId81" Type="http://schemas.openxmlformats.org/officeDocument/2006/relationships/hyperlink" Target="https://africanmarketingconfederation.org/amc-conference-2023/book-now" TargetMode="External"/><Relationship Id="rId135" Type="http://schemas.openxmlformats.org/officeDocument/2006/relationships/hyperlink" Target="https://africanmarketingconfederation.org/amc-conference-2023/gallery" TargetMode="External"/><Relationship Id="rId156" Type="http://schemas.openxmlformats.org/officeDocument/2006/relationships/hyperlink" Target="https://africanmarketingconfederation.org/wp-admin/post.php?post=4494&amp;action=edit" TargetMode="External"/><Relationship Id="rId177" Type="http://schemas.openxmlformats.org/officeDocument/2006/relationships/hyperlink" Target="https://africanmarketingconfederation.org/amc-conference-2023/speakers" TargetMode="External"/><Relationship Id="rId198" Type="http://schemas.openxmlformats.org/officeDocument/2006/relationships/hyperlink" Target="https://africanmarketingconfederation.org/wp-admin/post.php?post=4941&amp;action=edit" TargetMode="External"/><Relationship Id="rId321" Type="http://schemas.openxmlformats.org/officeDocument/2006/relationships/hyperlink" Target="https://africanmarketingconfederation.org/african-marketing-confederation-tourism-chapter" TargetMode="External"/><Relationship Id="rId202" Type="http://schemas.openxmlformats.org/officeDocument/2006/relationships/hyperlink" Target="https://africanmarketingconfederation.org/wp-admin/post.php?post=12954&amp;action=edit" TargetMode="External"/><Relationship Id="rId223" Type="http://schemas.openxmlformats.org/officeDocument/2006/relationships/hyperlink" Target="https://africanmarketingconfederation.org/amc-conference-2025-highlights" TargetMode="External"/><Relationship Id="rId244" Type="http://schemas.openxmlformats.org/officeDocument/2006/relationships/hyperlink" Target="https://africanmarketingconfederation.org/wp-admin/post.php?post=4941&amp;action=edit" TargetMode="External"/><Relationship Id="rId18" Type="http://schemas.openxmlformats.org/officeDocument/2006/relationships/hyperlink" Target="https://africanmarketingconfederation.org/wp-admin/post.php?post=12371&amp;action=edit" TargetMode="External"/><Relationship Id="rId39" Type="http://schemas.openxmlformats.org/officeDocument/2006/relationships/hyperlink" Target="https://africanmarketingconfederation.org/amc-conference-2024-sponsors-packages" TargetMode="External"/><Relationship Id="rId265" Type="http://schemas.openxmlformats.org/officeDocument/2006/relationships/hyperlink" Target="https://africanmarketingconfederation.org/amc-conference-2023/speakers" TargetMode="External"/><Relationship Id="rId286" Type="http://schemas.openxmlformats.org/officeDocument/2006/relationships/hyperlink" Target="https://africanmarketingconfederation.org/wp-admin/post.php?post=4494&amp;action=edit" TargetMode="External"/><Relationship Id="rId50" Type="http://schemas.openxmlformats.org/officeDocument/2006/relationships/hyperlink" Target="https://africanmarketingconfederation.org/wp-admin/post.php?post=84&amp;action=edit" TargetMode="External"/><Relationship Id="rId104" Type="http://schemas.openxmlformats.org/officeDocument/2006/relationships/hyperlink" Target="https://africanmarketingconfederation.org/wp-admin/post.php?post=18318&amp;action=edit" TargetMode="External"/><Relationship Id="rId125" Type="http://schemas.openxmlformats.org/officeDocument/2006/relationships/hyperlink" Target="https://africanmarketingconfederation.org/amc-conference-2023/amc-awards" TargetMode="External"/><Relationship Id="rId146" Type="http://schemas.openxmlformats.org/officeDocument/2006/relationships/hyperlink" Target="https://africanmarketingconfederation.org/wp-admin/post.php?post=18318&amp;action=edit" TargetMode="External"/><Relationship Id="rId167" Type="http://schemas.openxmlformats.org/officeDocument/2006/relationships/hyperlink" Target="https://africanmarketingconfederation.org/amc-conference-2023/book-now-thank-you" TargetMode="External"/><Relationship Id="rId188" Type="http://schemas.openxmlformats.org/officeDocument/2006/relationships/hyperlink" Target="https://africanmarketingconfederation.org/wp-admin/post.php?post=84&amp;action=edit" TargetMode="External"/><Relationship Id="rId311" Type="http://schemas.openxmlformats.org/officeDocument/2006/relationships/hyperlink" Target="https://africanmarketingconfederation.org/amc-conference-2024-recap" TargetMode="External"/><Relationship Id="rId71" Type="http://schemas.openxmlformats.org/officeDocument/2006/relationships/hyperlink" Target="https://africanmarketingconfederation.org/amc-conference-2023/amc-awards" TargetMode="External"/><Relationship Id="rId92" Type="http://schemas.openxmlformats.org/officeDocument/2006/relationships/hyperlink" Target="https://africanmarketingconfederation.org/wp-admin/post.php?post=13549&amp;action=edit" TargetMode="External"/><Relationship Id="rId213" Type="http://schemas.openxmlformats.org/officeDocument/2006/relationships/hyperlink" Target="https://africanmarketingconfederation.org/amc-conference-2023/partners" TargetMode="External"/><Relationship Id="rId234" Type="http://schemas.openxmlformats.org/officeDocument/2006/relationships/hyperlink" Target="https://africanmarketingconfederation.org/wp-admin/post.php?post=28165&amp;action=edit" TargetMode="External"/><Relationship Id="rId2" Type="http://schemas.openxmlformats.org/officeDocument/2006/relationships/hyperlink" Target="https://africanmarketingconfederation.org/wp-admin/post.php?post=13164&amp;action=edit" TargetMode="External"/><Relationship Id="rId29" Type="http://schemas.openxmlformats.org/officeDocument/2006/relationships/hyperlink" Target="https://africanmarketingconfederation.org/amc-conference-2023/gallery" TargetMode="External"/><Relationship Id="rId255" Type="http://schemas.openxmlformats.org/officeDocument/2006/relationships/hyperlink" Target="https://africanmarketingconfederation.org/amc-conference-2023/book-now-thank-you" TargetMode="External"/><Relationship Id="rId276" Type="http://schemas.openxmlformats.org/officeDocument/2006/relationships/hyperlink" Target="https://africanmarketingconfederation.org/wp-admin/post.php?post=30257&amp;action=edit" TargetMode="External"/><Relationship Id="rId297" Type="http://schemas.openxmlformats.org/officeDocument/2006/relationships/hyperlink" Target="https://africanmarketingconfederation.org/amc-conference-2023/book-now" TargetMode="External"/><Relationship Id="rId40" Type="http://schemas.openxmlformats.org/officeDocument/2006/relationships/hyperlink" Target="https://africanmarketingconfederation.org/wp-admin/post.php?post=18318&amp;action=edit" TargetMode="External"/><Relationship Id="rId115" Type="http://schemas.openxmlformats.org/officeDocument/2006/relationships/hyperlink" Target="https://africanmarketingconfederation.org/amc-awards-2024" TargetMode="External"/><Relationship Id="rId136" Type="http://schemas.openxmlformats.org/officeDocument/2006/relationships/hyperlink" Target="https://africanmarketingconfederation.org/wp-admin/post.php?post=13549&amp;action=edit" TargetMode="External"/><Relationship Id="rId157" Type="http://schemas.openxmlformats.org/officeDocument/2006/relationships/hyperlink" Target="https://africanmarketingconfederation.org/amc-conference-2022-prospectus" TargetMode="External"/><Relationship Id="rId178" Type="http://schemas.openxmlformats.org/officeDocument/2006/relationships/hyperlink" Target="https://africanmarketingconfederation.org/wp-admin/post.php?post=13179&amp;action=edit" TargetMode="External"/><Relationship Id="rId301" Type="http://schemas.openxmlformats.org/officeDocument/2006/relationships/hyperlink" Target="https://africanmarketingconfederation.org/amc-conference-2023/download-prospectus" TargetMode="External"/><Relationship Id="rId322" Type="http://schemas.openxmlformats.org/officeDocument/2006/relationships/hyperlink" Target="https://africanmarketingconfederation.org/wp-admin/post.php?post=28165&amp;action=edit" TargetMode="External"/><Relationship Id="rId61" Type="http://schemas.openxmlformats.org/officeDocument/2006/relationships/hyperlink" Target="https://africanmarketingconfederation.org/amc-conference-2022-prospectus" TargetMode="External"/><Relationship Id="rId82" Type="http://schemas.openxmlformats.org/officeDocument/2006/relationships/hyperlink" Target="https://africanmarketingconfederation.org/wp-admin/post.php?post=12407&amp;action=edit" TargetMode="External"/><Relationship Id="rId199" Type="http://schemas.openxmlformats.org/officeDocument/2006/relationships/hyperlink" Target="https://africanmarketingconfederation.org/amc-conference-2023" TargetMode="External"/><Relationship Id="rId203" Type="http://schemas.openxmlformats.org/officeDocument/2006/relationships/hyperlink" Target="https://africanmarketingconfederation.org/amc-conference-2023/amc-awards-book-now" TargetMode="External"/><Relationship Id="rId19" Type="http://schemas.openxmlformats.org/officeDocument/2006/relationships/hyperlink" Target="https://africanmarketingconfederation.org/amc-conference-2023/amc-awards" TargetMode="External"/><Relationship Id="rId224" Type="http://schemas.openxmlformats.org/officeDocument/2006/relationships/hyperlink" Target="https://africanmarketingconfederation.org/wp-admin/post.php?post=30257&amp;action=edit" TargetMode="External"/><Relationship Id="rId245" Type="http://schemas.openxmlformats.org/officeDocument/2006/relationships/hyperlink" Target="https://africanmarketingconfederation.org/amc-conference-2023" TargetMode="External"/><Relationship Id="rId266" Type="http://schemas.openxmlformats.org/officeDocument/2006/relationships/hyperlink" Target="https://africanmarketingconfederation.org/wp-admin/post.php?post=13179&amp;action=edit" TargetMode="External"/><Relationship Id="rId287" Type="http://schemas.openxmlformats.org/officeDocument/2006/relationships/hyperlink" Target="https://africanmarketingconfederation.org/amc-conference-2022-prospectus" TargetMode="External"/><Relationship Id="rId30" Type="http://schemas.openxmlformats.org/officeDocument/2006/relationships/hyperlink" Target="https://africanmarketingconfederation.org/wp-admin/post.php?post=13549&amp;action=edit" TargetMode="External"/><Relationship Id="rId105" Type="http://schemas.openxmlformats.org/officeDocument/2006/relationships/hyperlink" Target="https://africanmarketingconfederation.org/amc-conference-2024-sponsors-packages" TargetMode="External"/><Relationship Id="rId126" Type="http://schemas.openxmlformats.org/officeDocument/2006/relationships/hyperlink" Target="https://africanmarketingconfederation.org/wp-admin/post.php?post=12954&amp;action=edit" TargetMode="External"/><Relationship Id="rId147" Type="http://schemas.openxmlformats.org/officeDocument/2006/relationships/hyperlink" Target="https://africanmarketingconfederation.org/amc-conference-2025-highlights" TargetMode="External"/><Relationship Id="rId168" Type="http://schemas.openxmlformats.org/officeDocument/2006/relationships/hyperlink" Target="https://africanmarketingconfederation.org/wp-admin/post.php?post=12497&amp;action=edit" TargetMode="External"/><Relationship Id="rId312" Type="http://schemas.openxmlformats.org/officeDocument/2006/relationships/hyperlink" Target="https://africanmarketingconfederation.org/wp-admin/post.php?post=22401&amp;action=edit" TargetMode="External"/><Relationship Id="rId51" Type="http://schemas.openxmlformats.org/officeDocument/2006/relationships/hyperlink" Target="https://africanmarketingconfederation.org/amc-awards-2024" TargetMode="External"/><Relationship Id="rId72" Type="http://schemas.openxmlformats.org/officeDocument/2006/relationships/hyperlink" Target="https://africanmarketingconfederation.org/wp-admin/post.php?post=12954&amp;action=edit" TargetMode="External"/><Relationship Id="rId93" Type="http://schemas.openxmlformats.org/officeDocument/2006/relationships/hyperlink" Target="https://africanmarketingconfederation.org/amc-conference-2023/gallery" TargetMode="External"/><Relationship Id="rId189" Type="http://schemas.openxmlformats.org/officeDocument/2006/relationships/hyperlink" Target="https://africanmarketingconfederation.org/african-marketing-confederation-tourism-chapter" TargetMode="External"/><Relationship Id="rId3" Type="http://schemas.openxmlformats.org/officeDocument/2006/relationships/hyperlink" Target="https://africanmarketingconfederation.org/" TargetMode="External"/><Relationship Id="rId214" Type="http://schemas.openxmlformats.org/officeDocument/2006/relationships/hyperlink" Target="https://africanmarketingconfederation.org/wp-admin/post.php?post=13282&amp;action=edit" TargetMode="External"/><Relationship Id="rId235" Type="http://schemas.openxmlformats.org/officeDocument/2006/relationships/hyperlink" Target="https://africanmarketingconfederation.org/amc-awards-2024" TargetMode="External"/><Relationship Id="rId256" Type="http://schemas.openxmlformats.org/officeDocument/2006/relationships/hyperlink" Target="https://africanmarketingconfederation.org/wp-admin/post.php?post=12497&amp;action=edit" TargetMode="External"/><Relationship Id="rId277" Type="http://schemas.openxmlformats.org/officeDocument/2006/relationships/hyperlink" Target="https://africanmarketingconfederation.org/" TargetMode="External"/><Relationship Id="rId298" Type="http://schemas.openxmlformats.org/officeDocument/2006/relationships/hyperlink" Target="https://africanmarketingconfederation.org/wp-admin/post.php?post=12407&amp;action=edit" TargetMode="External"/><Relationship Id="rId116" Type="http://schemas.openxmlformats.org/officeDocument/2006/relationships/hyperlink" Target="https://africanmarketingconfederation.org/wp-admin/post.php?post=16125&amp;action=edit" TargetMode="External"/><Relationship Id="rId137" Type="http://schemas.openxmlformats.org/officeDocument/2006/relationships/hyperlink" Target="https://africanmarketingconfederation.org/amc-conference-2023/partners" TargetMode="External"/><Relationship Id="rId158" Type="http://schemas.openxmlformats.org/officeDocument/2006/relationships/hyperlink" Target="https://africanmarketingconfederation.org/wp-admin/post.php?post=5619&amp;action=edit" TargetMode="External"/><Relationship Id="rId302" Type="http://schemas.openxmlformats.org/officeDocument/2006/relationships/hyperlink" Target="https://africanmarketingconfederation.org/wp-admin/post.php?post=13098&amp;action=edit" TargetMode="External"/><Relationship Id="rId323" Type="http://schemas.openxmlformats.org/officeDocument/2006/relationships/hyperlink" Target="https://africanmarketingconfederation.org/amc-conference-2022-prospectus" TargetMode="External"/><Relationship Id="rId20" Type="http://schemas.openxmlformats.org/officeDocument/2006/relationships/hyperlink" Target="https://africanmarketingconfederation.org/wp-admin/post.php?post=12954&amp;action=edit" TargetMode="External"/><Relationship Id="rId41" Type="http://schemas.openxmlformats.org/officeDocument/2006/relationships/hyperlink" Target="https://africanmarketingconfederation.org/amc-conference-2025-highlights" TargetMode="External"/><Relationship Id="rId62" Type="http://schemas.openxmlformats.org/officeDocument/2006/relationships/hyperlink" Target="https://africanmarketingconfederation.org/wp-admin/post.php?post=5619&amp;action=edit" TargetMode="External"/><Relationship Id="rId83" Type="http://schemas.openxmlformats.org/officeDocument/2006/relationships/hyperlink" Target="https://africanmarketingconfederation.org/amc-conference-2023/book-now-thank-you" TargetMode="External"/><Relationship Id="rId179" Type="http://schemas.openxmlformats.org/officeDocument/2006/relationships/hyperlink" Target="https://africanmarketingconfederation.org/amc-conference-2024-recap" TargetMode="External"/><Relationship Id="rId190" Type="http://schemas.openxmlformats.org/officeDocument/2006/relationships/hyperlink" Target="https://africanmarketingconfederation.org/wp-admin/post.php?post=28165&amp;action=edit" TargetMode="External"/><Relationship Id="rId204" Type="http://schemas.openxmlformats.org/officeDocument/2006/relationships/hyperlink" Target="https://africanmarketingconfederation.org/wp-admin/post.php?post=13164&amp;action=edit" TargetMode="External"/><Relationship Id="rId225" Type="http://schemas.openxmlformats.org/officeDocument/2006/relationships/hyperlink" Target="https://africanmarketingconfederation.org/" TargetMode="External"/><Relationship Id="rId246" Type="http://schemas.openxmlformats.org/officeDocument/2006/relationships/hyperlink" Target="https://africanmarketingconfederation.org/wp-admin/post.php?post=12371&amp;action=edit" TargetMode="External"/><Relationship Id="rId267" Type="http://schemas.openxmlformats.org/officeDocument/2006/relationships/hyperlink" Target="https://africanmarketingconfederation.org/amc-conference-2024-recap" TargetMode="External"/><Relationship Id="rId288" Type="http://schemas.openxmlformats.org/officeDocument/2006/relationships/hyperlink" Target="https://africanmarketingconfederation.org/wp-admin/post.php?post=5619&amp;action=edit" TargetMode="External"/><Relationship Id="rId106" Type="http://schemas.openxmlformats.org/officeDocument/2006/relationships/hyperlink" Target="https://africanmarketingconfederation.org/wp-admin/post.php?post=18318&amp;action=edit" TargetMode="External"/><Relationship Id="rId127" Type="http://schemas.openxmlformats.org/officeDocument/2006/relationships/hyperlink" Target="https://africanmarketingconfederation.org/amc-conference-2023/amc-awards-book-now" TargetMode="External"/><Relationship Id="rId313" Type="http://schemas.openxmlformats.org/officeDocument/2006/relationships/hyperlink" Target="https://africanmarketingconfederation.org/amc-conference-2024-sponsors-packages" TargetMode="External"/><Relationship Id="rId10" Type="http://schemas.openxmlformats.org/officeDocument/2006/relationships/hyperlink" Target="https://africanmarketingconfederation.org/wp-admin/post.php?post=16125&amp;action=edit" TargetMode="External"/><Relationship Id="rId31" Type="http://schemas.openxmlformats.org/officeDocument/2006/relationships/hyperlink" Target="https://africanmarketingconfederation.org/amc-conference-2023/partners" TargetMode="External"/><Relationship Id="rId52" Type="http://schemas.openxmlformats.org/officeDocument/2006/relationships/hyperlink" Target="https://africanmarketingconfederation.org/wp-admin/post.php?post=16125&amp;action=edit" TargetMode="External"/><Relationship Id="rId73" Type="http://schemas.openxmlformats.org/officeDocument/2006/relationships/hyperlink" Target="https://africanmarketingconfederation.org/amc-conference-2023/amc-awards-book-now" TargetMode="External"/><Relationship Id="rId94" Type="http://schemas.openxmlformats.org/officeDocument/2006/relationships/hyperlink" Target="https://africanmarketingconfederation.org/wp-admin/post.php?post=13549&amp;action=edit" TargetMode="External"/><Relationship Id="rId148" Type="http://schemas.openxmlformats.org/officeDocument/2006/relationships/hyperlink" Target="https://africanmarketingconfederation.org/wp-admin/post.php?post=30257&amp;action=edit" TargetMode="External"/><Relationship Id="rId169" Type="http://schemas.openxmlformats.org/officeDocument/2006/relationships/hyperlink" Target="https://africanmarketingconfederation.org/amc-conference-2023/download-prospectus" TargetMode="External"/><Relationship Id="rId4" Type="http://schemas.openxmlformats.org/officeDocument/2006/relationships/hyperlink" Target="https://africanmarketingconfederation.org/wp-admin/post.php?post=8&amp;action=edit" TargetMode="External"/><Relationship Id="rId180" Type="http://schemas.openxmlformats.org/officeDocument/2006/relationships/hyperlink" Target="https://africanmarketingconfederation.org/wp-admin/post.php?post=22401&amp;action=edit" TargetMode="External"/><Relationship Id="rId215" Type="http://schemas.openxmlformats.org/officeDocument/2006/relationships/hyperlink" Target="https://africanmarketingconfederation.org/amc-conference-2023/programme" TargetMode="External"/><Relationship Id="rId236" Type="http://schemas.openxmlformats.org/officeDocument/2006/relationships/hyperlink" Target="https://africanmarketingconfederation.org/wp-admin/post.php?post=16125&amp;action=edit" TargetMode="External"/><Relationship Id="rId257" Type="http://schemas.openxmlformats.org/officeDocument/2006/relationships/hyperlink" Target="https://africanmarketingconfederation.org/amc-conference-2023/download-prospectus" TargetMode="External"/><Relationship Id="rId278" Type="http://schemas.openxmlformats.org/officeDocument/2006/relationships/hyperlink" Target="https://africanmarketingconfederation.org/wp-admin/post.php?post=8&amp;action=edit" TargetMode="External"/><Relationship Id="rId303" Type="http://schemas.openxmlformats.org/officeDocument/2006/relationships/hyperlink" Target="https://africanmarketingconfederation.org/amc-conference-2023/gallery" TargetMode="External"/><Relationship Id="rId42" Type="http://schemas.openxmlformats.org/officeDocument/2006/relationships/hyperlink" Target="https://africanmarketingconfederation.org/wp-admin/post.php?post=30257&amp;action=edit" TargetMode="External"/><Relationship Id="rId84" Type="http://schemas.openxmlformats.org/officeDocument/2006/relationships/hyperlink" Target="https://africanmarketingconfederation.org/wp-admin/post.php?post=12497&amp;action=edit" TargetMode="External"/><Relationship Id="rId138" Type="http://schemas.openxmlformats.org/officeDocument/2006/relationships/hyperlink" Target="https://africanmarketingconfederation.org/wp-admin/post.php?post=13282&amp;action=edit" TargetMode="External"/><Relationship Id="rId191" Type="http://schemas.openxmlformats.org/officeDocument/2006/relationships/hyperlink" Target="https://africanmarketingconfederation.org/amc-awards-2024" TargetMode="External"/><Relationship Id="rId205" Type="http://schemas.openxmlformats.org/officeDocument/2006/relationships/hyperlink" Target="https://africanmarketingconfederation.org/amc-conference-2023/book-now" TargetMode="External"/><Relationship Id="rId247" Type="http://schemas.openxmlformats.org/officeDocument/2006/relationships/hyperlink" Target="https://africanmarketingconfederation.org/amc-conference-2023/amc-awards" TargetMode="External"/><Relationship Id="rId107" Type="http://schemas.openxmlformats.org/officeDocument/2006/relationships/hyperlink" Target="https://africanmarketingconfederation.org/amc-conference-2025-highlights" TargetMode="External"/><Relationship Id="rId289"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2" TargetMode="External"/><Relationship Id="rId53" Type="http://schemas.openxmlformats.org/officeDocument/2006/relationships/hyperlink" Target="https://africanmarketingconfederation.org/amc-conference-2022" TargetMode="External"/><Relationship Id="rId149" Type="http://schemas.openxmlformats.org/officeDocument/2006/relationships/hyperlink" Target="https://africanmarketingconfederation.org/about-us" TargetMode="External"/><Relationship Id="rId314" Type="http://schemas.openxmlformats.org/officeDocument/2006/relationships/hyperlink" Target="https://africanmarketingconfederation.org/wp-admin/post.php?post=18318&amp;action=edit" TargetMode="External"/><Relationship Id="rId95" Type="http://schemas.openxmlformats.org/officeDocument/2006/relationships/hyperlink" Target="https://africanmarketingconfederation.org/amc-conference-2023/partners" TargetMode="External"/><Relationship Id="rId160" Type="http://schemas.openxmlformats.org/officeDocument/2006/relationships/hyperlink" Target="https://africanmarketingconfederation.org/wp-admin/post.php?post=4941&amp;action=edit" TargetMode="External"/><Relationship Id="rId216" Type="http://schemas.openxmlformats.org/officeDocument/2006/relationships/hyperlink" Target="https://africanmarketingconfederation.org/wp-admin/post.php?post=12945&amp;action=edit" TargetMode="External"/><Relationship Id="rId258" Type="http://schemas.openxmlformats.org/officeDocument/2006/relationships/hyperlink" Target="https://africanmarketingconfederation.org/wp-admin/post.php?post=13098&amp;action=edit" TargetMode="External"/><Relationship Id="rId22" Type="http://schemas.openxmlformats.org/officeDocument/2006/relationships/hyperlink" Target="https://africanmarketingconfederation.org/wp-admin/post.php?post=13164&amp;action=edit" TargetMode="External"/><Relationship Id="rId64" Type="http://schemas.openxmlformats.org/officeDocument/2006/relationships/hyperlink" Target="https://africanmarketingconfederation.org/wp-admin/post.php?post=5619&amp;action=edit" TargetMode="External"/><Relationship Id="rId118" Type="http://schemas.openxmlformats.org/officeDocument/2006/relationships/hyperlink" Target="https://africanmarketingconfederation.org/wp-admin/post.php?post=4494&amp;action=edit" TargetMode="External"/><Relationship Id="rId325" Type="http://schemas.openxmlformats.org/officeDocument/2006/relationships/hyperlink" Target="https://africanmarketingconfederation.org/amc-conference-2022-thank-you" TargetMode="External"/><Relationship Id="rId171" Type="http://schemas.openxmlformats.org/officeDocument/2006/relationships/hyperlink" Target="https://africanmarketingconfederation.org/amc-conference-2023/gallery" TargetMode="External"/><Relationship Id="rId227" Type="http://schemas.openxmlformats.org/officeDocument/2006/relationships/hyperlink" Target="https://africanmarketingconfederation.org/" TargetMode="External"/><Relationship Id="rId269" Type="http://schemas.openxmlformats.org/officeDocument/2006/relationships/hyperlink" Target="https://africanmarketingconfederation.org/amc-conference-2024-recap" TargetMode="External"/><Relationship Id="rId33" Type="http://schemas.openxmlformats.org/officeDocument/2006/relationships/hyperlink" Target="https://africanmarketingconfederation.org/amc-conference-2023/programme" TargetMode="External"/><Relationship Id="rId129" Type="http://schemas.openxmlformats.org/officeDocument/2006/relationships/hyperlink" Target="https://africanmarketingconfederation.org/amc-conference-2023/book-now" TargetMode="External"/><Relationship Id="rId280" Type="http://schemas.openxmlformats.org/officeDocument/2006/relationships/hyperlink" Target="https://africanmarketingconfederation.org/wp-admin/post.php?post=84&amp;action=edit" TargetMode="External"/><Relationship Id="rId75" Type="http://schemas.openxmlformats.org/officeDocument/2006/relationships/hyperlink" Target="https://africanmarketingconfederation.org/amc-conference-2023/amc-awards-book-now" TargetMode="External"/><Relationship Id="rId140" Type="http://schemas.openxmlformats.org/officeDocument/2006/relationships/hyperlink" Target="https://africanmarketingconfederation.org/wp-admin/post.php?post=12945&amp;action=edit" TargetMode="External"/><Relationship Id="rId182" Type="http://schemas.openxmlformats.org/officeDocument/2006/relationships/hyperlink" Target="https://africanmarketingconfederation.org/wp-admin/post.php?post=18318&amp;action=edit" TargetMode="External"/><Relationship Id="rId6" Type="http://schemas.openxmlformats.org/officeDocument/2006/relationships/hyperlink" Target="https://africanmarketingconfederation.org/wp-admin/post.php?post=84&amp;action=edit" TargetMode="External"/><Relationship Id="rId238" Type="http://schemas.openxmlformats.org/officeDocument/2006/relationships/hyperlink" Target="https://africanmarketingconfederation.org/wp-admin/post.php?post=16125&amp;action=edit" TargetMode="External"/><Relationship Id="rId291" Type="http://schemas.openxmlformats.org/officeDocument/2006/relationships/hyperlink" Target="https://africanmarketingconfederation.org/amc-conference-2023" TargetMode="External"/><Relationship Id="rId305" Type="http://schemas.openxmlformats.org/officeDocument/2006/relationships/hyperlink" Target="https://africanmarketingconfederation.org/amc-conference-2023/partners" TargetMode="External"/><Relationship Id="rId44" Type="http://schemas.openxmlformats.org/officeDocument/2006/relationships/hyperlink" Target="https://africanmarketingconfederation.org/wp-admin/post.php?post=8&amp;action=edit" TargetMode="External"/><Relationship Id="rId86" Type="http://schemas.openxmlformats.org/officeDocument/2006/relationships/hyperlink" Target="https://africanmarketingconfederation.org/wp-admin/post.php?post=12497&amp;action=edit" TargetMode="External"/><Relationship Id="rId151" Type="http://schemas.openxmlformats.org/officeDocument/2006/relationships/hyperlink" Target="https://africanmarketingconfederation.org/african-marketing-confederation-tourism-chapter" TargetMode="External"/><Relationship Id="rId193" Type="http://schemas.openxmlformats.org/officeDocument/2006/relationships/hyperlink" Target="https://africanmarketingconfederation.org/amc-conference-2022" TargetMode="External"/><Relationship Id="rId207" Type="http://schemas.openxmlformats.org/officeDocument/2006/relationships/hyperlink" Target="https://africanmarketingconfederation.org/amc-conference-2023/book-now-thank-you" TargetMode="External"/><Relationship Id="rId24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2-prospectus" TargetMode="External"/><Relationship Id="rId109" Type="http://schemas.openxmlformats.org/officeDocument/2006/relationships/hyperlink" Target="https://africanmarketingconfederation.org/" TargetMode="External"/><Relationship Id="rId260" Type="http://schemas.openxmlformats.org/officeDocument/2006/relationships/hyperlink" Target="https://africanmarketingconfederation.org/wp-admin/post.php?post=13549&amp;action=edit" TargetMode="External"/><Relationship Id="rId316" Type="http://schemas.openxmlformats.org/officeDocument/2006/relationships/hyperlink" Target="https://africanmarketingconfederation.org/wp-admin/post.php?post=30257&amp;action=edit" TargetMode="External"/><Relationship Id="rId55" Type="http://schemas.openxmlformats.org/officeDocument/2006/relationships/hyperlink" Target="https://africanmarketingconfederation.org/amc-conference-2022" TargetMode="External"/><Relationship Id="rId97" Type="http://schemas.openxmlformats.org/officeDocument/2006/relationships/hyperlink" Target="https://africanmarketingconfederation.org/amc-conference-2023/partners" TargetMode="External"/><Relationship Id="rId120" Type="http://schemas.openxmlformats.org/officeDocument/2006/relationships/hyperlink" Target="https://africanmarketingconfederation.org/wp-admin/post.php?post=5619&amp;action=edit" TargetMode="External"/><Relationship Id="rId162" Type="http://schemas.openxmlformats.org/officeDocument/2006/relationships/hyperlink" Target="https://africanmarketingconfederation.org/wp-admin/post.php?post=12371&amp;action=edit" TargetMode="External"/><Relationship Id="rId218" Type="http://schemas.openxmlformats.org/officeDocument/2006/relationships/hyperlink" Target="https://africanmarketingconfederation.org/wp-admin/post.php?post=13179&amp;action=edit"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4-recap" TargetMode="External"/><Relationship Id="rId3" Type="http://schemas.openxmlformats.org/officeDocument/2006/relationships/hyperlink" Target="https://africanmarketingconfederation.org/african-marketing-confederation-tourism-chapter" TargetMode="External"/><Relationship Id="rId21" Type="http://schemas.openxmlformats.org/officeDocument/2006/relationships/vmlDrawing" Target="../drawings/vmlDrawing17.vml"/><Relationship Id="rId7" Type="http://schemas.openxmlformats.org/officeDocument/2006/relationships/hyperlink" Target="https://africanmarketingconfederation.org/amc-conference-2022-thank-you" TargetMode="External"/><Relationship Id="rId12" Type="http://schemas.openxmlformats.org/officeDocument/2006/relationships/hyperlink" Target="https://africanmarketingconfederation.org/amc-conference-2023/book-now-thank-you" TargetMode="External"/><Relationship Id="rId17" Type="http://schemas.openxmlformats.org/officeDocument/2006/relationships/hyperlink" Target="https://africanmarketingconfederation.org/amc-conference-2023/speakers" TargetMode="External"/><Relationship Id="rId2" Type="http://schemas.openxmlformats.org/officeDocument/2006/relationships/hyperlink" Target="https://africanmarketingconfederation.org/about-us" TargetMode="External"/><Relationship Id="rId16" Type="http://schemas.openxmlformats.org/officeDocument/2006/relationships/hyperlink" Target="https://africanmarketingconfederation.org/amc-conference-2023/programme" TargetMode="External"/><Relationship Id="rId20" Type="http://schemas.openxmlformats.org/officeDocument/2006/relationships/hyperlink" Target="https://africanmarketingconfederation.org/amc-conference-2025-highlight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amc-conference-2023/book-now" TargetMode="External"/><Relationship Id="rId5" Type="http://schemas.openxmlformats.org/officeDocument/2006/relationships/hyperlink" Target="https://africanmarketingconfederation.org/amc-conference-2022" TargetMode="External"/><Relationship Id="rId15" Type="http://schemas.openxmlformats.org/officeDocument/2006/relationships/hyperlink" Target="https://africanmarketingconfederation.org/amc-conference-2023/partners" TargetMode="External"/><Relationship Id="rId10" Type="http://schemas.openxmlformats.org/officeDocument/2006/relationships/hyperlink" Target="https://africanmarketingconfederation.org/amc-conference-2023/amc-awards-book-now" TargetMode="External"/><Relationship Id="rId19" Type="http://schemas.openxmlformats.org/officeDocument/2006/relationships/hyperlink" Target="https://africanmarketingconfederation.org/amc-conference-2024-sponsors-package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comments" Target="../comments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B3" sqref="B3"/>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HYPERLINK("#'Link Inventory'!A1","Link Inventory")</f>
        <v>Link Inventory</v>
      </c>
      <c r="B9" s="3" t="str">
        <f>HYPERLINK("#'Link Inventory'!A1","Open")</f>
        <v>Open</v>
      </c>
      <c r="C9" t="s">
        <v>10</v>
      </c>
    </row>
    <row r="10" spans="1:3" x14ac:dyDescent="0.25">
      <c r="A10" s="3" t="str">
        <f>HYPERLINK("#'SitemapQA'!A1","SitemapQA")</f>
        <v>SitemapQA</v>
      </c>
      <c r="B10" s="3" t="str">
        <f>HYPERLINK("#'SitemapQA'!A1","Open")</f>
        <v>Open</v>
      </c>
      <c r="C10" t="s">
        <v>11</v>
      </c>
    </row>
    <row r="11" spans="1:3" x14ac:dyDescent="0.25">
      <c r="A11" s="3" t="str">
        <f>HYPERLINK("#'ResolvedIssues'!A1","ResolvedIssues")</f>
        <v>ResolvedIssues</v>
      </c>
      <c r="B11" s="3" t="str">
        <f>HYPERLINK("#'ResolvedIssues'!A1","Open")</f>
        <v>Open</v>
      </c>
      <c r="C11" t="s">
        <v>12</v>
      </c>
    </row>
    <row r="12" spans="1:3" x14ac:dyDescent="0.25">
      <c r="A12" s="3" t="str">
        <f>HYPERLINK("#'DeltaFromPreviousRun'!A1","DeltaFromPreviousRun")</f>
        <v>DeltaFromPreviousRun</v>
      </c>
      <c r="B12" s="3" t="str">
        <f>HYPERLINK("#'DeltaFromPreviousRun'!A1","Open")</f>
        <v>Open</v>
      </c>
      <c r="C12" t="s">
        <v>13</v>
      </c>
    </row>
    <row r="13" spans="1:3" x14ac:dyDescent="0.25">
      <c r="A13" s="3" t="str">
        <f>HYPERLINK("#'RunMetadata'!A1","RunMetadata")</f>
        <v>RunMetadata</v>
      </c>
      <c r="B13" s="3" t="str">
        <f>HYPERLINK("#'RunMetadata'!A1","Open")</f>
        <v>Open</v>
      </c>
      <c r="C13" t="s">
        <v>14</v>
      </c>
    </row>
    <row r="14" spans="1:3" x14ac:dyDescent="0.25">
      <c r="A14" s="3" t="str">
        <f>HYPERLINK("#'Issue Register'!A1","Issue Register")</f>
        <v>Issue Register</v>
      </c>
      <c r="B14" s="3" t="str">
        <f>HYPERLINK("#'Issue Register'!A1","Open")</f>
        <v>Open</v>
      </c>
      <c r="C14" t="s">
        <v>15</v>
      </c>
    </row>
    <row r="15" spans="1:3" x14ac:dyDescent="0.25">
      <c r="A15" s="3" t="str">
        <f>HYPERLINK("#'Technical Diagnostics'!A1","Technical Diagnostics")</f>
        <v>Technical Diagnostics</v>
      </c>
      <c r="B15" s="3" t="str">
        <f>HYPERLINK("#'Technical Diagnostics'!A1","Open")</f>
        <v>Open</v>
      </c>
      <c r="C15" t="s">
        <v>16</v>
      </c>
    </row>
    <row r="16" spans="1:3" x14ac:dyDescent="0.25">
      <c r="A16" s="3" t="str">
        <f>HYPERLINK("#'Content &amp; AI Readiness'!A1","Content &amp; AI Readiness")</f>
        <v>Content &amp; AI Readiness</v>
      </c>
      <c r="B16" s="3" t="str">
        <f>HYPERLINK("#'Content &amp; AI Readiness'!A1","Open")</f>
        <v>Open</v>
      </c>
      <c r="C16" t="s">
        <v>17</v>
      </c>
    </row>
    <row r="17" spans="1:3" x14ac:dyDescent="0.25">
      <c r="A17" s="3" t="str">
        <f>HYPERLINK("#'Link Intelligence'!A1","Link Intelligence")</f>
        <v>Link Intelligence</v>
      </c>
      <c r="B17" s="3" t="str">
        <f>HYPERLINK("#'Link Intelligence'!A1","Open")</f>
        <v>Open</v>
      </c>
      <c r="C17" t="s">
        <v>18</v>
      </c>
    </row>
    <row r="18" spans="1:3" x14ac:dyDescent="0.25">
      <c r="A18" s="3" t="str">
        <f>HYPERLINK("#'Template &amp; Duplication Risks'!A1","Template &amp; Duplication Risks")</f>
        <v>Template &amp; Duplication Risks</v>
      </c>
      <c r="B18" s="3" t="str">
        <f>HYPERLINK("#'Template &amp; Duplication Risks'!A1","Open")</f>
        <v>Open</v>
      </c>
      <c r="C18" t="s">
        <v>19</v>
      </c>
    </row>
    <row r="19" spans="1:3" x14ac:dyDescent="0.25">
      <c r="A19" s="3" t="str">
        <f>HYPERLINK("#'Playbook'!A1","Playbook")</f>
        <v>Playbook</v>
      </c>
      <c r="B19" s="3" t="str">
        <f>HYPERLINK("#'Playbook'!A1","Open")</f>
        <v>Open</v>
      </c>
      <c r="C19"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tabSelected="1" workbookViewId="0">
      <pane xSplit="2" ySplit="1" topLeftCell="C2" activePane="bottomRight" state="frozen"/>
      <selection pane="topRight"/>
      <selection pane="bottomLeft"/>
      <selection pane="bottomRight"/>
    </sheetView>
  </sheetViews>
  <sheetFormatPr defaultRowHeight="15" x14ac:dyDescent="0.25"/>
  <cols>
    <col min="1" max="2" width="2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21</v>
      </c>
    </row>
    <row r="2" spans="1:15" ht="31.5" x14ac:dyDescent="0.25">
      <c r="A2" s="5" t="s">
        <v>22</v>
      </c>
    </row>
    <row r="4" spans="1:15" ht="20.100000000000001" customHeight="1" x14ac:dyDescent="0.25">
      <c r="A4" s="6" t="s">
        <v>23</v>
      </c>
      <c r="B4" s="6" t="s">
        <v>24</v>
      </c>
      <c r="D4" s="7" t="s">
        <v>25</v>
      </c>
      <c r="E4" s="7" t="s">
        <v>26</v>
      </c>
      <c r="G4" s="68" t="s">
        <v>27</v>
      </c>
      <c r="H4" s="69"/>
      <c r="I4" s="71" t="s">
        <v>28</v>
      </c>
      <c r="J4" s="69"/>
      <c r="K4" s="69"/>
      <c r="M4" s="8" t="s">
        <v>29</v>
      </c>
      <c r="N4" s="8" t="s">
        <v>24</v>
      </c>
    </row>
    <row r="5" spans="1:15" ht="60" customHeight="1" x14ac:dyDescent="0.25">
      <c r="A5" s="9" t="str">
        <f>HYPERLINK("#'Main'!A1","Average SEO Score")</f>
        <v>Average SEO Score</v>
      </c>
      <c r="B5" s="10">
        <f>IFERROR(AVERAGE(INDEX(Main!$1:$1048576,0,MATCH("SEO Score",Main!$1:$1,0))),IFERROR(AVERAGE(INDEX(Main!$1:$1048576,0,MATCH("SEO Health Score",Main!$1:$1,0))),0))/100</f>
        <v>0.70311999999999986</v>
      </c>
      <c r="D5" s="11" t="s">
        <v>30</v>
      </c>
      <c r="E5" s="11">
        <v>0</v>
      </c>
      <c r="G5" s="7" t="s">
        <v>31</v>
      </c>
      <c r="H5" s="7" t="s">
        <v>32</v>
      </c>
      <c r="I5" s="70" t="s">
        <v>33</v>
      </c>
      <c r="J5" s="69"/>
      <c r="K5" s="69"/>
      <c r="M5" s="12" t="s">
        <v>34</v>
      </c>
      <c r="N5" s="12" t="s">
        <v>35</v>
      </c>
    </row>
    <row r="6" spans="1:15" ht="26.1" customHeight="1" x14ac:dyDescent="0.25">
      <c r="A6" s="9" t="str">
        <f>HYPERLINK("#'Technical Diagnostics'!A1","Technical Health")</f>
        <v>Technical Health</v>
      </c>
      <c r="B6" s="13">
        <f>AVERAGE('Technical Diagnostics'!E:E)/100</f>
        <v>0.66500000000000004</v>
      </c>
      <c r="D6" s="14" t="s">
        <v>36</v>
      </c>
      <c r="E6" s="14">
        <v>0</v>
      </c>
      <c r="G6" s="15" t="s">
        <v>37</v>
      </c>
      <c r="H6" s="16">
        <v>0</v>
      </c>
      <c r="I6" s="69"/>
      <c r="J6" s="69"/>
      <c r="K6" s="69"/>
      <c r="M6" s="12" t="s">
        <v>38</v>
      </c>
      <c r="N6" s="12">
        <v>20</v>
      </c>
    </row>
    <row r="7" spans="1:15" ht="26.1" customHeight="1" x14ac:dyDescent="0.25">
      <c r="A7" s="9" t="str">
        <f>HYPERLINK("#'Technical Diagnostics'!A1","Performance (PSI)")</f>
        <v>Performance (PSI)</v>
      </c>
      <c r="B7" s="17">
        <f>IFERROR((IFERROR(AVERAGE(INDEX('Technical Diagnostics'!$1:$1048576,0,MATCH("Mobile PSI Score",'Technical Diagnostics'!$1:$1,0))),0)+IFERROR(AVERAGE(INDEX('Technical Diagnostics'!$1:$1048576,0,MATCH("Desktop PSI Score",'Technical Diagnostics'!$1:$1,0))),0))/2,0)/100</f>
        <v>0</v>
      </c>
      <c r="D7" s="18" t="s">
        <v>39</v>
      </c>
      <c r="E7" s="18">
        <v>0</v>
      </c>
      <c r="G7" s="15" t="s">
        <v>40</v>
      </c>
      <c r="H7" s="16">
        <v>0</v>
      </c>
      <c r="I7" s="69"/>
      <c r="J7" s="69"/>
      <c r="K7" s="69"/>
      <c r="M7" s="12" t="s">
        <v>41</v>
      </c>
      <c r="N7" s="12">
        <v>0</v>
      </c>
    </row>
    <row r="8" spans="1:15" ht="26.1" customHeight="1" x14ac:dyDescent="0.25">
      <c r="A8" s="9" t="str">
        <f>HYPERLINK("#'Technical Diagnostics'!A1","Mobile vs. Desktop Variance")</f>
        <v>Mobile vs. Desktop Variance</v>
      </c>
      <c r="B8" s="19">
        <f>IFERROR(AVERAGE('Technical Diagnostics'!S:S)-AVERAGE('Technical Diagnostics'!R:R),0)</f>
        <v>0</v>
      </c>
      <c r="D8" s="18" t="s">
        <v>42</v>
      </c>
      <c r="E8" s="18">
        <v>0</v>
      </c>
      <c r="I8" s="69"/>
      <c r="J8" s="69"/>
      <c r="K8" s="69"/>
      <c r="M8" s="12" t="s">
        <v>43</v>
      </c>
      <c r="N8" s="12">
        <v>0</v>
      </c>
    </row>
    <row r="9" spans="1:15" ht="26.1" customHeight="1" x14ac:dyDescent="0.25">
      <c r="A9" s="9" t="str">
        <f>HYPERLINK("#'Priority URLs'!A1","Critical URLs")</f>
        <v>Critical URLs</v>
      </c>
      <c r="B9" s="20">
        <f>COUNTIFS('Technical Diagnostics'!$D:$D,"Critical")</f>
        <v>0</v>
      </c>
      <c r="D9" s="14" t="s">
        <v>44</v>
      </c>
      <c r="E9" s="14">
        <v>0</v>
      </c>
      <c r="G9" s="7" t="s">
        <v>45</v>
      </c>
      <c r="I9" s="69"/>
      <c r="J9" s="69"/>
      <c r="K9" s="69"/>
    </row>
    <row r="10" spans="1:15" ht="36" customHeight="1" x14ac:dyDescent="0.25">
      <c r="A10" s="9" t="str">
        <f>HYPERLINK("#'Technical Diagnostics'!A1","Warning URLs")</f>
        <v>Warning URLs</v>
      </c>
      <c r="B10" s="20">
        <f>COUNTIFS('Technical Diagnostics'!$D:$D,"Warning")+COUNTIFS('Technical Diagnostics'!$D:$D,"Needs Work")</f>
        <v>20</v>
      </c>
      <c r="D10" s="21"/>
      <c r="E10" s="21"/>
      <c r="G10" s="70" t="s">
        <v>46</v>
      </c>
      <c r="H10" s="69"/>
      <c r="I10" s="69"/>
      <c r="J10" s="69"/>
      <c r="K10" s="69"/>
    </row>
    <row r="11" spans="1:15" ht="36" customHeight="1" x14ac:dyDescent="0.25">
      <c r="A11" s="9" t="str">
        <f>HYPERLINK("#'Technical Diagnostics'!A1","Error Rate % (4xx/5xx)")</f>
        <v>Error Rate % (4xx/5xx)</v>
      </c>
      <c r="B11" s="22">
        <f>IFERROR((COUNTIFS('Technical Diagnostics'!$C:$C,"&gt;=400",'Technical Diagnostics'!$C:$C,"&lt;500")+COUNTIFS('Technical Diagnostics'!$C:$C,"&gt;=500",'Technical Diagnostics'!$C:$C,"&lt;600"))/COUNTIFS('Technical Diagnostics'!$C:$C,"&gt;0"),0)</f>
        <v>0</v>
      </c>
      <c r="D11" s="21"/>
      <c r="E11" s="21"/>
      <c r="G11" s="69"/>
      <c r="H11" s="69"/>
    </row>
    <row r="12" spans="1:15" ht="36" customHeight="1" x14ac:dyDescent="0.25">
      <c r="A12" s="9" t="str">
        <f>HYPERLINK("#'Technical Diagnostics'!A1","Crawl Success Rate % (2xx)")</f>
        <v>Crawl Success Rate % (2xx)</v>
      </c>
      <c r="B12" s="13">
        <f>IFERROR(COUNTIFS('Technical Diagnostics'!$C:$C,"&gt;=200",'Technical Diagnostics'!$C:$C,"&lt;300")/COUNTIFS('Technical Diagnostics'!$C:$C,"&gt;0"),0)</f>
        <v>1</v>
      </c>
      <c r="D12" s="7" t="s">
        <v>47</v>
      </c>
      <c r="E12" s="7" t="s">
        <v>26</v>
      </c>
      <c r="G12" s="69"/>
      <c r="H12" s="69"/>
      <c r="I12" s="23" t="s">
        <v>48</v>
      </c>
      <c r="J12" s="23" t="s">
        <v>2</v>
      </c>
    </row>
    <row r="13" spans="1:15" ht="21.95" customHeight="1" x14ac:dyDescent="0.25">
      <c r="A13" s="9" t="str">
        <f>HYPERLINK("#'Technical Diagnostics'!A1","Critical URL Rate %")</f>
        <v>Critical URL Rate %</v>
      </c>
      <c r="B13" s="22">
        <f>IFERROR(B9/(COUNTA('Technical Diagnostics'!$A:$A)-1),0)</f>
        <v>0</v>
      </c>
      <c r="D13" s="18" t="s">
        <v>49</v>
      </c>
      <c r="E13" s="18">
        <v>7</v>
      </c>
      <c r="I13" s="24" t="s">
        <v>50</v>
      </c>
      <c r="J13" s="25" t="str">
        <f>HYPERLINK("#FixPlan!A1","Open")</f>
        <v>Open</v>
      </c>
      <c r="K13" s="12"/>
    </row>
    <row r="14" spans="1:15" ht="21.95" customHeight="1" x14ac:dyDescent="0.25">
      <c r="A14" s="9" t="str">
        <f>HYPERLINK("#'Technical Diagnostics'!A1","Warning URL Rate %")</f>
        <v>Warning URL Rate %</v>
      </c>
      <c r="B14" s="22">
        <f>IFERROR(B10/(COUNTA('Technical Diagnostics'!$A:$A)-1),0)</f>
        <v>1</v>
      </c>
      <c r="D14" s="14" t="s">
        <v>51</v>
      </c>
      <c r="E14" s="14">
        <v>12</v>
      </c>
      <c r="G14" s="7" t="s">
        <v>52</v>
      </c>
      <c r="H14" s="7" t="s">
        <v>53</v>
      </c>
      <c r="I14" s="24" t="s">
        <v>54</v>
      </c>
      <c r="J14" s="25" t="str">
        <f>HYPERLINK("#Main!A1","Open")</f>
        <v>Open</v>
      </c>
      <c r="K14" s="12"/>
    </row>
    <row r="15" spans="1:15" ht="35.1" customHeight="1" x14ac:dyDescent="0.25">
      <c r="A15" s="26" t="s">
        <v>55</v>
      </c>
      <c r="B15" s="22">
        <f>MIN(1,B5+(B9*0.01))</f>
        <v>0.70311999999999986</v>
      </c>
      <c r="D15" s="14" t="s">
        <v>56</v>
      </c>
      <c r="E15" s="14">
        <v>0</v>
      </c>
      <c r="G15" s="25" t="str">
        <f>HYPERLINK("#FixPlan!A6","Low AEO Readiness Score")</f>
        <v>Low AEO Readiness Score</v>
      </c>
      <c r="H15" s="12">
        <v>20</v>
      </c>
      <c r="I15" s="24" t="s">
        <v>57</v>
      </c>
      <c r="J15" s="25" t="str">
        <f>HYPERLINK("#'Technical Diagnostics'!A1","Open")</f>
        <v>Open</v>
      </c>
      <c r="K15" s="12"/>
    </row>
    <row r="16" spans="1:15" ht="35.1" customHeight="1" x14ac:dyDescent="0.25">
      <c r="A16" s="26" t="s">
        <v>58</v>
      </c>
      <c r="B16" s="17">
        <f>MIN(1,B7+(B9*0.01))</f>
        <v>0</v>
      </c>
      <c r="D16" s="27" t="s">
        <v>59</v>
      </c>
      <c r="E16" s="27">
        <v>15</v>
      </c>
      <c r="G16" s="25" t="str">
        <f>HYPERLINK("#FixPlan!A5","AI Crawlers Not Explicitly Allowed")</f>
        <v>AI Crawlers Not Explicitly Allowed</v>
      </c>
      <c r="H16" s="12">
        <v>20</v>
      </c>
      <c r="I16" s="24" t="s">
        <v>60</v>
      </c>
      <c r="J16" s="25" t="str">
        <f>HYPERLINK("#'Technical Diagnostics'!A1","Open")</f>
        <v>Open</v>
      </c>
      <c r="K16" s="12"/>
    </row>
    <row r="17" spans="1:11" ht="21.95" customHeight="1" x14ac:dyDescent="0.25">
      <c r="A17" s="28" t="str">
        <f>HYPERLINK("#'Content Optimisation Hub'!A1","Content Hub Readiness (%)")</f>
        <v>Content Hub Readiness (%)</v>
      </c>
      <c r="B17" s="10">
        <f>IF(COUNTA('Content Optimisation Hub'!F3:F10000)=0,0,COUNTIF('Content Optimisation Hub'!F3:F10000,"Completed")/COUNTA('Content Optimisation Hub'!F3:F10000))</f>
        <v>0</v>
      </c>
      <c r="G17" s="25" t="str">
        <f>HYPERLINK("#FixPlan!A4","No 40-60 Word Answer Paragraphs")</f>
        <v>No 40-60 Word Answer Paragraphs</v>
      </c>
      <c r="H17" s="12">
        <v>20</v>
      </c>
      <c r="I17" s="24" t="s">
        <v>61</v>
      </c>
      <c r="J17" s="25" t="str">
        <f>HYPERLINK("#'Content &amp; AI Readiness'!A1","Open")</f>
        <v>Open</v>
      </c>
      <c r="K17" s="12"/>
    </row>
    <row r="18" spans="1:11" ht="21.95" customHeight="1" x14ac:dyDescent="0.25">
      <c r="A18" s="28" t="str">
        <f>HYPERLINK("#'Main'!A1","URLs with Schema")</f>
        <v>URLs with Schema</v>
      </c>
      <c r="B18" s="29">
        <f>COUNTIF(Main!Q2:Q10000,TRUE)</f>
        <v>0</v>
      </c>
      <c r="G18" s="25" t="str">
        <f>HYPERLINK("#FixPlan!A3","No Question Headings")</f>
        <v>No Question Headings</v>
      </c>
      <c r="H18" s="12">
        <v>20</v>
      </c>
      <c r="I18" s="24" t="s">
        <v>62</v>
      </c>
      <c r="J18" s="25" t="str">
        <f>HYPERLINK("#AIOSEO!A1","Open")</f>
        <v>Open</v>
      </c>
      <c r="K18" s="12"/>
    </row>
    <row r="19" spans="1:11" ht="21.95" customHeight="1" x14ac:dyDescent="0.25">
      <c r="A19" s="28" t="str">
        <f>HYPERLINK("#'Content &amp; AI Readiness'!A1","AEO Opportunity Gap")</f>
        <v>AEO Opportunity Gap</v>
      </c>
      <c r="B19" s="19">
        <f>MAX(0, IF(IFERROR(AVERAGE(INDEX('Content &amp; AI Readiness'!$1:$1048576,0,MATCH("AEO Extractability Score",'Content &amp; AI Readiness'!$1:$1,0))),0)&gt;0, 100-IFERROR(AVERAGE(INDEX('Content &amp; AI Readiness'!$1:$1048576,0,MATCH("AEO Extractability Score",'Content &amp; AI Readiness'!$1:$1,0))),0), (1-IFERROR(B5,0))*100))</f>
        <v>45</v>
      </c>
      <c r="G19" s="25" t="str">
        <f>HYPERLINK("#FixPlan!A2","No ETag Header")</f>
        <v>No ETag Header</v>
      </c>
      <c r="H19" s="12">
        <v>20</v>
      </c>
      <c r="I19" s="15" t="s">
        <v>63</v>
      </c>
      <c r="J19" s="30" t="str">
        <f>HYPERLINK("#'Content Optimisation Hub'!A1","Open")</f>
        <v>Open</v>
      </c>
    </row>
    <row r="20" spans="1:11" ht="20.100000000000001" customHeight="1" x14ac:dyDescent="0.25">
      <c r="A20" s="28" t="str">
        <f>HYPERLINK("#'Link Inventory'!A1","Broken Internal Links")</f>
        <v>Broken Internal Links</v>
      </c>
      <c r="B20" s="20">
        <f>SUM(COUNTIFS('Link Inventory'!$E:$E,"Internal",'Link Inventory'!$F:$F,404),COUNTIFS('Link Inventory'!$E:$E,"Internal",'Link Inventory'!$F:$F,"404"))</f>
        <v>94</v>
      </c>
      <c r="I20" s="15" t="s">
        <v>64</v>
      </c>
      <c r="J20" s="30" t="str">
        <f>HYPERLINK("#'Technical Diagnostics'!A1","Open")</f>
        <v>Open</v>
      </c>
    </row>
    <row r="21" spans="1:11" ht="60" customHeight="1" x14ac:dyDescent="0.25">
      <c r="A21" s="28" t="str">
        <f>HYPERLINK("#'Link Intelligence'!A1","Generic Anchor Links (Total)")</f>
        <v>Generic Anchor Links (Total)</v>
      </c>
      <c r="B21" s="29">
        <f>SUMIFS('Link Intelligence'!$O:$O,'Link Intelligence'!$B:$B,"Summary")</f>
        <v>2</v>
      </c>
      <c r="I21" s="15" t="s">
        <v>65</v>
      </c>
      <c r="J21" s="30" t="str">
        <f>HYPERLINK("#'Issue Register'!A1","Open")</f>
        <v>Open</v>
      </c>
    </row>
    <row r="22" spans="1:11" ht="20.100000000000001" customHeight="1" x14ac:dyDescent="0.25">
      <c r="A22" s="28" t="str">
        <f>HYPERLINK("#'Link Inventory'!A1","External Link Health %")</f>
        <v>External Link Health %</v>
      </c>
      <c r="B22" s="10">
        <f>IF(IFERROR(INDEX(RunMetadata!$B:$B,MATCH("External Sniff Performed",RunMetadata!$A:$A,0)),0)=0,"",IF(IFERROR(INDEX(RunMetadata!$B:$B,MATCH("External Link Unique Denominator",RunMetadata!$A:$A,0)),0)=0,"",IFERROR(IFERROR(INDEX(RunMetadata!$B:$B,MATCH("External Link Unique 200 OK",RunMetadata!$A:$A,0)),0)/IFERROR(INDEX(RunMetadata!$B:$B,MATCH("External Link Unique Denominator",RunMetadata!$A:$A,0)),1),0)))</f>
        <v>0.89552238805970152</v>
      </c>
      <c r="G22" s="72" t="s">
        <v>66</v>
      </c>
      <c r="H22" s="69"/>
      <c r="I22" s="69"/>
      <c r="J22" s="69"/>
      <c r="K22" s="69"/>
    </row>
    <row r="23" spans="1:11" ht="20.100000000000001" customHeight="1" x14ac:dyDescent="0.25">
      <c r="G23" s="7" t="s">
        <v>67</v>
      </c>
      <c r="H23" s="7" t="s">
        <v>68</v>
      </c>
      <c r="I23" s="7" t="s">
        <v>53</v>
      </c>
      <c r="J23" s="7" t="s">
        <v>49</v>
      </c>
      <c r="K23" s="7" t="s">
        <v>51</v>
      </c>
    </row>
    <row r="24" spans="1:11" ht="20.100000000000001" customHeight="1" x14ac:dyDescent="0.25">
      <c r="G24" s="15" t="str">
        <f>HYPERLINK("#'FixPlan'!A1","Copy Writer")</f>
        <v>Copy Writer</v>
      </c>
      <c r="H24" s="15">
        <v>20</v>
      </c>
      <c r="I24" s="15">
        <v>121</v>
      </c>
      <c r="J24" s="15">
        <v>1</v>
      </c>
      <c r="K24" s="15">
        <v>8</v>
      </c>
    </row>
    <row r="25" spans="1:11" ht="20.100000000000001" customHeight="1" x14ac:dyDescent="0.25">
      <c r="A25" s="7" t="s">
        <v>69</v>
      </c>
      <c r="B25" s="7" t="s">
        <v>24</v>
      </c>
      <c r="G25" s="15" t="str">
        <f>HYPERLINK("#'FixPlan'!A1","Server/Host")</f>
        <v>Server/Host</v>
      </c>
      <c r="H25" s="15">
        <v>5</v>
      </c>
      <c r="I25" s="15">
        <v>20</v>
      </c>
      <c r="J25" s="15">
        <v>2</v>
      </c>
      <c r="K25" s="15">
        <v>0</v>
      </c>
    </row>
    <row r="26" spans="1:11" ht="20.100000000000001" customHeight="1" x14ac:dyDescent="0.25">
      <c r="A26" s="15" t="s">
        <v>70</v>
      </c>
      <c r="B26" s="15" t="str">
        <f>IFERROR(INDEX(RunMetadata!$B:$B,MATCH("Run Timestamp",RunMetadata!$A:$A,0)),"")</f>
        <v>2026-05-09 14:58:03</v>
      </c>
      <c r="G26" s="15" t="str">
        <f>HYPERLINK("#'FixPlan'!A1","Dev")</f>
        <v>Dev</v>
      </c>
      <c r="H26" s="15">
        <v>9</v>
      </c>
      <c r="I26" s="15">
        <v>0</v>
      </c>
      <c r="J26" s="15">
        <v>4</v>
      </c>
      <c r="K26" s="15">
        <v>4</v>
      </c>
    </row>
    <row r="27" spans="1:11" ht="20.100000000000001" customHeight="1" x14ac:dyDescent="0.25">
      <c r="A27" s="15" t="s">
        <v>71</v>
      </c>
      <c r="B27" s="15">
        <f>IFERROR(INDEX(RunMetadata!$B:$B,MATCH("Total URLs",RunMetadata!$A:$A,0)),B5)</f>
        <v>20</v>
      </c>
    </row>
    <row r="28" spans="1:11" ht="20.100000000000001" customHeight="1" x14ac:dyDescent="0.25">
      <c r="A28" s="15" t="s">
        <v>72</v>
      </c>
      <c r="B28" s="15" t="str">
        <f>IFERROR(INDEX(RunMetadata!$B:$B,MATCH("Duration (s)",RunMetadata!$A:$A,0)),"")</f>
        <v/>
      </c>
    </row>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conditionalFormatting sqref="B5:B7">
    <cfRule type="colorScale" priority="1">
      <colorScale>
        <cfvo type="num" val="0"/>
        <cfvo type="num" val="0.5"/>
        <cfvo type="num" val="1"/>
        <color rgb="FFF8696B"/>
        <color rgb="FFFFEB84"/>
        <color rgb="FF63BE7B"/>
      </colorScale>
    </cfRule>
  </conditionalFormatting>
  <conditionalFormatting sqref="B8">
    <cfRule type="cellIs" dxfId="121" priority="2" operator="lessThan">
      <formula>-10</formula>
    </cfRule>
    <cfRule type="cellIs" dxfId="120" priority="3" operator="lessThan">
      <formula>0</formula>
    </cfRule>
  </conditionalFormatting>
  <conditionalFormatting sqref="B17">
    <cfRule type="colorScale" priority="4">
      <colorScale>
        <cfvo type="num" val="0"/>
        <cfvo type="num" val="0.5"/>
        <cfvo type="num" val="1"/>
        <color rgb="FFF8696B"/>
        <color rgb="FFFFEB84"/>
        <color rgb="FF00B050"/>
      </colorScale>
    </cfRule>
  </conditionalFormatting>
  <conditionalFormatting sqref="B20">
    <cfRule type="cellIs" dxfId="119" priority="6" stopIfTrue="1" operator="greaterThan">
      <formula>0</formula>
    </cfRule>
  </conditionalFormatting>
  <conditionalFormatting sqref="B22">
    <cfRule type="colorScale" priority="5">
      <colorScale>
        <cfvo type="num" val="0"/>
        <cfvo type="num" val="0.5"/>
        <cfvo type="num" val="1"/>
        <color rgb="FFF8696B"/>
        <color rgb="FFFFEB84"/>
        <color rgb="FF00B050"/>
      </colorScale>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31" t="s">
        <v>73</v>
      </c>
      <c r="B1" s="31" t="s">
        <v>47</v>
      </c>
      <c r="C1" s="31" t="s">
        <v>74</v>
      </c>
      <c r="D1" s="31" t="s">
        <v>75</v>
      </c>
      <c r="E1" s="31" t="s">
        <v>53</v>
      </c>
      <c r="F1" s="31" t="s">
        <v>76</v>
      </c>
      <c r="G1" s="31" t="s">
        <v>77</v>
      </c>
      <c r="H1" s="31" t="s">
        <v>78</v>
      </c>
      <c r="I1" s="31" t="s">
        <v>79</v>
      </c>
      <c r="J1" s="31" t="s">
        <v>80</v>
      </c>
      <c r="K1" s="31" t="s">
        <v>67</v>
      </c>
      <c r="L1" s="31" t="s">
        <v>81</v>
      </c>
      <c r="M1" s="31" t="s">
        <v>82</v>
      </c>
      <c r="N1" s="31" t="s">
        <v>83</v>
      </c>
      <c r="O1" s="31" t="s">
        <v>84</v>
      </c>
      <c r="P1" s="31" t="s">
        <v>85</v>
      </c>
      <c r="Q1" s="31" t="s">
        <v>25</v>
      </c>
      <c r="R1" s="31" t="s">
        <v>86</v>
      </c>
      <c r="S1" s="31" t="s">
        <v>87</v>
      </c>
      <c r="T1" s="31" t="s">
        <v>88</v>
      </c>
      <c r="U1" s="31" t="s">
        <v>89</v>
      </c>
      <c r="V1" s="31" t="s">
        <v>90</v>
      </c>
      <c r="W1" s="31" t="s">
        <v>91</v>
      </c>
      <c r="X1" s="31" t="s">
        <v>92</v>
      </c>
      <c r="Y1" s="31" t="s">
        <v>93</v>
      </c>
      <c r="Z1" s="31" t="s">
        <v>94</v>
      </c>
      <c r="AA1" s="32" t="s">
        <v>95</v>
      </c>
    </row>
    <row r="2" spans="1:27" ht="15.75" x14ac:dyDescent="0.25">
      <c r="A2" s="33" t="s">
        <v>96</v>
      </c>
      <c r="B2" s="34" t="s">
        <v>49</v>
      </c>
      <c r="C2" s="35">
        <v>105</v>
      </c>
      <c r="D2" s="36">
        <v>0</v>
      </c>
      <c r="E2" s="37"/>
      <c r="F2" s="33" t="s">
        <v>57</v>
      </c>
      <c r="G2" s="33" t="s">
        <v>97</v>
      </c>
      <c r="H2" s="37"/>
      <c r="I2" s="33" t="s">
        <v>98</v>
      </c>
      <c r="J2" s="38" t="s">
        <v>99</v>
      </c>
      <c r="K2" s="33" t="s">
        <v>100</v>
      </c>
      <c r="L2" s="33" t="s">
        <v>100</v>
      </c>
      <c r="M2" s="33" t="s">
        <v>101</v>
      </c>
      <c r="N2" s="33">
        <v>10</v>
      </c>
      <c r="O2" s="39">
        <v>5</v>
      </c>
      <c r="P2" s="34" t="s">
        <v>102</v>
      </c>
      <c r="Q2" s="34" t="s">
        <v>103</v>
      </c>
      <c r="R2" s="33"/>
      <c r="S2" s="40"/>
      <c r="T2" s="33" t="s">
        <v>104</v>
      </c>
      <c r="U2" s="33" t="s">
        <v>105</v>
      </c>
      <c r="V2" s="33" t="s">
        <v>106</v>
      </c>
      <c r="W2" s="33"/>
      <c r="X2" s="33" t="s">
        <v>107</v>
      </c>
      <c r="Y2" s="41" t="str">
        <f>IFERROR(HYPERLINK("#'Main'!B"&amp;MATCH(TRIM(H2),Main!B:B,0),"Open"),HYPERLINK("#'Main'!B1","Open"))</f>
        <v>Open</v>
      </c>
      <c r="Z2" s="41" t="str">
        <f>IFERROR(INDEX('Content Optimisation Hub'!C:C,MATCH(H2,'Content Optimisation Hub'!F:F,0)),"Not in Hub")</f>
        <v>Not in Hub</v>
      </c>
      <c r="AA2" s="41"/>
    </row>
    <row r="3" spans="1:27" ht="15.75" x14ac:dyDescent="0.25">
      <c r="A3" s="42" t="s">
        <v>108</v>
      </c>
      <c r="B3" s="34" t="s">
        <v>49</v>
      </c>
      <c r="C3" s="35">
        <v>105</v>
      </c>
      <c r="D3" s="43">
        <v>0</v>
      </c>
      <c r="E3" s="44"/>
      <c r="F3" s="42" t="s">
        <v>57</v>
      </c>
      <c r="G3" s="42" t="s">
        <v>97</v>
      </c>
      <c r="H3" s="44"/>
      <c r="I3" s="42" t="s">
        <v>109</v>
      </c>
      <c r="J3" s="45" t="s">
        <v>110</v>
      </c>
      <c r="K3" s="42" t="s">
        <v>111</v>
      </c>
      <c r="L3" s="42" t="s">
        <v>111</v>
      </c>
      <c r="M3" s="42" t="s">
        <v>101</v>
      </c>
      <c r="N3" s="42">
        <v>10</v>
      </c>
      <c r="O3" s="39">
        <v>5</v>
      </c>
      <c r="P3" s="34" t="s">
        <v>102</v>
      </c>
      <c r="Q3" s="34" t="s">
        <v>103</v>
      </c>
      <c r="R3" s="42"/>
      <c r="S3" s="46"/>
      <c r="T3" s="42" t="s">
        <v>104</v>
      </c>
      <c r="U3" s="42" t="s">
        <v>105</v>
      </c>
      <c r="V3" s="42" t="s">
        <v>106</v>
      </c>
      <c r="W3" s="42"/>
      <c r="X3" s="42" t="s">
        <v>107</v>
      </c>
      <c r="Y3" t="str">
        <f>IFERROR(HYPERLINK("#'Main'!B"&amp;MATCH(TRIM(H3),Main!B:B,0),"Open"),HYPERLINK("#'Main'!B1","Open"))</f>
        <v>Open</v>
      </c>
      <c r="Z3" t="str">
        <f>IFERROR(INDEX('Content Optimisation Hub'!C:C,MATCH(H3,'Content Optimisation Hub'!F:F,0)),"Not in Hub")</f>
        <v>Not in Hub</v>
      </c>
    </row>
    <row r="4" spans="1:27" ht="15.75" x14ac:dyDescent="0.25">
      <c r="A4" s="33" t="s">
        <v>112</v>
      </c>
      <c r="B4" s="34" t="s">
        <v>49</v>
      </c>
      <c r="C4" s="35">
        <v>105</v>
      </c>
      <c r="D4" s="36">
        <v>0</v>
      </c>
      <c r="E4" s="37"/>
      <c r="F4" s="33" t="s">
        <v>57</v>
      </c>
      <c r="G4" s="33" t="s">
        <v>97</v>
      </c>
      <c r="H4" s="37"/>
      <c r="I4" s="33" t="s">
        <v>113</v>
      </c>
      <c r="J4" s="38" t="s">
        <v>114</v>
      </c>
      <c r="K4" s="33" t="s">
        <v>115</v>
      </c>
      <c r="L4" s="33" t="s">
        <v>115</v>
      </c>
      <c r="M4" s="33" t="s">
        <v>101</v>
      </c>
      <c r="N4" s="33">
        <v>10</v>
      </c>
      <c r="O4" s="39">
        <v>5</v>
      </c>
      <c r="P4" s="34" t="s">
        <v>102</v>
      </c>
      <c r="Q4" s="34" t="s">
        <v>103</v>
      </c>
      <c r="R4" s="33"/>
      <c r="S4" s="40"/>
      <c r="T4" s="33" t="s">
        <v>104</v>
      </c>
      <c r="U4" s="33" t="s">
        <v>105</v>
      </c>
      <c r="V4" s="33" t="s">
        <v>106</v>
      </c>
      <c r="W4" s="33"/>
      <c r="X4" s="33" t="s">
        <v>107</v>
      </c>
      <c r="Y4" s="41" t="str">
        <f>IFERROR(HYPERLINK("#'Main'!B"&amp;MATCH(TRIM(H4),Main!B:B,0),"Open"),HYPERLINK("#'Main'!B1","Open"))</f>
        <v>Open</v>
      </c>
      <c r="Z4" s="41" t="str">
        <f>IFERROR(INDEX('Content Optimisation Hub'!C:C,MATCH(H4,'Content Optimisation Hub'!F:F,0)),"Not in Hub")</f>
        <v>Not in Hub</v>
      </c>
      <c r="AA4" s="41"/>
    </row>
    <row r="5" spans="1:27" ht="15.75" x14ac:dyDescent="0.25">
      <c r="A5" s="42" t="s">
        <v>116</v>
      </c>
      <c r="B5" s="34" t="s">
        <v>49</v>
      </c>
      <c r="C5" s="35">
        <v>105</v>
      </c>
      <c r="D5" s="43">
        <v>0</v>
      </c>
      <c r="E5" s="44"/>
      <c r="F5" s="42" t="s">
        <v>57</v>
      </c>
      <c r="G5" s="42" t="s">
        <v>117</v>
      </c>
      <c r="H5" s="44"/>
      <c r="I5" s="42" t="s">
        <v>118</v>
      </c>
      <c r="J5" s="45" t="s">
        <v>119</v>
      </c>
      <c r="K5" s="42" t="s">
        <v>115</v>
      </c>
      <c r="L5" s="42" t="s">
        <v>115</v>
      </c>
      <c r="M5" s="42" t="s">
        <v>101</v>
      </c>
      <c r="N5" s="42">
        <v>10</v>
      </c>
      <c r="O5" s="39">
        <v>5</v>
      </c>
      <c r="P5" s="34" t="s">
        <v>102</v>
      </c>
      <c r="Q5" s="34" t="s">
        <v>103</v>
      </c>
      <c r="R5" s="42"/>
      <c r="S5" s="46"/>
      <c r="T5" s="42" t="s">
        <v>104</v>
      </c>
      <c r="U5" s="42" t="s">
        <v>105</v>
      </c>
      <c r="V5" s="42" t="s">
        <v>106</v>
      </c>
      <c r="W5" s="42"/>
      <c r="X5" s="42" t="s">
        <v>107</v>
      </c>
      <c r="Y5" t="str">
        <f>IFERROR(HYPERLINK("#'Main'!B"&amp;MATCH(TRIM(H5),Main!B:B,0),"Open"),HYPERLINK("#'Main'!B1","Open"))</f>
        <v>Open</v>
      </c>
      <c r="Z5" t="str">
        <f>IFERROR(INDEX('Content Optimisation Hub'!C:C,MATCH(H5,'Content Optimisation Hub'!F:F,0)),"Not in Hub")</f>
        <v>Not in Hub</v>
      </c>
    </row>
    <row r="6" spans="1:27" ht="15.75" x14ac:dyDescent="0.25">
      <c r="A6" s="33" t="s">
        <v>120</v>
      </c>
      <c r="B6" s="34" t="s">
        <v>49</v>
      </c>
      <c r="C6" s="35">
        <v>105</v>
      </c>
      <c r="D6" s="36">
        <v>0</v>
      </c>
      <c r="E6" s="37"/>
      <c r="F6" s="33" t="s">
        <v>57</v>
      </c>
      <c r="G6" s="33" t="s">
        <v>117</v>
      </c>
      <c r="H6" s="37"/>
      <c r="I6" s="33" t="s">
        <v>121</v>
      </c>
      <c r="J6" s="38" t="s">
        <v>122</v>
      </c>
      <c r="K6" s="33" t="s">
        <v>100</v>
      </c>
      <c r="L6" s="33" t="s">
        <v>100</v>
      </c>
      <c r="M6" s="33" t="s">
        <v>101</v>
      </c>
      <c r="N6" s="33">
        <v>10</v>
      </c>
      <c r="O6" s="39">
        <v>5</v>
      </c>
      <c r="P6" s="34" t="s">
        <v>102</v>
      </c>
      <c r="Q6" s="34" t="s">
        <v>103</v>
      </c>
      <c r="R6" s="33"/>
      <c r="S6" s="40"/>
      <c r="T6" s="33" t="s">
        <v>104</v>
      </c>
      <c r="U6" s="33" t="s">
        <v>105</v>
      </c>
      <c r="V6" s="33" t="s">
        <v>106</v>
      </c>
      <c r="W6" s="33"/>
      <c r="X6" s="33" t="s">
        <v>107</v>
      </c>
      <c r="Y6" s="41" t="str">
        <f>IFERROR(HYPERLINK("#'Main'!B"&amp;MATCH(TRIM(H6),Main!B:B,0),"Open"),HYPERLINK("#'Main'!B1","Open"))</f>
        <v>Open</v>
      </c>
      <c r="Z6" s="41" t="str">
        <f>IFERROR(INDEX('Content Optimisation Hub'!C:C,MATCH(H6,'Content Optimisation Hub'!F:F,0)),"Not in Hub")</f>
        <v>Not in Hub</v>
      </c>
      <c r="AA6" s="41"/>
    </row>
    <row r="7" spans="1:27" ht="15.75" x14ac:dyDescent="0.25">
      <c r="A7" s="42" t="s">
        <v>123</v>
      </c>
      <c r="B7" s="34" t="s">
        <v>49</v>
      </c>
      <c r="C7" s="35">
        <v>105</v>
      </c>
      <c r="D7" s="43">
        <v>0</v>
      </c>
      <c r="E7" s="44"/>
      <c r="F7" s="42" t="s">
        <v>57</v>
      </c>
      <c r="G7" s="42" t="s">
        <v>117</v>
      </c>
      <c r="H7" s="44"/>
      <c r="I7" s="42" t="s">
        <v>121</v>
      </c>
      <c r="J7" s="45" t="s">
        <v>122</v>
      </c>
      <c r="K7" s="42" t="s">
        <v>115</v>
      </c>
      <c r="L7" s="42" t="s">
        <v>115</v>
      </c>
      <c r="M7" s="42" t="s">
        <v>101</v>
      </c>
      <c r="N7" s="42">
        <v>10</v>
      </c>
      <c r="O7" s="39">
        <v>5</v>
      </c>
      <c r="P7" s="34" t="s">
        <v>102</v>
      </c>
      <c r="Q7" s="34" t="s">
        <v>103</v>
      </c>
      <c r="R7" s="42"/>
      <c r="S7" s="46"/>
      <c r="T7" s="42" t="s">
        <v>104</v>
      </c>
      <c r="U7" s="42" t="s">
        <v>105</v>
      </c>
      <c r="V7" s="42" t="s">
        <v>106</v>
      </c>
      <c r="W7" s="42"/>
      <c r="X7" s="42" t="s">
        <v>107</v>
      </c>
      <c r="Y7" t="str">
        <f>IFERROR(HYPERLINK("#'Main'!B"&amp;MATCH(TRIM(H7),Main!B:B,0),"Open"),HYPERLINK("#'Main'!B1","Open"))</f>
        <v>Open</v>
      </c>
      <c r="Z7" t="str">
        <f>IFERROR(INDEX('Content Optimisation Hub'!C:C,MATCH(H7,'Content Optimisation Hub'!F:F,0)),"Not in Hub")</f>
        <v>Not in Hub</v>
      </c>
    </row>
    <row r="8" spans="1:27" ht="15.75" x14ac:dyDescent="0.25">
      <c r="A8" s="33" t="s">
        <v>124</v>
      </c>
      <c r="B8" s="34" t="s">
        <v>49</v>
      </c>
      <c r="C8" s="35">
        <v>105</v>
      </c>
      <c r="D8" s="36">
        <v>0</v>
      </c>
      <c r="E8" s="37"/>
      <c r="F8" s="33" t="s">
        <v>125</v>
      </c>
      <c r="G8" s="33" t="s">
        <v>97</v>
      </c>
      <c r="H8" s="37"/>
      <c r="I8" s="33" t="s">
        <v>126</v>
      </c>
      <c r="J8" s="38" t="s">
        <v>127</v>
      </c>
      <c r="K8" s="33" t="s">
        <v>115</v>
      </c>
      <c r="L8" s="33" t="s">
        <v>115</v>
      </c>
      <c r="M8" s="33" t="s">
        <v>101</v>
      </c>
      <c r="N8" s="33">
        <v>10</v>
      </c>
      <c r="O8" s="39">
        <v>5</v>
      </c>
      <c r="P8" s="34" t="s">
        <v>102</v>
      </c>
      <c r="Q8" s="34" t="s">
        <v>103</v>
      </c>
      <c r="R8" s="33"/>
      <c r="S8" s="40"/>
      <c r="T8" s="33" t="s">
        <v>104</v>
      </c>
      <c r="U8" s="33" t="s">
        <v>105</v>
      </c>
      <c r="V8" s="33" t="s">
        <v>106</v>
      </c>
      <c r="W8" s="33"/>
      <c r="X8" s="33" t="s">
        <v>107</v>
      </c>
      <c r="Y8" s="41" t="str">
        <f>IFERROR(HYPERLINK("#'Main'!B"&amp;MATCH(TRIM(H8),Main!B:B,0),"Open"),HYPERLINK("#'Main'!B1","Open"))</f>
        <v>Open</v>
      </c>
      <c r="Z8" s="41" t="str">
        <f>IFERROR(INDEX('Content Optimisation Hub'!C:C,MATCH(H8,'Content Optimisation Hub'!F:F,0)),"Not in Hub")</f>
        <v>Not in Hub</v>
      </c>
      <c r="AA8" s="41"/>
    </row>
    <row r="9" spans="1:27" ht="15.75" x14ac:dyDescent="0.25">
      <c r="A9" s="42" t="s">
        <v>128</v>
      </c>
      <c r="B9" s="47" t="s">
        <v>51</v>
      </c>
      <c r="C9" s="39">
        <v>67</v>
      </c>
      <c r="D9" s="43">
        <v>0</v>
      </c>
      <c r="E9" s="44"/>
      <c r="F9" s="42" t="s">
        <v>57</v>
      </c>
      <c r="G9" s="42" t="s">
        <v>117</v>
      </c>
      <c r="H9" s="44"/>
      <c r="I9" s="42" t="s">
        <v>121</v>
      </c>
      <c r="J9" s="45" t="s">
        <v>122</v>
      </c>
      <c r="K9" s="42" t="s">
        <v>115</v>
      </c>
      <c r="L9" s="42" t="s">
        <v>115</v>
      </c>
      <c r="M9" s="42" t="s">
        <v>129</v>
      </c>
      <c r="N9" s="42">
        <v>4</v>
      </c>
      <c r="O9" s="48">
        <v>2</v>
      </c>
      <c r="P9" s="49" t="s">
        <v>130</v>
      </c>
      <c r="Q9" s="34" t="s">
        <v>103</v>
      </c>
      <c r="R9" s="42"/>
      <c r="S9" s="46"/>
      <c r="T9" s="42" t="s">
        <v>131</v>
      </c>
      <c r="U9" s="42" t="s">
        <v>105</v>
      </c>
      <c r="V9" s="42" t="s">
        <v>106</v>
      </c>
      <c r="W9" s="42"/>
      <c r="X9" s="42" t="s">
        <v>107</v>
      </c>
      <c r="Y9" t="str">
        <f>IFERROR(HYPERLINK("#'Main'!B"&amp;MATCH(TRIM(H9),Main!B:B,0),"Open"),HYPERLINK("#'Main'!B1","Open"))</f>
        <v>Open</v>
      </c>
      <c r="Z9" t="str">
        <f>IFERROR(INDEX('Content Optimisation Hub'!C:C,MATCH(H9,'Content Optimisation Hub'!F:F,0)),"Not in Hub")</f>
        <v>Not in Hub</v>
      </c>
    </row>
    <row r="10" spans="1:27" ht="15.75" x14ac:dyDescent="0.25">
      <c r="A10" s="33" t="s">
        <v>132</v>
      </c>
      <c r="B10" s="47" t="s">
        <v>51</v>
      </c>
      <c r="C10" s="39">
        <v>67</v>
      </c>
      <c r="D10" s="36">
        <v>0</v>
      </c>
      <c r="E10" s="37"/>
      <c r="F10" s="33" t="s">
        <v>57</v>
      </c>
      <c r="G10" s="33" t="s">
        <v>117</v>
      </c>
      <c r="H10" s="37"/>
      <c r="I10" s="33" t="s">
        <v>121</v>
      </c>
      <c r="J10" s="38" t="s">
        <v>122</v>
      </c>
      <c r="K10" s="33" t="s">
        <v>111</v>
      </c>
      <c r="L10" s="33" t="s">
        <v>111</v>
      </c>
      <c r="M10" s="33" t="s">
        <v>129</v>
      </c>
      <c r="N10" s="33">
        <v>4</v>
      </c>
      <c r="O10" s="48">
        <v>2</v>
      </c>
      <c r="P10" s="49" t="s">
        <v>130</v>
      </c>
      <c r="Q10" s="34" t="s">
        <v>103</v>
      </c>
      <c r="R10" s="33"/>
      <c r="S10" s="40"/>
      <c r="T10" s="33" t="s">
        <v>131</v>
      </c>
      <c r="U10" s="33" t="s">
        <v>105</v>
      </c>
      <c r="V10" s="33" t="s">
        <v>106</v>
      </c>
      <c r="W10" s="33"/>
      <c r="X10" s="33" t="s">
        <v>107</v>
      </c>
      <c r="Y10" s="41" t="str">
        <f>IFERROR(HYPERLINK("#'Main'!B"&amp;MATCH(TRIM(H10),Main!B:B,0),"Open"),HYPERLINK("#'Main'!B1","Open"))</f>
        <v>Open</v>
      </c>
      <c r="Z10" s="41" t="str">
        <f>IFERROR(INDEX('Content Optimisation Hub'!C:C,MATCH(H10,'Content Optimisation Hub'!F:F,0)),"Not in Hub")</f>
        <v>Not in Hub</v>
      </c>
      <c r="AA10" s="41"/>
    </row>
    <row r="11" spans="1:27" ht="15.75" x14ac:dyDescent="0.25">
      <c r="A11" s="42" t="s">
        <v>133</v>
      </c>
      <c r="B11" s="47" t="s">
        <v>51</v>
      </c>
      <c r="C11" s="39">
        <v>67</v>
      </c>
      <c r="D11" s="43">
        <v>0</v>
      </c>
      <c r="E11" s="44"/>
      <c r="F11" s="42" t="s">
        <v>134</v>
      </c>
      <c r="G11" s="42" t="s">
        <v>117</v>
      </c>
      <c r="H11" s="44"/>
      <c r="I11" s="42" t="s">
        <v>135</v>
      </c>
      <c r="J11" s="45" t="s">
        <v>136</v>
      </c>
      <c r="K11" s="42" t="s">
        <v>115</v>
      </c>
      <c r="L11" s="42" t="s">
        <v>115</v>
      </c>
      <c r="M11" s="42" t="s">
        <v>129</v>
      </c>
      <c r="N11" s="42">
        <v>4</v>
      </c>
      <c r="O11" s="48">
        <v>2</v>
      </c>
      <c r="P11" s="49" t="s">
        <v>130</v>
      </c>
      <c r="Q11" s="34" t="s">
        <v>103</v>
      </c>
      <c r="R11" s="42"/>
      <c r="S11" s="46"/>
      <c r="T11" s="42" t="s">
        <v>131</v>
      </c>
      <c r="U11" s="42" t="s">
        <v>105</v>
      </c>
      <c r="V11" s="42" t="s">
        <v>106</v>
      </c>
      <c r="W11" s="42"/>
      <c r="X11" s="42" t="s">
        <v>137</v>
      </c>
      <c r="Y11" t="str">
        <f>IFERROR(HYPERLINK("#'Main'!B"&amp;MATCH(TRIM(H11),Main!B:B,0),"Open"),HYPERLINK("#'Main'!B1","Open"))</f>
        <v>Open</v>
      </c>
      <c r="Z11" t="str">
        <f>IFERROR(INDEX('Content Optimisation Hub'!C:C,MATCH(H11,'Content Optimisation Hub'!F:F,0)),"Not in Hub")</f>
        <v>Not in Hub</v>
      </c>
    </row>
    <row r="12" spans="1:27" ht="15.75" x14ac:dyDescent="0.25">
      <c r="A12" s="33" t="s">
        <v>138</v>
      </c>
      <c r="B12" s="47" t="s">
        <v>51</v>
      </c>
      <c r="C12" s="39">
        <v>67</v>
      </c>
      <c r="D12" s="36">
        <v>0</v>
      </c>
      <c r="E12" s="37"/>
      <c r="F12" s="33" t="s">
        <v>57</v>
      </c>
      <c r="G12" s="33" t="s">
        <v>97</v>
      </c>
      <c r="H12" s="37"/>
      <c r="I12" s="33" t="s">
        <v>121</v>
      </c>
      <c r="J12" s="38" t="s">
        <v>122</v>
      </c>
      <c r="K12" s="33" t="s">
        <v>111</v>
      </c>
      <c r="L12" s="33" t="s">
        <v>111</v>
      </c>
      <c r="M12" s="33" t="s">
        <v>129</v>
      </c>
      <c r="N12" s="33">
        <v>4</v>
      </c>
      <c r="O12" s="48">
        <v>2</v>
      </c>
      <c r="P12" s="49" t="s">
        <v>130</v>
      </c>
      <c r="Q12" s="34" t="s">
        <v>103</v>
      </c>
      <c r="R12" s="33"/>
      <c r="S12" s="40"/>
      <c r="T12" s="33" t="s">
        <v>131</v>
      </c>
      <c r="U12" s="33" t="s">
        <v>105</v>
      </c>
      <c r="V12" s="33" t="s">
        <v>106</v>
      </c>
      <c r="W12" s="33"/>
      <c r="X12" s="33" t="s">
        <v>107</v>
      </c>
      <c r="Y12" s="41" t="str">
        <f>IFERROR(HYPERLINK("#'Main'!B"&amp;MATCH(TRIM(H12),Main!B:B,0),"Open"),HYPERLINK("#'Main'!B1","Open"))</f>
        <v>Open</v>
      </c>
      <c r="Z12" s="41" t="str">
        <f>IFERROR(INDEX('Content Optimisation Hub'!C:C,MATCH(H12,'Content Optimisation Hub'!F:F,0)),"Not in Hub")</f>
        <v>Not in Hub</v>
      </c>
      <c r="AA12" s="41"/>
    </row>
    <row r="13" spans="1:27" ht="15.75" x14ac:dyDescent="0.25">
      <c r="A13" s="42" t="s">
        <v>139</v>
      </c>
      <c r="B13" s="47" t="s">
        <v>51</v>
      </c>
      <c r="C13" s="39">
        <v>67</v>
      </c>
      <c r="D13" s="43">
        <v>0</v>
      </c>
      <c r="E13" s="44"/>
      <c r="F13" s="42" t="s">
        <v>57</v>
      </c>
      <c r="G13" s="42" t="s">
        <v>97</v>
      </c>
      <c r="H13" s="44"/>
      <c r="I13" s="42" t="s">
        <v>140</v>
      </c>
      <c r="J13" s="45" t="s">
        <v>141</v>
      </c>
      <c r="K13" s="42" t="s">
        <v>115</v>
      </c>
      <c r="L13" s="42" t="s">
        <v>115</v>
      </c>
      <c r="M13" s="42" t="s">
        <v>129</v>
      </c>
      <c r="N13" s="42">
        <v>4</v>
      </c>
      <c r="O13" s="48">
        <v>2</v>
      </c>
      <c r="P13" s="49" t="s">
        <v>130</v>
      </c>
      <c r="Q13" s="34" t="s">
        <v>103</v>
      </c>
      <c r="R13" s="42"/>
      <c r="S13" s="46"/>
      <c r="T13" s="42" t="s">
        <v>131</v>
      </c>
      <c r="U13" s="42" t="s">
        <v>105</v>
      </c>
      <c r="V13" s="42" t="s">
        <v>106</v>
      </c>
      <c r="W13" s="42"/>
      <c r="X13" s="42" t="s">
        <v>107</v>
      </c>
      <c r="Y13" t="str">
        <f>IFERROR(HYPERLINK("#'Main'!B"&amp;MATCH(TRIM(H13),Main!B:B,0),"Open"),HYPERLINK("#'Main'!B1","Open"))</f>
        <v>Open</v>
      </c>
      <c r="Z13" t="str">
        <f>IFERROR(INDEX('Content Optimisation Hub'!C:C,MATCH(H13,'Content Optimisation Hub'!F:F,0)),"Not in Hub")</f>
        <v>Not in Hub</v>
      </c>
    </row>
    <row r="14" spans="1:27" ht="15.75" x14ac:dyDescent="0.25">
      <c r="A14" s="33" t="s">
        <v>142</v>
      </c>
      <c r="B14" s="47" t="s">
        <v>51</v>
      </c>
      <c r="C14" s="39">
        <v>67</v>
      </c>
      <c r="D14" s="36">
        <v>0</v>
      </c>
      <c r="E14" s="37"/>
      <c r="F14" s="33" t="s">
        <v>57</v>
      </c>
      <c r="G14" s="33" t="s">
        <v>117</v>
      </c>
      <c r="H14" s="37"/>
      <c r="I14" s="33" t="s">
        <v>121</v>
      </c>
      <c r="J14" s="38" t="s">
        <v>122</v>
      </c>
      <c r="K14" s="33" t="s">
        <v>115</v>
      </c>
      <c r="L14" s="33" t="s">
        <v>115</v>
      </c>
      <c r="M14" s="33" t="s">
        <v>129</v>
      </c>
      <c r="N14" s="33">
        <v>4</v>
      </c>
      <c r="O14" s="48">
        <v>2</v>
      </c>
      <c r="P14" s="49" t="s">
        <v>130</v>
      </c>
      <c r="Q14" s="34" t="s">
        <v>103</v>
      </c>
      <c r="R14" s="33"/>
      <c r="S14" s="40"/>
      <c r="T14" s="33" t="s">
        <v>131</v>
      </c>
      <c r="U14" s="33" t="s">
        <v>105</v>
      </c>
      <c r="V14" s="33" t="s">
        <v>106</v>
      </c>
      <c r="W14" s="33"/>
      <c r="X14" s="33" t="s">
        <v>107</v>
      </c>
      <c r="Y14" s="41" t="str">
        <f>IFERROR(HYPERLINK("#'Main'!B"&amp;MATCH(TRIM(H14),Main!B:B,0),"Open"),HYPERLINK("#'Main'!B1","Open"))</f>
        <v>Open</v>
      </c>
      <c r="Z14" s="41" t="str">
        <f>IFERROR(INDEX('Content Optimisation Hub'!C:C,MATCH(H14,'Content Optimisation Hub'!F:F,0)),"Not in Hub")</f>
        <v>Not in Hub</v>
      </c>
      <c r="AA14" s="41"/>
    </row>
    <row r="15" spans="1:27" ht="15.75" x14ac:dyDescent="0.25">
      <c r="A15" s="42" t="s">
        <v>143</v>
      </c>
      <c r="B15" s="47" t="s">
        <v>51</v>
      </c>
      <c r="C15" s="39">
        <v>67</v>
      </c>
      <c r="D15" s="43">
        <v>0</v>
      </c>
      <c r="E15" s="44"/>
      <c r="F15" s="42" t="s">
        <v>57</v>
      </c>
      <c r="G15" s="42" t="s">
        <v>97</v>
      </c>
      <c r="H15" s="44"/>
      <c r="I15" s="42" t="s">
        <v>121</v>
      </c>
      <c r="J15" s="45" t="s">
        <v>122</v>
      </c>
      <c r="K15" s="42" t="s">
        <v>111</v>
      </c>
      <c r="L15" s="42" t="s">
        <v>111</v>
      </c>
      <c r="M15" s="42" t="s">
        <v>129</v>
      </c>
      <c r="N15" s="42">
        <v>4</v>
      </c>
      <c r="O15" s="48">
        <v>2</v>
      </c>
      <c r="P15" s="49" t="s">
        <v>130</v>
      </c>
      <c r="Q15" s="34" t="s">
        <v>103</v>
      </c>
      <c r="R15" s="42"/>
      <c r="S15" s="46"/>
      <c r="T15" s="42" t="s">
        <v>131</v>
      </c>
      <c r="U15" s="42" t="s">
        <v>105</v>
      </c>
      <c r="V15" s="42" t="s">
        <v>106</v>
      </c>
      <c r="W15" s="42"/>
      <c r="X15" s="42" t="s">
        <v>107</v>
      </c>
      <c r="Y15" t="str">
        <f>IFERROR(HYPERLINK("#'Main'!B"&amp;MATCH(TRIM(H15),Main!B:B,0),"Open"),HYPERLINK("#'Main'!B1","Open"))</f>
        <v>Open</v>
      </c>
      <c r="Z15" t="str">
        <f>IFERROR(INDEX('Content Optimisation Hub'!C:C,MATCH(H15,'Content Optimisation Hub'!F:F,0)),"Not in Hub")</f>
        <v>Not in Hub</v>
      </c>
    </row>
    <row r="16" spans="1:27" ht="30" customHeight="1" x14ac:dyDescent="0.25">
      <c r="A16" s="33" t="s">
        <v>144</v>
      </c>
      <c r="B16" s="47" t="s">
        <v>51</v>
      </c>
      <c r="C16" s="39">
        <v>67</v>
      </c>
      <c r="D16" s="36">
        <v>20</v>
      </c>
      <c r="E16" s="37" t="s">
        <v>145</v>
      </c>
      <c r="F16" s="33" t="s">
        <v>134</v>
      </c>
      <c r="G16" s="33" t="s">
        <v>117</v>
      </c>
      <c r="H16" s="50" t="s">
        <v>146</v>
      </c>
      <c r="I16" s="33" t="s">
        <v>147</v>
      </c>
      <c r="J16" s="38" t="s">
        <v>148</v>
      </c>
      <c r="K16" s="33" t="s">
        <v>111</v>
      </c>
      <c r="L16" s="33" t="s">
        <v>111</v>
      </c>
      <c r="M16" s="33" t="s">
        <v>129</v>
      </c>
      <c r="N16" s="33">
        <v>4</v>
      </c>
      <c r="O16" s="48">
        <v>2</v>
      </c>
      <c r="P16" s="49" t="s">
        <v>130</v>
      </c>
      <c r="Q16" s="34" t="s">
        <v>103</v>
      </c>
      <c r="R16" s="33"/>
      <c r="S16" s="40"/>
      <c r="T16" s="33" t="s">
        <v>131</v>
      </c>
      <c r="U16" s="33" t="s">
        <v>105</v>
      </c>
      <c r="V16" s="33" t="s">
        <v>106</v>
      </c>
      <c r="W16" s="33"/>
      <c r="X16" s="33" t="s">
        <v>137</v>
      </c>
      <c r="Y16" s="41" t="str">
        <f>IFERROR(HYPERLINK("#'Main'!B"&amp;MATCH(TRIM(H16),Main!B:B,0),"Open"),HYPERLINK("#'Main'!B1","Open"))</f>
        <v>Open</v>
      </c>
      <c r="Z16" s="41" t="str">
        <f>IFERROR(INDEX('Content Optimisation Hub'!C:C,MATCH(H16,'Content Optimisation Hub'!F:F,0)),"Not in Hub")</f>
        <v>Not in Hub</v>
      </c>
      <c r="AA16" s="41"/>
    </row>
    <row r="17" spans="1:27" ht="30" customHeight="1" x14ac:dyDescent="0.25">
      <c r="A17" s="42" t="s">
        <v>149</v>
      </c>
      <c r="B17" s="47" t="s">
        <v>51</v>
      </c>
      <c r="C17" s="39">
        <v>67</v>
      </c>
      <c r="D17" s="43">
        <v>16</v>
      </c>
      <c r="E17" s="44" t="s">
        <v>150</v>
      </c>
      <c r="F17" s="42" t="s">
        <v>57</v>
      </c>
      <c r="G17" s="42" t="s">
        <v>117</v>
      </c>
      <c r="H17" s="51" t="s">
        <v>146</v>
      </c>
      <c r="I17" s="42" t="s">
        <v>121</v>
      </c>
      <c r="J17" s="45" t="s">
        <v>122</v>
      </c>
      <c r="K17" s="42" t="s">
        <v>111</v>
      </c>
      <c r="L17" s="42" t="s">
        <v>111</v>
      </c>
      <c r="M17" s="42" t="s">
        <v>129</v>
      </c>
      <c r="N17" s="42">
        <v>4</v>
      </c>
      <c r="O17" s="48">
        <v>2</v>
      </c>
      <c r="P17" s="49" t="s">
        <v>130</v>
      </c>
      <c r="Q17" s="34" t="s">
        <v>103</v>
      </c>
      <c r="R17" s="42"/>
      <c r="S17" s="46"/>
      <c r="T17" s="42" t="s">
        <v>131</v>
      </c>
      <c r="U17" s="42" t="s">
        <v>105</v>
      </c>
      <c r="V17" s="42" t="s">
        <v>106</v>
      </c>
      <c r="W17" s="42"/>
      <c r="X17" s="42" t="s">
        <v>107</v>
      </c>
      <c r="Y17" t="str">
        <f>IFERROR(HYPERLINK("#'Main'!B"&amp;MATCH(TRIM(H17),Main!B:B,0),"Open"),HYPERLINK("#'Main'!B1","Open"))</f>
        <v>Open</v>
      </c>
      <c r="Z17" t="str">
        <f>IFERROR(INDEX('Content Optimisation Hub'!C:C,MATCH(H17,'Content Optimisation Hub'!F:F,0)),"Not in Hub")</f>
        <v>Not in Hub</v>
      </c>
    </row>
    <row r="18" spans="1:27" ht="105" customHeight="1" x14ac:dyDescent="0.25">
      <c r="A18" s="33" t="s">
        <v>151</v>
      </c>
      <c r="B18" s="47" t="s">
        <v>51</v>
      </c>
      <c r="C18" s="39">
        <v>67</v>
      </c>
      <c r="D18" s="36">
        <v>5</v>
      </c>
      <c r="E18" s="37" t="s">
        <v>152</v>
      </c>
      <c r="F18" s="33" t="s">
        <v>57</v>
      </c>
      <c r="G18" s="33" t="s">
        <v>97</v>
      </c>
      <c r="H18" s="50" t="s">
        <v>146</v>
      </c>
      <c r="I18" s="33" t="s">
        <v>121</v>
      </c>
      <c r="J18" s="38" t="s">
        <v>122</v>
      </c>
      <c r="K18" s="33" t="s">
        <v>111</v>
      </c>
      <c r="L18" s="33" t="s">
        <v>111</v>
      </c>
      <c r="M18" s="33" t="s">
        <v>129</v>
      </c>
      <c r="N18" s="33">
        <v>4</v>
      </c>
      <c r="O18" s="48">
        <v>2</v>
      </c>
      <c r="P18" s="49" t="s">
        <v>130</v>
      </c>
      <c r="Q18" s="34" t="s">
        <v>103</v>
      </c>
      <c r="R18" s="33"/>
      <c r="S18" s="40"/>
      <c r="T18" s="33" t="s">
        <v>131</v>
      </c>
      <c r="U18" s="33" t="s">
        <v>105</v>
      </c>
      <c r="V18" s="33" t="s">
        <v>106</v>
      </c>
      <c r="W18" s="33"/>
      <c r="X18" s="33" t="s">
        <v>107</v>
      </c>
      <c r="Y18" s="41" t="str">
        <f>IFERROR(HYPERLINK("#'Main'!B"&amp;MATCH(TRIM(H18),Main!B:B,0),"Open"),HYPERLINK("#'Main'!B1","Open"))</f>
        <v>Open</v>
      </c>
      <c r="Z18" s="41" t="str">
        <f>IFERROR(INDEX('Content Optimisation Hub'!C:C,MATCH(H18,'Content Optimisation Hub'!F:F,0)),"Not in Hub")</f>
        <v>Not in Hub</v>
      </c>
      <c r="AA18" s="41"/>
    </row>
    <row r="19" spans="1:27" ht="120" customHeight="1" x14ac:dyDescent="0.25">
      <c r="A19" s="42" t="s">
        <v>153</v>
      </c>
      <c r="B19" s="47" t="s">
        <v>51</v>
      </c>
      <c r="C19" s="39">
        <v>67</v>
      </c>
      <c r="D19" s="43">
        <v>5</v>
      </c>
      <c r="E19" s="44" t="s">
        <v>154</v>
      </c>
      <c r="F19" s="42" t="s">
        <v>57</v>
      </c>
      <c r="G19" s="42" t="s">
        <v>97</v>
      </c>
      <c r="H19" s="51" t="s">
        <v>155</v>
      </c>
      <c r="I19" s="42" t="s">
        <v>121</v>
      </c>
      <c r="J19" s="45" t="s">
        <v>122</v>
      </c>
      <c r="K19" s="42" t="s">
        <v>111</v>
      </c>
      <c r="L19" s="42" t="s">
        <v>111</v>
      </c>
      <c r="M19" s="42" t="s">
        <v>129</v>
      </c>
      <c r="N19" s="42">
        <v>4</v>
      </c>
      <c r="O19" s="48">
        <v>2</v>
      </c>
      <c r="P19" s="49" t="s">
        <v>130</v>
      </c>
      <c r="Q19" s="34" t="s">
        <v>103</v>
      </c>
      <c r="R19" s="42"/>
      <c r="S19" s="46"/>
      <c r="T19" s="42" t="s">
        <v>131</v>
      </c>
      <c r="U19" s="42" t="s">
        <v>105</v>
      </c>
      <c r="V19" s="42" t="s">
        <v>106</v>
      </c>
      <c r="W19" s="42"/>
      <c r="X19" s="42" t="s">
        <v>107</v>
      </c>
      <c r="Y19" t="str">
        <f>IFERROR(HYPERLINK("#'Main'!B"&amp;MATCH(TRIM(H19),Main!B:B,0),"Open"),HYPERLINK("#'Main'!B1","Open"))</f>
        <v>Open</v>
      </c>
      <c r="Z19" t="str">
        <f>IFERROR(INDEX('Content Optimisation Hub'!C:C,MATCH(H19,'Content Optimisation Hub'!F:F,0)),"Not in Hub")</f>
        <v>Not in Hub</v>
      </c>
    </row>
    <row r="20" spans="1:27" ht="30" customHeight="1" x14ac:dyDescent="0.25">
      <c r="A20" s="33" t="s">
        <v>156</v>
      </c>
      <c r="B20" s="47" t="s">
        <v>51</v>
      </c>
      <c r="C20" s="39">
        <v>67</v>
      </c>
      <c r="D20" s="36">
        <v>1</v>
      </c>
      <c r="E20" s="37" t="s">
        <v>157</v>
      </c>
      <c r="F20" s="33" t="s">
        <v>57</v>
      </c>
      <c r="G20" s="33" t="s">
        <v>97</v>
      </c>
      <c r="H20" s="50" t="s">
        <v>157</v>
      </c>
      <c r="I20" s="33" t="s">
        <v>158</v>
      </c>
      <c r="J20" s="38" t="s">
        <v>159</v>
      </c>
      <c r="K20" s="33" t="s">
        <v>111</v>
      </c>
      <c r="L20" s="33" t="s">
        <v>111</v>
      </c>
      <c r="M20" s="33" t="s">
        <v>129</v>
      </c>
      <c r="N20" s="33">
        <v>4</v>
      </c>
      <c r="O20" s="48">
        <v>2</v>
      </c>
      <c r="P20" s="49" t="s">
        <v>130</v>
      </c>
      <c r="Q20" s="34" t="s">
        <v>103</v>
      </c>
      <c r="R20" s="33"/>
      <c r="S20" s="40"/>
      <c r="T20" s="33" t="s">
        <v>131</v>
      </c>
      <c r="U20" s="33" t="s">
        <v>105</v>
      </c>
      <c r="V20" s="33" t="s">
        <v>106</v>
      </c>
      <c r="W20" s="33"/>
      <c r="X20" s="33" t="s">
        <v>107</v>
      </c>
      <c r="Y20" s="41" t="str">
        <f>IFERROR(HYPERLINK("#'Main'!B"&amp;MATCH(TRIM(H20),Main!B:B,0),"Open"),HYPERLINK("#'Main'!B1","Open"))</f>
        <v>Open</v>
      </c>
      <c r="Z20" s="41" t="str">
        <f>IFERROR(INDEX('Content Optimisation Hub'!C:C,MATCH(H20,'Content Optimisation Hub'!F:F,0)),"Not in Hub")</f>
        <v>Not in Hub</v>
      </c>
      <c r="AA20" s="41"/>
    </row>
    <row r="21" spans="1:27" ht="15.75" x14ac:dyDescent="0.25">
      <c r="A21" s="52" t="s">
        <v>160</v>
      </c>
      <c r="B21" s="53" t="s">
        <v>161</v>
      </c>
      <c r="C21" s="54">
        <v>37</v>
      </c>
      <c r="D21" s="43">
        <v>0</v>
      </c>
      <c r="E21" s="44"/>
      <c r="F21" s="42" t="s">
        <v>57</v>
      </c>
      <c r="G21" s="42" t="s">
        <v>97</v>
      </c>
      <c r="H21" s="44"/>
      <c r="I21" s="42" t="s">
        <v>121</v>
      </c>
      <c r="J21" s="45" t="s">
        <v>122</v>
      </c>
      <c r="K21" s="42" t="s">
        <v>115</v>
      </c>
      <c r="L21" s="42" t="s">
        <v>115</v>
      </c>
      <c r="M21" s="42" t="s">
        <v>129</v>
      </c>
      <c r="N21" s="42">
        <v>4</v>
      </c>
      <c r="O21" s="48">
        <v>2</v>
      </c>
      <c r="P21" s="53" t="s">
        <v>162</v>
      </c>
      <c r="Q21" s="42" t="s">
        <v>163</v>
      </c>
      <c r="R21" s="42"/>
      <c r="S21" s="46"/>
      <c r="T21" s="42" t="s">
        <v>164</v>
      </c>
      <c r="U21" s="42" t="s">
        <v>165</v>
      </c>
      <c r="V21" s="42" t="s">
        <v>106</v>
      </c>
      <c r="W21" s="42"/>
      <c r="X21" s="42" t="s">
        <v>107</v>
      </c>
      <c r="Y21" t="str">
        <f>IFERROR(HYPERLINK("#'Main'!B"&amp;MATCH(TRIM(H21),Main!B:B,0),"Open"),HYPERLINK("#'Main'!B1","Open"))</f>
        <v>Open</v>
      </c>
      <c r="Z21" t="str">
        <f>IFERROR(INDEX('Content Optimisation Hub'!C:C,MATCH(H21,'Content Optimisation Hub'!F:F,0)),"Not in Hub")</f>
        <v>Not in Hub</v>
      </c>
    </row>
    <row r="22" spans="1:27" ht="15.75" x14ac:dyDescent="0.25">
      <c r="A22" s="52" t="s">
        <v>166</v>
      </c>
      <c r="B22" s="53" t="s">
        <v>161</v>
      </c>
      <c r="C22" s="54">
        <v>37</v>
      </c>
      <c r="D22" s="36">
        <v>0</v>
      </c>
      <c r="E22" s="37"/>
      <c r="F22" s="33" t="s">
        <v>57</v>
      </c>
      <c r="G22" s="33" t="s">
        <v>117</v>
      </c>
      <c r="H22" s="37"/>
      <c r="I22" s="33" t="s">
        <v>121</v>
      </c>
      <c r="J22" s="38" t="s">
        <v>122</v>
      </c>
      <c r="K22" s="33" t="s">
        <v>100</v>
      </c>
      <c r="L22" s="33" t="s">
        <v>100</v>
      </c>
      <c r="M22" s="33" t="s">
        <v>129</v>
      </c>
      <c r="N22" s="33">
        <v>4</v>
      </c>
      <c r="O22" s="48">
        <v>2</v>
      </c>
      <c r="P22" s="53" t="s">
        <v>162</v>
      </c>
      <c r="Q22" s="33" t="s">
        <v>163</v>
      </c>
      <c r="R22" s="33"/>
      <c r="S22" s="40"/>
      <c r="T22" s="33" t="s">
        <v>164</v>
      </c>
      <c r="U22" s="33" t="s">
        <v>165</v>
      </c>
      <c r="V22" s="33" t="s">
        <v>106</v>
      </c>
      <c r="W22" s="33"/>
      <c r="X22" s="33" t="s">
        <v>107</v>
      </c>
      <c r="Y22" s="41" t="str">
        <f>IFERROR(HYPERLINK("#'Main'!B"&amp;MATCH(TRIM(H22),Main!B:B,0),"Open"),HYPERLINK("#'Main'!B1","Open"))</f>
        <v>Open</v>
      </c>
      <c r="Z22" s="41" t="str">
        <f>IFERROR(INDEX('Content Optimisation Hub'!C:C,MATCH(H22,'Content Optimisation Hub'!F:F,0)),"Not in Hub")</f>
        <v>Not in Hub</v>
      </c>
      <c r="AA22" s="41"/>
    </row>
    <row r="23" spans="1:27" ht="15.75" x14ac:dyDescent="0.25">
      <c r="A23" s="52" t="s">
        <v>167</v>
      </c>
      <c r="B23" s="53" t="s">
        <v>161</v>
      </c>
      <c r="C23" s="54">
        <v>37</v>
      </c>
      <c r="D23" s="43">
        <v>0</v>
      </c>
      <c r="E23" s="44"/>
      <c r="F23" s="42" t="s">
        <v>57</v>
      </c>
      <c r="G23" s="42" t="s">
        <v>117</v>
      </c>
      <c r="H23" s="44"/>
      <c r="I23" s="42" t="s">
        <v>121</v>
      </c>
      <c r="J23" s="45" t="s">
        <v>122</v>
      </c>
      <c r="K23" s="42" t="s">
        <v>100</v>
      </c>
      <c r="L23" s="42" t="s">
        <v>100</v>
      </c>
      <c r="M23" s="42" t="s">
        <v>129</v>
      </c>
      <c r="N23" s="42">
        <v>4</v>
      </c>
      <c r="O23" s="48">
        <v>2</v>
      </c>
      <c r="P23" s="53" t="s">
        <v>162</v>
      </c>
      <c r="Q23" s="42" t="s">
        <v>163</v>
      </c>
      <c r="R23" s="42"/>
      <c r="S23" s="46"/>
      <c r="T23" s="42" t="s">
        <v>164</v>
      </c>
      <c r="U23" s="42" t="s">
        <v>165</v>
      </c>
      <c r="V23" s="42" t="s">
        <v>106</v>
      </c>
      <c r="W23" s="42"/>
      <c r="X23" s="42" t="s">
        <v>107</v>
      </c>
      <c r="Y23" t="str">
        <f>IFERROR(HYPERLINK("#'Main'!B"&amp;MATCH(TRIM(H23),Main!B:B,0),"Open"),HYPERLINK("#'Main'!B1","Open"))</f>
        <v>Open</v>
      </c>
      <c r="Z23" t="str">
        <f>IFERROR(INDEX('Content Optimisation Hub'!C:C,MATCH(H23,'Content Optimisation Hub'!F:F,0)),"Not in Hub")</f>
        <v>Not in Hub</v>
      </c>
    </row>
    <row r="24" spans="1:27" ht="15.75" x14ac:dyDescent="0.25">
      <c r="A24" s="52" t="s">
        <v>168</v>
      </c>
      <c r="B24" s="53" t="s">
        <v>161</v>
      </c>
      <c r="C24" s="54">
        <v>37</v>
      </c>
      <c r="D24" s="36">
        <v>0</v>
      </c>
      <c r="E24" s="37"/>
      <c r="F24" s="33" t="s">
        <v>134</v>
      </c>
      <c r="G24" s="33" t="s">
        <v>97</v>
      </c>
      <c r="H24" s="37"/>
      <c r="I24" s="33" t="s">
        <v>169</v>
      </c>
      <c r="J24" s="38" t="s">
        <v>170</v>
      </c>
      <c r="K24" s="33" t="s">
        <v>111</v>
      </c>
      <c r="L24" s="33" t="s">
        <v>111</v>
      </c>
      <c r="M24" s="33" t="s">
        <v>129</v>
      </c>
      <c r="N24" s="33">
        <v>4</v>
      </c>
      <c r="O24" s="48">
        <v>2</v>
      </c>
      <c r="P24" s="53" t="s">
        <v>162</v>
      </c>
      <c r="Q24" s="33" t="s">
        <v>163</v>
      </c>
      <c r="R24" s="33"/>
      <c r="S24" s="40"/>
      <c r="T24" s="33" t="s">
        <v>164</v>
      </c>
      <c r="U24" s="33" t="s">
        <v>165</v>
      </c>
      <c r="V24" s="33" t="s">
        <v>106</v>
      </c>
      <c r="W24" s="33"/>
      <c r="X24" s="33" t="s">
        <v>137</v>
      </c>
      <c r="Y24" s="41" t="str">
        <f>IFERROR(HYPERLINK("#'Main'!B"&amp;MATCH(TRIM(H24),Main!B:B,0),"Open"),HYPERLINK("#'Main'!B1","Open"))</f>
        <v>Open</v>
      </c>
      <c r="Z24" s="41" t="str">
        <f>IFERROR(INDEX('Content Optimisation Hub'!C:C,MATCH(H24,'Content Optimisation Hub'!F:F,0)),"Not in Hub")</f>
        <v>Not in Hub</v>
      </c>
      <c r="AA24" s="41"/>
    </row>
    <row r="25" spans="1:27" ht="15.75" x14ac:dyDescent="0.25">
      <c r="A25" s="52" t="s">
        <v>171</v>
      </c>
      <c r="B25" s="53" t="s">
        <v>161</v>
      </c>
      <c r="C25" s="54">
        <v>37</v>
      </c>
      <c r="D25" s="43">
        <v>0</v>
      </c>
      <c r="E25" s="44"/>
      <c r="F25" s="42" t="s">
        <v>57</v>
      </c>
      <c r="G25" s="42" t="s">
        <v>97</v>
      </c>
      <c r="H25" s="44"/>
      <c r="I25" s="42" t="s">
        <v>121</v>
      </c>
      <c r="J25" s="45" t="s">
        <v>122</v>
      </c>
      <c r="K25" s="42" t="s">
        <v>111</v>
      </c>
      <c r="L25" s="42" t="s">
        <v>111</v>
      </c>
      <c r="M25" s="42" t="s">
        <v>129</v>
      </c>
      <c r="N25" s="42">
        <v>4</v>
      </c>
      <c r="O25" s="48">
        <v>2</v>
      </c>
      <c r="P25" s="53" t="s">
        <v>162</v>
      </c>
      <c r="Q25" s="42" t="s">
        <v>163</v>
      </c>
      <c r="R25" s="42"/>
      <c r="S25" s="46"/>
      <c r="T25" s="42" t="s">
        <v>164</v>
      </c>
      <c r="U25" s="42" t="s">
        <v>165</v>
      </c>
      <c r="V25" s="42" t="s">
        <v>106</v>
      </c>
      <c r="W25" s="42"/>
      <c r="X25" s="42" t="s">
        <v>107</v>
      </c>
      <c r="Y25" t="str">
        <f>IFERROR(HYPERLINK("#'Main'!B"&amp;MATCH(TRIM(H25),Main!B:B,0),"Open"),HYPERLINK("#'Main'!B1","Open"))</f>
        <v>Open</v>
      </c>
      <c r="Z25" t="str">
        <f>IFERROR(INDEX('Content Optimisation Hub'!C:C,MATCH(H25,'Content Optimisation Hub'!F:F,0)),"Not in Hub")</f>
        <v>Not in Hub</v>
      </c>
    </row>
    <row r="26" spans="1:27" ht="15.75" x14ac:dyDescent="0.25">
      <c r="A26" s="52" t="s">
        <v>172</v>
      </c>
      <c r="B26" s="53" t="s">
        <v>161</v>
      </c>
      <c r="C26" s="54">
        <v>37</v>
      </c>
      <c r="D26" s="36">
        <v>0</v>
      </c>
      <c r="E26" s="37"/>
      <c r="F26" s="33" t="s">
        <v>57</v>
      </c>
      <c r="G26" s="33" t="s">
        <v>97</v>
      </c>
      <c r="H26" s="37"/>
      <c r="I26" s="33" t="s">
        <v>121</v>
      </c>
      <c r="J26" s="38" t="s">
        <v>122</v>
      </c>
      <c r="K26" s="33" t="s">
        <v>111</v>
      </c>
      <c r="L26" s="33" t="s">
        <v>111</v>
      </c>
      <c r="M26" s="33" t="s">
        <v>129</v>
      </c>
      <c r="N26" s="33">
        <v>4</v>
      </c>
      <c r="O26" s="48">
        <v>2</v>
      </c>
      <c r="P26" s="53" t="s">
        <v>162</v>
      </c>
      <c r="Q26" s="33" t="s">
        <v>163</v>
      </c>
      <c r="R26" s="33"/>
      <c r="S26" s="40"/>
      <c r="T26" s="33" t="s">
        <v>164</v>
      </c>
      <c r="U26" s="33" t="s">
        <v>165</v>
      </c>
      <c r="V26" s="33" t="s">
        <v>106</v>
      </c>
      <c r="W26" s="33"/>
      <c r="X26" s="33" t="s">
        <v>107</v>
      </c>
      <c r="Y26" s="41" t="str">
        <f>IFERROR(HYPERLINK("#'Main'!B"&amp;MATCH(TRIM(H26),Main!B:B,0),"Open"),HYPERLINK("#'Main'!B1","Open"))</f>
        <v>Open</v>
      </c>
      <c r="Z26" s="41" t="str">
        <f>IFERROR(INDEX('Content Optimisation Hub'!C:C,MATCH(H26,'Content Optimisation Hub'!F:F,0)),"Not in Hub")</f>
        <v>Not in Hub</v>
      </c>
      <c r="AA26" s="41"/>
    </row>
    <row r="27" spans="1:27" ht="15.75" x14ac:dyDescent="0.25">
      <c r="A27" s="52" t="s">
        <v>173</v>
      </c>
      <c r="B27" s="53" t="s">
        <v>161</v>
      </c>
      <c r="C27" s="54">
        <v>37</v>
      </c>
      <c r="D27" s="43">
        <v>0</v>
      </c>
      <c r="E27" s="44"/>
      <c r="F27" s="42" t="s">
        <v>57</v>
      </c>
      <c r="G27" s="42" t="s">
        <v>97</v>
      </c>
      <c r="H27" s="44"/>
      <c r="I27" s="42" t="s">
        <v>121</v>
      </c>
      <c r="J27" s="45" t="s">
        <v>122</v>
      </c>
      <c r="K27" s="42" t="s">
        <v>111</v>
      </c>
      <c r="L27" s="42" t="s">
        <v>111</v>
      </c>
      <c r="M27" s="42" t="s">
        <v>129</v>
      </c>
      <c r="N27" s="42">
        <v>4</v>
      </c>
      <c r="O27" s="48">
        <v>2</v>
      </c>
      <c r="P27" s="53" t="s">
        <v>162</v>
      </c>
      <c r="Q27" s="42" t="s">
        <v>163</v>
      </c>
      <c r="R27" s="42"/>
      <c r="S27" s="46"/>
      <c r="T27" s="42" t="s">
        <v>164</v>
      </c>
      <c r="U27" s="42" t="s">
        <v>165</v>
      </c>
      <c r="V27" s="42" t="s">
        <v>106</v>
      </c>
      <c r="W27" s="42"/>
      <c r="X27" s="42" t="s">
        <v>107</v>
      </c>
      <c r="Y27" t="str">
        <f>IFERROR(HYPERLINK("#'Main'!B"&amp;MATCH(TRIM(H27),Main!B:B,0),"Open"),HYPERLINK("#'Main'!B1","Open"))</f>
        <v>Open</v>
      </c>
      <c r="Z27" t="str">
        <f>IFERROR(INDEX('Content Optimisation Hub'!C:C,MATCH(H27,'Content Optimisation Hub'!F:F,0)),"Not in Hub")</f>
        <v>Not in Hub</v>
      </c>
    </row>
    <row r="28" spans="1:27" ht="15.75" x14ac:dyDescent="0.25">
      <c r="A28" s="52" t="s">
        <v>174</v>
      </c>
      <c r="B28" s="53" t="s">
        <v>161</v>
      </c>
      <c r="C28" s="54">
        <v>37</v>
      </c>
      <c r="D28" s="36">
        <v>0</v>
      </c>
      <c r="E28" s="37"/>
      <c r="F28" s="33" t="s">
        <v>57</v>
      </c>
      <c r="G28" s="33" t="s">
        <v>97</v>
      </c>
      <c r="H28" s="37"/>
      <c r="I28" s="33" t="s">
        <v>121</v>
      </c>
      <c r="J28" s="38" t="s">
        <v>122</v>
      </c>
      <c r="K28" s="33" t="s">
        <v>111</v>
      </c>
      <c r="L28" s="33" t="s">
        <v>111</v>
      </c>
      <c r="M28" s="33" t="s">
        <v>129</v>
      </c>
      <c r="N28" s="33">
        <v>4</v>
      </c>
      <c r="O28" s="48">
        <v>2</v>
      </c>
      <c r="P28" s="53" t="s">
        <v>162</v>
      </c>
      <c r="Q28" s="33" t="s">
        <v>163</v>
      </c>
      <c r="R28" s="33"/>
      <c r="S28" s="40"/>
      <c r="T28" s="33" t="s">
        <v>164</v>
      </c>
      <c r="U28" s="33" t="s">
        <v>165</v>
      </c>
      <c r="V28" s="33" t="s">
        <v>106</v>
      </c>
      <c r="W28" s="33"/>
      <c r="X28" s="33" t="s">
        <v>107</v>
      </c>
      <c r="Y28" s="41" t="str">
        <f>IFERROR(HYPERLINK("#'Main'!B"&amp;MATCH(TRIM(H28),Main!B:B,0),"Open"),HYPERLINK("#'Main'!B1","Open"))</f>
        <v>Open</v>
      </c>
      <c r="Z28" s="41" t="str">
        <f>IFERROR(INDEX('Content Optimisation Hub'!C:C,MATCH(H28,'Content Optimisation Hub'!F:F,0)),"Not in Hub")</f>
        <v>Not in Hub</v>
      </c>
      <c r="AA28" s="41"/>
    </row>
    <row r="29" spans="1:27" ht="15.75" x14ac:dyDescent="0.25">
      <c r="A29" s="52" t="s">
        <v>175</v>
      </c>
      <c r="B29" s="53" t="s">
        <v>161</v>
      </c>
      <c r="C29" s="54">
        <v>37</v>
      </c>
      <c r="D29" s="43">
        <v>1</v>
      </c>
      <c r="E29" s="44" t="s">
        <v>176</v>
      </c>
      <c r="F29" s="42" t="s">
        <v>125</v>
      </c>
      <c r="G29" s="42" t="s">
        <v>97</v>
      </c>
      <c r="H29" s="51" t="s">
        <v>176</v>
      </c>
      <c r="I29" s="42" t="s">
        <v>121</v>
      </c>
      <c r="J29" s="45" t="s">
        <v>122</v>
      </c>
      <c r="K29" s="42" t="s">
        <v>111</v>
      </c>
      <c r="L29" s="42" t="s">
        <v>111</v>
      </c>
      <c r="M29" s="42" t="s">
        <v>129</v>
      </c>
      <c r="N29" s="42">
        <v>4</v>
      </c>
      <c r="O29" s="48">
        <v>2</v>
      </c>
      <c r="P29" s="53" t="s">
        <v>162</v>
      </c>
      <c r="Q29" s="42" t="s">
        <v>163</v>
      </c>
      <c r="R29" s="42"/>
      <c r="S29" s="46"/>
      <c r="T29" s="42" t="s">
        <v>164</v>
      </c>
      <c r="U29" s="42" t="s">
        <v>165</v>
      </c>
      <c r="V29" s="42" t="s">
        <v>106</v>
      </c>
      <c r="W29" s="42"/>
      <c r="X29" s="42" t="s">
        <v>107</v>
      </c>
      <c r="Y29" t="str">
        <f>IFERROR(HYPERLINK("#'Main'!B"&amp;MATCH(TRIM(H29),Main!B:B,0),"Open"),HYPERLINK("#'Main'!B1","Open"))</f>
        <v>Open</v>
      </c>
      <c r="Z29" t="str">
        <f>IFERROR(INDEX('Content Optimisation Hub'!C:C,MATCH(H29,'Content Optimisation Hub'!F:F,0)),"Not in Hub")</f>
        <v>Not in Hub</v>
      </c>
    </row>
    <row r="30" spans="1:27" ht="30" customHeight="1" x14ac:dyDescent="0.25">
      <c r="A30" s="52" t="s">
        <v>177</v>
      </c>
      <c r="B30" s="53" t="s">
        <v>161</v>
      </c>
      <c r="C30" s="54">
        <v>37</v>
      </c>
      <c r="D30" s="36">
        <v>12</v>
      </c>
      <c r="E30" s="37" t="s">
        <v>150</v>
      </c>
      <c r="F30" s="33" t="s">
        <v>57</v>
      </c>
      <c r="G30" s="33" t="s">
        <v>117</v>
      </c>
      <c r="H30" s="50" t="s">
        <v>178</v>
      </c>
      <c r="I30" s="33" t="s">
        <v>179</v>
      </c>
      <c r="J30" s="38" t="s">
        <v>180</v>
      </c>
      <c r="K30" s="33" t="s">
        <v>111</v>
      </c>
      <c r="L30" s="33" t="s">
        <v>111</v>
      </c>
      <c r="M30" s="33" t="s">
        <v>129</v>
      </c>
      <c r="N30" s="33">
        <v>4</v>
      </c>
      <c r="O30" s="48">
        <v>2</v>
      </c>
      <c r="P30" s="53" t="s">
        <v>162</v>
      </c>
      <c r="Q30" s="33" t="s">
        <v>163</v>
      </c>
      <c r="R30" s="33"/>
      <c r="S30" s="40"/>
      <c r="T30" s="33" t="s">
        <v>164</v>
      </c>
      <c r="U30" s="33" t="s">
        <v>165</v>
      </c>
      <c r="V30" s="33" t="s">
        <v>106</v>
      </c>
      <c r="W30" s="33"/>
      <c r="X30" s="33" t="s">
        <v>107</v>
      </c>
      <c r="Y30" s="41" t="str">
        <f>IFERROR(HYPERLINK("#'Main'!B"&amp;MATCH(TRIM(H30),Main!B:B,0),"Open"),HYPERLINK("#'Main'!B1","Open"))</f>
        <v>Open</v>
      </c>
      <c r="Z30" s="41" t="str">
        <f>IFERROR(INDEX('Content Optimisation Hub'!C:C,MATCH(H30,'Content Optimisation Hub'!F:F,0)),"Not in Hub")</f>
        <v>Not in Hub</v>
      </c>
      <c r="AA30" s="41"/>
    </row>
    <row r="31" spans="1:27" ht="30" customHeight="1" x14ac:dyDescent="0.25">
      <c r="A31" s="52" t="s">
        <v>35</v>
      </c>
      <c r="B31" s="53" t="s">
        <v>161</v>
      </c>
      <c r="C31" s="54">
        <v>37</v>
      </c>
      <c r="D31" s="43">
        <v>20</v>
      </c>
      <c r="E31" s="44" t="s">
        <v>150</v>
      </c>
      <c r="F31" s="42" t="s">
        <v>57</v>
      </c>
      <c r="G31" s="42" t="s">
        <v>117</v>
      </c>
      <c r="H31" s="51" t="s">
        <v>146</v>
      </c>
      <c r="I31" s="42" t="s">
        <v>121</v>
      </c>
      <c r="J31" s="45" t="s">
        <v>122</v>
      </c>
      <c r="K31" s="42" t="s">
        <v>100</v>
      </c>
      <c r="L31" s="42" t="s">
        <v>100</v>
      </c>
      <c r="M31" s="42" t="s">
        <v>129</v>
      </c>
      <c r="N31" s="42">
        <v>4</v>
      </c>
      <c r="O31" s="48">
        <v>2</v>
      </c>
      <c r="P31" s="53" t="s">
        <v>162</v>
      </c>
      <c r="Q31" s="42" t="s">
        <v>163</v>
      </c>
      <c r="R31" s="42"/>
      <c r="S31" s="46"/>
      <c r="T31" s="42" t="s">
        <v>164</v>
      </c>
      <c r="U31" s="42" t="s">
        <v>165</v>
      </c>
      <c r="V31" s="42" t="s">
        <v>106</v>
      </c>
      <c r="W31" s="42"/>
      <c r="X31" s="42" t="s">
        <v>107</v>
      </c>
      <c r="Y31" t="str">
        <f>IFERROR(HYPERLINK("#'Main'!B"&amp;MATCH(TRIM(H31),Main!B:B,0),"Open"),HYPERLINK("#'Main'!B1","Open"))</f>
        <v>Open</v>
      </c>
      <c r="Z31" t="str">
        <f>IFERROR(INDEX('Content Optimisation Hub'!C:C,MATCH(H31,'Content Optimisation Hub'!F:F,0)),"Not in Hub")</f>
        <v>Not in Hub</v>
      </c>
    </row>
    <row r="32" spans="1:27" ht="30" customHeight="1" x14ac:dyDescent="0.25">
      <c r="A32" s="52" t="s">
        <v>181</v>
      </c>
      <c r="B32" s="53" t="s">
        <v>161</v>
      </c>
      <c r="C32" s="54">
        <v>37</v>
      </c>
      <c r="D32" s="36">
        <v>20</v>
      </c>
      <c r="E32" s="37" t="s">
        <v>145</v>
      </c>
      <c r="F32" s="33" t="s">
        <v>134</v>
      </c>
      <c r="G32" s="33" t="s">
        <v>117</v>
      </c>
      <c r="H32" s="50" t="s">
        <v>146</v>
      </c>
      <c r="I32" s="33" t="s">
        <v>182</v>
      </c>
      <c r="J32" s="38" t="s">
        <v>183</v>
      </c>
      <c r="K32" s="33" t="s">
        <v>111</v>
      </c>
      <c r="L32" s="33" t="s">
        <v>111</v>
      </c>
      <c r="M32" s="33" t="s">
        <v>129</v>
      </c>
      <c r="N32" s="33">
        <v>4</v>
      </c>
      <c r="O32" s="48">
        <v>2</v>
      </c>
      <c r="P32" s="53" t="s">
        <v>162</v>
      </c>
      <c r="Q32" s="33" t="s">
        <v>163</v>
      </c>
      <c r="R32" s="33"/>
      <c r="S32" s="40"/>
      <c r="T32" s="33" t="s">
        <v>164</v>
      </c>
      <c r="U32" s="33" t="s">
        <v>165</v>
      </c>
      <c r="V32" s="33" t="s">
        <v>106</v>
      </c>
      <c r="W32" s="33"/>
      <c r="X32" s="33" t="s">
        <v>137</v>
      </c>
      <c r="Y32" s="41" t="str">
        <f>IFERROR(HYPERLINK("#'Main'!B"&amp;MATCH(TRIM(H32),Main!B:B,0),"Open"),HYPERLINK("#'Main'!B1","Open"))</f>
        <v>Open</v>
      </c>
      <c r="Z32" s="41" t="str">
        <f>IFERROR(INDEX('Content Optimisation Hub'!C:C,MATCH(H32,'Content Optimisation Hub'!F:F,0)),"Not in Hub")</f>
        <v>Not in Hub</v>
      </c>
      <c r="AA32" s="41"/>
    </row>
    <row r="33" spans="1:27" ht="30" customHeight="1" x14ac:dyDescent="0.25">
      <c r="A33" s="52" t="s">
        <v>184</v>
      </c>
      <c r="B33" s="53" t="s">
        <v>161</v>
      </c>
      <c r="C33" s="54">
        <v>37</v>
      </c>
      <c r="D33" s="43">
        <v>20</v>
      </c>
      <c r="E33" s="44" t="s">
        <v>145</v>
      </c>
      <c r="F33" s="42" t="s">
        <v>134</v>
      </c>
      <c r="G33" s="42" t="s">
        <v>117</v>
      </c>
      <c r="H33" s="51" t="s">
        <v>146</v>
      </c>
      <c r="I33" s="42" t="s">
        <v>185</v>
      </c>
      <c r="J33" s="45" t="s">
        <v>186</v>
      </c>
      <c r="K33" s="42" t="s">
        <v>111</v>
      </c>
      <c r="L33" s="42" t="s">
        <v>111</v>
      </c>
      <c r="M33" s="42" t="s">
        <v>129</v>
      </c>
      <c r="N33" s="42">
        <v>4</v>
      </c>
      <c r="O33" s="48">
        <v>2</v>
      </c>
      <c r="P33" s="53" t="s">
        <v>162</v>
      </c>
      <c r="Q33" s="42" t="s">
        <v>163</v>
      </c>
      <c r="R33" s="42"/>
      <c r="S33" s="46"/>
      <c r="T33" s="42" t="s">
        <v>164</v>
      </c>
      <c r="U33" s="42" t="s">
        <v>165</v>
      </c>
      <c r="V33" s="42" t="s">
        <v>106</v>
      </c>
      <c r="W33" s="42"/>
      <c r="X33" s="42" t="s">
        <v>137</v>
      </c>
      <c r="Y33" t="str">
        <f>IFERROR(HYPERLINK("#'Main'!B"&amp;MATCH(TRIM(H33),Main!B:B,0),"Open"),HYPERLINK("#'Main'!B1","Open"))</f>
        <v>Open</v>
      </c>
      <c r="Z33" t="str">
        <f>IFERROR(INDEX('Content Optimisation Hub'!C:C,MATCH(H33,'Content Optimisation Hub'!F:F,0)),"Not in Hub")</f>
        <v>Not in Hub</v>
      </c>
    </row>
    <row r="34" spans="1:27" ht="30" customHeight="1" x14ac:dyDescent="0.25">
      <c r="A34" s="52" t="s">
        <v>187</v>
      </c>
      <c r="B34" s="53" t="s">
        <v>161</v>
      </c>
      <c r="C34" s="54">
        <v>37</v>
      </c>
      <c r="D34" s="36">
        <v>20</v>
      </c>
      <c r="E34" s="37" t="s">
        <v>150</v>
      </c>
      <c r="F34" s="33" t="s">
        <v>57</v>
      </c>
      <c r="G34" s="33" t="s">
        <v>117</v>
      </c>
      <c r="H34" s="50" t="s">
        <v>146</v>
      </c>
      <c r="I34" s="33" t="s">
        <v>121</v>
      </c>
      <c r="J34" s="38" t="s">
        <v>122</v>
      </c>
      <c r="K34" s="33" t="s">
        <v>111</v>
      </c>
      <c r="L34" s="33" t="s">
        <v>111</v>
      </c>
      <c r="M34" s="33" t="s">
        <v>129</v>
      </c>
      <c r="N34" s="33">
        <v>4</v>
      </c>
      <c r="O34" s="48">
        <v>2</v>
      </c>
      <c r="P34" s="53" t="s">
        <v>162</v>
      </c>
      <c r="Q34" s="33" t="s">
        <v>163</v>
      </c>
      <c r="R34" s="33"/>
      <c r="S34" s="40"/>
      <c r="T34" s="33" t="s">
        <v>164</v>
      </c>
      <c r="U34" s="33" t="s">
        <v>165</v>
      </c>
      <c r="V34" s="33" t="s">
        <v>106</v>
      </c>
      <c r="W34" s="33"/>
      <c r="X34" s="33" t="s">
        <v>107</v>
      </c>
      <c r="Y34" s="41" t="str">
        <f>IFERROR(HYPERLINK("#'Main'!B"&amp;MATCH(TRIM(H34),Main!B:B,0),"Open"),HYPERLINK("#'Main'!B1","Open"))</f>
        <v>Open</v>
      </c>
      <c r="Z34" s="41" t="str">
        <f>IFERROR(INDEX('Content Optimisation Hub'!C:C,MATCH(H34,'Content Optimisation Hub'!F:F,0)),"Not in Hub")</f>
        <v>Not in Hub</v>
      </c>
      <c r="AA34" s="41"/>
    </row>
    <row r="35" spans="1:27" ht="30" customHeight="1" x14ac:dyDescent="0.25">
      <c r="A35" s="52" t="s">
        <v>188</v>
      </c>
      <c r="B35" s="53" t="s">
        <v>161</v>
      </c>
      <c r="C35" s="54">
        <v>37</v>
      </c>
      <c r="D35" s="43">
        <v>1</v>
      </c>
      <c r="E35" s="44" t="s">
        <v>189</v>
      </c>
      <c r="F35" s="42" t="s">
        <v>57</v>
      </c>
      <c r="G35" s="42" t="s">
        <v>97</v>
      </c>
      <c r="H35" s="51" t="s">
        <v>189</v>
      </c>
      <c r="I35" s="42" t="s">
        <v>121</v>
      </c>
      <c r="J35" s="45" t="s">
        <v>122</v>
      </c>
      <c r="K35" s="42" t="s">
        <v>111</v>
      </c>
      <c r="L35" s="42" t="s">
        <v>111</v>
      </c>
      <c r="M35" s="42" t="s">
        <v>129</v>
      </c>
      <c r="N35" s="42">
        <v>4</v>
      </c>
      <c r="O35" s="48">
        <v>2</v>
      </c>
      <c r="P35" s="53" t="s">
        <v>162</v>
      </c>
      <c r="Q35" s="42" t="s">
        <v>163</v>
      </c>
      <c r="R35" s="42"/>
      <c r="S35" s="46"/>
      <c r="T35" s="42" t="s">
        <v>164</v>
      </c>
      <c r="U35" s="42" t="s">
        <v>165</v>
      </c>
      <c r="V35" s="42" t="s">
        <v>106</v>
      </c>
      <c r="W35" s="42"/>
      <c r="X35" s="42" t="s">
        <v>107</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8" priority="1" operator="greaterThanOrEqual">
      <formula>85</formula>
    </cfRule>
    <cfRule type="cellIs" dxfId="117" priority="2" operator="between">
      <formula>65</formula>
      <formula>84</formula>
    </cfRule>
  </conditionalFormatting>
  <conditionalFormatting sqref="Q2:Q35">
    <cfRule type="expression" dxfId="116" priority="5" stopIfTrue="1">
      <formula>LOWER(Q2)="done"</formula>
    </cfRule>
    <cfRule type="expression" dxfId="115" priority="6" stopIfTrue="1">
      <formula>OR(LOWER(Q2)="to do",LOWER(Q2)="in progress",LOWER(Q2)="in review")</formula>
    </cfRule>
  </conditionalFormatting>
  <conditionalFormatting sqref="U2:U35">
    <cfRule type="expression" dxfId="114" priority="3" stopIfTrue="1">
      <formula>LOWER(U2)="yes"</formula>
    </cfRule>
    <cfRule type="expression" dxfId="113"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Technical Diagnostics'!A1" display="Canonical targets a different URL variant." xr:uid="{00000000-0004-0000-0200-000004000000}"/>
    <hyperlink ref="J6" location="'Content &amp; AI Readiness'!A1" display="Template/technical implementation quality issue." xr:uid="{00000000-0004-0000-0200-000005000000}"/>
    <hyperlink ref="J7" location="'Technical Diagnostics'!A1" display="Template/technical implementation quality issue." xr:uid="{00000000-0004-0000-0200-000006000000}"/>
    <hyperlink ref="J8" location="'Technical Diagnostics'!A1" display="Internal links resolve to missing or error pages." xr:uid="{00000000-0004-0000-0200-000007000000}"/>
    <hyperlink ref="J9" location="'Technical Diagnostics'!A1" display="Template/technical implementation quality issue." xr:uid="{00000000-0004-0000-0200-000008000000}"/>
    <hyperlink ref="J10" location="'Technical Diagnostics'!A1" display="Template/technical implementation quality issue." xr:uid="{00000000-0004-0000-0200-000009000000}"/>
    <hyperlink ref="J11" location="'Link Intelligence'!A1" display="Question-style content without matching FAQPage/QAPage JSON-LD." xr:uid="{00000000-0004-0000-0200-00000A000000}"/>
    <hyperlink ref="J12" location="'Technical Diagnostics'!A1" display="Template/technical implementation quality issue." xr:uid="{00000000-0004-0000-0200-00000B000000}"/>
    <hyperlink ref="J13" location="'Technical Diagnostics'!A1" display="HTTPS page references insecure HTTP assets." xr:uid="{00000000-0004-0000-0200-00000C000000}"/>
    <hyperlink ref="J14" location="'Technical Diagnostics'!A1" display="Template/technical implementation quality issue." xr:uid="{00000000-0004-0000-0200-00000D000000}"/>
    <hyperlink ref="J15" location="'Technical Diagnostics'!A1" display="Template/technical implementation quality issue." xr:uid="{00000000-0004-0000-0200-00000E000000}"/>
    <hyperlink ref="H16" r:id="rId1" xr:uid="{00000000-0004-0000-0200-00000F000000}"/>
    <hyperlink ref="J16" location="'Technical Diagnostics'!A1" display="Weighted AEO score is below the 70-point extraction-confidence band." xr:uid="{00000000-0004-0000-0200-000010000000}"/>
    <hyperlink ref="H17" r:id="rId2" xr:uid="{00000000-0004-0000-0200-000011000000}"/>
    <hyperlink ref="J17" location="'Technical Diagnostics'!A1" display="Template/technical implementation quality issue." xr:uid="{00000000-0004-0000-0200-000012000000}"/>
    <hyperlink ref="H18" r:id="rId3" xr:uid="{00000000-0004-0000-0200-000013000000}"/>
    <hyperlink ref="J18" location="'Technical Diagnostics'!A1" display="Template/technical implementation quality issue." xr:uid="{00000000-0004-0000-0200-000014000000}"/>
    <hyperlink ref="H19" r:id="rId4" xr:uid="{00000000-0004-0000-0200-000015000000}"/>
    <hyperlink ref="J19" location="'Technical Diagnostics'!A1" display="Template/technical implementation quality issue." xr:uid="{00000000-0004-0000-0200-000016000000}"/>
    <hyperlink ref="H20" r:id="rId5" xr:uid="{00000000-0004-0000-0200-000017000000}"/>
    <hyperlink ref="J20" location="'Link Intelligence'!A1" display="Meta description missing or empty." xr:uid="{00000000-0004-0000-0200-000018000000}"/>
    <hyperlink ref="J21" location="'Technical Diagnostics'!A1" display="Template/technical implementation quality issue." xr:uid="{00000000-0004-0000-0200-000019000000}"/>
    <hyperlink ref="J22" location="'Technical Diagnostics'!A1" display="Template/technical implementation quality issue." xr:uid="{00000000-0004-0000-0200-00001A000000}"/>
    <hyperlink ref="J23" location="'Technical Diagnostics'!A1" display="Template/technical implementation quality issue." xr:uid="{00000000-0004-0000-0200-00001B000000}"/>
    <hyperlink ref="J24" location="'Content &amp; AI Readiness'!A1" display="Dense prose without lists or tables where facts could be chunked." xr:uid="{00000000-0004-0000-0200-00001C000000}"/>
    <hyperlink ref="J25" location="'Technical Diagnostics'!A1" display="Template/technical implementation quality issue." xr:uid="{00000000-0004-0000-0200-00001D000000}"/>
    <hyperlink ref="J26" location="'Technical Diagnostics'!A1" display="Template/technical implementation quality issue." xr:uid="{00000000-0004-0000-0200-00001E000000}"/>
    <hyperlink ref="J27" location="'Technical Diagnostics'!A1" display="Template/technical implementation quality issue." xr:uid="{00000000-0004-0000-0200-00001F000000}"/>
    <hyperlink ref="J28" location="'Technical Diagnostics'!A1" display="Template/technical implementation quality issue." xr:uid="{00000000-0004-0000-0200-000020000000}"/>
    <hyperlink ref="H29" r:id="rId6" xr:uid="{00000000-0004-0000-0200-000021000000}"/>
    <hyperlink ref="J29" location="'Technical Diagnostics'!A1" display="Template/technical implementation quality issue." xr:uid="{00000000-0004-0000-0200-000022000000}"/>
    <hyperlink ref="H30" r:id="rId7" xr:uid="{00000000-0004-0000-0200-000023000000}"/>
    <hyperlink ref="J30" location="'Technical Diagnostics'!A1" display="Insufficient body content for indexing confidence." xr:uid="{00000000-0004-0000-0200-000024000000}"/>
    <hyperlink ref="H31" r:id="rId8" xr:uid="{00000000-0004-0000-0200-000025000000}"/>
    <hyperlink ref="J31" location="'Content &amp; AI Readiness'!A1" display="Template/technical implementation quality issue." xr:uid="{00000000-0004-0000-0200-000026000000}"/>
    <hyperlink ref="H32" r:id="rId9" xr:uid="{00000000-0004-0000-0200-000027000000}"/>
    <hyperlink ref="J32" location="'Technical Diagnostics'!A1" display="Headings are not phrased as user questions." xr:uid="{00000000-0004-0000-0200-000028000000}"/>
    <hyperlink ref="H33" r:id="rId10" xr:uid="{00000000-0004-0000-0200-000029000000}"/>
    <hyperlink ref="J33" location="'Technical Diagnostics'!A1" display="No 40–60 word definitional paragraph directly under a question-style H2/H3." xr:uid="{00000000-0004-0000-0200-00002A000000}"/>
    <hyperlink ref="H34" r:id="rId11" xr:uid="{00000000-0004-0000-0200-00002B000000}"/>
    <hyperlink ref="J34" location="'Technical Diagnostics'!A1" display="Template/technical implementation quality issue." xr:uid="{00000000-0004-0000-0200-00002C000000}"/>
    <hyperlink ref="H35" r:id="rId12" xr:uid="{00000000-0004-0000-0200-00002D000000}"/>
    <hyperlink ref="J35" location="'Technical Diagnostics'!A1" display="Template/technical implementation quality issue." xr:uid="{00000000-0004-0000-0200-00002E000000}"/>
  </hyperlinks>
  <pageMargins left="0.75" right="0.75" top="1" bottom="1" header="0.5" footer="0.5"/>
  <legacy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31" t="s">
        <v>78</v>
      </c>
      <c r="B1" s="31" t="s">
        <v>190</v>
      </c>
      <c r="C1" s="31" t="s">
        <v>191</v>
      </c>
      <c r="D1" s="31" t="s">
        <v>192</v>
      </c>
      <c r="E1" s="31" t="s">
        <v>193</v>
      </c>
      <c r="F1" s="31" t="s">
        <v>194</v>
      </c>
      <c r="G1" s="31" t="s">
        <v>195</v>
      </c>
      <c r="H1" s="31" t="s">
        <v>196</v>
      </c>
      <c r="I1" s="31" t="s">
        <v>197</v>
      </c>
      <c r="J1" s="31" t="s">
        <v>89</v>
      </c>
      <c r="K1" s="31" t="s">
        <v>198</v>
      </c>
      <c r="L1" s="31" t="s">
        <v>67</v>
      </c>
      <c r="M1" s="31" t="s">
        <v>25</v>
      </c>
      <c r="N1" s="31" t="s">
        <v>91</v>
      </c>
      <c r="O1" s="31" t="s">
        <v>199</v>
      </c>
      <c r="P1" s="31" t="s">
        <v>200</v>
      </c>
      <c r="Q1" s="31" t="s">
        <v>201</v>
      </c>
      <c r="R1" s="31" t="s">
        <v>93</v>
      </c>
      <c r="S1" s="31" t="s">
        <v>202</v>
      </c>
      <c r="T1" s="32" t="s">
        <v>95</v>
      </c>
    </row>
    <row r="2" spans="1:20" ht="30" customHeight="1" x14ac:dyDescent="0.25">
      <c r="A2" s="50" t="s">
        <v>157</v>
      </c>
      <c r="B2" s="33">
        <v>90</v>
      </c>
      <c r="C2" s="47" t="s">
        <v>51</v>
      </c>
      <c r="D2" s="55">
        <v>50</v>
      </c>
      <c r="E2" s="33">
        <v>0</v>
      </c>
      <c r="F2" s="33">
        <v>0</v>
      </c>
      <c r="G2" s="33" t="s">
        <v>203</v>
      </c>
      <c r="H2" s="33">
        <v>0</v>
      </c>
      <c r="I2" s="33">
        <v>4</v>
      </c>
      <c r="J2" s="33" t="s">
        <v>105</v>
      </c>
      <c r="K2" s="33" t="s">
        <v>164</v>
      </c>
      <c r="L2" s="33" t="s">
        <v>111</v>
      </c>
      <c r="M2" s="34" t="s">
        <v>2</v>
      </c>
      <c r="N2" s="33"/>
      <c r="O2" s="52" t="s">
        <v>204</v>
      </c>
      <c r="P2" s="52"/>
      <c r="Q2" s="33" t="s">
        <v>205</v>
      </c>
      <c r="R2" s="41" t="str">
        <f>IFERROR(HYPERLINK("#'Main'!B"&amp;MATCH(TRIM(A2),Main!B:B,0),"Open"),HYPERLINK("#'Main'!B1","Open"))</f>
        <v>Open</v>
      </c>
      <c r="S2" s="41" t="str">
        <f>IFERROR(HYPERLINK("#'Technical Diagnostics'!A"&amp;MATCH(A2,'Technical Diagnostics'!A:A,0),"Open"),HYPERLINK("#'Technical Diagnostics'!A1","Open"))</f>
        <v>Open</v>
      </c>
      <c r="T2" s="41"/>
    </row>
    <row r="3" spans="1:20" ht="30" customHeight="1" x14ac:dyDescent="0.25">
      <c r="A3" s="51" t="s">
        <v>146</v>
      </c>
      <c r="B3" s="42">
        <v>70</v>
      </c>
      <c r="C3" s="47" t="s">
        <v>51</v>
      </c>
      <c r="D3" s="56">
        <v>60</v>
      </c>
      <c r="E3" s="42">
        <v>0</v>
      </c>
      <c r="F3" s="42">
        <v>0</v>
      </c>
      <c r="G3" s="42" t="s">
        <v>203</v>
      </c>
      <c r="H3" s="42">
        <v>0</v>
      </c>
      <c r="I3" s="42">
        <v>3</v>
      </c>
      <c r="J3" s="42" t="s">
        <v>105</v>
      </c>
      <c r="K3" s="42" t="s">
        <v>164</v>
      </c>
      <c r="L3" s="42" t="s">
        <v>111</v>
      </c>
      <c r="M3" s="34" t="s">
        <v>2</v>
      </c>
      <c r="N3" s="42"/>
      <c r="O3" s="52" t="s">
        <v>204</v>
      </c>
      <c r="P3" s="52"/>
      <c r="Q3" s="42" t="s">
        <v>205</v>
      </c>
      <c r="R3" t="str">
        <f>IFERROR(HYPERLINK("#'Main'!B"&amp;MATCH(TRIM(A3),Main!B:B,0),"Open"),HYPERLINK("#'Main'!B1","Open"))</f>
        <v>Open</v>
      </c>
      <c r="S3" t="str">
        <f>IFERROR(HYPERLINK("#'Technical Diagnostics'!A"&amp;MATCH(A3,'Technical Diagnostics'!A:A,0),"Open"),HYPERLINK("#'Technical Diagnostics'!A1","Open"))</f>
        <v>Open</v>
      </c>
    </row>
    <row r="4" spans="1:20" ht="15.75" x14ac:dyDescent="0.25">
      <c r="A4" s="50" t="s">
        <v>176</v>
      </c>
      <c r="B4" s="33">
        <v>70</v>
      </c>
      <c r="C4" s="47" t="s">
        <v>51</v>
      </c>
      <c r="D4" s="55">
        <v>60</v>
      </c>
      <c r="E4" s="33">
        <v>1257</v>
      </c>
      <c r="F4" s="33">
        <v>5.8074781225139219E-2</v>
      </c>
      <c r="G4" s="33" t="s">
        <v>203</v>
      </c>
      <c r="H4" s="33">
        <v>0</v>
      </c>
      <c r="I4" s="33">
        <v>3</v>
      </c>
      <c r="J4" s="33" t="s">
        <v>105</v>
      </c>
      <c r="K4" s="33" t="s">
        <v>164</v>
      </c>
      <c r="L4" s="33" t="s">
        <v>111</v>
      </c>
      <c r="M4" s="34" t="s">
        <v>2</v>
      </c>
      <c r="N4" s="33"/>
      <c r="O4" s="52" t="s">
        <v>204</v>
      </c>
      <c r="P4" s="52"/>
      <c r="Q4" s="33" t="s">
        <v>205</v>
      </c>
      <c r="R4" s="41" t="str">
        <f>IFERROR(HYPERLINK("#'Main'!B"&amp;MATCH(TRIM(A4),Main!B:B,0),"Open"),HYPERLINK("#'Main'!B1","Open"))</f>
        <v>Open</v>
      </c>
      <c r="S4" s="41" t="str">
        <f>IFERROR(HYPERLINK("#'Technical Diagnostics'!A"&amp;MATCH(A4,'Technical Diagnostics'!A:A,0),"Open"),HYPERLINK("#'Technical Diagnostics'!A1","Open"))</f>
        <v>Open</v>
      </c>
      <c r="T4" s="41"/>
    </row>
    <row r="5" spans="1:20" ht="30" customHeight="1" x14ac:dyDescent="0.25">
      <c r="A5" s="51" t="s">
        <v>155</v>
      </c>
      <c r="B5" s="42">
        <v>70</v>
      </c>
      <c r="C5" s="47" t="s">
        <v>51</v>
      </c>
      <c r="D5" s="56">
        <v>60</v>
      </c>
      <c r="E5" s="42">
        <v>0</v>
      </c>
      <c r="F5" s="42">
        <v>0</v>
      </c>
      <c r="G5" s="42" t="s">
        <v>203</v>
      </c>
      <c r="H5" s="42">
        <v>0</v>
      </c>
      <c r="I5" s="42">
        <v>3</v>
      </c>
      <c r="J5" s="42" t="s">
        <v>105</v>
      </c>
      <c r="K5" s="42" t="s">
        <v>164</v>
      </c>
      <c r="L5" s="42" t="s">
        <v>111</v>
      </c>
      <c r="M5" s="34" t="s">
        <v>2</v>
      </c>
      <c r="N5" s="42"/>
      <c r="O5" s="52" t="s">
        <v>204</v>
      </c>
      <c r="P5" s="52"/>
      <c r="Q5" s="42" t="s">
        <v>205</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50" t="s">
        <v>206</v>
      </c>
      <c r="B6" s="33">
        <v>70</v>
      </c>
      <c r="C6" s="47" t="s">
        <v>51</v>
      </c>
      <c r="D6" s="55">
        <v>60</v>
      </c>
      <c r="E6" s="33">
        <v>0</v>
      </c>
      <c r="F6" s="33">
        <v>0</v>
      </c>
      <c r="G6" s="33" t="s">
        <v>203</v>
      </c>
      <c r="H6" s="33">
        <v>0</v>
      </c>
      <c r="I6" s="33">
        <v>3</v>
      </c>
      <c r="J6" s="33" t="s">
        <v>105</v>
      </c>
      <c r="K6" s="33" t="s">
        <v>164</v>
      </c>
      <c r="L6" s="33" t="s">
        <v>111</v>
      </c>
      <c r="M6" s="34" t="s">
        <v>2</v>
      </c>
      <c r="N6" s="33"/>
      <c r="O6" s="52" t="s">
        <v>204</v>
      </c>
      <c r="P6" s="52"/>
      <c r="Q6" s="33" t="s">
        <v>205</v>
      </c>
      <c r="R6" s="41" t="str">
        <f>IFERROR(HYPERLINK("#'Main'!B"&amp;MATCH(TRIM(A6),Main!B:B,0),"Open"),HYPERLINK("#'Main'!B1","Open"))</f>
        <v>Open</v>
      </c>
      <c r="S6" s="41" t="str">
        <f>IFERROR(HYPERLINK("#'Technical Diagnostics'!A"&amp;MATCH(A6,'Technical Diagnostics'!A:A,0),"Open"),HYPERLINK("#'Technical Diagnostics'!A1","Open"))</f>
        <v>Open</v>
      </c>
      <c r="T6" s="41"/>
    </row>
    <row r="7" spans="1:20" ht="30" customHeight="1" x14ac:dyDescent="0.25">
      <c r="A7" s="51" t="s">
        <v>207</v>
      </c>
      <c r="B7" s="42">
        <v>70</v>
      </c>
      <c r="C7" s="47" t="s">
        <v>51</v>
      </c>
      <c r="D7" s="56">
        <v>60</v>
      </c>
      <c r="E7" s="42">
        <v>11</v>
      </c>
      <c r="F7" s="42">
        <v>0</v>
      </c>
      <c r="G7" s="42" t="s">
        <v>203</v>
      </c>
      <c r="H7" s="42">
        <v>0</v>
      </c>
      <c r="I7" s="42">
        <v>3</v>
      </c>
      <c r="J7" s="42" t="s">
        <v>105</v>
      </c>
      <c r="K7" s="42" t="s">
        <v>164</v>
      </c>
      <c r="L7" s="42" t="s">
        <v>111</v>
      </c>
      <c r="M7" s="34" t="s">
        <v>2</v>
      </c>
      <c r="N7" s="42"/>
      <c r="O7" s="52" t="s">
        <v>204</v>
      </c>
      <c r="P7" s="52"/>
      <c r="Q7" s="42" t="s">
        <v>205</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50" t="s">
        <v>189</v>
      </c>
      <c r="B8" s="33">
        <v>70</v>
      </c>
      <c r="C8" s="47" t="s">
        <v>51</v>
      </c>
      <c r="D8" s="55">
        <v>60</v>
      </c>
      <c r="E8" s="33">
        <v>32</v>
      </c>
      <c r="F8" s="33">
        <v>0</v>
      </c>
      <c r="G8" s="33" t="s">
        <v>203</v>
      </c>
      <c r="H8" s="33">
        <v>0</v>
      </c>
      <c r="I8" s="33">
        <v>3</v>
      </c>
      <c r="J8" s="33" t="s">
        <v>105</v>
      </c>
      <c r="K8" s="33" t="s">
        <v>164</v>
      </c>
      <c r="L8" s="33" t="s">
        <v>111</v>
      </c>
      <c r="M8" s="34" t="s">
        <v>2</v>
      </c>
      <c r="N8" s="33"/>
      <c r="O8" s="52" t="s">
        <v>204</v>
      </c>
      <c r="P8" s="52"/>
      <c r="Q8" s="33" t="s">
        <v>205</v>
      </c>
      <c r="R8" s="41" t="str">
        <f>IFERROR(HYPERLINK("#'Main'!B"&amp;MATCH(TRIM(A8),Main!B:B,0),"Open"),HYPERLINK("#'Main'!B1","Open"))</f>
        <v>Open</v>
      </c>
      <c r="S8" s="41" t="str">
        <f>IFERROR(HYPERLINK("#'Technical Diagnostics'!A"&amp;MATCH(A8,'Technical Diagnostics'!A:A,0),"Open"),HYPERLINK("#'Technical Diagnostics'!A1","Open"))</f>
        <v>Open</v>
      </c>
      <c r="T8" s="41"/>
    </row>
    <row r="9" spans="1:20" ht="30" customHeight="1" x14ac:dyDescent="0.25">
      <c r="A9" s="51" t="s">
        <v>178</v>
      </c>
      <c r="B9" s="42">
        <v>50</v>
      </c>
      <c r="C9" s="47" t="s">
        <v>51</v>
      </c>
      <c r="D9" s="56">
        <v>70</v>
      </c>
      <c r="E9" s="42">
        <v>235</v>
      </c>
      <c r="F9" s="42">
        <v>4.2553191489361701E-2</v>
      </c>
      <c r="G9" s="42" t="s">
        <v>203</v>
      </c>
      <c r="H9" s="42">
        <v>0</v>
      </c>
      <c r="I9" s="42">
        <v>2</v>
      </c>
      <c r="J9" s="42" t="s">
        <v>105</v>
      </c>
      <c r="K9" s="42" t="s">
        <v>164</v>
      </c>
      <c r="L9" s="42" t="s">
        <v>111</v>
      </c>
      <c r="M9" s="34" t="s">
        <v>2</v>
      </c>
      <c r="N9" s="42"/>
      <c r="O9" s="52" t="s">
        <v>204</v>
      </c>
      <c r="P9" s="52"/>
      <c r="Q9" s="42" t="s">
        <v>205</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50" t="s">
        <v>208</v>
      </c>
      <c r="B10" s="33">
        <v>50</v>
      </c>
      <c r="C10" s="47" t="s">
        <v>51</v>
      </c>
      <c r="D10" s="55">
        <v>70</v>
      </c>
      <c r="E10" s="33">
        <v>18</v>
      </c>
      <c r="F10" s="33">
        <v>0</v>
      </c>
      <c r="G10" s="33" t="s">
        <v>203</v>
      </c>
      <c r="H10" s="33">
        <v>0</v>
      </c>
      <c r="I10" s="33">
        <v>2</v>
      </c>
      <c r="J10" s="33" t="s">
        <v>105</v>
      </c>
      <c r="K10" s="33" t="s">
        <v>164</v>
      </c>
      <c r="L10" s="33" t="s">
        <v>111</v>
      </c>
      <c r="M10" s="34" t="s">
        <v>2</v>
      </c>
      <c r="N10" s="33"/>
      <c r="O10" s="52" t="s">
        <v>204</v>
      </c>
      <c r="P10" s="52"/>
      <c r="Q10" s="33" t="s">
        <v>205</v>
      </c>
      <c r="R10" s="41" t="str">
        <f>IFERROR(HYPERLINK("#'Main'!B"&amp;MATCH(TRIM(A10),Main!B:B,0),"Open"),HYPERLINK("#'Main'!B1","Open"))</f>
        <v>Open</v>
      </c>
      <c r="S10" s="41" t="str">
        <f>IFERROR(HYPERLINK("#'Technical Diagnostics'!A"&amp;MATCH(A10,'Technical Diagnostics'!A:A,0),"Open"),HYPERLINK("#'Technical Diagnostics'!A1","Open"))</f>
        <v>Open</v>
      </c>
      <c r="T10" s="41"/>
    </row>
    <row r="11" spans="1:20" ht="30" customHeight="1" x14ac:dyDescent="0.25">
      <c r="A11" s="51" t="s">
        <v>209</v>
      </c>
      <c r="B11" s="42">
        <v>50</v>
      </c>
      <c r="C11" s="47" t="s">
        <v>51</v>
      </c>
      <c r="D11" s="56">
        <v>70</v>
      </c>
      <c r="E11" s="42">
        <v>24</v>
      </c>
      <c r="F11" s="42">
        <v>4.1666666666666657E-2</v>
      </c>
      <c r="G11" s="42" t="s">
        <v>203</v>
      </c>
      <c r="H11" s="42">
        <v>0</v>
      </c>
      <c r="I11" s="42">
        <v>2</v>
      </c>
      <c r="J11" s="42" t="s">
        <v>105</v>
      </c>
      <c r="K11" s="42" t="s">
        <v>164</v>
      </c>
      <c r="L11" s="42" t="s">
        <v>111</v>
      </c>
      <c r="M11" s="34" t="s">
        <v>2</v>
      </c>
      <c r="N11" s="42"/>
      <c r="O11" s="52" t="s">
        <v>204</v>
      </c>
      <c r="P11" s="52"/>
      <c r="Q11" s="42" t="s">
        <v>205</v>
      </c>
      <c r="R11" t="str">
        <f>IFERROR(HYPERLINK("#'Main'!B"&amp;MATCH(TRIM(A11),Main!B:B,0),"Open"),HYPERLINK("#'Main'!B1","Open"))</f>
        <v>Open</v>
      </c>
      <c r="S11" t="str">
        <f>IFERROR(HYPERLINK("#'Technical Diagnostics'!A"&amp;MATCH(A11,'Technical Diagnostics'!A:A,0),"Open"),HYPERLINK("#'Technical Diagnostics'!A1","Open"))</f>
        <v>Open</v>
      </c>
    </row>
    <row r="12" spans="1:20" ht="30" customHeight="1" x14ac:dyDescent="0.25">
      <c r="A12" s="50" t="s">
        <v>210</v>
      </c>
      <c r="B12" s="33">
        <v>50</v>
      </c>
      <c r="C12" s="47" t="s">
        <v>51</v>
      </c>
      <c r="D12" s="55">
        <v>70</v>
      </c>
      <c r="E12" s="33">
        <v>30</v>
      </c>
      <c r="F12" s="33">
        <v>3.3333333333333333E-2</v>
      </c>
      <c r="G12" s="33" t="s">
        <v>203</v>
      </c>
      <c r="H12" s="33">
        <v>0</v>
      </c>
      <c r="I12" s="33">
        <v>2</v>
      </c>
      <c r="J12" s="33" t="s">
        <v>105</v>
      </c>
      <c r="K12" s="33" t="s">
        <v>164</v>
      </c>
      <c r="L12" s="33" t="s">
        <v>111</v>
      </c>
      <c r="M12" s="34" t="s">
        <v>2</v>
      </c>
      <c r="N12" s="33"/>
      <c r="O12" s="52" t="s">
        <v>204</v>
      </c>
      <c r="P12" s="52"/>
      <c r="Q12" s="33" t="s">
        <v>205</v>
      </c>
      <c r="R12" s="41" t="str">
        <f>IFERROR(HYPERLINK("#'Main'!B"&amp;MATCH(TRIM(A12),Main!B:B,0),"Open"),HYPERLINK("#'Main'!B1","Open"))</f>
        <v>Open</v>
      </c>
      <c r="S12" s="41" t="str">
        <f>IFERROR(HYPERLINK("#'Technical Diagnostics'!A"&amp;MATCH(A12,'Technical Diagnostics'!A:A,0),"Open"),HYPERLINK("#'Technical Diagnostics'!A1","Open"))</f>
        <v>Open</v>
      </c>
      <c r="T12" s="41"/>
    </row>
    <row r="13" spans="1:20" ht="30" customHeight="1" x14ac:dyDescent="0.25">
      <c r="A13" s="51" t="s">
        <v>211</v>
      </c>
      <c r="B13" s="42">
        <v>50</v>
      </c>
      <c r="C13" s="47" t="s">
        <v>51</v>
      </c>
      <c r="D13" s="56">
        <v>70</v>
      </c>
      <c r="E13" s="42">
        <v>0</v>
      </c>
      <c r="F13" s="42">
        <v>0</v>
      </c>
      <c r="G13" s="42" t="s">
        <v>203</v>
      </c>
      <c r="H13" s="42">
        <v>0</v>
      </c>
      <c r="I13" s="42">
        <v>2</v>
      </c>
      <c r="J13" s="42" t="s">
        <v>105</v>
      </c>
      <c r="K13" s="42" t="s">
        <v>164</v>
      </c>
      <c r="L13" s="42" t="s">
        <v>111</v>
      </c>
      <c r="M13" s="34" t="s">
        <v>2</v>
      </c>
      <c r="N13" s="42"/>
      <c r="O13" s="52" t="s">
        <v>204</v>
      </c>
      <c r="P13" s="52"/>
      <c r="Q13" s="42" t="s">
        <v>205</v>
      </c>
      <c r="R13" t="str">
        <f>IFERROR(HYPERLINK("#'Main'!B"&amp;MATCH(TRIM(A13),Main!B:B,0),"Open"),HYPERLINK("#'Main'!B1","Open"))</f>
        <v>Open</v>
      </c>
      <c r="S13" t="str">
        <f>IFERROR(HYPERLINK("#'Technical Diagnostics'!A"&amp;MATCH(A13,'Technical Diagnostics'!A:A,0),"Open"),HYPERLINK("#'Technical Diagnostics'!A1","Open"))</f>
        <v>Open</v>
      </c>
    </row>
    <row r="14" spans="1:20" ht="30" customHeight="1" x14ac:dyDescent="0.25">
      <c r="A14" s="50" t="s">
        <v>212</v>
      </c>
      <c r="B14" s="33">
        <v>50</v>
      </c>
      <c r="C14" s="47" t="s">
        <v>51</v>
      </c>
      <c r="D14" s="55">
        <v>70</v>
      </c>
      <c r="E14" s="33">
        <v>0</v>
      </c>
      <c r="F14" s="33">
        <v>0</v>
      </c>
      <c r="G14" s="33" t="s">
        <v>203</v>
      </c>
      <c r="H14" s="33">
        <v>0</v>
      </c>
      <c r="I14" s="33">
        <v>2</v>
      </c>
      <c r="J14" s="33" t="s">
        <v>105</v>
      </c>
      <c r="K14" s="33" t="s">
        <v>164</v>
      </c>
      <c r="L14" s="33" t="s">
        <v>111</v>
      </c>
      <c r="M14" s="34" t="s">
        <v>2</v>
      </c>
      <c r="N14" s="33"/>
      <c r="O14" s="52" t="s">
        <v>204</v>
      </c>
      <c r="P14" s="52"/>
      <c r="Q14" s="33" t="s">
        <v>205</v>
      </c>
      <c r="R14" s="41" t="str">
        <f>IFERROR(HYPERLINK("#'Main'!B"&amp;MATCH(TRIM(A14),Main!B:B,0),"Open"),HYPERLINK("#'Main'!B1","Open"))</f>
        <v>Open</v>
      </c>
      <c r="S14" s="41" t="str">
        <f>IFERROR(HYPERLINK("#'Technical Diagnostics'!A"&amp;MATCH(A14,'Technical Diagnostics'!A:A,0),"Open"),HYPERLINK("#'Technical Diagnostics'!A1","Open"))</f>
        <v>Open</v>
      </c>
      <c r="T14" s="41"/>
    </row>
    <row r="15" spans="1:20" ht="30" customHeight="1" x14ac:dyDescent="0.25">
      <c r="A15" s="51" t="s">
        <v>213</v>
      </c>
      <c r="B15" s="42">
        <v>50</v>
      </c>
      <c r="C15" s="47" t="s">
        <v>51</v>
      </c>
      <c r="D15" s="56">
        <v>70</v>
      </c>
      <c r="E15" s="42">
        <v>0</v>
      </c>
      <c r="F15" s="42">
        <v>0</v>
      </c>
      <c r="G15" s="42" t="s">
        <v>203</v>
      </c>
      <c r="H15" s="42">
        <v>0</v>
      </c>
      <c r="I15" s="42">
        <v>2</v>
      </c>
      <c r="J15" s="42" t="s">
        <v>105</v>
      </c>
      <c r="K15" s="42" t="s">
        <v>164</v>
      </c>
      <c r="L15" s="42" t="s">
        <v>111</v>
      </c>
      <c r="M15" s="34" t="s">
        <v>2</v>
      </c>
      <c r="N15" s="42"/>
      <c r="O15" s="52" t="s">
        <v>204</v>
      </c>
      <c r="P15" s="52"/>
      <c r="Q15" s="42" t="s">
        <v>205</v>
      </c>
      <c r="R15" t="str">
        <f>IFERROR(HYPERLINK("#'Main'!B"&amp;MATCH(TRIM(A15),Main!B:B,0),"Open"),HYPERLINK("#'Main'!B1","Open"))</f>
        <v>Open</v>
      </c>
      <c r="S15" t="str">
        <f>IFERROR(HYPERLINK("#'Technical Diagnostics'!A"&amp;MATCH(A15,'Technical Diagnostics'!A:A,0),"Open"),HYPERLINK("#'Technical Diagnostics'!A1","Open"))</f>
        <v>Open</v>
      </c>
    </row>
    <row r="16" spans="1:20" ht="30" customHeight="1" x14ac:dyDescent="0.25">
      <c r="A16" s="50" t="s">
        <v>214</v>
      </c>
      <c r="B16" s="33">
        <v>50</v>
      </c>
      <c r="C16" s="47" t="s">
        <v>51</v>
      </c>
      <c r="D16" s="55">
        <v>70</v>
      </c>
      <c r="E16" s="33">
        <v>0</v>
      </c>
      <c r="F16" s="33">
        <v>0</v>
      </c>
      <c r="G16" s="33" t="s">
        <v>203</v>
      </c>
      <c r="H16" s="33">
        <v>0</v>
      </c>
      <c r="I16" s="33">
        <v>2</v>
      </c>
      <c r="J16" s="33" t="s">
        <v>105</v>
      </c>
      <c r="K16" s="33" t="s">
        <v>164</v>
      </c>
      <c r="L16" s="33" t="s">
        <v>111</v>
      </c>
      <c r="M16" s="34" t="s">
        <v>2</v>
      </c>
      <c r="N16" s="33"/>
      <c r="O16" s="52" t="s">
        <v>204</v>
      </c>
      <c r="P16" s="52"/>
      <c r="Q16" s="33" t="s">
        <v>205</v>
      </c>
      <c r="R16" s="41" t="str">
        <f>IFERROR(HYPERLINK("#'Main'!B"&amp;MATCH(TRIM(A16),Main!B:B,0),"Open"),HYPERLINK("#'Main'!B1","Open"))</f>
        <v>Open</v>
      </c>
      <c r="S16" s="41" t="str">
        <f>IFERROR(HYPERLINK("#'Technical Diagnostics'!A"&amp;MATCH(A16,'Technical Diagnostics'!A:A,0),"Open"),HYPERLINK("#'Technical Diagnostics'!A1","Open"))</f>
        <v>Open</v>
      </c>
      <c r="T16" s="41"/>
    </row>
    <row r="17" spans="1:20" ht="30" customHeight="1" x14ac:dyDescent="0.25">
      <c r="A17" s="51" t="s">
        <v>215</v>
      </c>
      <c r="B17" s="42">
        <v>50</v>
      </c>
      <c r="C17" s="47" t="s">
        <v>51</v>
      </c>
      <c r="D17" s="56">
        <v>70</v>
      </c>
      <c r="E17" s="42">
        <v>1</v>
      </c>
      <c r="F17" s="42">
        <v>0</v>
      </c>
      <c r="G17" s="42" t="s">
        <v>203</v>
      </c>
      <c r="H17" s="42">
        <v>0</v>
      </c>
      <c r="I17" s="42">
        <v>2</v>
      </c>
      <c r="J17" s="42" t="s">
        <v>105</v>
      </c>
      <c r="K17" s="42" t="s">
        <v>164</v>
      </c>
      <c r="L17" s="42" t="s">
        <v>111</v>
      </c>
      <c r="M17" s="34" t="s">
        <v>2</v>
      </c>
      <c r="N17" s="42"/>
      <c r="O17" s="52" t="s">
        <v>204</v>
      </c>
      <c r="P17" s="52"/>
      <c r="Q17" s="42" t="s">
        <v>205</v>
      </c>
      <c r="R17" t="str">
        <f>IFERROR(HYPERLINK("#'Main'!B"&amp;MATCH(TRIM(A17),Main!B:B,0),"Open"),HYPERLINK("#'Main'!B1","Open"))</f>
        <v>Open</v>
      </c>
      <c r="S17" t="str">
        <f>IFERROR(HYPERLINK("#'Technical Diagnostics'!A"&amp;MATCH(A17,'Technical Diagnostics'!A:A,0),"Open"),HYPERLINK("#'Technical Diagnostics'!A1","Open"))</f>
        <v>Open</v>
      </c>
    </row>
    <row r="18" spans="1:20" ht="30" customHeight="1" x14ac:dyDescent="0.25">
      <c r="A18" s="50" t="s">
        <v>216</v>
      </c>
      <c r="B18" s="33">
        <v>50</v>
      </c>
      <c r="C18" s="47" t="s">
        <v>51</v>
      </c>
      <c r="D18" s="55">
        <v>70</v>
      </c>
      <c r="E18" s="33">
        <v>7</v>
      </c>
      <c r="F18" s="33">
        <v>0</v>
      </c>
      <c r="G18" s="33" t="s">
        <v>203</v>
      </c>
      <c r="H18" s="33">
        <v>0</v>
      </c>
      <c r="I18" s="33">
        <v>2</v>
      </c>
      <c r="J18" s="33" t="s">
        <v>105</v>
      </c>
      <c r="K18" s="33" t="s">
        <v>164</v>
      </c>
      <c r="L18" s="33" t="s">
        <v>111</v>
      </c>
      <c r="M18" s="34" t="s">
        <v>2</v>
      </c>
      <c r="N18" s="33"/>
      <c r="O18" s="52" t="s">
        <v>204</v>
      </c>
      <c r="P18" s="52"/>
      <c r="Q18" s="33" t="s">
        <v>205</v>
      </c>
      <c r="R18" s="41" t="str">
        <f>IFERROR(HYPERLINK("#'Main'!B"&amp;MATCH(TRIM(A18),Main!B:B,0),"Open"),HYPERLINK("#'Main'!B1","Open"))</f>
        <v>Open</v>
      </c>
      <c r="S18" s="41" t="str">
        <f>IFERROR(HYPERLINK("#'Technical Diagnostics'!A"&amp;MATCH(A18,'Technical Diagnostics'!A:A,0),"Open"),HYPERLINK("#'Technical Diagnostics'!A1","Open"))</f>
        <v>Open</v>
      </c>
      <c r="T18" s="41"/>
    </row>
    <row r="19" spans="1:20" ht="30" customHeight="1" x14ac:dyDescent="0.25">
      <c r="A19" s="51" t="s">
        <v>217</v>
      </c>
      <c r="B19" s="42">
        <v>50</v>
      </c>
      <c r="C19" s="47" t="s">
        <v>51</v>
      </c>
      <c r="D19" s="56">
        <v>70</v>
      </c>
      <c r="E19" s="42">
        <v>5</v>
      </c>
      <c r="F19" s="42">
        <v>0</v>
      </c>
      <c r="G19" s="42" t="s">
        <v>203</v>
      </c>
      <c r="H19" s="42">
        <v>0</v>
      </c>
      <c r="I19" s="42">
        <v>2</v>
      </c>
      <c r="J19" s="42" t="s">
        <v>105</v>
      </c>
      <c r="K19" s="42" t="s">
        <v>164</v>
      </c>
      <c r="L19" s="42" t="s">
        <v>111</v>
      </c>
      <c r="M19" s="34" t="s">
        <v>2</v>
      </c>
      <c r="N19" s="42"/>
      <c r="O19" s="52" t="s">
        <v>204</v>
      </c>
      <c r="P19" s="52"/>
      <c r="Q19" s="42" t="s">
        <v>205</v>
      </c>
      <c r="R19" t="str">
        <f>IFERROR(HYPERLINK("#'Main'!B"&amp;MATCH(TRIM(A19),Main!B:B,0),"Open"),HYPERLINK("#'Main'!B1","Open"))</f>
        <v>Open</v>
      </c>
      <c r="S19" t="str">
        <f>IFERROR(HYPERLINK("#'Technical Diagnostics'!A"&amp;MATCH(A19,'Technical Diagnostics'!A:A,0),"Open"),HYPERLINK("#'Technical Diagnostics'!A1","Open"))</f>
        <v>Open</v>
      </c>
    </row>
    <row r="20" spans="1:20" ht="30" customHeight="1" x14ac:dyDescent="0.25">
      <c r="A20" s="50" t="s">
        <v>218</v>
      </c>
      <c r="B20" s="33">
        <v>50</v>
      </c>
      <c r="C20" s="47" t="s">
        <v>51</v>
      </c>
      <c r="D20" s="55">
        <v>70</v>
      </c>
      <c r="E20" s="33">
        <v>0</v>
      </c>
      <c r="F20" s="33">
        <v>0</v>
      </c>
      <c r="G20" s="33" t="s">
        <v>203</v>
      </c>
      <c r="H20" s="33">
        <v>0</v>
      </c>
      <c r="I20" s="33">
        <v>2</v>
      </c>
      <c r="J20" s="33" t="s">
        <v>105</v>
      </c>
      <c r="K20" s="33" t="s">
        <v>164</v>
      </c>
      <c r="L20" s="33" t="s">
        <v>111</v>
      </c>
      <c r="M20" s="34" t="s">
        <v>2</v>
      </c>
      <c r="N20" s="33"/>
      <c r="O20" s="52" t="s">
        <v>204</v>
      </c>
      <c r="P20" s="52"/>
      <c r="Q20" s="33" t="s">
        <v>205</v>
      </c>
      <c r="R20" s="41" t="str">
        <f>IFERROR(HYPERLINK("#'Main'!B"&amp;MATCH(TRIM(A20),Main!B:B,0),"Open"),HYPERLINK("#'Main'!B1","Open"))</f>
        <v>Open</v>
      </c>
      <c r="S20" s="41" t="str">
        <f>IFERROR(HYPERLINK("#'Technical Diagnostics'!A"&amp;MATCH(A20,'Technical Diagnostics'!A:A,0),"Open"),HYPERLINK("#'Technical Diagnostics'!A1","Open"))</f>
        <v>Open</v>
      </c>
      <c r="T20" s="41"/>
    </row>
    <row r="21" spans="1:20" ht="30" customHeight="1" x14ac:dyDescent="0.25">
      <c r="A21" s="51" t="s">
        <v>219</v>
      </c>
      <c r="B21" s="42">
        <v>30</v>
      </c>
      <c r="C21" s="47" t="s">
        <v>51</v>
      </c>
      <c r="D21" s="56">
        <v>80</v>
      </c>
      <c r="E21" s="42">
        <v>29</v>
      </c>
      <c r="F21" s="42">
        <v>0</v>
      </c>
      <c r="G21" s="42" t="s">
        <v>203</v>
      </c>
      <c r="H21" s="42">
        <v>0</v>
      </c>
      <c r="I21" s="42">
        <v>1</v>
      </c>
      <c r="J21" s="42" t="s">
        <v>105</v>
      </c>
      <c r="K21" s="42" t="s">
        <v>164</v>
      </c>
      <c r="L21" s="42" t="s">
        <v>111</v>
      </c>
      <c r="M21" s="34" t="s">
        <v>2</v>
      </c>
      <c r="N21" s="42"/>
      <c r="O21" s="52" t="s">
        <v>204</v>
      </c>
      <c r="P21" s="52"/>
      <c r="Q21" s="42" t="s">
        <v>205</v>
      </c>
      <c r="R21" t="str">
        <f>IFERROR(HYPERLINK("#'Main'!B"&amp;MATCH(TRIM(A21),Main!B:B,0),"Open"),HYPERLINK("#'Main'!B1","Open"))</f>
        <v>Open</v>
      </c>
      <c r="S21" t="str">
        <f>IFERROR(HYPERLINK("#'Technical Diagnostics'!A"&amp;MATCH(A21,'Technical Diagnostics'!A:A,0),"Open"),HYPERLINK("#'Technical Diagnostics'!A1","Open"))</f>
        <v>Open</v>
      </c>
    </row>
  </sheetData>
  <autoFilter ref="A1:T21" xr:uid="{00000000-0009-0000-0000-000003000000}"/>
  <conditionalFormatting sqref="C2:C21">
    <cfRule type="expression" dxfId="112" priority="4" stopIfTrue="1">
      <formula>LOWER(C2)="critical"</formula>
    </cfRule>
    <cfRule type="expression" dxfId="111" priority="5" stopIfTrue="1">
      <formula>LOWER(C2)="warning"</formula>
    </cfRule>
    <cfRule type="expression" dxfId="110" priority="6" stopIfTrue="1">
      <formula>OR(LOWER(C2)="pass",LOWER(C2)="observation")</formula>
    </cfRule>
  </conditionalFormatting>
  <conditionalFormatting sqref="D2:D21">
    <cfRule type="colorScale" priority="1">
      <colorScale>
        <cfvo type="min"/>
        <cfvo type="percentile" val="50"/>
        <cfvo type="max"/>
        <color rgb="FFF8696B"/>
        <color rgb="FFFFEB84"/>
        <color rgb="FF63BE7B"/>
      </colorScale>
    </cfRule>
  </conditionalFormatting>
  <conditionalFormatting sqref="J2:J21">
    <cfRule type="expression" dxfId="109" priority="2" stopIfTrue="1">
      <formula>LOWER(J2)="yes"</formula>
    </cfRule>
    <cfRule type="expression" dxfId="108" priority="3" stopIfTrue="1">
      <formula>LOWER(J2)="no"</formula>
    </cfRule>
  </conditionalFormatting>
  <conditionalFormatting sqref="M2:M21">
    <cfRule type="expression" dxfId="107" priority="7" stopIfTrue="1">
      <formula>LOWER(M2)="done"</formula>
    </cfRule>
    <cfRule type="expression" dxfId="106"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 ref="A12" r:id="rId11" xr:uid="{00000000-0004-0000-0300-00000B000000}"/>
    <hyperlink ref="A13" r:id="rId12" xr:uid="{00000000-0004-0000-0300-00000C000000}"/>
    <hyperlink ref="A14" r:id="rId13" xr:uid="{00000000-0004-0000-0300-00000D000000}"/>
    <hyperlink ref="A15" r:id="rId14" xr:uid="{00000000-0004-0000-0300-00000E000000}"/>
    <hyperlink ref="A16" r:id="rId15" xr:uid="{00000000-0004-0000-0300-00000F000000}"/>
    <hyperlink ref="A17" r:id="rId16" xr:uid="{00000000-0004-0000-0300-000010000000}"/>
    <hyperlink ref="A18" r:id="rId17" xr:uid="{00000000-0004-0000-0300-000011000000}"/>
    <hyperlink ref="A19" r:id="rId18" xr:uid="{00000000-0004-0000-0300-000012000000}"/>
    <hyperlink ref="A20" r:id="rId19" xr:uid="{00000000-0004-0000-0300-000013000000}"/>
    <hyperlink ref="A21" r:id="rId20" xr:uid="{00000000-0004-0000-0300-000014000000}"/>
  </hyperlinks>
  <pageMargins left="0.75" right="0.75" top="1" bottom="1" header="0.5" footer="0.5"/>
  <legacyDrawing r:id="rId2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2"/>
  <sheetViews>
    <sheetView workbookViewId="0">
      <pane xSplit="7" ySplit="2" topLeftCell="H3" activePane="bottomRight" state="frozen"/>
      <selection pane="topRight"/>
      <selection pane="bottomLeft"/>
      <selection pane="bottomRight"/>
    </sheetView>
  </sheetViews>
  <sheetFormatPr defaultRowHeight="15" x14ac:dyDescent="0.25"/>
  <cols>
    <col min="1" max="1" width="17.42578125" customWidth="1"/>
    <col min="2" max="2" width="12" customWidth="1"/>
    <col min="3" max="3" width="11" customWidth="1"/>
    <col min="4" max="4" width="18" customWidth="1"/>
    <col min="5" max="5" width="12" customWidth="1"/>
    <col min="6" max="6" width="8" customWidth="1"/>
    <col min="7" max="7" width="15" customWidth="1"/>
    <col min="8" max="8" width="36" customWidth="1"/>
    <col min="9" max="9" width="60" customWidth="1"/>
    <col min="10" max="10" width="49" customWidth="1"/>
    <col min="11" max="14" width="60" customWidth="1"/>
    <col min="15" max="15" width="49" customWidth="1"/>
    <col min="16" max="17" width="60" customWidth="1"/>
    <col min="18" max="18" width="34" customWidth="1"/>
    <col min="19" max="19" width="60" customWidth="1"/>
    <col min="20" max="20" width="34" customWidth="1"/>
    <col min="21" max="21" width="45" customWidth="1"/>
    <col min="22" max="22" width="34" customWidth="1"/>
    <col min="23" max="23" width="45" customWidth="1"/>
    <col min="24" max="24" width="34" customWidth="1"/>
    <col min="25" max="25" width="45" customWidth="1"/>
    <col min="26" max="26" width="34" customWidth="1"/>
    <col min="27" max="27" width="18.140625" customWidth="1"/>
    <col min="28" max="28" width="15" customWidth="1"/>
    <col min="29" max="29" width="18" customWidth="1"/>
    <col min="30" max="30" width="22.5703125" customWidth="1"/>
  </cols>
  <sheetData>
    <row r="1" spans="1:30" ht="27.95" customHeight="1" x14ac:dyDescent="0.25">
      <c r="A1" s="73" t="s">
        <v>220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57" t="s">
        <v>95</v>
      </c>
    </row>
    <row r="2" spans="1:30" ht="45" customHeight="1" x14ac:dyDescent="0.25">
      <c r="A2" s="31" t="s">
        <v>221</v>
      </c>
      <c r="B2" s="31" t="s">
        <v>222</v>
      </c>
      <c r="C2" s="31" t="s">
        <v>223</v>
      </c>
      <c r="D2" s="31" t="s">
        <v>224</v>
      </c>
      <c r="E2" s="31" t="s">
        <v>225</v>
      </c>
      <c r="F2" s="31" t="s">
        <v>25</v>
      </c>
      <c r="G2" s="31" t="s">
        <v>226</v>
      </c>
      <c r="H2" s="31" t="s">
        <v>78</v>
      </c>
      <c r="I2" s="31" t="s">
        <v>227</v>
      </c>
      <c r="J2" s="31" t="s">
        <v>228</v>
      </c>
      <c r="K2" s="31" t="s">
        <v>229</v>
      </c>
      <c r="L2" s="31" t="s">
        <v>230</v>
      </c>
      <c r="M2" s="31" t="s">
        <v>231</v>
      </c>
      <c r="N2" s="31" t="s">
        <v>232</v>
      </c>
      <c r="O2" s="31" t="s">
        <v>233</v>
      </c>
      <c r="P2" s="31" t="s">
        <v>234</v>
      </c>
      <c r="Q2" s="31" t="s">
        <v>235</v>
      </c>
      <c r="R2" s="31" t="s">
        <v>236</v>
      </c>
      <c r="S2" s="31" t="s">
        <v>237</v>
      </c>
      <c r="T2" s="31" t="s">
        <v>238</v>
      </c>
      <c r="U2" s="31" t="s">
        <v>239</v>
      </c>
      <c r="V2" s="31" t="s">
        <v>240</v>
      </c>
      <c r="W2" s="31" t="s">
        <v>241</v>
      </c>
      <c r="X2" s="31" t="s">
        <v>242</v>
      </c>
      <c r="Y2" s="31" t="s">
        <v>243</v>
      </c>
      <c r="Z2" s="31" t="s">
        <v>244</v>
      </c>
      <c r="AA2" s="31" t="s">
        <v>245</v>
      </c>
      <c r="AB2" s="31" t="s">
        <v>246</v>
      </c>
      <c r="AC2" s="31" t="s">
        <v>247</v>
      </c>
      <c r="AD2" s="31" t="s">
        <v>93</v>
      </c>
    </row>
    <row r="3" spans="1:30" ht="45" customHeight="1" x14ac:dyDescent="0.25">
      <c r="A3" s="33" t="str">
        <f t="shared" ref="A3:A22" si="0">IF(B3&gt;=85,"Complete","Needs Copy")</f>
        <v>Needs Copy</v>
      </c>
      <c r="B3" s="33">
        <f t="shared" ref="B3:B22" si="1">MIN(100,ROUND(0.3*(IF(L3="",0,IF(LEFT(L3,7)="MISSING",0,IF(ISNUMBER(SEARCH("OK",L3)),100,IF(ISNUMBER(SEARCH("SHORT",L3)),65,IF(ISNUMBER(SEARCH("LONG",L3)),50,70))))))+0.25*(IF(N3="",0,IF(LEFT(N3,7)="MISSING",0,IF(ISNUMBER(SEARCH("OK",N3)),100,IF(ISNUMBER(SEARCH("SHORT",N3)),65,IF(ISNUMBER(SEARCH("LONG",N3)),50,70))))))+0.2*(IF(P3="",0,IF(LEFT(P3,2)="OK",100,0)))+0.08*(IF(R3="",0,IF(LEFT(R3,2)="OK",100,0)))+0.06*(IF(T3="",0,IF(LEFT(T3,2)="OK",100,0)))+0.05*(IF(V3="",0,IF(LEFT(V3,2)="OK",100,0)))+0.03*(IF(X3="",0,IF(LEFT(X3,2)="OK",100,0)))+0.03*(IF(Z3="",0,IF(LEFT(Z3,2)="OK",100,0))),0))</f>
        <v>68</v>
      </c>
      <c r="C3" s="34">
        <v>64.52</v>
      </c>
      <c r="D3" s="34">
        <v>60</v>
      </c>
      <c r="E3" s="47">
        <v>78.08</v>
      </c>
      <c r="F3" s="34" t="s">
        <v>103</v>
      </c>
      <c r="G3" s="33" t="s">
        <v>111</v>
      </c>
      <c r="H3" s="58" t="str">
        <f>HYPERLINK("https://africanmarketingconfederation.org/","https://africanmarketingconfederation.org/")</f>
        <v>https://africanmarketingconfederation.org/</v>
      </c>
      <c r="I3" s="33" t="str">
        <f>HYPERLINK("https://africanmarketingconfederation.org/","https://africanmarketingconfederation.org/")</f>
        <v>https://africanmarketingconfederation.org/</v>
      </c>
      <c r="J3" s="37"/>
      <c r="K3" s="33" t="s">
        <v>248</v>
      </c>
      <c r="L3" s="33" t="str">
        <f t="shared" ref="L3:L22" si="2">IF(K3="","MISSING",IF(AND(LEN(K3)&gt;=50,LEN(K3)&lt;=60),"OK 50-60 chars",IF(LEN(K3)&lt;50,"SHORT: "&amp;LEN(K3),"LONG: "&amp;LEN(K3))))</f>
        <v>LONG: 66</v>
      </c>
      <c r="M3" s="33" t="s">
        <v>249</v>
      </c>
      <c r="N3" s="33" t="str">
        <f t="shared" ref="N3:N22" si="3">IF(M3="","MISSING",IF(AND(LEN(M3)&gt;=120,LEN(M3)&lt;=160),"OK 120-160 chars",IF(LEN(M3)&lt;120,"SHORT: "&amp;LEN(M3),"LONG: "&amp;LEN(M3))))</f>
        <v>OK 120-160 chars</v>
      </c>
      <c r="O3" s="33" t="s">
        <v>250</v>
      </c>
      <c r="P3" s="33" t="str">
        <f t="shared" ref="P3:P22" si="4">IF(OR(ISBLANK(O3),ISNUMBER(SEARCH("|",O3))),"FIX: MULTIPLE/MISSING","OK")</f>
        <v>OK</v>
      </c>
      <c r="Q3" s="33" t="s">
        <v>251</v>
      </c>
      <c r="R3" s="33" t="str">
        <f t="shared" ref="R3:R22" si="5">IF(ISBLANK(Q3),"MISSING","OK")</f>
        <v>OK</v>
      </c>
      <c r="S3" s="33"/>
      <c r="T3" s="33" t="str">
        <f t="shared" ref="T3:T22" si="6">IF(ISBLANK(S3),"MISSING","OK")</f>
        <v>MISSING</v>
      </c>
      <c r="U3" s="33"/>
      <c r="V3" s="33" t="str">
        <f t="shared" ref="V3:V22" si="7">IF(ISBLANK(U3),"MISSING","OK")</f>
        <v>MISSING</v>
      </c>
      <c r="W3" s="33"/>
      <c r="X3" s="33" t="str">
        <f t="shared" ref="X3:X22" si="8">IF(ISBLANK(W3),"MISSING","OK")</f>
        <v>MISSING</v>
      </c>
      <c r="Y3" s="33"/>
      <c r="Z3" s="33" t="str">
        <f t="shared" ref="Z3:Z22" si="9">IF(ISBLANK(Y3),"MISSING","OK")</f>
        <v>MISSING</v>
      </c>
      <c r="AA3" s="58" t="str">
        <f>HYPERLINK("https://africanmarketingconfederation.org/wp-admin/post.php?post=8&amp;action=elementor","Open in Elementor")</f>
        <v>Open in Elementor</v>
      </c>
      <c r="AB3" s="58" t="str">
        <f>HYPERLINK("https://africanmarketingconfederation.org/wp-content/uploads/2026/03/og-image.png","View Image")</f>
        <v>View Image</v>
      </c>
      <c r="AC3" s="33" t="e" vm="1">
        <f>IF(LEN("https://africanmarketingconfederation.org/wp-content/uploads/2026/03/og-image.png")&gt;0, _xlfn.IMAGE("https://africanmarketingconfederation.org/wp-content/uploads/2026/03/og-image.png"), "")</f>
        <v>#VALUE!</v>
      </c>
      <c r="AD3" s="58" t="str">
        <f>IFERROR(HYPERLINK("#'Main'!B"&amp;MATCH(TRIM(H3),Main!B:B,0),"Open in Main"),IFERROR(HYPERLINK("#'Technical Diagnostics'!A"&amp;MATCH(TRIM(H3),'Technical Diagnostics'!A:A,0),"Open in Technical"),"Not Found"))</f>
        <v>Open in Main</v>
      </c>
    </row>
    <row r="4" spans="1:30" ht="60" customHeight="1" x14ac:dyDescent="0.25">
      <c r="A4" s="33" t="str">
        <f t="shared" si="0"/>
        <v>Needs Copy</v>
      </c>
      <c r="B4" s="33">
        <f t="shared" si="1"/>
        <v>62</v>
      </c>
      <c r="C4" s="47">
        <v>76.150000000000006</v>
      </c>
      <c r="D4" s="47">
        <v>70</v>
      </c>
      <c r="E4" s="52">
        <v>94.58</v>
      </c>
      <c r="F4" s="34" t="s">
        <v>103</v>
      </c>
      <c r="G4" s="33" t="s">
        <v>111</v>
      </c>
      <c r="H4" s="58" t="str">
        <f>HYPERLINK("https://africanmarketingconfederation.org/about-us","https://africanmarketingconfederation.org/about-us")</f>
        <v>https://africanmarketingconfederation.org/about-us</v>
      </c>
      <c r="I4" s="33" t="str">
        <f>HYPERLINK("https://africanmarketingconfederation.org/about-us","About Us")</f>
        <v>About Us</v>
      </c>
      <c r="J4" s="37" t="s">
        <v>252</v>
      </c>
      <c r="K4" s="33" t="s">
        <v>253</v>
      </c>
      <c r="L4" s="33" t="str">
        <f t="shared" si="2"/>
        <v>LONG: 107</v>
      </c>
      <c r="M4" s="33" t="s">
        <v>254</v>
      </c>
      <c r="N4" s="33" t="str">
        <f t="shared" si="3"/>
        <v>LONG: 405</v>
      </c>
      <c r="O4" s="33" t="s">
        <v>255</v>
      </c>
      <c r="P4" s="33" t="str">
        <f t="shared" si="4"/>
        <v>OK</v>
      </c>
      <c r="Q4" s="33" t="s">
        <v>256</v>
      </c>
      <c r="R4" s="33" t="str">
        <f t="shared" si="5"/>
        <v>OK</v>
      </c>
      <c r="S4" s="33" t="s">
        <v>257</v>
      </c>
      <c r="T4" s="33" t="str">
        <f t="shared" si="6"/>
        <v>OK</v>
      </c>
      <c r="U4" s="33"/>
      <c r="V4" s="33" t="str">
        <f t="shared" si="7"/>
        <v>MISSING</v>
      </c>
      <c r="W4" s="33"/>
      <c r="X4" s="33" t="str">
        <f t="shared" si="8"/>
        <v>MISSING</v>
      </c>
      <c r="Y4" s="33"/>
      <c r="Z4" s="33" t="str">
        <f t="shared" si="9"/>
        <v>MISSING</v>
      </c>
      <c r="AA4" s="58" t="str">
        <f>HYPERLINK("https://africanmarketingconfederation.org/wp-admin/post.php?post=84&amp;action=elementor","Open in Elementor")</f>
        <v>Open in Elementor</v>
      </c>
      <c r="AB4" s="58" t="str">
        <f>HYPERLINK("https://africanmarketingconfederation.org/wp-content/uploads/2026/03/og-image.png","View Image")</f>
        <v>View Image</v>
      </c>
      <c r="AC4" s="33" t="e" vm="1">
        <f>IF(LEN("https://africanmarketingconfederation.org/wp-content/uploads/2026/03/og-image.png")&gt;0, _xlfn.IMAGE("https://africanmarketingconfederation.org/wp-content/uploads/2026/03/og-image.png"), "")</f>
        <v>#VALUE!</v>
      </c>
      <c r="AD4" s="58" t="str">
        <f>IFERROR(HYPERLINK("#'Main'!B"&amp;MATCH(TRIM(H4),Main!B:B,0),"Open in Main"),IFERROR(HYPERLINK("#'Technical Diagnostics'!A"&amp;MATCH(TRIM(H4),'Technical Diagnostics'!A:A,0),"Open in Technical"),"Not Found"))</f>
        <v>Open in Main</v>
      </c>
    </row>
    <row r="5" spans="1:30" ht="45" customHeight="1" x14ac:dyDescent="0.25">
      <c r="A5" s="33" t="str">
        <f t="shared" si="0"/>
        <v>Needs Copy</v>
      </c>
      <c r="B5" s="33">
        <f t="shared" si="1"/>
        <v>62</v>
      </c>
      <c r="C5" s="47">
        <v>77.5</v>
      </c>
      <c r="D5" s="47">
        <v>70</v>
      </c>
      <c r="E5" s="52">
        <v>100</v>
      </c>
      <c r="F5" s="34" t="s">
        <v>103</v>
      </c>
      <c r="G5" s="33" t="s">
        <v>111</v>
      </c>
      <c r="H5" s="58" t="str">
        <f>HYPERLINK("https://africanmarketingconfederation.org/african-marketing-confederation-tourism-chapter","https://africanmarketingconfederation.org/african-marketing-confederation-tourism-chapter")</f>
        <v>https://africanmarketingconfederation.org/african-marketing-confederation-tourism-chapter</v>
      </c>
      <c r="I5" s="33" t="str">
        <f>HYPERLINK("https://africanmarketingconfederation.org/african-marketing-confederation-tourism-chapter","African Marketing Confederation Tourism Chapter")</f>
        <v>African Marketing Confederation Tourism Chapter</v>
      </c>
      <c r="J5" s="37" t="s">
        <v>258</v>
      </c>
      <c r="K5" s="33" t="s">
        <v>259</v>
      </c>
      <c r="L5" s="33" t="str">
        <f t="shared" si="2"/>
        <v>LONG: 81</v>
      </c>
      <c r="M5" s="33" t="s">
        <v>260</v>
      </c>
      <c r="N5" s="33" t="str">
        <f t="shared" si="3"/>
        <v>LONG: 423</v>
      </c>
      <c r="O5" s="33" t="s">
        <v>261</v>
      </c>
      <c r="P5" s="33" t="str">
        <f t="shared" si="4"/>
        <v>OK</v>
      </c>
      <c r="Q5" s="33" t="s">
        <v>262</v>
      </c>
      <c r="R5" s="33" t="str">
        <f t="shared" si="5"/>
        <v>OK</v>
      </c>
      <c r="S5" s="33" t="s">
        <v>263</v>
      </c>
      <c r="T5" s="33" t="str">
        <f t="shared" si="6"/>
        <v>OK</v>
      </c>
      <c r="U5" s="33"/>
      <c r="V5" s="33" t="str">
        <f t="shared" si="7"/>
        <v>MISSING</v>
      </c>
      <c r="W5" s="33"/>
      <c r="X5" s="33" t="str">
        <f t="shared" si="8"/>
        <v>MISSING</v>
      </c>
      <c r="Y5" s="33"/>
      <c r="Z5" s="33" t="str">
        <f t="shared" si="9"/>
        <v>MISSING</v>
      </c>
      <c r="AA5" s="58" t="str">
        <f>HYPERLINK("https://africanmarketingconfederation.org/wp-admin/post.php?post=28165&amp;action=elementor","Open in Elementor")</f>
        <v>Open in Elementor</v>
      </c>
      <c r="AB5" s="58" t="str">
        <f>HYPERLINK("https://africanmarketingconfederation.org/wp-content/uploads/2026/03/og-image.png","View Image")</f>
        <v>View Image</v>
      </c>
      <c r="AC5" s="33" t="e" vm="1">
        <f>IF(LEN("https://africanmarketingconfederation.org/wp-content/uploads/2026/03/og-image.png")&gt;0, _xlfn.IMAGE("https://africanmarketingconfederation.org/wp-content/uploads/2026/03/og-image.png"), "")</f>
        <v>#VALUE!</v>
      </c>
      <c r="AD5" s="58" t="str">
        <f>IFERROR(HYPERLINK("#'Main'!B"&amp;MATCH(TRIM(H5),Main!B:B,0),"Open in Main"),IFERROR(HYPERLINK("#'Technical Diagnostics'!A"&amp;MATCH(TRIM(H5),'Technical Diagnostics'!A:A,0),"Open in Technical"),"Not Found"))</f>
        <v>Open in Main</v>
      </c>
    </row>
    <row r="6" spans="1:30" ht="45" customHeight="1" x14ac:dyDescent="0.25">
      <c r="A6" s="33" t="str">
        <f t="shared" si="0"/>
        <v>Needs Copy</v>
      </c>
      <c r="B6" s="33">
        <f t="shared" si="1"/>
        <v>60</v>
      </c>
      <c r="C6" s="47">
        <v>70</v>
      </c>
      <c r="D6" s="34">
        <v>60</v>
      </c>
      <c r="E6" s="52">
        <v>100</v>
      </c>
      <c r="F6" s="34" t="s">
        <v>103</v>
      </c>
      <c r="G6" s="33" t="s">
        <v>111</v>
      </c>
      <c r="H6" s="58" t="str">
        <f>HYPERLINK("https://africanmarketingconfederation.org/amc-awards-2024","https://africanmarketingconfederation.org/amc-awards-2024")</f>
        <v>https://africanmarketingconfederation.org/amc-awards-2024</v>
      </c>
      <c r="I6" s="33" t="str">
        <f>HYPERLINK("https://africanmarketingconfederation.org/amc-awards-2024","Amc Awards 2024")</f>
        <v>Amc Awards 2024</v>
      </c>
      <c r="J6" s="37" t="s">
        <v>264</v>
      </c>
      <c r="K6" s="33" t="s">
        <v>265</v>
      </c>
      <c r="L6" s="33" t="str">
        <f t="shared" si="2"/>
        <v>SHORT: 49</v>
      </c>
      <c r="M6" s="33" t="s">
        <v>266</v>
      </c>
      <c r="N6" s="33" t="str">
        <f t="shared" si="3"/>
        <v>LONG: 406</v>
      </c>
      <c r="O6" s="33" t="s">
        <v>267</v>
      </c>
      <c r="P6" s="33" t="str">
        <f t="shared" si="4"/>
        <v>OK</v>
      </c>
      <c r="Q6" s="33" t="s">
        <v>268</v>
      </c>
      <c r="R6" s="33" t="str">
        <f t="shared" si="5"/>
        <v>OK</v>
      </c>
      <c r="S6" s="33"/>
      <c r="T6" s="33" t="str">
        <f t="shared" si="6"/>
        <v>MISSING</v>
      </c>
      <c r="U6" s="33"/>
      <c r="V6" s="33" t="str">
        <f t="shared" si="7"/>
        <v>MISSING</v>
      </c>
      <c r="W6" s="33"/>
      <c r="X6" s="33" t="str">
        <f t="shared" si="8"/>
        <v>MISSING</v>
      </c>
      <c r="Y6" s="33"/>
      <c r="Z6" s="33" t="str">
        <f t="shared" si="9"/>
        <v>MISSING</v>
      </c>
      <c r="AA6" s="58" t="str">
        <f>HYPERLINK("https://africanmarketingconfederation.org/wp-admin/post.php?post=16125&amp;action=elementor","Open in Elementor")</f>
        <v>Open in Elementor</v>
      </c>
      <c r="AB6" s="58" t="str">
        <f>HYPERLINK("https://africanmarketingconfederation.org/wp-content/uploads/2021/08/amc_faw.png","View Image")</f>
        <v>View Image</v>
      </c>
      <c r="AC6" s="33" t="e" vm="2">
        <f>IF(LEN("https://africanmarketingconfederation.org/wp-content/uploads/2021/08/amc_faw.png")&gt;0, _xlfn.IMAGE("https://africanmarketingconfederation.org/wp-content/uploads/2021/08/amc_faw.png"), "")</f>
        <v>#VALUE!</v>
      </c>
      <c r="AD6" s="58" t="str">
        <f>IFERROR(HYPERLINK("#'Main'!B"&amp;MATCH(TRIM(H6),Main!B:B,0),"Open in Main"),IFERROR(HYPERLINK("#'Technical Diagnostics'!A"&amp;MATCH(TRIM(H6),'Technical Diagnostics'!A:A,0),"Open in Technical"),"Not Found"))</f>
        <v>Open in Main</v>
      </c>
    </row>
    <row r="7" spans="1:30" ht="60" customHeight="1" x14ac:dyDescent="0.25">
      <c r="A7" s="33" t="str">
        <f t="shared" si="0"/>
        <v>Needs Copy</v>
      </c>
      <c r="B7" s="33">
        <f t="shared" si="1"/>
        <v>57</v>
      </c>
      <c r="C7" s="34">
        <v>56.92</v>
      </c>
      <c r="D7" s="34">
        <v>60</v>
      </c>
      <c r="E7" s="34">
        <v>47.67</v>
      </c>
      <c r="F7" s="34" t="s">
        <v>103</v>
      </c>
      <c r="G7" s="33" t="s">
        <v>111</v>
      </c>
      <c r="H7" s="58" t="str">
        <f>HYPERLINK("https://africanmarketingconfederation.org/amc-conference-2022","https://africanmarketingconfederation.org/amc-conference-2022")</f>
        <v>https://africanmarketingconfederation.org/amc-conference-2022</v>
      </c>
      <c r="I7" s="33" t="str">
        <f>HYPERLINK("https://africanmarketingconfederation.org/amc-conference-2022","Amc Conference 2022")</f>
        <v>Amc Conference 2022</v>
      </c>
      <c r="J7" s="37" t="s">
        <v>269</v>
      </c>
      <c r="K7" s="33" t="s">
        <v>270</v>
      </c>
      <c r="L7" s="33" t="str">
        <f t="shared" si="2"/>
        <v>OK 50-60 chars</v>
      </c>
      <c r="M7" s="33" t="s">
        <v>271</v>
      </c>
      <c r="N7" s="33" t="str">
        <f t="shared" si="3"/>
        <v>LONG: 387</v>
      </c>
      <c r="O7" s="33"/>
      <c r="P7" s="33" t="str">
        <f t="shared" si="4"/>
        <v>FIX: MULTIPLE/MISSING</v>
      </c>
      <c r="Q7" s="33" t="s">
        <v>272</v>
      </c>
      <c r="R7" s="33" t="str">
        <f t="shared" si="5"/>
        <v>OK</v>
      </c>
      <c r="S7" s="33" t="s">
        <v>273</v>
      </c>
      <c r="T7" s="33" t="str">
        <f t="shared" si="6"/>
        <v>OK</v>
      </c>
      <c r="U7" s="33"/>
      <c r="V7" s="33" t="str">
        <f t="shared" si="7"/>
        <v>MISSING</v>
      </c>
      <c r="W7" s="33"/>
      <c r="X7" s="33" t="str">
        <f t="shared" si="8"/>
        <v>MISSING</v>
      </c>
      <c r="Y7" s="33"/>
      <c r="Z7" s="33" t="str">
        <f t="shared" si="9"/>
        <v>MISSING</v>
      </c>
      <c r="AA7" s="58" t="str">
        <f>HYPERLINK("https://africanmarketingconfederation.org/wp-admin/post.php?post=4494&amp;action=elementor","Open in Elementor")</f>
        <v>Open in Elementor</v>
      </c>
      <c r="AB7" s="58" t="str">
        <f>HYPERLINK("https://africanmarketingconfederation.org/wp-content/uploads/2026/03/og-image.png","View Image")</f>
        <v>View Image</v>
      </c>
      <c r="AC7" s="33" t="e" vm="1">
        <f>IF(LEN("https://africanmarketingconfederation.org/wp-content/uploads/2026/03/og-image.png")&gt;0, _xlfn.IMAGE("https://africanmarketingconfederation.org/wp-content/uploads/2026/03/og-image.png"), "")</f>
        <v>#VALUE!</v>
      </c>
      <c r="AD7" s="58" t="str">
        <f>IFERROR(HYPERLINK("#'Main'!B"&amp;MATCH(TRIM(H7),Main!B:B,0),"Open in Main"),IFERROR(HYPERLINK("#'Technical Diagnostics'!A"&amp;MATCH(TRIM(H7),'Technical Diagnostics'!A:A,0),"Open in Technical"),"Not Found"))</f>
        <v>Open in Main</v>
      </c>
    </row>
    <row r="8" spans="1:30" ht="60" customHeight="1" x14ac:dyDescent="0.25">
      <c r="A8" s="33" t="str">
        <f t="shared" si="0"/>
        <v>Needs Copy</v>
      </c>
      <c r="B8" s="33">
        <f t="shared" si="1"/>
        <v>36</v>
      </c>
      <c r="C8" s="34">
        <v>58.75</v>
      </c>
      <c r="D8" s="34">
        <v>60</v>
      </c>
      <c r="E8" s="34">
        <v>55</v>
      </c>
      <c r="F8" s="34" t="s">
        <v>103</v>
      </c>
      <c r="G8" s="33" t="s">
        <v>111</v>
      </c>
      <c r="H8" s="58" t="str">
        <f>HYPERLINK("https://africanmarketingconfederation.org/amc-conference-2022-prospectus","https://africanmarketingconfederation.org/amc-conference-2022-prospectus")</f>
        <v>https://africanmarketingconfederation.org/amc-conference-2022-prospectus</v>
      </c>
      <c r="I8" s="33" t="str">
        <f>HYPERLINK("https://africanmarketingconfederation.org/amc-conference-2022-prospectus","Amc Conference 2022 Prospectus")</f>
        <v>Amc Conference 2022 Prospectus</v>
      </c>
      <c r="J8" s="37" t="s">
        <v>274</v>
      </c>
      <c r="K8" s="33" t="s">
        <v>275</v>
      </c>
      <c r="L8" s="33" t="str">
        <f t="shared" si="2"/>
        <v>LONG: 66</v>
      </c>
      <c r="M8" s="33" t="s">
        <v>276</v>
      </c>
      <c r="N8" s="33" t="str">
        <f t="shared" si="3"/>
        <v>LONG: 335</v>
      </c>
      <c r="O8" s="33"/>
      <c r="P8" s="33" t="str">
        <f t="shared" si="4"/>
        <v>FIX: MULTIPLE/MISSING</v>
      </c>
      <c r="Q8" s="33" t="s">
        <v>277</v>
      </c>
      <c r="R8" s="33" t="str">
        <f t="shared" si="5"/>
        <v>OK</v>
      </c>
      <c r="S8" s="33"/>
      <c r="T8" s="33" t="str">
        <f t="shared" si="6"/>
        <v>MISSING</v>
      </c>
      <c r="U8" s="33"/>
      <c r="V8" s="33" t="str">
        <f t="shared" si="7"/>
        <v>MISSING</v>
      </c>
      <c r="W8" s="33"/>
      <c r="X8" s="33" t="str">
        <f t="shared" si="8"/>
        <v>MISSING</v>
      </c>
      <c r="Y8" s="33"/>
      <c r="Z8" s="33" t="str">
        <f t="shared" si="9"/>
        <v>MISSING</v>
      </c>
      <c r="AA8" s="58" t="str">
        <f>HYPERLINK("https://africanmarketingconfederation.org/wp-admin/post.php?post=5619&amp;action=elementor","Open in Elementor")</f>
        <v>Open in Elementor</v>
      </c>
      <c r="AB8" s="58" t="str">
        <f>HYPERLINK("https://africanmarketingconfederation.org/wp-content/uploads/2026/03/og-image.png","View Image")</f>
        <v>View Image</v>
      </c>
      <c r="AC8" s="33" t="e" vm="1">
        <f>IF(LEN("https://africanmarketingconfederation.org/wp-content/uploads/2026/03/og-image.png")&gt;0, _xlfn.IMAGE("https://africanmarketingconfederation.org/wp-content/uploads/2026/03/og-image.png"), "")</f>
        <v>#VALUE!</v>
      </c>
      <c r="AD8" s="58" t="str">
        <f>IFERROR(HYPERLINK("#'Main'!B"&amp;MATCH(TRIM(H8),Main!B:B,0),"Open in Main"),IFERROR(HYPERLINK("#'Technical Diagnostics'!A"&amp;MATCH(TRIM(H8),'Technical Diagnostics'!A:A,0),"Open in Technical"),"Not Found"))</f>
        <v>Open in Main</v>
      </c>
    </row>
    <row r="9" spans="1:30" ht="45" customHeight="1" x14ac:dyDescent="0.25">
      <c r="A9" s="33" t="str">
        <f t="shared" si="0"/>
        <v>Needs Copy</v>
      </c>
      <c r="B9" s="33">
        <f t="shared" si="1"/>
        <v>42</v>
      </c>
      <c r="C9" s="34">
        <v>62.5</v>
      </c>
      <c r="D9" s="34">
        <v>60</v>
      </c>
      <c r="E9" s="47">
        <v>70</v>
      </c>
      <c r="F9" s="34" t="s">
        <v>103</v>
      </c>
      <c r="G9" s="33" t="s">
        <v>111</v>
      </c>
      <c r="H9" s="58" t="str">
        <f>HYPERLINK("https://africanmarketingconfederation.org/amc-conference-2022-thank-you","https://africanmarketingconfederation.org/amc-conference-2022-thank-you")</f>
        <v>https://africanmarketingconfederation.org/amc-conference-2022-thank-you</v>
      </c>
      <c r="I9" s="33" t="str">
        <f>HYPERLINK("https://africanmarketingconfederation.org/amc-conference-2022-thank-you","Amc Conference 2022 Thank You")</f>
        <v>Amc Conference 2022 Thank You</v>
      </c>
      <c r="J9" s="37" t="s">
        <v>278</v>
      </c>
      <c r="K9" s="33" t="s">
        <v>279</v>
      </c>
      <c r="L9" s="33" t="str">
        <f t="shared" si="2"/>
        <v>LONG: 65</v>
      </c>
      <c r="M9" s="33" t="s">
        <v>280</v>
      </c>
      <c r="N9" s="33" t="str">
        <f t="shared" si="3"/>
        <v>LONG: 337</v>
      </c>
      <c r="O9" s="33"/>
      <c r="P9" s="33" t="str">
        <f t="shared" si="4"/>
        <v>FIX: MULTIPLE/MISSING</v>
      </c>
      <c r="Q9" s="33" t="s">
        <v>281</v>
      </c>
      <c r="R9" s="33" t="str">
        <f t="shared" si="5"/>
        <v>OK</v>
      </c>
      <c r="S9" s="33" t="s">
        <v>282</v>
      </c>
      <c r="T9" s="33" t="str">
        <f t="shared" si="6"/>
        <v>OK</v>
      </c>
      <c r="U9" s="33"/>
      <c r="V9" s="33" t="str">
        <f t="shared" si="7"/>
        <v>MISSING</v>
      </c>
      <c r="W9" s="33"/>
      <c r="X9" s="33" t="str">
        <f t="shared" si="8"/>
        <v>MISSING</v>
      </c>
      <c r="Y9" s="33"/>
      <c r="Z9" s="33" t="str">
        <f t="shared" si="9"/>
        <v>MISSING</v>
      </c>
      <c r="AA9" s="58" t="str">
        <f>HYPERLINK("https://africanmarketingconfederation.org/wp-admin/post.php?post=4941&amp;action=elementor","Open in Elementor")</f>
        <v>Open in Elementor</v>
      </c>
      <c r="AB9" s="58" t="str">
        <f>HYPERLINK("https://africanmarketingconfederation.org/wp-content/uploads/2026/03/og-image.png","View Image")</f>
        <v>View Image</v>
      </c>
      <c r="AC9" s="33" t="e" vm="1">
        <f>IF(LEN("https://africanmarketingconfederation.org/wp-content/uploads/2026/03/og-image.png")&gt;0, _xlfn.IMAGE("https://africanmarketingconfederation.org/wp-content/uploads/2026/03/og-image.png"), "")</f>
        <v>#VALUE!</v>
      </c>
      <c r="AD9" s="58" t="str">
        <f>IFERROR(HYPERLINK("#'Main'!B"&amp;MATCH(TRIM(H9),Main!B:B,0),"Open in Main"),IFERROR(HYPERLINK("#'Technical Diagnostics'!A"&amp;MATCH(TRIM(H9),'Technical Diagnostics'!A:A,0),"Open in Technical"),"Not Found"))</f>
        <v>Open in Main</v>
      </c>
    </row>
    <row r="10" spans="1:30" ht="60" customHeight="1" x14ac:dyDescent="0.25">
      <c r="A10" s="33" t="str">
        <f t="shared" si="0"/>
        <v>Needs Copy</v>
      </c>
      <c r="B10" s="33">
        <f t="shared" si="1"/>
        <v>77</v>
      </c>
      <c r="C10" s="47">
        <v>77.5</v>
      </c>
      <c r="D10" s="47">
        <v>70</v>
      </c>
      <c r="E10" s="52">
        <v>100</v>
      </c>
      <c r="F10" s="34" t="s">
        <v>103</v>
      </c>
      <c r="G10" s="33" t="s">
        <v>111</v>
      </c>
      <c r="H10" s="58" t="str">
        <f>HYPERLINK("https://africanmarketingconfederation.org/amc-conference-2023","https://africanmarketingconfederation.org/amc-conference-2023")</f>
        <v>https://africanmarketingconfederation.org/amc-conference-2023</v>
      </c>
      <c r="I10" s="33" t="str">
        <f>HYPERLINK("https://africanmarketingconfederation.org/amc-conference-2023","Amc Conference 2023")</f>
        <v>Amc Conference 2023</v>
      </c>
      <c r="J10" s="37" t="s">
        <v>283</v>
      </c>
      <c r="K10" s="33" t="s">
        <v>284</v>
      </c>
      <c r="L10" s="33" t="str">
        <f t="shared" si="2"/>
        <v>OK 50-60 chars</v>
      </c>
      <c r="M10" s="33" t="s">
        <v>285</v>
      </c>
      <c r="N10" s="33" t="str">
        <f t="shared" si="3"/>
        <v>LONG: 398</v>
      </c>
      <c r="O10" s="33" t="s">
        <v>286</v>
      </c>
      <c r="P10" s="33" t="str">
        <f t="shared" si="4"/>
        <v>OK</v>
      </c>
      <c r="Q10" s="33" t="s">
        <v>287</v>
      </c>
      <c r="R10" s="33" t="str">
        <f t="shared" si="5"/>
        <v>OK</v>
      </c>
      <c r="S10" s="33" t="s">
        <v>288</v>
      </c>
      <c r="T10" s="33" t="str">
        <f t="shared" si="6"/>
        <v>OK</v>
      </c>
      <c r="U10" s="33"/>
      <c r="V10" s="33" t="str">
        <f t="shared" si="7"/>
        <v>MISSING</v>
      </c>
      <c r="W10" s="33"/>
      <c r="X10" s="33" t="str">
        <f t="shared" si="8"/>
        <v>MISSING</v>
      </c>
      <c r="Y10" s="33"/>
      <c r="Z10" s="33" t="str">
        <f t="shared" si="9"/>
        <v>MISSING</v>
      </c>
      <c r="AA10" s="58" t="str">
        <f>HYPERLINK("https://africanmarketingconfederation.org/wp-admin/post.php?post=12371&amp;action=elementor","Open in Elementor")</f>
        <v>Open in Elementor</v>
      </c>
      <c r="AB10" s="58" t="str">
        <f>HYPERLINK("https://africanmarketingconfederation.org/wp-content/uploads/2021/08/amc_faw.png","View Image")</f>
        <v>View Image</v>
      </c>
      <c r="AC10" s="33" t="e" vm="2">
        <f>IF(LEN("https://africanmarketingconfederation.org/wp-content/uploads/2021/08/amc_faw.png")&gt;0, _xlfn.IMAGE("https://africanmarketingconfederation.org/wp-content/uploads/2021/08/amc_faw.png"), "")</f>
        <v>#VALUE!</v>
      </c>
      <c r="AD10" s="58" t="str">
        <f>IFERROR(HYPERLINK("#'Main'!B"&amp;MATCH(TRIM(H10),Main!B:B,0),"Open in Main"),IFERROR(HYPERLINK("#'Technical Diagnostics'!A"&amp;MATCH(TRIM(H10),'Technical Diagnostics'!A:A,0),"Open in Technical"),"Not Found"))</f>
        <v>Open in Main</v>
      </c>
    </row>
    <row r="11" spans="1:30" ht="60" customHeight="1" x14ac:dyDescent="0.25">
      <c r="A11" s="33" t="str">
        <f t="shared" si="0"/>
        <v>Needs Copy</v>
      </c>
      <c r="B11" s="33">
        <f t="shared" si="1"/>
        <v>60</v>
      </c>
      <c r="C11" s="47">
        <v>77.5</v>
      </c>
      <c r="D11" s="47">
        <v>70</v>
      </c>
      <c r="E11" s="52">
        <v>100</v>
      </c>
      <c r="F11" s="34" t="s">
        <v>103</v>
      </c>
      <c r="G11" s="33" t="s">
        <v>111</v>
      </c>
      <c r="H11" s="58" t="str">
        <f>HYPERLINK("https://africanmarketingconfederation.org/amc-conference-2023/amc-awards","https://africanmarketingconfederation.org/amc-conference-2023/amc-awards")</f>
        <v>https://africanmarketingconfederation.org/amc-conference-2023/amc-awards</v>
      </c>
      <c r="I11" s="33" t="str">
        <f>HYPERLINK("https://africanmarketingconfederation.org/amc-conference-2023/amc-awards","Amc Awards")</f>
        <v>Amc Awards</v>
      </c>
      <c r="J11" s="37" t="s">
        <v>289</v>
      </c>
      <c r="K11" s="33" t="s">
        <v>290</v>
      </c>
      <c r="L11" s="33" t="str">
        <f t="shared" si="2"/>
        <v>SHORT: 44</v>
      </c>
      <c r="M11" s="33" t="s">
        <v>291</v>
      </c>
      <c r="N11" s="33" t="str">
        <f t="shared" si="3"/>
        <v>LONG: 432</v>
      </c>
      <c r="O11" s="33" t="s">
        <v>292</v>
      </c>
      <c r="P11" s="33" t="str">
        <f t="shared" si="4"/>
        <v>OK</v>
      </c>
      <c r="Q11" s="33" t="s">
        <v>293</v>
      </c>
      <c r="R11" s="33" t="str">
        <f t="shared" si="5"/>
        <v>OK</v>
      </c>
      <c r="S11" s="33"/>
      <c r="T11" s="33" t="str">
        <f t="shared" si="6"/>
        <v>MISSING</v>
      </c>
      <c r="U11" s="33"/>
      <c r="V11" s="33" t="str">
        <f t="shared" si="7"/>
        <v>MISSING</v>
      </c>
      <c r="W11" s="33"/>
      <c r="X11" s="33" t="str">
        <f t="shared" si="8"/>
        <v>MISSING</v>
      </c>
      <c r="Y11" s="33"/>
      <c r="Z11" s="33" t="str">
        <f t="shared" si="9"/>
        <v>MISSING</v>
      </c>
      <c r="AA11" s="58" t="str">
        <f>HYPERLINK("https://africanmarketingconfederation.org/wp-admin/post.php?post=12954&amp;action=elementor","Open in Elementor")</f>
        <v>Open in Elementor</v>
      </c>
      <c r="AB11" s="58" t="str">
        <f>HYPERLINK("https://africanmarketingconfederation.org/wp-content/uploads/2021/08/amc_faw.png","View Image")</f>
        <v>View Image</v>
      </c>
      <c r="AC11" s="33" t="e" vm="2">
        <f>IF(LEN("https://africanmarketingconfederation.org/wp-content/uploads/2021/08/amc_faw.png")&gt;0, _xlfn.IMAGE("https://africanmarketingconfederation.org/wp-content/uploads/2021/08/amc_faw.png"), "")</f>
        <v>#VALUE!</v>
      </c>
      <c r="AD11" s="58" t="str">
        <f>IFERROR(HYPERLINK("#'Main'!B"&amp;MATCH(TRIM(H11),Main!B:B,0),"Open in Main"),IFERROR(HYPERLINK("#'Technical Diagnostics'!A"&amp;MATCH(TRIM(H11),'Technical Diagnostics'!A:A,0),"Open in Technical"),"Not Found"))</f>
        <v>Open in Main</v>
      </c>
    </row>
    <row r="12" spans="1:30" ht="60" customHeight="1" x14ac:dyDescent="0.25">
      <c r="A12" s="33" t="str">
        <f t="shared" si="0"/>
        <v>Needs Copy</v>
      </c>
      <c r="B12" s="33">
        <f t="shared" si="1"/>
        <v>46</v>
      </c>
      <c r="C12" s="34">
        <v>44.4</v>
      </c>
      <c r="D12" s="34">
        <v>50</v>
      </c>
      <c r="E12" s="34">
        <v>27.58</v>
      </c>
      <c r="F12" s="34" t="s">
        <v>103</v>
      </c>
      <c r="G12" s="33" t="s">
        <v>111</v>
      </c>
      <c r="H12" s="58" t="str">
        <f>HYPERLINK("https://africanmarketingconfederation.org/amc-conference-2023/amc-awards-book-now","https://africanmarketingconfederation.org/amc-conference-2023/amc-awards-book-now")</f>
        <v>https://africanmarketingconfederation.org/amc-conference-2023/amc-awards-book-now</v>
      </c>
      <c r="I12" s="33" t="str">
        <f>HYPERLINK("https://africanmarketingconfederation.org/amc-conference-2023/amc-awards-book-now","Amc Awards Book Now")</f>
        <v>Amc Awards Book Now</v>
      </c>
      <c r="J12" s="37" t="s">
        <v>294</v>
      </c>
      <c r="K12" s="33" t="s">
        <v>295</v>
      </c>
      <c r="L12" s="33" t="str">
        <f t="shared" si="2"/>
        <v>OK 50-60 chars</v>
      </c>
      <c r="M12" s="33" t="s">
        <v>296</v>
      </c>
      <c r="N12" s="33" t="str">
        <f t="shared" si="3"/>
        <v>SHORT: 19</v>
      </c>
      <c r="O12" s="33"/>
      <c r="P12" s="33" t="str">
        <f t="shared" si="4"/>
        <v>FIX: MULTIPLE/MISSING</v>
      </c>
      <c r="Q12" s="33"/>
      <c r="R12" s="33" t="str">
        <f t="shared" si="5"/>
        <v>MISSING</v>
      </c>
      <c r="S12" s="33"/>
      <c r="T12" s="33" t="str">
        <f t="shared" si="6"/>
        <v>MISSING</v>
      </c>
      <c r="U12" s="33"/>
      <c r="V12" s="33" t="str">
        <f t="shared" si="7"/>
        <v>MISSING</v>
      </c>
      <c r="W12" s="33"/>
      <c r="X12" s="33" t="str">
        <f t="shared" si="8"/>
        <v>MISSING</v>
      </c>
      <c r="Y12" s="33"/>
      <c r="Z12" s="33" t="str">
        <f t="shared" si="9"/>
        <v>MISSING</v>
      </c>
      <c r="AA12" s="58" t="str">
        <f>HYPERLINK("https://africanmarketingconfederation.org/wp-admin/post.php?post=13164&amp;action=elementor","Open in Elementor")</f>
        <v>Open in Elementor</v>
      </c>
      <c r="AB12" s="58" t="str">
        <f>HYPERLINK("https://africanmarketingconfederation.org/wp-content/uploads/2021/08/amc_faw.png","View Image")</f>
        <v>View Image</v>
      </c>
      <c r="AC12" s="33" t="e" vm="2">
        <f>IF(LEN("https://africanmarketingconfederation.org/wp-content/uploads/2021/08/amc_faw.png")&gt;0, _xlfn.IMAGE("https://africanmarketingconfederation.org/wp-content/uploads/2021/08/amc_faw.png"), "")</f>
        <v>#VALUE!</v>
      </c>
      <c r="AD12" s="58" t="str">
        <f>IFERROR(HYPERLINK("#'Main'!B"&amp;MATCH(TRIM(H12),Main!B:B,0),"Open in Main"),IFERROR(HYPERLINK("#'Technical Diagnostics'!A"&amp;MATCH(TRIM(H12),'Technical Diagnostics'!A:A,0),"Open in Technical"),"Not Found"))</f>
        <v>Open in Main</v>
      </c>
    </row>
    <row r="13" spans="1:30" ht="60" customHeight="1" x14ac:dyDescent="0.25">
      <c r="A13" s="33" t="str">
        <f t="shared" si="0"/>
        <v>Needs Copy</v>
      </c>
      <c r="B13" s="33">
        <f t="shared" si="1"/>
        <v>58</v>
      </c>
      <c r="C13" s="47">
        <v>75.31</v>
      </c>
      <c r="D13" s="47">
        <v>70</v>
      </c>
      <c r="E13" s="52">
        <v>91.25</v>
      </c>
      <c r="F13" s="34" t="s">
        <v>103</v>
      </c>
      <c r="G13" s="33" t="s">
        <v>111</v>
      </c>
      <c r="H13" s="58" t="str">
        <f>HYPERLINK("https://africanmarketingconfederation.org/amc-conference-2023/book-now","https://africanmarketingconfederation.org/amc-conference-2023/book-now")</f>
        <v>https://africanmarketingconfederation.org/amc-conference-2023/book-now</v>
      </c>
      <c r="I13" s="33" t="str">
        <f>HYPERLINK("https://africanmarketingconfederation.org/amc-conference-2023/book-now","Book Now")</f>
        <v>Book Now</v>
      </c>
      <c r="J13" s="37" t="s">
        <v>297</v>
      </c>
      <c r="K13" s="33" t="s">
        <v>298</v>
      </c>
      <c r="L13" s="33" t="str">
        <f t="shared" si="2"/>
        <v>SHORT: 42</v>
      </c>
      <c r="M13" s="33" t="s">
        <v>299</v>
      </c>
      <c r="N13" s="33" t="str">
        <f t="shared" si="3"/>
        <v>LONG: 316</v>
      </c>
      <c r="O13" s="33" t="s">
        <v>300</v>
      </c>
      <c r="P13" s="33" t="str">
        <f t="shared" si="4"/>
        <v>OK</v>
      </c>
      <c r="Q13" s="33"/>
      <c r="R13" s="33" t="str">
        <f t="shared" si="5"/>
        <v>MISSING</v>
      </c>
      <c r="S13" s="33" t="s">
        <v>301</v>
      </c>
      <c r="T13" s="33" t="str">
        <f t="shared" si="6"/>
        <v>OK</v>
      </c>
      <c r="U13" s="33"/>
      <c r="V13" s="33" t="str">
        <f t="shared" si="7"/>
        <v>MISSING</v>
      </c>
      <c r="W13" s="33"/>
      <c r="X13" s="33" t="str">
        <f t="shared" si="8"/>
        <v>MISSING</v>
      </c>
      <c r="Y13" s="33"/>
      <c r="Z13" s="33" t="str">
        <f t="shared" si="9"/>
        <v>MISSING</v>
      </c>
      <c r="AA13" s="58" t="str">
        <f>HYPERLINK("https://africanmarketingconfederation.org/wp-admin/post.php?post=12407&amp;action=elementor","Open in Elementor")</f>
        <v>Open in Elementor</v>
      </c>
      <c r="AB13" s="58" t="str">
        <f>HYPERLINK("https://africanmarketingconfederation.org/wp-content/uploads/2021/08/amc_faw.png","View Image")</f>
        <v>View Image</v>
      </c>
      <c r="AC13" s="33" t="e" vm="2">
        <f>IF(LEN("https://africanmarketingconfederation.org/wp-content/uploads/2021/08/amc_faw.png")&gt;0, _xlfn.IMAGE("https://africanmarketingconfederation.org/wp-content/uploads/2021/08/amc_faw.png"), "")</f>
        <v>#VALUE!</v>
      </c>
      <c r="AD13" s="58" t="str">
        <f>IFERROR(HYPERLINK("#'Main'!B"&amp;MATCH(TRIM(H13),Main!B:B,0),"Open in Main"),IFERROR(HYPERLINK("#'Technical Diagnostics'!A"&amp;MATCH(TRIM(H13),'Technical Diagnostics'!A:A,0),"Open in Technical"),"Not Found"))</f>
        <v>Open in Main</v>
      </c>
    </row>
    <row r="14" spans="1:30" ht="60" customHeight="1" x14ac:dyDescent="0.25">
      <c r="A14" s="33" t="str">
        <f t="shared" si="0"/>
        <v>Needs Copy</v>
      </c>
      <c r="B14" s="33">
        <f t="shared" si="1"/>
        <v>51</v>
      </c>
      <c r="C14" s="34">
        <v>65.77</v>
      </c>
      <c r="D14" s="47">
        <v>70</v>
      </c>
      <c r="E14" s="34">
        <v>53.08</v>
      </c>
      <c r="F14" s="34" t="s">
        <v>103</v>
      </c>
      <c r="G14" s="33" t="s">
        <v>111</v>
      </c>
      <c r="H14" s="58" t="str">
        <f>HYPERLINK("https://africanmarketingconfederation.org/amc-conference-2023/book-now-thank-you","https://africanmarketingconfederation.org/amc-conference-2023/book-now-thank-you")</f>
        <v>https://africanmarketingconfederation.org/amc-conference-2023/book-now-thank-you</v>
      </c>
      <c r="I14" s="33" t="str">
        <f>HYPERLINK("https://africanmarketingconfederation.org/amc-conference-2023/book-now-thank-you","Book Now Thank You")</f>
        <v>Book Now Thank You</v>
      </c>
      <c r="J14" s="37" t="s">
        <v>302</v>
      </c>
      <c r="K14" s="33" t="s">
        <v>303</v>
      </c>
      <c r="L14" s="33" t="str">
        <f t="shared" si="2"/>
        <v>OK 50-60 chars</v>
      </c>
      <c r="M14" s="33" t="s">
        <v>304</v>
      </c>
      <c r="N14" s="33" t="str">
        <f t="shared" si="3"/>
        <v>LONG: 379</v>
      </c>
      <c r="O14" s="33"/>
      <c r="P14" s="33" t="str">
        <f t="shared" si="4"/>
        <v>FIX: MULTIPLE/MISSING</v>
      </c>
      <c r="Q14" s="33" t="s">
        <v>305</v>
      </c>
      <c r="R14" s="33" t="str">
        <f t="shared" si="5"/>
        <v>OK</v>
      </c>
      <c r="S14" s="33"/>
      <c r="T14" s="33" t="str">
        <f t="shared" si="6"/>
        <v>MISSING</v>
      </c>
      <c r="U14" s="33"/>
      <c r="V14" s="33" t="str">
        <f t="shared" si="7"/>
        <v>MISSING</v>
      </c>
      <c r="W14" s="33"/>
      <c r="X14" s="33" t="str">
        <f t="shared" si="8"/>
        <v>MISSING</v>
      </c>
      <c r="Y14" s="33"/>
      <c r="Z14" s="33" t="str">
        <f t="shared" si="9"/>
        <v>MISSING</v>
      </c>
      <c r="AA14" s="58" t="str">
        <f>HYPERLINK("https://africanmarketingconfederation.org/wp-admin/post.php?post=12497&amp;action=elementor","Open in Elementor")</f>
        <v>Open in Elementor</v>
      </c>
      <c r="AB14" s="58" t="str">
        <f>HYPERLINK("https://africanmarketingconfederation.org/wp-content/uploads/2021/08/amc_faw.png","View Image")</f>
        <v>View Image</v>
      </c>
      <c r="AC14" s="33" t="e" vm="2">
        <f>IF(LEN("https://africanmarketingconfederation.org/wp-content/uploads/2021/08/amc_faw.png")&gt;0, _xlfn.IMAGE("https://africanmarketingconfederation.org/wp-content/uploads/2021/08/amc_faw.png"), "")</f>
        <v>#VALUE!</v>
      </c>
      <c r="AD14" s="58" t="str">
        <f>IFERROR(HYPERLINK("#'Main'!B"&amp;MATCH(TRIM(H14),Main!B:B,0),"Open in Main"),IFERROR(HYPERLINK("#'Technical Diagnostics'!A"&amp;MATCH(TRIM(H14),'Technical Diagnostics'!A:A,0),"Open in Technical"),"Not Found"))</f>
        <v>Open in Main</v>
      </c>
    </row>
    <row r="15" spans="1:30" ht="60" customHeight="1" x14ac:dyDescent="0.25">
      <c r="A15" s="33" t="str">
        <f t="shared" si="0"/>
        <v>Needs Copy</v>
      </c>
      <c r="B15" s="33">
        <f t="shared" si="1"/>
        <v>71</v>
      </c>
      <c r="C15" s="47">
        <v>73.56</v>
      </c>
      <c r="D15" s="47">
        <v>70</v>
      </c>
      <c r="E15" s="47">
        <v>84.25</v>
      </c>
      <c r="F15" s="34" t="s">
        <v>103</v>
      </c>
      <c r="G15" s="33" t="s">
        <v>111</v>
      </c>
      <c r="H15" s="58" t="str">
        <f>HYPERLINK("https://africanmarketingconfederation.org/amc-conference-2023/download-prospectus","https://africanmarketingconfederation.org/amc-conference-2023/download-prospectus")</f>
        <v>https://africanmarketingconfederation.org/amc-conference-2023/download-prospectus</v>
      </c>
      <c r="I15" s="33" t="str">
        <f>HYPERLINK("https://africanmarketingconfederation.org/amc-conference-2023/download-prospectus","Download Prospectus")</f>
        <v>Download Prospectus</v>
      </c>
      <c r="J15" s="37" t="s">
        <v>306</v>
      </c>
      <c r="K15" s="33" t="s">
        <v>307</v>
      </c>
      <c r="L15" s="33" t="str">
        <f t="shared" si="2"/>
        <v>OK 50-60 chars</v>
      </c>
      <c r="M15" s="33" t="s">
        <v>308</v>
      </c>
      <c r="N15" s="33" t="str">
        <f t="shared" si="3"/>
        <v>LONG: 340</v>
      </c>
      <c r="O15" s="33" t="s">
        <v>309</v>
      </c>
      <c r="P15" s="33" t="str">
        <f t="shared" si="4"/>
        <v>OK</v>
      </c>
      <c r="Q15" s="33" t="s">
        <v>309</v>
      </c>
      <c r="R15" s="33" t="str">
        <f t="shared" si="5"/>
        <v>OK</v>
      </c>
      <c r="S15" s="33"/>
      <c r="T15" s="33" t="str">
        <f t="shared" si="6"/>
        <v>MISSING</v>
      </c>
      <c r="U15" s="33"/>
      <c r="V15" s="33" t="str">
        <f t="shared" si="7"/>
        <v>MISSING</v>
      </c>
      <c r="W15" s="33"/>
      <c r="X15" s="33" t="str">
        <f t="shared" si="8"/>
        <v>MISSING</v>
      </c>
      <c r="Y15" s="33"/>
      <c r="Z15" s="33" t="str">
        <f t="shared" si="9"/>
        <v>MISSING</v>
      </c>
      <c r="AA15" s="58" t="str">
        <f>HYPERLINK("https://africanmarketingconfederation.org/wp-admin/post.php?post=13098&amp;action=elementor","Open in Elementor")</f>
        <v>Open in Elementor</v>
      </c>
      <c r="AB15" s="58" t="str">
        <f>HYPERLINK("https://africanmarketingconfederation.org/wp-content/uploads/2023/08/AMC-Logo-03.png","View Image")</f>
        <v>View Image</v>
      </c>
      <c r="AC15" s="33" t="e" vm="3">
        <f>IF(LEN("https://africanmarketingconfederation.org/wp-content/uploads/2023/08/AMC-Logo-03.png")&gt;0, _xlfn.IMAGE("https://africanmarketingconfederation.org/wp-content/uploads/2023/08/AMC-Logo-03.png"), "")</f>
        <v>#VALUE!</v>
      </c>
      <c r="AD15" s="58" t="str">
        <f>IFERROR(HYPERLINK("#'Main'!B"&amp;MATCH(TRIM(H15),Main!B:B,0),"Open in Main"),IFERROR(HYPERLINK("#'Technical Diagnostics'!A"&amp;MATCH(TRIM(H15),'Technical Diagnostics'!A:A,0),"Open in Technical"),"Not Found"))</f>
        <v>Open in Main</v>
      </c>
    </row>
    <row r="16" spans="1:30" ht="60" customHeight="1" x14ac:dyDescent="0.25">
      <c r="A16" s="33" t="str">
        <f t="shared" si="0"/>
        <v>Needs Copy</v>
      </c>
      <c r="B16" s="33">
        <f t="shared" si="1"/>
        <v>56</v>
      </c>
      <c r="C16" s="47">
        <v>72.209999999999994</v>
      </c>
      <c r="D16" s="47">
        <v>70</v>
      </c>
      <c r="E16" s="47">
        <v>78.83</v>
      </c>
      <c r="F16" s="34" t="s">
        <v>103</v>
      </c>
      <c r="G16" s="33" t="s">
        <v>111</v>
      </c>
      <c r="H16" s="58" t="str">
        <f>HYPERLINK("https://africanmarketingconfederation.org/amc-conference-2023/gallery","https://africanmarketingconfederation.org/amc-conference-2023/gallery")</f>
        <v>https://africanmarketingconfederation.org/amc-conference-2023/gallery</v>
      </c>
      <c r="I16" s="33" t="str">
        <f>HYPERLINK("https://africanmarketingconfederation.org/amc-conference-2023/gallery","Gallery")</f>
        <v>Gallery</v>
      </c>
      <c r="J16" s="37" t="s">
        <v>310</v>
      </c>
      <c r="K16" s="33" t="s">
        <v>311</v>
      </c>
      <c r="L16" s="33" t="str">
        <f t="shared" si="2"/>
        <v>SHORT: 41</v>
      </c>
      <c r="M16" s="33" t="s">
        <v>312</v>
      </c>
      <c r="N16" s="33" t="str">
        <f t="shared" si="3"/>
        <v>SHORT: 88</v>
      </c>
      <c r="O16" s="33" t="s">
        <v>313</v>
      </c>
      <c r="P16" s="33" t="str">
        <f t="shared" si="4"/>
        <v>OK</v>
      </c>
      <c r="Q16" s="33"/>
      <c r="R16" s="33" t="str">
        <f t="shared" si="5"/>
        <v>MISSING</v>
      </c>
      <c r="S16" s="33"/>
      <c r="T16" s="33" t="str">
        <f t="shared" si="6"/>
        <v>MISSING</v>
      </c>
      <c r="U16" s="33"/>
      <c r="V16" s="33" t="str">
        <f t="shared" si="7"/>
        <v>MISSING</v>
      </c>
      <c r="W16" s="33"/>
      <c r="X16" s="33" t="str">
        <f t="shared" si="8"/>
        <v>MISSING</v>
      </c>
      <c r="Y16" s="33"/>
      <c r="Z16" s="33" t="str">
        <f t="shared" si="9"/>
        <v>MISSING</v>
      </c>
      <c r="AA16" s="58" t="str">
        <f>HYPERLINK("https://africanmarketingconfederation.org/wp-admin/post.php?post=13549&amp;action=elementor","Open in Elementor")</f>
        <v>Open in Elementor</v>
      </c>
      <c r="AB16" s="58" t="str">
        <f t="shared" ref="AB16:AB22" si="10">HYPERLINK("https://africanmarketingconfederation.org/wp-content/uploads/2021/08/amc_faw.png","View Image")</f>
        <v>View Image</v>
      </c>
      <c r="AC16" s="33" t="e" vm="2">
        <f t="shared" ref="AC16:AC22" si="11">IF(LEN("https://africanmarketingconfederation.org/wp-content/uploads/2021/08/amc_faw.png")&gt;0, _xlfn.IMAGE("https://africanmarketingconfederation.org/wp-content/uploads/2021/08/amc_faw.png"), "")</f>
        <v>#VALUE!</v>
      </c>
      <c r="AD16" s="58" t="str">
        <f>IFERROR(HYPERLINK("#'Main'!B"&amp;MATCH(TRIM(H16),Main!B:B,0),"Open in Main"),IFERROR(HYPERLINK("#'Technical Diagnostics'!A"&amp;MATCH(TRIM(H16),'Technical Diagnostics'!A:A,0),"Open in Technical"),"Not Found"))</f>
        <v>Open in Main</v>
      </c>
    </row>
    <row r="17" spans="1:30" ht="60" customHeight="1" x14ac:dyDescent="0.25">
      <c r="A17" s="33" t="str">
        <f t="shared" si="0"/>
        <v>Needs Copy</v>
      </c>
      <c r="B17" s="33">
        <f t="shared" si="1"/>
        <v>56</v>
      </c>
      <c r="C17" s="47">
        <v>72</v>
      </c>
      <c r="D17" s="47">
        <v>70</v>
      </c>
      <c r="E17" s="47">
        <v>78</v>
      </c>
      <c r="F17" s="34" t="s">
        <v>103</v>
      </c>
      <c r="G17" s="33" t="s">
        <v>111</v>
      </c>
      <c r="H17" s="58" t="str">
        <f>HYPERLINK("https://africanmarketingconfederation.org/amc-conference-2023/partners","https://africanmarketingconfederation.org/amc-conference-2023/partners")</f>
        <v>https://africanmarketingconfederation.org/amc-conference-2023/partners</v>
      </c>
      <c r="I17" s="33" t="str">
        <f>HYPERLINK("https://africanmarketingconfederation.org/amc-conference-2023/partners","Partners")</f>
        <v>Partners</v>
      </c>
      <c r="J17" s="37" t="s">
        <v>314</v>
      </c>
      <c r="K17" s="33" t="s">
        <v>315</v>
      </c>
      <c r="L17" s="33" t="str">
        <f t="shared" si="2"/>
        <v>SHORT: 42</v>
      </c>
      <c r="M17" s="33" t="s">
        <v>316</v>
      </c>
      <c r="N17" s="33" t="str">
        <f t="shared" si="3"/>
        <v>SHORT: 37</v>
      </c>
      <c r="O17" s="33" t="s">
        <v>317</v>
      </c>
      <c r="P17" s="33" t="str">
        <f t="shared" si="4"/>
        <v>OK</v>
      </c>
      <c r="Q17" s="33"/>
      <c r="R17" s="33" t="str">
        <f t="shared" si="5"/>
        <v>MISSING</v>
      </c>
      <c r="S17" s="33"/>
      <c r="T17" s="33" t="str">
        <f t="shared" si="6"/>
        <v>MISSING</v>
      </c>
      <c r="U17" s="33"/>
      <c r="V17" s="33" t="str">
        <f t="shared" si="7"/>
        <v>MISSING</v>
      </c>
      <c r="W17" s="33"/>
      <c r="X17" s="33" t="str">
        <f t="shared" si="8"/>
        <v>MISSING</v>
      </c>
      <c r="Y17" s="33"/>
      <c r="Z17" s="33" t="str">
        <f t="shared" si="9"/>
        <v>MISSING</v>
      </c>
      <c r="AA17" s="58" t="str">
        <f>HYPERLINK("https://africanmarketingconfederation.org/wp-admin/post.php?post=13282&amp;action=elementor","Open in Elementor")</f>
        <v>Open in Elementor</v>
      </c>
      <c r="AB17" s="58" t="str">
        <f t="shared" si="10"/>
        <v>View Image</v>
      </c>
      <c r="AC17" s="33" t="e" vm="2">
        <f t="shared" si="11"/>
        <v>#VALUE!</v>
      </c>
      <c r="AD17" s="58" t="str">
        <f>IFERROR(HYPERLINK("#'Main'!B"&amp;MATCH(TRIM(H17),Main!B:B,0),"Open in Main"),IFERROR(HYPERLINK("#'Technical Diagnostics'!A"&amp;MATCH(TRIM(H17),'Technical Diagnostics'!A:A,0),"Open in Technical"),"Not Found"))</f>
        <v>Open in Main</v>
      </c>
    </row>
    <row r="18" spans="1:30" ht="60" customHeight="1" x14ac:dyDescent="0.25">
      <c r="A18" s="33" t="str">
        <f t="shared" si="0"/>
        <v>Needs Copy</v>
      </c>
      <c r="B18" s="33">
        <f t="shared" si="1"/>
        <v>66</v>
      </c>
      <c r="C18" s="47">
        <v>77.5</v>
      </c>
      <c r="D18" s="47">
        <v>70</v>
      </c>
      <c r="E18" s="52">
        <v>100</v>
      </c>
      <c r="F18" s="34" t="s">
        <v>103</v>
      </c>
      <c r="G18" s="33" t="s">
        <v>111</v>
      </c>
      <c r="H18" s="58" t="str">
        <f>HYPERLINK("https://africanmarketingconfederation.org/amc-conference-2023/programme","https://africanmarketingconfederation.org/amc-conference-2023/programme")</f>
        <v>https://africanmarketingconfederation.org/amc-conference-2023/programme</v>
      </c>
      <c r="I18" s="33" t="str">
        <f>HYPERLINK("https://africanmarketingconfederation.org/amc-conference-2023/programme","Programme")</f>
        <v>Programme</v>
      </c>
      <c r="J18" s="37" t="s">
        <v>318</v>
      </c>
      <c r="K18" s="33" t="s">
        <v>319</v>
      </c>
      <c r="L18" s="33" t="str">
        <f t="shared" si="2"/>
        <v>SHORT: 43</v>
      </c>
      <c r="M18" s="33" t="s">
        <v>320</v>
      </c>
      <c r="N18" s="33" t="str">
        <f t="shared" si="3"/>
        <v>LONG: 362</v>
      </c>
      <c r="O18" s="33" t="s">
        <v>321</v>
      </c>
      <c r="P18" s="33" t="str">
        <f t="shared" si="4"/>
        <v>OK</v>
      </c>
      <c r="Q18" s="33" t="s">
        <v>322</v>
      </c>
      <c r="R18" s="33" t="str">
        <f t="shared" si="5"/>
        <v>OK</v>
      </c>
      <c r="S18" s="33" t="s">
        <v>323</v>
      </c>
      <c r="T18" s="33" t="str">
        <f t="shared" si="6"/>
        <v>OK</v>
      </c>
      <c r="U18" s="33"/>
      <c r="V18" s="33" t="str">
        <f t="shared" si="7"/>
        <v>MISSING</v>
      </c>
      <c r="W18" s="33"/>
      <c r="X18" s="33" t="str">
        <f t="shared" si="8"/>
        <v>MISSING</v>
      </c>
      <c r="Y18" s="33"/>
      <c r="Z18" s="33" t="str">
        <f t="shared" si="9"/>
        <v>MISSING</v>
      </c>
      <c r="AA18" s="58" t="str">
        <f>HYPERLINK("https://africanmarketingconfederation.org/wp-admin/post.php?post=12945&amp;action=elementor","Open in Elementor")</f>
        <v>Open in Elementor</v>
      </c>
      <c r="AB18" s="58" t="str">
        <f t="shared" si="10"/>
        <v>View Image</v>
      </c>
      <c r="AC18" s="33" t="e" vm="2">
        <f t="shared" si="11"/>
        <v>#VALUE!</v>
      </c>
      <c r="AD18" s="58" t="str">
        <f>IFERROR(HYPERLINK("#'Main'!B"&amp;MATCH(TRIM(H18),Main!B:B,0),"Open in Main"),IFERROR(HYPERLINK("#'Technical Diagnostics'!A"&amp;MATCH(TRIM(H18),'Technical Diagnostics'!A:A,0),"Open in Technical"),"Not Found"))</f>
        <v>Open in Main</v>
      </c>
    </row>
    <row r="19" spans="1:30" ht="60" customHeight="1" x14ac:dyDescent="0.25">
      <c r="A19" s="33" t="str">
        <f t="shared" si="0"/>
        <v>Needs Copy</v>
      </c>
      <c r="B19" s="33">
        <f t="shared" si="1"/>
        <v>66</v>
      </c>
      <c r="C19" s="47">
        <v>82.77</v>
      </c>
      <c r="D19" s="47">
        <v>80</v>
      </c>
      <c r="E19" s="52">
        <v>91.08</v>
      </c>
      <c r="F19" s="34" t="s">
        <v>103</v>
      </c>
      <c r="G19" s="33" t="s">
        <v>111</v>
      </c>
      <c r="H19" s="58" t="str">
        <f>HYPERLINK("https://africanmarketingconfederation.org/amc-conference-2023/speakers","https://africanmarketingconfederation.org/amc-conference-2023/speakers")</f>
        <v>https://africanmarketingconfederation.org/amc-conference-2023/speakers</v>
      </c>
      <c r="I19" s="33" t="str">
        <f>HYPERLINK("https://africanmarketingconfederation.org/amc-conference-2023/speakers","Speakers")</f>
        <v>Speakers</v>
      </c>
      <c r="J19" s="37" t="s">
        <v>324</v>
      </c>
      <c r="K19" s="33" t="s">
        <v>325</v>
      </c>
      <c r="L19" s="33" t="str">
        <f t="shared" si="2"/>
        <v>SHORT: 42</v>
      </c>
      <c r="M19" s="33" t="s">
        <v>326</v>
      </c>
      <c r="N19" s="33" t="str">
        <f t="shared" si="3"/>
        <v>LONG: 354</v>
      </c>
      <c r="O19" s="33" t="s">
        <v>327</v>
      </c>
      <c r="P19" s="33" t="str">
        <f t="shared" si="4"/>
        <v>OK</v>
      </c>
      <c r="Q19" s="33" t="s">
        <v>328</v>
      </c>
      <c r="R19" s="33" t="str">
        <f t="shared" si="5"/>
        <v>OK</v>
      </c>
      <c r="S19" s="33" t="s">
        <v>329</v>
      </c>
      <c r="T19" s="33" t="str">
        <f t="shared" si="6"/>
        <v>OK</v>
      </c>
      <c r="U19" s="33"/>
      <c r="V19" s="33" t="str">
        <f t="shared" si="7"/>
        <v>MISSING</v>
      </c>
      <c r="W19" s="33"/>
      <c r="X19" s="33" t="str">
        <f t="shared" si="8"/>
        <v>MISSING</v>
      </c>
      <c r="Y19" s="33"/>
      <c r="Z19" s="33" t="str">
        <f t="shared" si="9"/>
        <v>MISSING</v>
      </c>
      <c r="AA19" s="58" t="str">
        <f>HYPERLINK("https://africanmarketingconfederation.org/wp-admin/post.php?post=13179&amp;action=elementor","Open in Elementor")</f>
        <v>Open in Elementor</v>
      </c>
      <c r="AB19" s="58" t="str">
        <f t="shared" si="10"/>
        <v>View Image</v>
      </c>
      <c r="AC19" s="33" t="e" vm="2">
        <f t="shared" si="11"/>
        <v>#VALUE!</v>
      </c>
      <c r="AD19" s="58" t="str">
        <f>IFERROR(HYPERLINK("#'Main'!B"&amp;MATCH(TRIM(H19),Main!B:B,0),"Open in Main"),IFERROR(HYPERLINK("#'Technical Diagnostics'!A"&amp;MATCH(TRIM(H19),'Technical Diagnostics'!A:A,0),"Open in Technical"),"Not Found"))</f>
        <v>Open in Main</v>
      </c>
    </row>
    <row r="20" spans="1:30" ht="60" customHeight="1" x14ac:dyDescent="0.25">
      <c r="A20" s="33" t="str">
        <f t="shared" si="0"/>
        <v>Needs Copy</v>
      </c>
      <c r="B20" s="33">
        <f t="shared" si="1"/>
        <v>69</v>
      </c>
      <c r="C20" s="47">
        <v>77.5</v>
      </c>
      <c r="D20" s="47">
        <v>70</v>
      </c>
      <c r="E20" s="52">
        <v>100</v>
      </c>
      <c r="F20" s="34" t="s">
        <v>103</v>
      </c>
      <c r="G20" s="33" t="s">
        <v>111</v>
      </c>
      <c r="H20" s="58" t="str">
        <f>HYPERLINK("https://africanmarketingconfederation.org/amc-conference-2024-recap","https://africanmarketingconfederation.org/amc-conference-2024-recap")</f>
        <v>https://africanmarketingconfederation.org/amc-conference-2024-recap</v>
      </c>
      <c r="I20" s="33" t="str">
        <f>HYPERLINK("https://africanmarketingconfederation.org/amc-conference-2024-recap","Amc Conference 2024 Recap")</f>
        <v>Amc Conference 2024 Recap</v>
      </c>
      <c r="J20" s="37" t="s">
        <v>330</v>
      </c>
      <c r="K20" s="33" t="s">
        <v>331</v>
      </c>
      <c r="L20" s="33" t="str">
        <f t="shared" si="2"/>
        <v>OK 50-60 chars</v>
      </c>
      <c r="M20" s="33" t="s">
        <v>332</v>
      </c>
      <c r="N20" s="33" t="str">
        <f t="shared" si="3"/>
        <v>LONG: 377</v>
      </c>
      <c r="O20" s="33" t="s">
        <v>333</v>
      </c>
      <c r="P20" s="33" t="str">
        <f t="shared" si="4"/>
        <v>OK</v>
      </c>
      <c r="Q20" s="33"/>
      <c r="R20" s="33" t="str">
        <f t="shared" si="5"/>
        <v>MISSING</v>
      </c>
      <c r="S20" s="33" t="s">
        <v>334</v>
      </c>
      <c r="T20" s="33" t="str">
        <f t="shared" si="6"/>
        <v>OK</v>
      </c>
      <c r="U20" s="33"/>
      <c r="V20" s="33" t="str">
        <f t="shared" si="7"/>
        <v>MISSING</v>
      </c>
      <c r="W20" s="33"/>
      <c r="X20" s="33" t="str">
        <f t="shared" si="8"/>
        <v>MISSING</v>
      </c>
      <c r="Y20" s="33"/>
      <c r="Z20" s="33" t="str">
        <f t="shared" si="9"/>
        <v>MISSING</v>
      </c>
      <c r="AA20" s="58" t="str">
        <f>HYPERLINK("https://africanmarketingconfederation.org/wp-admin/post.php?post=22401&amp;action=elementor","Open in Elementor")</f>
        <v>Open in Elementor</v>
      </c>
      <c r="AB20" s="58" t="str">
        <f t="shared" si="10"/>
        <v>View Image</v>
      </c>
      <c r="AC20" s="33" t="e" vm="2">
        <f t="shared" si="11"/>
        <v>#VALUE!</v>
      </c>
      <c r="AD20" s="58" t="str">
        <f>IFERROR(HYPERLINK("#'Main'!B"&amp;MATCH(TRIM(H20),Main!B:B,0),"Open in Main"),IFERROR(HYPERLINK("#'Technical Diagnostics'!A"&amp;MATCH(TRIM(H20),'Technical Diagnostics'!A:A,0),"Open in Technical"),"Not Found"))</f>
        <v>Open in Main</v>
      </c>
    </row>
    <row r="21" spans="1:30" ht="60" customHeight="1" x14ac:dyDescent="0.25">
      <c r="A21" s="33" t="str">
        <f t="shared" si="0"/>
        <v>Needs Copy</v>
      </c>
      <c r="B21" s="33">
        <f t="shared" si="1"/>
        <v>77</v>
      </c>
      <c r="C21" s="47">
        <v>73.88</v>
      </c>
      <c r="D21" s="47">
        <v>70</v>
      </c>
      <c r="E21" s="47">
        <v>85.5</v>
      </c>
      <c r="F21" s="34" t="s">
        <v>103</v>
      </c>
      <c r="G21" s="33" t="s">
        <v>111</v>
      </c>
      <c r="H21" s="58" t="str">
        <f>HYPERLINK("https://africanmarketingconfederation.org/amc-conference-2024-sponsors-packages","https://africanmarketingconfederation.org/amc-conference-2024-sponsors-packages")</f>
        <v>https://africanmarketingconfederation.org/amc-conference-2024-sponsors-packages</v>
      </c>
      <c r="I21" s="33" t="str">
        <f>HYPERLINK("https://africanmarketingconfederation.org/amc-conference-2024-sponsors-packages","Amc Conference 2024 Sponsors Packages")</f>
        <v>Amc Conference 2024 Sponsors Packages</v>
      </c>
      <c r="J21" s="37" t="s">
        <v>335</v>
      </c>
      <c r="K21" s="33" t="s">
        <v>336</v>
      </c>
      <c r="L21" s="33" t="str">
        <f t="shared" si="2"/>
        <v>OK 50-60 chars</v>
      </c>
      <c r="M21" s="33" t="s">
        <v>337</v>
      </c>
      <c r="N21" s="33" t="str">
        <f t="shared" si="3"/>
        <v>LONG: 339</v>
      </c>
      <c r="O21" s="33" t="s">
        <v>338</v>
      </c>
      <c r="P21" s="33" t="str">
        <f t="shared" si="4"/>
        <v>OK</v>
      </c>
      <c r="Q21" s="33" t="s">
        <v>339</v>
      </c>
      <c r="R21" s="33" t="str">
        <f t="shared" si="5"/>
        <v>OK</v>
      </c>
      <c r="S21" s="33" t="s">
        <v>340</v>
      </c>
      <c r="T21" s="33" t="str">
        <f t="shared" si="6"/>
        <v>OK</v>
      </c>
      <c r="U21" s="33"/>
      <c r="V21" s="33" t="str">
        <f t="shared" si="7"/>
        <v>MISSING</v>
      </c>
      <c r="W21" s="33"/>
      <c r="X21" s="33" t="str">
        <f t="shared" si="8"/>
        <v>MISSING</v>
      </c>
      <c r="Y21" s="33"/>
      <c r="Z21" s="33" t="str">
        <f t="shared" si="9"/>
        <v>MISSING</v>
      </c>
      <c r="AA21" s="58" t="str">
        <f>HYPERLINK("https://africanmarketingconfederation.org/wp-admin/post.php?post=18318&amp;action=elementor","Open in Elementor")</f>
        <v>Open in Elementor</v>
      </c>
      <c r="AB21" s="58" t="str">
        <f t="shared" si="10"/>
        <v>View Image</v>
      </c>
      <c r="AC21" s="33" t="e" vm="2">
        <f t="shared" si="11"/>
        <v>#VALUE!</v>
      </c>
      <c r="AD21" s="58" t="str">
        <f>IFERROR(HYPERLINK("#'Main'!B"&amp;MATCH(TRIM(H21),Main!B:B,0),"Open in Main"),IFERROR(HYPERLINK("#'Technical Diagnostics'!A"&amp;MATCH(TRIM(H21),'Technical Diagnostics'!A:A,0),"Open in Technical"),"Not Found"))</f>
        <v>Open in Main</v>
      </c>
    </row>
    <row r="22" spans="1:30" x14ac:dyDescent="0.25">
      <c r="A22" s="33" t="str">
        <f t="shared" si="0"/>
        <v>Needs Copy</v>
      </c>
      <c r="B22" s="33">
        <f t="shared" si="1"/>
        <v>56</v>
      </c>
      <c r="C22" s="47">
        <v>70</v>
      </c>
      <c r="D22" s="34">
        <v>60</v>
      </c>
      <c r="E22" s="52">
        <v>100</v>
      </c>
      <c r="F22" s="34" t="s">
        <v>103</v>
      </c>
      <c r="G22" s="33" t="s">
        <v>111</v>
      </c>
      <c r="H22" s="58" t="str">
        <f>HYPERLINK("https://africanmarketingconfederation.org/amc-conference-2025-highlights","https://africanmarketingconfederation.org/amc-conference-2025-highlights")</f>
        <v>https://africanmarketingconfederation.org/amc-conference-2025-highlights</v>
      </c>
      <c r="I22" s="33" t="str">
        <f>HYPERLINK("https://africanmarketingconfederation.org/amc-conference-2025-highlights","Amc Conference 2025 Highlights")</f>
        <v>Amc Conference 2025 Highlights</v>
      </c>
      <c r="J22" s="37" t="s">
        <v>341</v>
      </c>
      <c r="K22" s="33" t="s">
        <v>342</v>
      </c>
      <c r="L22" s="33" t="str">
        <f t="shared" si="2"/>
        <v>LONG: 64</v>
      </c>
      <c r="M22" s="33" t="s">
        <v>343</v>
      </c>
      <c r="N22" s="33" t="str">
        <f t="shared" si="3"/>
        <v>LONG: 437</v>
      </c>
      <c r="O22" s="33" t="s">
        <v>344</v>
      </c>
      <c r="P22" s="33" t="str">
        <f t="shared" si="4"/>
        <v>OK</v>
      </c>
      <c r="Q22" s="33" t="s">
        <v>345</v>
      </c>
      <c r="R22" s="33" t="str">
        <f t="shared" si="5"/>
        <v>OK</v>
      </c>
      <c r="S22" s="33"/>
      <c r="T22" s="33" t="str">
        <f t="shared" si="6"/>
        <v>MISSING</v>
      </c>
      <c r="U22" s="33"/>
      <c r="V22" s="33" t="str">
        <f t="shared" si="7"/>
        <v>MISSING</v>
      </c>
      <c r="W22" s="33"/>
      <c r="X22" s="33" t="str">
        <f t="shared" si="8"/>
        <v>MISSING</v>
      </c>
      <c r="Y22" s="33"/>
      <c r="Z22" s="33" t="str">
        <f t="shared" si="9"/>
        <v>MISSING</v>
      </c>
      <c r="AA22" s="58" t="str">
        <f>HYPERLINK("https://africanmarketingconfederation.org/wp-admin/post.php?post=30257&amp;action=elementor","Open in Elementor")</f>
        <v>Open in Elementor</v>
      </c>
      <c r="AB22" s="58" t="str">
        <f t="shared" si="10"/>
        <v>View Image</v>
      </c>
      <c r="AC22" s="33" t="e" vm="2">
        <f t="shared" si="11"/>
        <v>#VALUE!</v>
      </c>
      <c r="AD22" s="58" t="str">
        <f>IFERROR(HYPERLINK("#'Main'!B"&amp;MATCH(TRIM(H22),Main!B:B,0),"Open in Main"),IFERROR(HYPERLINK("#'Technical Diagnostics'!A"&amp;MATCH(TRIM(H22),'Technical Diagnostics'!A:A,0),"Open in Technical"),"Not Found"))</f>
        <v>Open in Main</v>
      </c>
    </row>
  </sheetData>
  <autoFilter ref="A2:AD22" xr:uid="{00000000-0009-0000-0000-000004000000}"/>
  <mergeCells count="1">
    <mergeCell ref="A1:AC1"/>
  </mergeCells>
  <conditionalFormatting sqref="A3:A22">
    <cfRule type="cellIs" dxfId="105" priority="15" operator="equal">
      <formula>"Needs Copy"</formula>
    </cfRule>
    <cfRule type="cellIs" dxfId="104" priority="16" operator="equal">
      <formula>"Needs Optimisation"</formula>
    </cfRule>
    <cfRule type="cellIs" dxfId="103" priority="17" operator="equal">
      <formula>"Needs Optimization"</formula>
    </cfRule>
    <cfRule type="cellIs" dxfId="102" priority="18" operator="equal">
      <formula>"Complete"</formula>
    </cfRule>
    <cfRule type="cellIs" dxfId="101" priority="19" operator="equal">
      <formula>"Ready to Publish"</formula>
    </cfRule>
  </conditionalFormatting>
  <conditionalFormatting sqref="B3:B22">
    <cfRule type="colorScale" priority="8">
      <colorScale>
        <cfvo type="num" val="0"/>
        <cfvo type="num" val="50"/>
        <cfvo type="num" val="100"/>
        <color rgb="FFF8696B"/>
        <color rgb="FFFFEB84"/>
        <color rgb="FF63BE7B"/>
      </colorScale>
    </cfRule>
  </conditionalFormatting>
  <conditionalFormatting sqref="C3:C22">
    <cfRule type="colorScale" priority="9">
      <colorScale>
        <cfvo type="num" val="0"/>
        <cfvo type="num" val="50"/>
        <cfvo type="num" val="100"/>
        <color rgb="FFF8696B"/>
        <color rgb="FFFFEB84"/>
        <color rgb="FF63BE7B"/>
      </colorScale>
    </cfRule>
  </conditionalFormatting>
  <conditionalFormatting sqref="D3:D22">
    <cfRule type="colorScale" priority="10">
      <colorScale>
        <cfvo type="num" val="0"/>
        <cfvo type="num" val="50"/>
        <cfvo type="num" val="100"/>
        <color rgb="FFF8696B"/>
        <color rgb="FFFFEB84"/>
        <color rgb="FF63BE7B"/>
      </colorScale>
    </cfRule>
  </conditionalFormatting>
  <conditionalFormatting sqref="E3:E22">
    <cfRule type="colorScale" priority="11">
      <colorScale>
        <cfvo type="num" val="0"/>
        <cfvo type="num" val="50"/>
        <cfvo type="num" val="100"/>
        <color rgb="FFF8696B"/>
        <color rgb="FFFFEB84"/>
        <color rgb="FF63BE7B"/>
      </colorScale>
    </cfRule>
  </conditionalFormatting>
  <conditionalFormatting sqref="F2:F21">
    <cfRule type="expression" dxfId="100" priority="2" stopIfTrue="1">
      <formula>OR(LOWER(F2)="to do",LOWER(F2)="in progress",LOWER(F2)="in review")</formula>
    </cfRule>
    <cfRule type="expression" dxfId="99" priority="1" stopIfTrue="1">
      <formula>LOWER(F2)="done"</formula>
    </cfRule>
  </conditionalFormatting>
  <conditionalFormatting sqref="F3:F22">
    <cfRule type="expression" dxfId="98" priority="3" stopIfTrue="1">
      <formula>LOWER(F3)="completed"</formula>
    </cfRule>
    <cfRule type="expression" dxfId="97" priority="4" stopIfTrue="1">
      <formula>LOWER(F3)="in progress"</formula>
    </cfRule>
    <cfRule type="expression" dxfId="96" priority="5" stopIfTrue="1">
      <formula>LOWER(F3)="review"</formula>
    </cfRule>
    <cfRule type="expression" dxfId="95" priority="7" stopIfTrue="1">
      <formula>LOWER(F3)="needs copy"</formula>
    </cfRule>
    <cfRule type="expression" dxfId="94" priority="6" stopIfTrue="1">
      <formula>LOWER(F3)="to do"</formula>
    </cfRule>
  </conditionalFormatting>
  <conditionalFormatting sqref="G3:G22">
    <cfRule type="expression" dxfId="93" priority="12" stopIfTrue="1">
      <formula>ISNUMBER(SEARCH("copy writer",LOWER(SUBSTITUTE(G3,"/",""))))</formula>
    </cfRule>
    <cfRule type="expression" dxfId="92" priority="13" stopIfTrue="1">
      <formula>ISNUMBER(SEARCH("developer",LOWER(SUBSTITUTE(G3,"/",""))))</formula>
    </cfRule>
    <cfRule type="expression" dxfId="91" priority="14" stopIfTrue="1">
      <formula>ISNUMBER(SEARCH("server",LOWER(SUBSTITUTE(G3,"/",""))))</formula>
    </cfRule>
  </conditionalFormatting>
  <conditionalFormatting sqref="L3:L22">
    <cfRule type="expression" dxfId="90" priority="20" stopIfTrue="1">
      <formula>OR(ISNUMBER(SEARCH("OK",L3)),ISNUMBER(SEARCH("Perfect",L3)))</formula>
    </cfRule>
    <cfRule type="expression" dxfId="89" priority="21" stopIfTrue="1">
      <formula>OR(ISNUMBER(SEARCH("FIX",L3)),ISNUMBER(SEARCH("MISSING",L3)))</formula>
    </cfRule>
    <cfRule type="expression" dxfId="88" priority="22" stopIfTrue="1">
      <formula>OR(ISNUMBER(SEARCH("SHORT",L3)),ISNUMBER(SEARCH("LONG",L3)),ISNUMBER(SEARCH("REVIEW",L3)),LEFT(L3,3)="Tip")</formula>
    </cfRule>
  </conditionalFormatting>
  <conditionalFormatting sqref="N3:N22">
    <cfRule type="expression" dxfId="87" priority="23" stopIfTrue="1">
      <formula>OR(ISNUMBER(SEARCH("OK",N3)),ISNUMBER(SEARCH("Perfect",N3)))</formula>
    </cfRule>
    <cfRule type="expression" dxfId="86" priority="24" stopIfTrue="1">
      <formula>OR(ISNUMBER(SEARCH("FIX",N3)),ISNUMBER(SEARCH("MISSING",N3)))</formula>
    </cfRule>
    <cfRule type="expression" dxfId="85" priority="25" stopIfTrue="1">
      <formula>OR(ISNUMBER(SEARCH("SHORT",N3)),ISNUMBER(SEARCH("LONG",N3)),ISNUMBER(SEARCH("REVIEW",N3)),LEFT(N3,3)="Tip")</formula>
    </cfRule>
  </conditionalFormatting>
  <conditionalFormatting sqref="P3:P22">
    <cfRule type="expression" dxfId="84" priority="26" stopIfTrue="1">
      <formula>OR(ISNUMBER(SEARCH("OK",P3)),ISNUMBER(SEARCH("Perfect",P3)))</formula>
    </cfRule>
    <cfRule type="expression" dxfId="83" priority="27" stopIfTrue="1">
      <formula>OR(ISNUMBER(SEARCH("FIX",P3)),ISNUMBER(SEARCH("MISSING",P3)))</formula>
    </cfRule>
    <cfRule type="expression" dxfId="82" priority="28" stopIfTrue="1">
      <formula>OR(ISNUMBER(SEARCH("SHORT",P3)),ISNUMBER(SEARCH("LONG",P3)),ISNUMBER(SEARCH("REVIEW",P3)),LEFT(P3,3)="Tip")</formula>
    </cfRule>
  </conditionalFormatting>
  <conditionalFormatting sqref="R3:R22">
    <cfRule type="expression" dxfId="81" priority="29" stopIfTrue="1">
      <formula>OR(ISNUMBER(SEARCH("OK",R3)),ISNUMBER(SEARCH("Perfect",R3)))</formula>
    </cfRule>
    <cfRule type="expression" dxfId="80" priority="30" stopIfTrue="1">
      <formula>OR(ISNUMBER(SEARCH("FIX",R3)),ISNUMBER(SEARCH("MISSING",R3)))</formula>
    </cfRule>
    <cfRule type="expression" dxfId="79" priority="31" stopIfTrue="1">
      <formula>OR(ISNUMBER(SEARCH("SHORT",R3)),ISNUMBER(SEARCH("LONG",R3)),ISNUMBER(SEARCH("REVIEW",R3)),LEFT(R3,3)="Tip")</formula>
    </cfRule>
  </conditionalFormatting>
  <conditionalFormatting sqref="T3:T22">
    <cfRule type="expression" dxfId="78" priority="32" stopIfTrue="1">
      <formula>OR(ISNUMBER(SEARCH("OK",T3)),ISNUMBER(SEARCH("Perfect",T3)))</formula>
    </cfRule>
    <cfRule type="expression" dxfId="77" priority="33" stopIfTrue="1">
      <formula>OR(ISNUMBER(SEARCH("FIX",T3)),ISNUMBER(SEARCH("MISSING",T3)))</formula>
    </cfRule>
    <cfRule type="expression" dxfId="76" priority="34" stopIfTrue="1">
      <formula>OR(ISNUMBER(SEARCH("SHORT",T3)),ISNUMBER(SEARCH("LONG",T3)),ISNUMBER(SEARCH("REVIEW",T3)),LEFT(T3,3)="Tip")</formula>
    </cfRule>
  </conditionalFormatting>
  <conditionalFormatting sqref="V3:V22">
    <cfRule type="expression" dxfId="75" priority="35" stopIfTrue="1">
      <formula>OR(ISNUMBER(SEARCH("OK",V3)),ISNUMBER(SEARCH("Perfect",V3)))</formula>
    </cfRule>
    <cfRule type="expression" dxfId="74" priority="36" stopIfTrue="1">
      <formula>OR(ISNUMBER(SEARCH("FIX",V3)),ISNUMBER(SEARCH("MISSING",V3)))</formula>
    </cfRule>
    <cfRule type="expression" dxfId="73" priority="37" stopIfTrue="1">
      <formula>OR(ISNUMBER(SEARCH("SHORT",V3)),ISNUMBER(SEARCH("LONG",V3)),ISNUMBER(SEARCH("REVIEW",V3)),LEFT(V3,3)="Tip")</formula>
    </cfRule>
  </conditionalFormatting>
  <conditionalFormatting sqref="X3:X22">
    <cfRule type="expression" dxfId="72" priority="38" stopIfTrue="1">
      <formula>OR(ISNUMBER(SEARCH("OK",X3)),ISNUMBER(SEARCH("Perfect",X3)))</formula>
    </cfRule>
    <cfRule type="expression" dxfId="71" priority="39" stopIfTrue="1">
      <formula>OR(ISNUMBER(SEARCH("FIX",X3)),ISNUMBER(SEARCH("MISSING",X3)))</formula>
    </cfRule>
    <cfRule type="expression" dxfId="70" priority="40" stopIfTrue="1">
      <formula>OR(ISNUMBER(SEARCH("SHORT",X3)),ISNUMBER(SEARCH("LONG",X3)),ISNUMBER(SEARCH("REVIEW",X3)),LEFT(X3,3)="Tip")</formula>
    </cfRule>
  </conditionalFormatting>
  <conditionalFormatting sqref="Z3:Z22">
    <cfRule type="expression" dxfId="69" priority="41" stopIfTrue="1">
      <formula>OR(ISNUMBER(SEARCH("OK",Z3)),ISNUMBER(SEARCH("Perfect",Z3)))</formula>
    </cfRule>
    <cfRule type="expression" dxfId="68" priority="42" stopIfTrue="1">
      <formula>OR(ISNUMBER(SEARCH("FIX",Z3)),ISNUMBER(SEARCH("MISSING",Z3)))</formula>
    </cfRule>
    <cfRule type="expression" dxfId="67" priority="43" stopIfTrue="1">
      <formula>OR(ISNUMBER(SEARCH("SHORT",Z3)),ISNUMBER(SEARCH("LONG",Z3)),ISNUMBER(SEARCH("REVIEW",Z3)),LEFT(Z3,3)="Tip")</formula>
    </cfRule>
  </conditionalFormatting>
  <dataValidations count="2">
    <dataValidation type="list" allowBlank="1" sqref="F3:F22" xr:uid="{00000000-0002-0000-0400-000000000000}">
      <formula1>"To Do,In Progress,Review,Completed"</formula1>
    </dataValidation>
    <dataValidation type="list" showErrorMessage="1" errorTitle="Invalid owner" error="Choose Copy Writer, Developer, or Server/Host." sqref="G3:G22" xr:uid="{00000000-0002-0000-0400-000001000000}">
      <formula1>"Copy Writer,Developer,Server/Host"</formula1>
    </dataValidation>
  </dataValidations>
  <hyperlinks>
    <hyperlink ref="AD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05"/>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31" t="s">
        <v>78</v>
      </c>
      <c r="B1" s="31" t="s">
        <v>1</v>
      </c>
      <c r="C1" s="31" t="s">
        <v>346</v>
      </c>
      <c r="D1" s="31" t="s">
        <v>47</v>
      </c>
      <c r="E1" s="31" t="s">
        <v>347</v>
      </c>
      <c r="F1" s="31" t="s">
        <v>348</v>
      </c>
      <c r="G1" s="31" t="s">
        <v>349</v>
      </c>
      <c r="H1" s="31" t="s">
        <v>67</v>
      </c>
      <c r="I1" s="31" t="s">
        <v>91</v>
      </c>
      <c r="J1" s="31" t="s">
        <v>25</v>
      </c>
      <c r="K1" s="31" t="s">
        <v>350</v>
      </c>
      <c r="L1" s="31" t="s">
        <v>351</v>
      </c>
      <c r="M1" s="31" t="s">
        <v>352</v>
      </c>
      <c r="N1" s="31" t="s">
        <v>93</v>
      </c>
      <c r="O1" s="31" t="s">
        <v>353</v>
      </c>
      <c r="P1" s="32" t="s">
        <v>95</v>
      </c>
    </row>
    <row r="2" spans="1:16" ht="409.5" x14ac:dyDescent="0.25">
      <c r="A2" s="37"/>
      <c r="B2" s="33" t="s">
        <v>61</v>
      </c>
      <c r="C2" s="59" t="s">
        <v>144</v>
      </c>
      <c r="D2" s="47" t="s">
        <v>51</v>
      </c>
      <c r="E2" s="37">
        <v>20</v>
      </c>
      <c r="F2" s="38" t="s">
        <v>134</v>
      </c>
      <c r="G2" s="33"/>
      <c r="H2" s="33"/>
      <c r="I2" s="33"/>
      <c r="J2" s="34" t="s">
        <v>2</v>
      </c>
      <c r="K2" s="37" t="s">
        <v>354</v>
      </c>
      <c r="L2" s="33" t="s">
        <v>355</v>
      </c>
      <c r="M2" s="33">
        <v>2</v>
      </c>
      <c r="N2" s="41" t="str">
        <f>IFERROR(HYPERLINK("#'Main'!B"&amp;MATCH(TRIM(A2),Main!B:B,0),"Open"),HYPERLINK("#'Main'!B1","Open"))</f>
        <v>Open</v>
      </c>
      <c r="O2" s="41" t="str">
        <f t="shared" ref="O2:O65" ca="1" si="0">IFERROR(HYPERLINK("#"&amp;F2&amp;"!A"&amp;MATCH(A2,INDIRECT("'"&amp;F2&amp;"'!A:A"),0),"Open"),HYPERLINK("#"&amp;F2&amp;"!A1","Open"))</f>
        <v>Open</v>
      </c>
      <c r="P2" s="41"/>
    </row>
    <row r="3" spans="1:16" ht="15.75" x14ac:dyDescent="0.25">
      <c r="A3" s="44"/>
      <c r="B3" s="42" t="s">
        <v>61</v>
      </c>
      <c r="C3" s="60" t="s">
        <v>133</v>
      </c>
      <c r="D3" s="47" t="s">
        <v>51</v>
      </c>
      <c r="E3" s="44">
        <v>0</v>
      </c>
      <c r="F3" s="45" t="s">
        <v>134</v>
      </c>
      <c r="G3" s="42"/>
      <c r="H3" s="42"/>
      <c r="I3" s="42"/>
      <c r="J3" s="34" t="s">
        <v>2</v>
      </c>
      <c r="K3" s="44" t="s">
        <v>356</v>
      </c>
      <c r="L3" s="42" t="s">
        <v>355</v>
      </c>
      <c r="M3" s="42">
        <v>3</v>
      </c>
      <c r="N3" t="str">
        <f>IFERROR(HYPERLINK("#'Main'!B"&amp;MATCH(TRIM(A3),Main!B:B,0),"Open"),HYPERLINK("#'Main'!B1","Open"))</f>
        <v>Open</v>
      </c>
      <c r="O3" t="str">
        <f t="shared" ca="1" si="0"/>
        <v>Open</v>
      </c>
    </row>
    <row r="4" spans="1:16" ht="409.5" x14ac:dyDescent="0.25">
      <c r="A4" s="37"/>
      <c r="B4" s="33" t="s">
        <v>61</v>
      </c>
      <c r="C4" s="59" t="s">
        <v>184</v>
      </c>
      <c r="D4" s="53" t="s">
        <v>161</v>
      </c>
      <c r="E4" s="37">
        <v>20</v>
      </c>
      <c r="F4" s="38" t="s">
        <v>134</v>
      </c>
      <c r="G4" s="33"/>
      <c r="H4" s="33"/>
      <c r="I4" s="33"/>
      <c r="J4" s="34" t="s">
        <v>2</v>
      </c>
      <c r="K4" s="37" t="s">
        <v>354</v>
      </c>
      <c r="L4" s="33" t="s">
        <v>355</v>
      </c>
      <c r="M4" s="33">
        <v>4</v>
      </c>
      <c r="N4" s="41" t="str">
        <f>IFERROR(HYPERLINK("#'Main'!B"&amp;MATCH(TRIM(A4),Main!B:B,0),"Open"),HYPERLINK("#'Main'!B1","Open"))</f>
        <v>Open</v>
      </c>
      <c r="O4" s="41" t="str">
        <f t="shared" ca="1" si="0"/>
        <v>Open</v>
      </c>
      <c r="P4" s="41"/>
    </row>
    <row r="5" spans="1:16" ht="409.5" x14ac:dyDescent="0.25">
      <c r="A5" s="44"/>
      <c r="B5" s="42" t="s">
        <v>61</v>
      </c>
      <c r="C5" s="60" t="s">
        <v>181</v>
      </c>
      <c r="D5" s="53" t="s">
        <v>161</v>
      </c>
      <c r="E5" s="44">
        <v>20</v>
      </c>
      <c r="F5" s="45" t="s">
        <v>134</v>
      </c>
      <c r="G5" s="42"/>
      <c r="H5" s="42"/>
      <c r="I5" s="42"/>
      <c r="J5" s="34" t="s">
        <v>2</v>
      </c>
      <c r="K5" s="44" t="s">
        <v>354</v>
      </c>
      <c r="L5" s="42" t="s">
        <v>355</v>
      </c>
      <c r="M5" s="42">
        <v>5</v>
      </c>
      <c r="N5" t="str">
        <f>IFERROR(HYPERLINK("#'Main'!B"&amp;MATCH(TRIM(A5),Main!B:B,0),"Open"),HYPERLINK("#'Main'!B1","Open"))</f>
        <v>Open</v>
      </c>
      <c r="O5" t="str">
        <f t="shared" ca="1" si="0"/>
        <v>Open</v>
      </c>
    </row>
    <row r="6" spans="1:16" ht="15.75" x14ac:dyDescent="0.25">
      <c r="A6" s="37"/>
      <c r="B6" s="33" t="s">
        <v>61</v>
      </c>
      <c r="C6" s="59" t="s">
        <v>168</v>
      </c>
      <c r="D6" s="53" t="s">
        <v>161</v>
      </c>
      <c r="E6" s="37">
        <v>0</v>
      </c>
      <c r="F6" s="38" t="s">
        <v>134</v>
      </c>
      <c r="G6" s="33"/>
      <c r="H6" s="33"/>
      <c r="I6" s="33"/>
      <c r="J6" s="34" t="s">
        <v>2</v>
      </c>
      <c r="K6" s="37" t="s">
        <v>356</v>
      </c>
      <c r="L6" s="33" t="s">
        <v>355</v>
      </c>
      <c r="M6" s="33">
        <v>6</v>
      </c>
      <c r="N6" s="41" t="str">
        <f>IFERROR(HYPERLINK("#'Main'!B"&amp;MATCH(TRIM(A6),Main!B:B,0),"Open"),HYPERLINK("#'Main'!B1","Open"))</f>
        <v>Open</v>
      </c>
      <c r="O6" s="41" t="str">
        <f t="shared" ca="1" si="0"/>
        <v>Open</v>
      </c>
      <c r="P6" s="41"/>
    </row>
    <row r="7" spans="1:16" x14ac:dyDescent="0.25">
      <c r="A7" s="44"/>
      <c r="B7" s="42" t="s">
        <v>61</v>
      </c>
      <c r="C7" s="42"/>
      <c r="D7" s="42"/>
      <c r="E7" s="44">
        <v>0</v>
      </c>
      <c r="F7" s="42"/>
      <c r="G7" s="42"/>
      <c r="H7" s="42"/>
      <c r="I7" s="42"/>
      <c r="J7" s="34" t="s">
        <v>2</v>
      </c>
      <c r="K7" s="44" t="s">
        <v>357</v>
      </c>
      <c r="L7" s="42" t="s">
        <v>355</v>
      </c>
      <c r="M7" s="42">
        <v>7</v>
      </c>
      <c r="N7" t="str">
        <f>IFERROR(HYPERLINK("#'Main'!B"&amp;MATCH(TRIM(A7),Main!B:B,0),"Open"),HYPERLINK("#'Main'!B1","Open"))</f>
        <v>Open</v>
      </c>
      <c r="O7" t="str">
        <f t="shared" ca="1" si="0"/>
        <v>Open</v>
      </c>
    </row>
    <row r="8" spans="1:16" ht="15.75" x14ac:dyDescent="0.25">
      <c r="A8" s="37"/>
      <c r="B8" s="33" t="s">
        <v>358</v>
      </c>
      <c r="C8" s="59" t="s">
        <v>124</v>
      </c>
      <c r="D8" s="34" t="s">
        <v>49</v>
      </c>
      <c r="E8" s="37">
        <v>0</v>
      </c>
      <c r="F8" s="38" t="s">
        <v>125</v>
      </c>
      <c r="G8" s="33"/>
      <c r="H8" s="33"/>
      <c r="I8" s="33"/>
      <c r="J8" s="34" t="s">
        <v>2</v>
      </c>
      <c r="K8" s="37" t="s">
        <v>359</v>
      </c>
      <c r="L8" s="33" t="s">
        <v>355</v>
      </c>
      <c r="M8" s="33">
        <v>8</v>
      </c>
      <c r="N8" s="41" t="str">
        <f>IFERROR(HYPERLINK("#'Main'!B"&amp;MATCH(TRIM(A8),Main!B:B,0),"Open"),HYPERLINK("#'Main'!B1","Open"))</f>
        <v>Open</v>
      </c>
      <c r="O8" s="41" t="str">
        <f t="shared" ca="1" si="0"/>
        <v>Open</v>
      </c>
      <c r="P8" s="41"/>
    </row>
    <row r="9" spans="1:16" ht="15.75" x14ac:dyDescent="0.25">
      <c r="A9" s="44"/>
      <c r="B9" s="42" t="s">
        <v>358</v>
      </c>
      <c r="C9" s="60" t="s">
        <v>123</v>
      </c>
      <c r="D9" s="34" t="s">
        <v>49</v>
      </c>
      <c r="E9" s="44">
        <v>0</v>
      </c>
      <c r="F9" s="45" t="s">
        <v>57</v>
      </c>
      <c r="G9" s="42"/>
      <c r="H9" s="42"/>
      <c r="I9" s="42"/>
      <c r="J9" s="34" t="s">
        <v>2</v>
      </c>
      <c r="K9" s="44" t="s">
        <v>359</v>
      </c>
      <c r="L9" s="42" t="s">
        <v>355</v>
      </c>
      <c r="M9" s="42">
        <v>9</v>
      </c>
      <c r="N9" t="str">
        <f>IFERROR(HYPERLINK("#'Main'!B"&amp;MATCH(TRIM(A9),Main!B:B,0),"Open"),HYPERLINK("#'Main'!B1","Open"))</f>
        <v>Open</v>
      </c>
      <c r="O9" t="str">
        <f t="shared" ca="1" si="0"/>
        <v>Open</v>
      </c>
    </row>
    <row r="10" spans="1:16" ht="15.75" x14ac:dyDescent="0.25">
      <c r="A10" s="37"/>
      <c r="B10" s="33" t="s">
        <v>358</v>
      </c>
      <c r="C10" s="59" t="s">
        <v>116</v>
      </c>
      <c r="D10" s="34" t="s">
        <v>49</v>
      </c>
      <c r="E10" s="37">
        <v>0</v>
      </c>
      <c r="F10" s="38" t="s">
        <v>57</v>
      </c>
      <c r="G10" s="33"/>
      <c r="H10" s="33"/>
      <c r="I10" s="33"/>
      <c r="J10" s="34" t="s">
        <v>2</v>
      </c>
      <c r="K10" s="37" t="s">
        <v>359</v>
      </c>
      <c r="L10" s="33" t="s">
        <v>355</v>
      </c>
      <c r="M10" s="33">
        <v>10</v>
      </c>
      <c r="N10" s="41" t="str">
        <f>IFERROR(HYPERLINK("#'Main'!B"&amp;MATCH(TRIM(A10),Main!B:B,0),"Open"),HYPERLINK("#'Main'!B1","Open"))</f>
        <v>Open</v>
      </c>
      <c r="O10" s="41" t="str">
        <f t="shared" ca="1" si="0"/>
        <v>Open</v>
      </c>
      <c r="P10" s="41"/>
    </row>
    <row r="11" spans="1:16" ht="15.75" x14ac:dyDescent="0.25">
      <c r="A11" s="44"/>
      <c r="B11" s="42" t="s">
        <v>358</v>
      </c>
      <c r="C11" s="60" t="s">
        <v>108</v>
      </c>
      <c r="D11" s="34" t="s">
        <v>49</v>
      </c>
      <c r="E11" s="44">
        <v>0</v>
      </c>
      <c r="F11" s="45" t="s">
        <v>57</v>
      </c>
      <c r="G11" s="42"/>
      <c r="H11" s="42"/>
      <c r="I11" s="42"/>
      <c r="J11" s="34" t="s">
        <v>2</v>
      </c>
      <c r="K11" s="44" t="s">
        <v>359</v>
      </c>
      <c r="L11" s="42" t="s">
        <v>355</v>
      </c>
      <c r="M11" s="42">
        <v>11</v>
      </c>
      <c r="N11" t="str">
        <f>IFERROR(HYPERLINK("#'Main'!B"&amp;MATCH(TRIM(A11),Main!B:B,0),"Open"),HYPERLINK("#'Main'!B1","Open"))</f>
        <v>Open</v>
      </c>
      <c r="O11" t="str">
        <f t="shared" ca="1" si="0"/>
        <v>Open</v>
      </c>
    </row>
    <row r="12" spans="1:16" ht="15.75" x14ac:dyDescent="0.25">
      <c r="A12" s="37"/>
      <c r="B12" s="33" t="s">
        <v>358</v>
      </c>
      <c r="C12" s="59" t="s">
        <v>112</v>
      </c>
      <c r="D12" s="34" t="s">
        <v>49</v>
      </c>
      <c r="E12" s="37">
        <v>0</v>
      </c>
      <c r="F12" s="38" t="s">
        <v>57</v>
      </c>
      <c r="G12" s="33"/>
      <c r="H12" s="33"/>
      <c r="I12" s="33"/>
      <c r="J12" s="34" t="s">
        <v>2</v>
      </c>
      <c r="K12" s="37" t="s">
        <v>359</v>
      </c>
      <c r="L12" s="33" t="s">
        <v>355</v>
      </c>
      <c r="M12" s="33">
        <v>12</v>
      </c>
      <c r="N12" s="41" t="str">
        <f>IFERROR(HYPERLINK("#'Main'!B"&amp;MATCH(TRIM(A12),Main!B:B,0),"Open"),HYPERLINK("#'Main'!B1","Open"))</f>
        <v>Open</v>
      </c>
      <c r="O12" s="41" t="str">
        <f t="shared" ca="1" si="0"/>
        <v>Open</v>
      </c>
      <c r="P12" s="41"/>
    </row>
    <row r="13" spans="1:16" ht="15.75" x14ac:dyDescent="0.25">
      <c r="A13" s="44"/>
      <c r="B13" s="42" t="s">
        <v>358</v>
      </c>
      <c r="C13" s="60" t="s">
        <v>96</v>
      </c>
      <c r="D13" s="34" t="s">
        <v>49</v>
      </c>
      <c r="E13" s="44">
        <v>0</v>
      </c>
      <c r="F13" s="45" t="s">
        <v>57</v>
      </c>
      <c r="G13" s="42"/>
      <c r="H13" s="42"/>
      <c r="I13" s="42"/>
      <c r="J13" s="34" t="s">
        <v>2</v>
      </c>
      <c r="K13" s="44" t="s">
        <v>359</v>
      </c>
      <c r="L13" s="42" t="s">
        <v>355</v>
      </c>
      <c r="M13" s="42">
        <v>13</v>
      </c>
      <c r="N13" t="str">
        <f>IFERROR(HYPERLINK("#'Main'!B"&amp;MATCH(TRIM(A13),Main!B:B,0),"Open"),HYPERLINK("#'Main'!B1","Open"))</f>
        <v>Open</v>
      </c>
      <c r="O13" t="str">
        <f t="shared" ca="1" si="0"/>
        <v>Open</v>
      </c>
    </row>
    <row r="14" spans="1:16" ht="15.75" x14ac:dyDescent="0.25">
      <c r="A14" s="37"/>
      <c r="B14" s="33" t="s">
        <v>358</v>
      </c>
      <c r="C14" s="59" t="s">
        <v>120</v>
      </c>
      <c r="D14" s="34" t="s">
        <v>49</v>
      </c>
      <c r="E14" s="37">
        <v>0</v>
      </c>
      <c r="F14" s="38" t="s">
        <v>57</v>
      </c>
      <c r="G14" s="33"/>
      <c r="H14" s="33"/>
      <c r="I14" s="33"/>
      <c r="J14" s="34" t="s">
        <v>2</v>
      </c>
      <c r="K14" s="37" t="s">
        <v>359</v>
      </c>
      <c r="L14" s="33" t="s">
        <v>355</v>
      </c>
      <c r="M14" s="33">
        <v>14</v>
      </c>
      <c r="N14" s="41" t="str">
        <f>IFERROR(HYPERLINK("#'Main'!B"&amp;MATCH(TRIM(A14),Main!B:B,0),"Open"),HYPERLINK("#'Main'!B1","Open"))</f>
        <v>Open</v>
      </c>
      <c r="O14" s="41" t="str">
        <f t="shared" ca="1" si="0"/>
        <v>Open</v>
      </c>
      <c r="P14" s="41"/>
    </row>
    <row r="15" spans="1:16" ht="409.5" x14ac:dyDescent="0.25">
      <c r="A15" s="44"/>
      <c r="B15" s="42" t="s">
        <v>358</v>
      </c>
      <c r="C15" s="60" t="s">
        <v>144</v>
      </c>
      <c r="D15" s="47" t="s">
        <v>51</v>
      </c>
      <c r="E15" s="44">
        <v>20</v>
      </c>
      <c r="F15" s="45" t="s">
        <v>134</v>
      </c>
      <c r="G15" s="42"/>
      <c r="H15" s="42"/>
      <c r="I15" s="42"/>
      <c r="J15" s="34" t="s">
        <v>2</v>
      </c>
      <c r="K15" s="44" t="s">
        <v>360</v>
      </c>
      <c r="L15" s="42" t="s">
        <v>355</v>
      </c>
      <c r="M15" s="42">
        <v>15</v>
      </c>
      <c r="N15" t="str">
        <f>IFERROR(HYPERLINK("#'Main'!B"&amp;MATCH(TRIM(A15),Main!B:B,0),"Open"),HYPERLINK("#'Main'!B1","Open"))</f>
        <v>Open</v>
      </c>
      <c r="O15" t="str">
        <f t="shared" ca="1" si="0"/>
        <v>Open</v>
      </c>
    </row>
    <row r="16" spans="1:16" ht="409.5" x14ac:dyDescent="0.25">
      <c r="A16" s="37"/>
      <c r="B16" s="33" t="s">
        <v>358</v>
      </c>
      <c r="C16" s="59" t="s">
        <v>149</v>
      </c>
      <c r="D16" s="47" t="s">
        <v>51</v>
      </c>
      <c r="E16" s="37">
        <v>16</v>
      </c>
      <c r="F16" s="38" t="s">
        <v>57</v>
      </c>
      <c r="G16" s="33"/>
      <c r="H16" s="33"/>
      <c r="I16" s="33"/>
      <c r="J16" s="34" t="s">
        <v>2</v>
      </c>
      <c r="K16" s="37" t="s">
        <v>361</v>
      </c>
      <c r="L16" s="33" t="s">
        <v>355</v>
      </c>
      <c r="M16" s="33">
        <v>16</v>
      </c>
      <c r="N16" s="41" t="str">
        <f>IFERROR(HYPERLINK("#'Main'!B"&amp;MATCH(TRIM(A16),Main!B:B,0),"Open"),HYPERLINK("#'Main'!B1","Open"))</f>
        <v>Open</v>
      </c>
      <c r="O16" s="41" t="str">
        <f t="shared" ca="1" si="0"/>
        <v>Open</v>
      </c>
      <c r="P16" s="41"/>
    </row>
    <row r="17" spans="1:16" ht="150" x14ac:dyDescent="0.25">
      <c r="A17" s="44"/>
      <c r="B17" s="42" t="s">
        <v>358</v>
      </c>
      <c r="C17" s="60" t="s">
        <v>153</v>
      </c>
      <c r="D17" s="47" t="s">
        <v>51</v>
      </c>
      <c r="E17" s="44">
        <v>5</v>
      </c>
      <c r="F17" s="45" t="s">
        <v>57</v>
      </c>
      <c r="G17" s="42"/>
      <c r="H17" s="42"/>
      <c r="I17" s="42"/>
      <c r="J17" s="34" t="s">
        <v>2</v>
      </c>
      <c r="K17" s="44" t="s">
        <v>362</v>
      </c>
      <c r="L17" s="42" t="s">
        <v>355</v>
      </c>
      <c r="M17" s="42">
        <v>17</v>
      </c>
      <c r="N17" t="str">
        <f>IFERROR(HYPERLINK("#'Main'!B"&amp;MATCH(TRIM(A17),Main!B:B,0),"Open"),HYPERLINK("#'Main'!B1","Open"))</f>
        <v>Open</v>
      </c>
      <c r="O17" t="str">
        <f t="shared" ca="1" si="0"/>
        <v>Open</v>
      </c>
    </row>
    <row r="18" spans="1:16" ht="120" x14ac:dyDescent="0.25">
      <c r="A18" s="37"/>
      <c r="B18" s="33" t="s">
        <v>358</v>
      </c>
      <c r="C18" s="59" t="s">
        <v>151</v>
      </c>
      <c r="D18" s="47" t="s">
        <v>51</v>
      </c>
      <c r="E18" s="37">
        <v>5</v>
      </c>
      <c r="F18" s="38" t="s">
        <v>57</v>
      </c>
      <c r="G18" s="33"/>
      <c r="H18" s="33"/>
      <c r="I18" s="33"/>
      <c r="J18" s="34" t="s">
        <v>2</v>
      </c>
      <c r="K18" s="37" t="s">
        <v>363</v>
      </c>
      <c r="L18" s="33" t="s">
        <v>355</v>
      </c>
      <c r="M18" s="33">
        <v>18</v>
      </c>
      <c r="N18" s="41" t="str">
        <f>IFERROR(HYPERLINK("#'Main'!B"&amp;MATCH(TRIM(A18),Main!B:B,0),"Open"),HYPERLINK("#'Main'!B1","Open"))</f>
        <v>Open</v>
      </c>
      <c r="O18" s="41" t="str">
        <f t="shared" ca="1" si="0"/>
        <v>Open</v>
      </c>
      <c r="P18" s="41"/>
    </row>
    <row r="19" spans="1:16" ht="45" x14ac:dyDescent="0.25">
      <c r="A19" s="44"/>
      <c r="B19" s="42" t="s">
        <v>358</v>
      </c>
      <c r="C19" s="60" t="s">
        <v>156</v>
      </c>
      <c r="D19" s="47" t="s">
        <v>51</v>
      </c>
      <c r="E19" s="44">
        <v>1</v>
      </c>
      <c r="F19" s="45" t="s">
        <v>57</v>
      </c>
      <c r="G19" s="42"/>
      <c r="H19" s="42"/>
      <c r="I19" s="42"/>
      <c r="J19" s="34" t="s">
        <v>2</v>
      </c>
      <c r="K19" s="44" t="s">
        <v>364</v>
      </c>
      <c r="L19" s="42" t="s">
        <v>355</v>
      </c>
      <c r="M19" s="42">
        <v>19</v>
      </c>
      <c r="N19" t="str">
        <f>IFERROR(HYPERLINK("#'Main'!B"&amp;MATCH(TRIM(A19),Main!B:B,0),"Open"),HYPERLINK("#'Main'!B1","Open"))</f>
        <v>Open</v>
      </c>
      <c r="O19" t="str">
        <f t="shared" ca="1" si="0"/>
        <v>Open</v>
      </c>
    </row>
    <row r="20" spans="1:16" ht="15.75" x14ac:dyDescent="0.25">
      <c r="A20" s="37"/>
      <c r="B20" s="33" t="s">
        <v>358</v>
      </c>
      <c r="C20" s="59" t="s">
        <v>132</v>
      </c>
      <c r="D20" s="47" t="s">
        <v>51</v>
      </c>
      <c r="E20" s="37">
        <v>0</v>
      </c>
      <c r="F20" s="38" t="s">
        <v>57</v>
      </c>
      <c r="G20" s="33"/>
      <c r="H20" s="33"/>
      <c r="I20" s="33"/>
      <c r="J20" s="34" t="s">
        <v>2</v>
      </c>
      <c r="K20" s="37" t="s">
        <v>359</v>
      </c>
      <c r="L20" s="33" t="s">
        <v>355</v>
      </c>
      <c r="M20" s="33">
        <v>20</v>
      </c>
      <c r="N20" s="41" t="str">
        <f>IFERROR(HYPERLINK("#'Main'!B"&amp;MATCH(TRIM(A20),Main!B:B,0),"Open"),HYPERLINK("#'Main'!B1","Open"))</f>
        <v>Open</v>
      </c>
      <c r="O20" s="41" t="str">
        <f t="shared" ca="1" si="0"/>
        <v>Open</v>
      </c>
      <c r="P20" s="41"/>
    </row>
    <row r="21" spans="1:16" ht="15.75" x14ac:dyDescent="0.25">
      <c r="A21" s="44"/>
      <c r="B21" s="42" t="s">
        <v>358</v>
      </c>
      <c r="C21" s="60" t="s">
        <v>142</v>
      </c>
      <c r="D21" s="47" t="s">
        <v>51</v>
      </c>
      <c r="E21" s="44">
        <v>0</v>
      </c>
      <c r="F21" s="45" t="s">
        <v>57</v>
      </c>
      <c r="G21" s="42"/>
      <c r="H21" s="42"/>
      <c r="I21" s="42"/>
      <c r="J21" s="34" t="s">
        <v>2</v>
      </c>
      <c r="K21" s="44" t="s">
        <v>359</v>
      </c>
      <c r="L21" s="42" t="s">
        <v>355</v>
      </c>
      <c r="M21" s="42">
        <v>21</v>
      </c>
      <c r="N21" t="str">
        <f>IFERROR(HYPERLINK("#'Main'!B"&amp;MATCH(TRIM(A21),Main!B:B,0),"Open"),HYPERLINK("#'Main'!B1","Open"))</f>
        <v>Open</v>
      </c>
      <c r="O21" t="str">
        <f t="shared" ca="1" si="0"/>
        <v>Open</v>
      </c>
    </row>
    <row r="22" spans="1:16" ht="15.75" x14ac:dyDescent="0.25">
      <c r="A22" s="37"/>
      <c r="B22" s="33" t="s">
        <v>358</v>
      </c>
      <c r="C22" s="59" t="s">
        <v>138</v>
      </c>
      <c r="D22" s="47" t="s">
        <v>51</v>
      </c>
      <c r="E22" s="37">
        <v>0</v>
      </c>
      <c r="F22" s="38" t="s">
        <v>57</v>
      </c>
      <c r="G22" s="33"/>
      <c r="H22" s="33"/>
      <c r="I22" s="33"/>
      <c r="J22" s="34" t="s">
        <v>2</v>
      </c>
      <c r="K22" s="37" t="s">
        <v>359</v>
      </c>
      <c r="L22" s="33" t="s">
        <v>355</v>
      </c>
      <c r="M22" s="33">
        <v>22</v>
      </c>
      <c r="N22" s="41" t="str">
        <f>IFERROR(HYPERLINK("#'Main'!B"&amp;MATCH(TRIM(A22),Main!B:B,0),"Open"),HYPERLINK("#'Main'!B1","Open"))</f>
        <v>Open</v>
      </c>
      <c r="O22" s="41" t="str">
        <f t="shared" ca="1" si="0"/>
        <v>Open</v>
      </c>
      <c r="P22" s="41"/>
    </row>
    <row r="23" spans="1:16" ht="15.75" x14ac:dyDescent="0.25">
      <c r="A23" s="44"/>
      <c r="B23" s="42" t="s">
        <v>358</v>
      </c>
      <c r="C23" s="60" t="s">
        <v>143</v>
      </c>
      <c r="D23" s="47" t="s">
        <v>51</v>
      </c>
      <c r="E23" s="44">
        <v>0</v>
      </c>
      <c r="F23" s="45" t="s">
        <v>57</v>
      </c>
      <c r="G23" s="42"/>
      <c r="H23" s="42"/>
      <c r="I23" s="42"/>
      <c r="J23" s="34" t="s">
        <v>2</v>
      </c>
      <c r="K23" s="44" t="s">
        <v>359</v>
      </c>
      <c r="L23" s="42" t="s">
        <v>355</v>
      </c>
      <c r="M23" s="42">
        <v>23</v>
      </c>
      <c r="N23" t="str">
        <f>IFERROR(HYPERLINK("#'Main'!B"&amp;MATCH(TRIM(A23),Main!B:B,0),"Open"),HYPERLINK("#'Main'!B1","Open"))</f>
        <v>Open</v>
      </c>
      <c r="O23" t="str">
        <f t="shared" ca="1" si="0"/>
        <v>Open</v>
      </c>
    </row>
    <row r="24" spans="1:16" ht="15.75" x14ac:dyDescent="0.25">
      <c r="A24" s="37"/>
      <c r="B24" s="33" t="s">
        <v>358</v>
      </c>
      <c r="C24" s="59" t="s">
        <v>133</v>
      </c>
      <c r="D24" s="47" t="s">
        <v>51</v>
      </c>
      <c r="E24" s="37">
        <v>0</v>
      </c>
      <c r="F24" s="38" t="s">
        <v>134</v>
      </c>
      <c r="G24" s="33"/>
      <c r="H24" s="33"/>
      <c r="I24" s="33"/>
      <c r="J24" s="34" t="s">
        <v>2</v>
      </c>
      <c r="K24" s="37" t="s">
        <v>359</v>
      </c>
      <c r="L24" s="33" t="s">
        <v>355</v>
      </c>
      <c r="M24" s="33">
        <v>24</v>
      </c>
      <c r="N24" s="41" t="str">
        <f>IFERROR(HYPERLINK("#'Main'!B"&amp;MATCH(TRIM(A24),Main!B:B,0),"Open"),HYPERLINK("#'Main'!B1","Open"))</f>
        <v>Open</v>
      </c>
      <c r="O24" s="41" t="str">
        <f t="shared" ca="1" si="0"/>
        <v>Open</v>
      </c>
      <c r="P24" s="41"/>
    </row>
    <row r="25" spans="1:16" ht="15.75" x14ac:dyDescent="0.25">
      <c r="A25" s="44"/>
      <c r="B25" s="42" t="s">
        <v>358</v>
      </c>
      <c r="C25" s="60" t="s">
        <v>139</v>
      </c>
      <c r="D25" s="47" t="s">
        <v>51</v>
      </c>
      <c r="E25" s="44">
        <v>0</v>
      </c>
      <c r="F25" s="45" t="s">
        <v>57</v>
      </c>
      <c r="G25" s="42"/>
      <c r="H25" s="42"/>
      <c r="I25" s="42"/>
      <c r="J25" s="34" t="s">
        <v>2</v>
      </c>
      <c r="K25" s="44" t="s">
        <v>359</v>
      </c>
      <c r="L25" s="42" t="s">
        <v>355</v>
      </c>
      <c r="M25" s="42">
        <v>25</v>
      </c>
      <c r="N25" t="str">
        <f>IFERROR(HYPERLINK("#'Main'!B"&amp;MATCH(TRIM(A25),Main!B:B,0),"Open"),HYPERLINK("#'Main'!B1","Open"))</f>
        <v>Open</v>
      </c>
      <c r="O25" t="str">
        <f t="shared" ca="1" si="0"/>
        <v>Open</v>
      </c>
    </row>
    <row r="26" spans="1:16" ht="15.75" x14ac:dyDescent="0.25">
      <c r="A26" s="37"/>
      <c r="B26" s="33" t="s">
        <v>358</v>
      </c>
      <c r="C26" s="59" t="s">
        <v>128</v>
      </c>
      <c r="D26" s="47" t="s">
        <v>51</v>
      </c>
      <c r="E26" s="37">
        <v>0</v>
      </c>
      <c r="F26" s="38" t="s">
        <v>57</v>
      </c>
      <c r="G26" s="33"/>
      <c r="H26" s="33"/>
      <c r="I26" s="33"/>
      <c r="J26" s="34" t="s">
        <v>2</v>
      </c>
      <c r="K26" s="37" t="s">
        <v>359</v>
      </c>
      <c r="L26" s="33" t="s">
        <v>355</v>
      </c>
      <c r="M26" s="33">
        <v>26</v>
      </c>
      <c r="N26" s="41" t="str">
        <f>IFERROR(HYPERLINK("#'Main'!B"&amp;MATCH(TRIM(A26),Main!B:B,0),"Open"),HYPERLINK("#'Main'!B1","Open"))</f>
        <v>Open</v>
      </c>
      <c r="O26" s="41" t="str">
        <f t="shared" ca="1" si="0"/>
        <v>Open</v>
      </c>
      <c r="P26" s="41"/>
    </row>
    <row r="27" spans="1:16" ht="409.5" x14ac:dyDescent="0.25">
      <c r="A27" s="44"/>
      <c r="B27" s="42" t="s">
        <v>358</v>
      </c>
      <c r="C27" s="60" t="s">
        <v>187</v>
      </c>
      <c r="D27" s="53" t="s">
        <v>161</v>
      </c>
      <c r="E27" s="44">
        <v>20</v>
      </c>
      <c r="F27" s="45" t="s">
        <v>57</v>
      </c>
      <c r="G27" s="42"/>
      <c r="H27" s="42"/>
      <c r="I27" s="42"/>
      <c r="J27" s="34" t="s">
        <v>2</v>
      </c>
      <c r="K27" s="44" t="s">
        <v>360</v>
      </c>
      <c r="L27" s="42" t="s">
        <v>355</v>
      </c>
      <c r="M27" s="42">
        <v>27</v>
      </c>
      <c r="N27" t="str">
        <f>IFERROR(HYPERLINK("#'Main'!B"&amp;MATCH(TRIM(A27),Main!B:B,0),"Open"),HYPERLINK("#'Main'!B1","Open"))</f>
        <v>Open</v>
      </c>
      <c r="O27" t="str">
        <f t="shared" ca="1" si="0"/>
        <v>Open</v>
      </c>
    </row>
    <row r="28" spans="1:16" ht="409.5" x14ac:dyDescent="0.25">
      <c r="A28" s="37"/>
      <c r="B28" s="33" t="s">
        <v>358</v>
      </c>
      <c r="C28" s="59" t="s">
        <v>184</v>
      </c>
      <c r="D28" s="53" t="s">
        <v>161</v>
      </c>
      <c r="E28" s="37">
        <v>20</v>
      </c>
      <c r="F28" s="38" t="s">
        <v>57</v>
      </c>
      <c r="G28" s="33"/>
      <c r="H28" s="33"/>
      <c r="I28" s="33"/>
      <c r="J28" s="34" t="s">
        <v>2</v>
      </c>
      <c r="K28" s="37" t="s">
        <v>360</v>
      </c>
      <c r="L28" s="33" t="s">
        <v>355</v>
      </c>
      <c r="M28" s="33">
        <v>28</v>
      </c>
      <c r="N28" s="41" t="str">
        <f>IFERROR(HYPERLINK("#'Main'!B"&amp;MATCH(TRIM(A28),Main!B:B,0),"Open"),HYPERLINK("#'Main'!B1","Open"))</f>
        <v>Open</v>
      </c>
      <c r="O28" s="41" t="str">
        <f t="shared" ca="1" si="0"/>
        <v>Open</v>
      </c>
      <c r="P28" s="41"/>
    </row>
    <row r="29" spans="1:16" ht="409.5" x14ac:dyDescent="0.25">
      <c r="A29" s="44"/>
      <c r="B29" s="42" t="s">
        <v>358</v>
      </c>
      <c r="C29" s="60" t="s">
        <v>35</v>
      </c>
      <c r="D29" s="53" t="s">
        <v>161</v>
      </c>
      <c r="E29" s="44">
        <v>20</v>
      </c>
      <c r="F29" s="45" t="s">
        <v>57</v>
      </c>
      <c r="G29" s="42"/>
      <c r="H29" s="42"/>
      <c r="I29" s="42"/>
      <c r="J29" s="34" t="s">
        <v>2</v>
      </c>
      <c r="K29" s="44" t="s">
        <v>360</v>
      </c>
      <c r="L29" s="42" t="s">
        <v>355</v>
      </c>
      <c r="M29" s="42">
        <v>29</v>
      </c>
      <c r="N29" t="str">
        <f>IFERROR(HYPERLINK("#'Main'!B"&amp;MATCH(TRIM(A29),Main!B:B,0),"Open"),HYPERLINK("#'Main'!B1","Open"))</f>
        <v>Open</v>
      </c>
      <c r="O29" t="str">
        <f t="shared" ca="1" si="0"/>
        <v>Open</v>
      </c>
    </row>
    <row r="30" spans="1:16" ht="409.5" x14ac:dyDescent="0.25">
      <c r="A30" s="37"/>
      <c r="B30" s="33" t="s">
        <v>358</v>
      </c>
      <c r="C30" s="59" t="s">
        <v>181</v>
      </c>
      <c r="D30" s="53" t="s">
        <v>161</v>
      </c>
      <c r="E30" s="37">
        <v>20</v>
      </c>
      <c r="F30" s="38" t="s">
        <v>134</v>
      </c>
      <c r="G30" s="33"/>
      <c r="H30" s="33"/>
      <c r="I30" s="33"/>
      <c r="J30" s="34" t="s">
        <v>2</v>
      </c>
      <c r="K30" s="37" t="s">
        <v>360</v>
      </c>
      <c r="L30" s="33" t="s">
        <v>355</v>
      </c>
      <c r="M30" s="33">
        <v>30</v>
      </c>
      <c r="N30" s="41" t="str">
        <f>IFERROR(HYPERLINK("#'Main'!B"&amp;MATCH(TRIM(A30),Main!B:B,0),"Open"),HYPERLINK("#'Main'!B1","Open"))</f>
        <v>Open</v>
      </c>
      <c r="O30" s="41" t="str">
        <f t="shared" ca="1" si="0"/>
        <v>Open</v>
      </c>
      <c r="P30" s="41"/>
    </row>
    <row r="31" spans="1:16" ht="300" x14ac:dyDescent="0.25">
      <c r="A31" s="44"/>
      <c r="B31" s="42" t="s">
        <v>358</v>
      </c>
      <c r="C31" s="60" t="s">
        <v>177</v>
      </c>
      <c r="D31" s="53" t="s">
        <v>161</v>
      </c>
      <c r="E31" s="44">
        <v>12</v>
      </c>
      <c r="F31" s="45" t="s">
        <v>57</v>
      </c>
      <c r="G31" s="42"/>
      <c r="H31" s="42"/>
      <c r="I31" s="42"/>
      <c r="J31" s="34" t="s">
        <v>2</v>
      </c>
      <c r="K31" s="44" t="s">
        <v>365</v>
      </c>
      <c r="L31" s="42" t="s">
        <v>355</v>
      </c>
      <c r="M31" s="42">
        <v>31</v>
      </c>
      <c r="N31" t="str">
        <f>IFERROR(HYPERLINK("#'Main'!B"&amp;MATCH(TRIM(A31),Main!B:B,0),"Open"),HYPERLINK("#'Main'!B1","Open"))</f>
        <v>Open</v>
      </c>
      <c r="O31" t="str">
        <f t="shared" ca="1" si="0"/>
        <v>Open</v>
      </c>
    </row>
    <row r="32" spans="1:16" ht="30" x14ac:dyDescent="0.25">
      <c r="A32" s="37"/>
      <c r="B32" s="33" t="s">
        <v>358</v>
      </c>
      <c r="C32" s="59" t="s">
        <v>175</v>
      </c>
      <c r="D32" s="53" t="s">
        <v>161</v>
      </c>
      <c r="E32" s="37">
        <v>1</v>
      </c>
      <c r="F32" s="38" t="s">
        <v>57</v>
      </c>
      <c r="G32" s="33"/>
      <c r="H32" s="33"/>
      <c r="I32" s="33"/>
      <c r="J32" s="34" t="s">
        <v>2</v>
      </c>
      <c r="K32" s="37" t="s">
        <v>366</v>
      </c>
      <c r="L32" s="33" t="s">
        <v>355</v>
      </c>
      <c r="M32" s="33">
        <v>32</v>
      </c>
      <c r="N32" s="41" t="str">
        <f>IFERROR(HYPERLINK("#'Main'!B"&amp;MATCH(TRIM(A32),Main!B:B,0),"Open"),HYPERLINK("#'Main'!B1","Open"))</f>
        <v>Open</v>
      </c>
      <c r="O32" s="41" t="str">
        <f t="shared" ca="1" si="0"/>
        <v>Open</v>
      </c>
      <c r="P32" s="41"/>
    </row>
    <row r="33" spans="1:16" ht="45" x14ac:dyDescent="0.25">
      <c r="A33" s="44"/>
      <c r="B33" s="42" t="s">
        <v>358</v>
      </c>
      <c r="C33" s="60" t="s">
        <v>188</v>
      </c>
      <c r="D33" s="53" t="s">
        <v>161</v>
      </c>
      <c r="E33" s="44">
        <v>1</v>
      </c>
      <c r="F33" s="45" t="s">
        <v>57</v>
      </c>
      <c r="G33" s="42"/>
      <c r="H33" s="42"/>
      <c r="I33" s="42"/>
      <c r="J33" s="34" t="s">
        <v>2</v>
      </c>
      <c r="K33" s="44" t="s">
        <v>367</v>
      </c>
      <c r="L33" s="42" t="s">
        <v>355</v>
      </c>
      <c r="M33" s="42">
        <v>33</v>
      </c>
      <c r="N33" t="str">
        <f>IFERROR(HYPERLINK("#'Main'!B"&amp;MATCH(TRIM(A33),Main!B:B,0),"Open"),HYPERLINK("#'Main'!B1","Open"))</f>
        <v>Open</v>
      </c>
      <c r="O33" t="str">
        <f t="shared" ca="1" si="0"/>
        <v>Open</v>
      </c>
    </row>
    <row r="34" spans="1:16" ht="15.75" x14ac:dyDescent="0.25">
      <c r="A34" s="37"/>
      <c r="B34" s="33" t="s">
        <v>358</v>
      </c>
      <c r="C34" s="59" t="s">
        <v>172</v>
      </c>
      <c r="D34" s="53" t="s">
        <v>161</v>
      </c>
      <c r="E34" s="37">
        <v>0</v>
      </c>
      <c r="F34" s="38" t="s">
        <v>57</v>
      </c>
      <c r="G34" s="33"/>
      <c r="H34" s="33"/>
      <c r="I34" s="33"/>
      <c r="J34" s="34" t="s">
        <v>2</v>
      </c>
      <c r="K34" s="37" t="s">
        <v>359</v>
      </c>
      <c r="L34" s="33" t="s">
        <v>355</v>
      </c>
      <c r="M34" s="33">
        <v>34</v>
      </c>
      <c r="N34" s="41" t="str">
        <f>IFERROR(HYPERLINK("#'Main'!B"&amp;MATCH(TRIM(A34),Main!B:B,0),"Open"),HYPERLINK("#'Main'!B1","Open"))</f>
        <v>Open</v>
      </c>
      <c r="O34" s="41" t="str">
        <f t="shared" ca="1" si="0"/>
        <v>Open</v>
      </c>
      <c r="P34" s="41"/>
    </row>
    <row r="35" spans="1:16" ht="15.75" x14ac:dyDescent="0.25">
      <c r="A35" s="44"/>
      <c r="B35" s="42" t="s">
        <v>358</v>
      </c>
      <c r="C35" s="60" t="s">
        <v>171</v>
      </c>
      <c r="D35" s="53" t="s">
        <v>161</v>
      </c>
      <c r="E35" s="44">
        <v>0</v>
      </c>
      <c r="F35" s="45" t="s">
        <v>57</v>
      </c>
      <c r="G35" s="42"/>
      <c r="H35" s="42"/>
      <c r="I35" s="42"/>
      <c r="J35" s="34" t="s">
        <v>2</v>
      </c>
      <c r="K35" s="44" t="s">
        <v>359</v>
      </c>
      <c r="L35" s="42" t="s">
        <v>355</v>
      </c>
      <c r="M35" s="42">
        <v>35</v>
      </c>
      <c r="N35" t="str">
        <f>IFERROR(HYPERLINK("#'Main'!B"&amp;MATCH(TRIM(A35),Main!B:B,0),"Open"),HYPERLINK("#'Main'!B1","Open"))</f>
        <v>Open</v>
      </c>
      <c r="O35" t="str">
        <f t="shared" ca="1" si="0"/>
        <v>Open</v>
      </c>
    </row>
    <row r="36" spans="1:16" ht="15.75" x14ac:dyDescent="0.25">
      <c r="A36" s="37"/>
      <c r="B36" s="33" t="s">
        <v>358</v>
      </c>
      <c r="C36" s="59" t="s">
        <v>173</v>
      </c>
      <c r="D36" s="53" t="s">
        <v>161</v>
      </c>
      <c r="E36" s="37">
        <v>0</v>
      </c>
      <c r="F36" s="38" t="s">
        <v>57</v>
      </c>
      <c r="G36" s="33"/>
      <c r="H36" s="33"/>
      <c r="I36" s="33"/>
      <c r="J36" s="34" t="s">
        <v>2</v>
      </c>
      <c r="K36" s="37" t="s">
        <v>359</v>
      </c>
      <c r="L36" s="33" t="s">
        <v>355</v>
      </c>
      <c r="M36" s="33">
        <v>36</v>
      </c>
      <c r="N36" s="41" t="str">
        <f>IFERROR(HYPERLINK("#'Main'!B"&amp;MATCH(TRIM(A36),Main!B:B,0),"Open"),HYPERLINK("#'Main'!B1","Open"))</f>
        <v>Open</v>
      </c>
      <c r="O36" s="41" t="str">
        <f t="shared" ca="1" si="0"/>
        <v>Open</v>
      </c>
      <c r="P36" s="41"/>
    </row>
    <row r="37" spans="1:16" ht="15.75" x14ac:dyDescent="0.25">
      <c r="A37" s="44"/>
      <c r="B37" s="42" t="s">
        <v>358</v>
      </c>
      <c r="C37" s="60" t="s">
        <v>168</v>
      </c>
      <c r="D37" s="53" t="s">
        <v>161</v>
      </c>
      <c r="E37" s="44">
        <v>0</v>
      </c>
      <c r="F37" s="45" t="s">
        <v>57</v>
      </c>
      <c r="G37" s="42"/>
      <c r="H37" s="42"/>
      <c r="I37" s="42"/>
      <c r="J37" s="34" t="s">
        <v>2</v>
      </c>
      <c r="K37" s="44" t="s">
        <v>359</v>
      </c>
      <c r="L37" s="42" t="s">
        <v>355</v>
      </c>
      <c r="M37" s="42">
        <v>37</v>
      </c>
      <c r="N37" t="str">
        <f>IFERROR(HYPERLINK("#'Main'!B"&amp;MATCH(TRIM(A37),Main!B:B,0),"Open"),HYPERLINK("#'Main'!B1","Open"))</f>
        <v>Open</v>
      </c>
      <c r="O37" t="str">
        <f t="shared" ca="1" si="0"/>
        <v>Open</v>
      </c>
    </row>
    <row r="38" spans="1:16" ht="15.75" x14ac:dyDescent="0.25">
      <c r="A38" s="37"/>
      <c r="B38" s="33" t="s">
        <v>358</v>
      </c>
      <c r="C38" s="59" t="s">
        <v>167</v>
      </c>
      <c r="D38" s="53" t="s">
        <v>161</v>
      </c>
      <c r="E38" s="37">
        <v>0</v>
      </c>
      <c r="F38" s="38" t="s">
        <v>57</v>
      </c>
      <c r="G38" s="33"/>
      <c r="H38" s="33"/>
      <c r="I38" s="33"/>
      <c r="J38" s="34" t="s">
        <v>2</v>
      </c>
      <c r="K38" s="37" t="s">
        <v>359</v>
      </c>
      <c r="L38" s="33" t="s">
        <v>355</v>
      </c>
      <c r="M38" s="33">
        <v>38</v>
      </c>
      <c r="N38" s="41" t="str">
        <f>IFERROR(HYPERLINK("#'Main'!B"&amp;MATCH(TRIM(A38),Main!B:B,0),"Open"),HYPERLINK("#'Main'!B1","Open"))</f>
        <v>Open</v>
      </c>
      <c r="O38" s="41" t="str">
        <f t="shared" ca="1" si="0"/>
        <v>Open</v>
      </c>
      <c r="P38" s="41"/>
    </row>
    <row r="39" spans="1:16" ht="15.75" x14ac:dyDescent="0.25">
      <c r="A39" s="44"/>
      <c r="B39" s="42" t="s">
        <v>358</v>
      </c>
      <c r="C39" s="60" t="s">
        <v>166</v>
      </c>
      <c r="D39" s="53" t="s">
        <v>161</v>
      </c>
      <c r="E39" s="44">
        <v>0</v>
      </c>
      <c r="F39" s="45" t="s">
        <v>57</v>
      </c>
      <c r="G39" s="42"/>
      <c r="H39" s="42"/>
      <c r="I39" s="42"/>
      <c r="J39" s="34" t="s">
        <v>2</v>
      </c>
      <c r="K39" s="44" t="s">
        <v>359</v>
      </c>
      <c r="L39" s="42" t="s">
        <v>355</v>
      </c>
      <c r="M39" s="42">
        <v>39</v>
      </c>
      <c r="N39" t="str">
        <f>IFERROR(HYPERLINK("#'Main'!B"&amp;MATCH(TRIM(A39),Main!B:B,0),"Open"),HYPERLINK("#'Main'!B1","Open"))</f>
        <v>Open</v>
      </c>
      <c r="O39" t="str">
        <f t="shared" ca="1" si="0"/>
        <v>Open</v>
      </c>
    </row>
    <row r="40" spans="1:16" ht="15.75" x14ac:dyDescent="0.25">
      <c r="A40" s="37"/>
      <c r="B40" s="33" t="s">
        <v>358</v>
      </c>
      <c r="C40" s="59" t="s">
        <v>160</v>
      </c>
      <c r="D40" s="53" t="s">
        <v>161</v>
      </c>
      <c r="E40" s="37">
        <v>0</v>
      </c>
      <c r="F40" s="38" t="s">
        <v>57</v>
      </c>
      <c r="G40" s="33"/>
      <c r="H40" s="33"/>
      <c r="I40" s="33"/>
      <c r="J40" s="34" t="s">
        <v>2</v>
      </c>
      <c r="K40" s="37" t="s">
        <v>359</v>
      </c>
      <c r="L40" s="33" t="s">
        <v>355</v>
      </c>
      <c r="M40" s="33">
        <v>40</v>
      </c>
      <c r="N40" s="41" t="str">
        <f>IFERROR(HYPERLINK("#'Main'!B"&amp;MATCH(TRIM(A40),Main!B:B,0),"Open"),HYPERLINK("#'Main'!B1","Open"))</f>
        <v>Open</v>
      </c>
      <c r="O40" s="41" t="str">
        <f t="shared" ca="1" si="0"/>
        <v>Open</v>
      </c>
      <c r="P40" s="41"/>
    </row>
    <row r="41" spans="1:16" ht="15.75" x14ac:dyDescent="0.25">
      <c r="A41" s="44"/>
      <c r="B41" s="42" t="s">
        <v>358</v>
      </c>
      <c r="C41" s="60" t="s">
        <v>174</v>
      </c>
      <c r="D41" s="53" t="s">
        <v>161</v>
      </c>
      <c r="E41" s="44">
        <v>0</v>
      </c>
      <c r="F41" s="45" t="s">
        <v>57</v>
      </c>
      <c r="G41" s="42"/>
      <c r="H41" s="42"/>
      <c r="I41" s="42"/>
      <c r="J41" s="34" t="s">
        <v>2</v>
      </c>
      <c r="K41" s="44" t="s">
        <v>359</v>
      </c>
      <c r="L41" s="42" t="s">
        <v>355</v>
      </c>
      <c r="M41" s="42">
        <v>41</v>
      </c>
      <c r="N41" t="str">
        <f>IFERROR(HYPERLINK("#'Main'!B"&amp;MATCH(TRIM(A41),Main!B:B,0),"Open"),HYPERLINK("#'Main'!B1","Open"))</f>
        <v>Open</v>
      </c>
      <c r="O41" t="str">
        <f t="shared" ca="1" si="0"/>
        <v>Open</v>
      </c>
    </row>
    <row r="42" spans="1:16" x14ac:dyDescent="0.25">
      <c r="A42" s="37"/>
      <c r="B42" s="33" t="s">
        <v>358</v>
      </c>
      <c r="C42" s="33"/>
      <c r="D42" s="33"/>
      <c r="E42" s="37">
        <v>0</v>
      </c>
      <c r="F42" s="33"/>
      <c r="G42" s="33"/>
      <c r="H42" s="33"/>
      <c r="I42" s="33"/>
      <c r="J42" s="34" t="s">
        <v>2</v>
      </c>
      <c r="K42" s="37"/>
      <c r="L42" s="33" t="s">
        <v>355</v>
      </c>
      <c r="M42" s="33">
        <v>42</v>
      </c>
      <c r="N42" s="41" t="str">
        <f>IFERROR(HYPERLINK("#'Main'!B"&amp;MATCH(TRIM(A42),Main!B:B,0),"Open"),HYPERLINK("#'Main'!B1","Open"))</f>
        <v>Open</v>
      </c>
      <c r="O42" s="41" t="str">
        <f t="shared" ca="1" si="0"/>
        <v>Open</v>
      </c>
      <c r="P42" s="41"/>
    </row>
    <row r="43" spans="1:16" x14ac:dyDescent="0.25">
      <c r="A43" s="44"/>
      <c r="B43" s="42" t="s">
        <v>368</v>
      </c>
      <c r="C43" s="42"/>
      <c r="D43" s="42"/>
      <c r="E43" s="44">
        <v>0</v>
      </c>
      <c r="F43" s="42"/>
      <c r="G43" s="42"/>
      <c r="H43" s="42"/>
      <c r="I43" s="42"/>
      <c r="J43" s="34" t="s">
        <v>2</v>
      </c>
      <c r="K43" s="44"/>
      <c r="L43" s="42" t="s">
        <v>355</v>
      </c>
      <c r="M43" s="42">
        <v>43</v>
      </c>
      <c r="N43" t="str">
        <f>IFERROR(HYPERLINK("#'Main'!B"&amp;MATCH(TRIM(A43),Main!B:B,0),"Open"),HYPERLINK("#'Main'!B1","Open"))</f>
        <v>Open</v>
      </c>
      <c r="O43" t="str">
        <f t="shared" ca="1" si="0"/>
        <v>Open</v>
      </c>
    </row>
    <row r="44" spans="1:16" x14ac:dyDescent="0.25">
      <c r="A44" s="37"/>
      <c r="B44" s="33" t="s">
        <v>369</v>
      </c>
      <c r="C44" s="33"/>
      <c r="D44" s="33"/>
      <c r="E44" s="37">
        <v>0</v>
      </c>
      <c r="F44" s="33"/>
      <c r="G44" s="33"/>
      <c r="H44" s="33"/>
      <c r="I44" s="33"/>
      <c r="J44" s="34" t="s">
        <v>2</v>
      </c>
      <c r="K44" s="37"/>
      <c r="L44" s="33" t="s">
        <v>355</v>
      </c>
      <c r="M44" s="33">
        <v>44</v>
      </c>
      <c r="N44" s="41" t="str">
        <f>IFERROR(HYPERLINK("#'Main'!B"&amp;MATCH(TRIM(A44),Main!B:B,0),"Open"),HYPERLINK("#'Main'!B1","Open"))</f>
        <v>Open</v>
      </c>
      <c r="O44" s="41" t="str">
        <f t="shared" ca="1" si="0"/>
        <v>Open</v>
      </c>
      <c r="P44" s="41"/>
    </row>
    <row r="45" spans="1:16" ht="15.75" x14ac:dyDescent="0.25">
      <c r="A45" s="44"/>
      <c r="B45" s="42" t="s">
        <v>369</v>
      </c>
      <c r="C45" s="42" t="s">
        <v>370</v>
      </c>
      <c r="D45" s="53" t="s">
        <v>161</v>
      </c>
      <c r="E45" s="44">
        <v>10</v>
      </c>
      <c r="F45" s="45" t="s">
        <v>371</v>
      </c>
      <c r="G45" s="42"/>
      <c r="H45" s="42"/>
      <c r="I45" s="42"/>
      <c r="J45" s="34" t="s">
        <v>2</v>
      </c>
      <c r="K45" s="44"/>
      <c r="L45" s="42" t="s">
        <v>355</v>
      </c>
      <c r="M45" s="42">
        <v>45</v>
      </c>
      <c r="N45" t="str">
        <f>IFERROR(HYPERLINK("#'Main'!B"&amp;MATCH(TRIM(A45),Main!B:B,0),"Open"),HYPERLINK("#'Main'!B1","Open"))</f>
        <v>Open</v>
      </c>
      <c r="O45" t="str">
        <f t="shared" ca="1" si="0"/>
        <v>Open</v>
      </c>
    </row>
    <row r="46" spans="1:16" ht="15.75" x14ac:dyDescent="0.25">
      <c r="A46" s="37"/>
      <c r="B46" s="33" t="s">
        <v>369</v>
      </c>
      <c r="C46" s="33" t="s">
        <v>372</v>
      </c>
      <c r="D46" s="53" t="s">
        <v>161</v>
      </c>
      <c r="E46" s="37">
        <v>10</v>
      </c>
      <c r="F46" s="38" t="s">
        <v>371</v>
      </c>
      <c r="G46" s="33"/>
      <c r="H46" s="33"/>
      <c r="I46" s="33"/>
      <c r="J46" s="34" t="s">
        <v>2</v>
      </c>
      <c r="K46" s="37"/>
      <c r="L46" s="33" t="s">
        <v>355</v>
      </c>
      <c r="M46" s="33">
        <v>46</v>
      </c>
      <c r="N46" s="41" t="str">
        <f>IFERROR(HYPERLINK("#'Main'!B"&amp;MATCH(TRIM(A46),Main!B:B,0),"Open"),HYPERLINK("#'Main'!B1","Open"))</f>
        <v>Open</v>
      </c>
      <c r="O46" s="41" t="str">
        <f t="shared" ca="1" si="0"/>
        <v>Open</v>
      </c>
      <c r="P46" s="41"/>
    </row>
    <row r="47" spans="1:16" ht="15.75" x14ac:dyDescent="0.25">
      <c r="A47" s="44"/>
      <c r="B47" s="42" t="s">
        <v>369</v>
      </c>
      <c r="C47" s="42" t="s">
        <v>373</v>
      </c>
      <c r="D47" s="53" t="s">
        <v>161</v>
      </c>
      <c r="E47" s="44">
        <v>10</v>
      </c>
      <c r="F47" s="45" t="s">
        <v>371</v>
      </c>
      <c r="G47" s="42"/>
      <c r="H47" s="42"/>
      <c r="I47" s="42"/>
      <c r="J47" s="34" t="s">
        <v>2</v>
      </c>
      <c r="K47" s="44"/>
      <c r="L47" s="42" t="s">
        <v>355</v>
      </c>
      <c r="M47" s="42">
        <v>47</v>
      </c>
      <c r="N47" t="str">
        <f>IFERROR(HYPERLINK("#'Main'!B"&amp;MATCH(TRIM(A47),Main!B:B,0),"Open"),HYPERLINK("#'Main'!B1","Open"))</f>
        <v>Open</v>
      </c>
      <c r="O47" t="str">
        <f t="shared" ca="1" si="0"/>
        <v>Open</v>
      </c>
    </row>
    <row r="48" spans="1:16" ht="15.75" x14ac:dyDescent="0.25">
      <c r="A48" s="37"/>
      <c r="B48" s="33" t="s">
        <v>369</v>
      </c>
      <c r="C48" s="33" t="s">
        <v>374</v>
      </c>
      <c r="D48" s="53" t="s">
        <v>161</v>
      </c>
      <c r="E48" s="37">
        <v>10</v>
      </c>
      <c r="F48" s="38" t="s">
        <v>371</v>
      </c>
      <c r="G48" s="33"/>
      <c r="H48" s="33"/>
      <c r="I48" s="33"/>
      <c r="J48" s="34" t="s">
        <v>2</v>
      </c>
      <c r="K48" s="37"/>
      <c r="L48" s="33" t="s">
        <v>355</v>
      </c>
      <c r="M48" s="33">
        <v>48</v>
      </c>
      <c r="N48" s="41" t="str">
        <f>IFERROR(HYPERLINK("#'Main'!B"&amp;MATCH(TRIM(A48),Main!B:B,0),"Open"),HYPERLINK("#'Main'!B1","Open"))</f>
        <v>Open</v>
      </c>
      <c r="O48" s="41" t="str">
        <f t="shared" ca="1" si="0"/>
        <v>Open</v>
      </c>
      <c r="P48" s="41"/>
    </row>
    <row r="49" spans="1:16" ht="15.75" x14ac:dyDescent="0.25">
      <c r="A49" s="44"/>
      <c r="B49" s="42" t="s">
        <v>369</v>
      </c>
      <c r="C49" s="42" t="s">
        <v>375</v>
      </c>
      <c r="D49" s="53" t="s">
        <v>161</v>
      </c>
      <c r="E49" s="44">
        <v>10</v>
      </c>
      <c r="F49" s="45" t="s">
        <v>371</v>
      </c>
      <c r="G49" s="42"/>
      <c r="H49" s="42"/>
      <c r="I49" s="42"/>
      <c r="J49" s="34" t="s">
        <v>2</v>
      </c>
      <c r="K49" s="44"/>
      <c r="L49" s="42" t="s">
        <v>355</v>
      </c>
      <c r="M49" s="42">
        <v>49</v>
      </c>
      <c r="N49" t="str">
        <f>IFERROR(HYPERLINK("#'Main'!B"&amp;MATCH(TRIM(A49),Main!B:B,0),"Open"),HYPERLINK("#'Main'!B1","Open"))</f>
        <v>Open</v>
      </c>
      <c r="O49" t="str">
        <f t="shared" ca="1" si="0"/>
        <v>Open</v>
      </c>
    </row>
    <row r="50" spans="1:16" ht="15.75" x14ac:dyDescent="0.25">
      <c r="A50" s="37"/>
      <c r="B50" s="33" t="s">
        <v>369</v>
      </c>
      <c r="C50" s="33" t="s">
        <v>376</v>
      </c>
      <c r="D50" s="53" t="s">
        <v>161</v>
      </c>
      <c r="E50" s="37">
        <v>8</v>
      </c>
      <c r="F50" s="38" t="s">
        <v>371</v>
      </c>
      <c r="G50" s="33"/>
      <c r="H50" s="33"/>
      <c r="I50" s="33"/>
      <c r="J50" s="34" t="s">
        <v>2</v>
      </c>
      <c r="K50" s="37"/>
      <c r="L50" s="33" t="s">
        <v>355</v>
      </c>
      <c r="M50" s="33">
        <v>50</v>
      </c>
      <c r="N50" s="41" t="str">
        <f>IFERROR(HYPERLINK("#'Main'!B"&amp;MATCH(TRIM(A50),Main!B:B,0),"Open"),HYPERLINK("#'Main'!B1","Open"))</f>
        <v>Open</v>
      </c>
      <c r="O50" s="41" t="str">
        <f t="shared" ca="1" si="0"/>
        <v>Open</v>
      </c>
      <c r="P50" s="41"/>
    </row>
    <row r="51" spans="1:16" ht="15.75" x14ac:dyDescent="0.25">
      <c r="A51" s="44"/>
      <c r="B51" s="42" t="s">
        <v>369</v>
      </c>
      <c r="C51" s="42" t="s">
        <v>377</v>
      </c>
      <c r="D51" s="53" t="s">
        <v>161</v>
      </c>
      <c r="E51" s="44">
        <v>7</v>
      </c>
      <c r="F51" s="45" t="s">
        <v>371</v>
      </c>
      <c r="G51" s="42"/>
      <c r="H51" s="42"/>
      <c r="I51" s="42"/>
      <c r="J51" s="34" t="s">
        <v>2</v>
      </c>
      <c r="K51" s="44"/>
      <c r="L51" s="42" t="s">
        <v>355</v>
      </c>
      <c r="M51" s="42">
        <v>51</v>
      </c>
      <c r="N51" t="str">
        <f>IFERROR(HYPERLINK("#'Main'!B"&amp;MATCH(TRIM(A51),Main!B:B,0),"Open"),HYPERLINK("#'Main'!B1","Open"))</f>
        <v>Open</v>
      </c>
      <c r="O51" t="str">
        <f t="shared" ca="1" si="0"/>
        <v>Open</v>
      </c>
    </row>
    <row r="52" spans="1:16" ht="15.75" x14ac:dyDescent="0.25">
      <c r="A52" s="37"/>
      <c r="B52" s="33" t="s">
        <v>369</v>
      </c>
      <c r="C52" s="33" t="s">
        <v>378</v>
      </c>
      <c r="D52" s="53" t="s">
        <v>161</v>
      </c>
      <c r="E52" s="37">
        <v>2</v>
      </c>
      <c r="F52" s="38" t="s">
        <v>371</v>
      </c>
      <c r="G52" s="33"/>
      <c r="H52" s="33"/>
      <c r="I52" s="33"/>
      <c r="J52" s="34" t="s">
        <v>2</v>
      </c>
      <c r="K52" s="37"/>
      <c r="L52" s="33" t="s">
        <v>355</v>
      </c>
      <c r="M52" s="33">
        <v>52</v>
      </c>
      <c r="N52" s="41" t="str">
        <f>IFERROR(HYPERLINK("#'Main'!B"&amp;MATCH(TRIM(A52),Main!B:B,0),"Open"),HYPERLINK("#'Main'!B1","Open"))</f>
        <v>Open</v>
      </c>
      <c r="O52" s="41" t="str">
        <f t="shared" ca="1" si="0"/>
        <v>Open</v>
      </c>
      <c r="P52" s="41"/>
    </row>
    <row r="53" spans="1:16" ht="15.75" x14ac:dyDescent="0.25">
      <c r="A53" s="44"/>
      <c r="B53" s="42" t="s">
        <v>369</v>
      </c>
      <c r="C53" s="42" t="s">
        <v>379</v>
      </c>
      <c r="D53" s="53" t="s">
        <v>161</v>
      </c>
      <c r="E53" s="44">
        <v>1</v>
      </c>
      <c r="F53" s="45" t="s">
        <v>371</v>
      </c>
      <c r="G53" s="42"/>
      <c r="H53" s="42"/>
      <c r="I53" s="42"/>
      <c r="J53" s="34" t="s">
        <v>2</v>
      </c>
      <c r="K53" s="44"/>
      <c r="L53" s="42" t="s">
        <v>355</v>
      </c>
      <c r="M53" s="42">
        <v>53</v>
      </c>
      <c r="N53" t="str">
        <f>IFERROR(HYPERLINK("#'Main'!B"&amp;MATCH(TRIM(A53),Main!B:B,0),"Open"),HYPERLINK("#'Main'!B1","Open"))</f>
        <v>Open</v>
      </c>
      <c r="O53" t="str">
        <f t="shared" ca="1" si="0"/>
        <v>Open</v>
      </c>
    </row>
    <row r="54" spans="1:16" ht="15.75" x14ac:dyDescent="0.25">
      <c r="A54" s="37"/>
      <c r="B54" s="33" t="s">
        <v>369</v>
      </c>
      <c r="C54" s="33" t="s">
        <v>380</v>
      </c>
      <c r="D54" s="53" t="s">
        <v>161</v>
      </c>
      <c r="E54" s="37">
        <v>1</v>
      </c>
      <c r="F54" s="38" t="s">
        <v>371</v>
      </c>
      <c r="G54" s="33"/>
      <c r="H54" s="33"/>
      <c r="I54" s="33"/>
      <c r="J54" s="34" t="s">
        <v>2</v>
      </c>
      <c r="K54" s="37"/>
      <c r="L54" s="33" t="s">
        <v>355</v>
      </c>
      <c r="M54" s="33">
        <v>54</v>
      </c>
      <c r="N54" s="41" t="str">
        <f>IFERROR(HYPERLINK("#'Main'!B"&amp;MATCH(TRIM(A54),Main!B:B,0),"Open"),HYPERLINK("#'Main'!B1","Open"))</f>
        <v>Open</v>
      </c>
      <c r="O54" s="41" t="str">
        <f t="shared" ca="1" si="0"/>
        <v>Open</v>
      </c>
      <c r="P54" s="41"/>
    </row>
    <row r="55" spans="1:16" ht="15.75" x14ac:dyDescent="0.25">
      <c r="A55" s="44"/>
      <c r="B55" s="42" t="s">
        <v>369</v>
      </c>
      <c r="C55" s="42" t="s">
        <v>381</v>
      </c>
      <c r="D55" s="53" t="s">
        <v>161</v>
      </c>
      <c r="E55" s="44">
        <v>1</v>
      </c>
      <c r="F55" s="45" t="s">
        <v>371</v>
      </c>
      <c r="G55" s="42"/>
      <c r="H55" s="42"/>
      <c r="I55" s="42"/>
      <c r="J55" s="34" t="s">
        <v>2</v>
      </c>
      <c r="K55" s="44"/>
      <c r="L55" s="42" t="s">
        <v>355</v>
      </c>
      <c r="M55" s="42">
        <v>55</v>
      </c>
      <c r="N55" t="str">
        <f>IFERROR(HYPERLINK("#'Main'!B"&amp;MATCH(TRIM(A55),Main!B:B,0),"Open"),HYPERLINK("#'Main'!B1","Open"))</f>
        <v>Open</v>
      </c>
      <c r="O55" t="str">
        <f t="shared" ca="1" si="0"/>
        <v>Open</v>
      </c>
    </row>
    <row r="56" spans="1:16" ht="15.75" x14ac:dyDescent="0.25">
      <c r="A56" s="37"/>
      <c r="B56" s="33" t="s">
        <v>369</v>
      </c>
      <c r="C56" s="33" t="s">
        <v>382</v>
      </c>
      <c r="D56" s="53" t="s">
        <v>161</v>
      </c>
      <c r="E56" s="37">
        <v>1</v>
      </c>
      <c r="F56" s="38" t="s">
        <v>371</v>
      </c>
      <c r="G56" s="33"/>
      <c r="H56" s="33"/>
      <c r="I56" s="33"/>
      <c r="J56" s="34" t="s">
        <v>2</v>
      </c>
      <c r="K56" s="37"/>
      <c r="L56" s="33" t="s">
        <v>355</v>
      </c>
      <c r="M56" s="33">
        <v>56</v>
      </c>
      <c r="N56" s="41" t="str">
        <f>IFERROR(HYPERLINK("#'Main'!B"&amp;MATCH(TRIM(A56),Main!B:B,0),"Open"),HYPERLINK("#'Main'!B1","Open"))</f>
        <v>Open</v>
      </c>
      <c r="O56" s="41" t="str">
        <f t="shared" ca="1" si="0"/>
        <v>Open</v>
      </c>
      <c r="P56" s="41"/>
    </row>
    <row r="57" spans="1:16" ht="15.75" x14ac:dyDescent="0.25">
      <c r="A57" s="44"/>
      <c r="B57" s="42" t="s">
        <v>369</v>
      </c>
      <c r="C57" s="42" t="s">
        <v>383</v>
      </c>
      <c r="D57" s="53" t="s">
        <v>161</v>
      </c>
      <c r="E57" s="44">
        <v>1</v>
      </c>
      <c r="F57" s="45" t="s">
        <v>371</v>
      </c>
      <c r="G57" s="42"/>
      <c r="H57" s="42"/>
      <c r="I57" s="42"/>
      <c r="J57" s="34" t="s">
        <v>2</v>
      </c>
      <c r="K57" s="44"/>
      <c r="L57" s="42" t="s">
        <v>355</v>
      </c>
      <c r="M57" s="42">
        <v>57</v>
      </c>
      <c r="N57" t="str">
        <f>IFERROR(HYPERLINK("#'Main'!B"&amp;MATCH(TRIM(A57),Main!B:B,0),"Open"),HYPERLINK("#'Main'!B1","Open"))</f>
        <v>Open</v>
      </c>
      <c r="O57" t="str">
        <f t="shared" ca="1" si="0"/>
        <v>Open</v>
      </c>
    </row>
    <row r="58" spans="1:16" ht="15.75" x14ac:dyDescent="0.25">
      <c r="A58" s="37"/>
      <c r="B58" s="33" t="s">
        <v>369</v>
      </c>
      <c r="C58" s="33" t="s">
        <v>384</v>
      </c>
      <c r="D58" s="53" t="s">
        <v>161</v>
      </c>
      <c r="E58" s="37">
        <v>1</v>
      </c>
      <c r="F58" s="38" t="s">
        <v>371</v>
      </c>
      <c r="G58" s="33"/>
      <c r="H58" s="33"/>
      <c r="I58" s="33"/>
      <c r="J58" s="34" t="s">
        <v>2</v>
      </c>
      <c r="K58" s="37"/>
      <c r="L58" s="33" t="s">
        <v>355</v>
      </c>
      <c r="M58" s="33">
        <v>58</v>
      </c>
      <c r="N58" s="41" t="str">
        <f>IFERROR(HYPERLINK("#'Main'!B"&amp;MATCH(TRIM(A58),Main!B:B,0),"Open"),HYPERLINK("#'Main'!B1","Open"))</f>
        <v>Open</v>
      </c>
      <c r="O58" s="41" t="str">
        <f t="shared" ca="1" si="0"/>
        <v>Open</v>
      </c>
      <c r="P58" s="41"/>
    </row>
    <row r="59" spans="1:16" ht="15.75" x14ac:dyDescent="0.25">
      <c r="A59" s="44"/>
      <c r="B59" s="42" t="s">
        <v>369</v>
      </c>
      <c r="C59" s="42" t="s">
        <v>385</v>
      </c>
      <c r="D59" s="53" t="s">
        <v>161</v>
      </c>
      <c r="E59" s="44">
        <v>1</v>
      </c>
      <c r="F59" s="45" t="s">
        <v>371</v>
      </c>
      <c r="G59" s="42"/>
      <c r="H59" s="42"/>
      <c r="I59" s="42"/>
      <c r="J59" s="34" t="s">
        <v>2</v>
      </c>
      <c r="K59" s="44"/>
      <c r="L59" s="42" t="s">
        <v>355</v>
      </c>
      <c r="M59" s="42">
        <v>59</v>
      </c>
      <c r="N59" t="str">
        <f>IFERROR(HYPERLINK("#'Main'!B"&amp;MATCH(TRIM(A59),Main!B:B,0),"Open"),HYPERLINK("#'Main'!B1","Open"))</f>
        <v>Open</v>
      </c>
      <c r="O59" t="str">
        <f t="shared" ca="1" si="0"/>
        <v>Open</v>
      </c>
    </row>
    <row r="60" spans="1:16" ht="15.75" x14ac:dyDescent="0.25">
      <c r="A60" s="37"/>
      <c r="B60" s="33" t="s">
        <v>369</v>
      </c>
      <c r="C60" s="33" t="s">
        <v>386</v>
      </c>
      <c r="D60" s="53" t="s">
        <v>161</v>
      </c>
      <c r="E60" s="37">
        <v>1</v>
      </c>
      <c r="F60" s="38" t="s">
        <v>371</v>
      </c>
      <c r="G60" s="33"/>
      <c r="H60" s="33"/>
      <c r="I60" s="33"/>
      <c r="J60" s="34" t="s">
        <v>2</v>
      </c>
      <c r="K60" s="37"/>
      <c r="L60" s="33" t="s">
        <v>355</v>
      </c>
      <c r="M60" s="33">
        <v>60</v>
      </c>
      <c r="N60" s="41" t="str">
        <f>IFERROR(HYPERLINK("#'Main'!B"&amp;MATCH(TRIM(A60),Main!B:B,0),"Open"),HYPERLINK("#'Main'!B1","Open"))</f>
        <v>Open</v>
      </c>
      <c r="O60" s="41" t="str">
        <f t="shared" ca="1" si="0"/>
        <v>Open</v>
      </c>
      <c r="P60" s="41"/>
    </row>
    <row r="61" spans="1:16" ht="15.75" x14ac:dyDescent="0.25">
      <c r="A61" s="44"/>
      <c r="B61" s="42" t="s">
        <v>369</v>
      </c>
      <c r="C61" s="42" t="s">
        <v>387</v>
      </c>
      <c r="D61" s="53" t="s">
        <v>161</v>
      </c>
      <c r="E61" s="44">
        <v>1</v>
      </c>
      <c r="F61" s="45" t="s">
        <v>371</v>
      </c>
      <c r="G61" s="42"/>
      <c r="H61" s="42"/>
      <c r="I61" s="42"/>
      <c r="J61" s="34" t="s">
        <v>2</v>
      </c>
      <c r="K61" s="44"/>
      <c r="L61" s="42" t="s">
        <v>355</v>
      </c>
      <c r="M61" s="42">
        <v>61</v>
      </c>
      <c r="N61" t="str">
        <f>IFERROR(HYPERLINK("#'Main'!B"&amp;MATCH(TRIM(A61),Main!B:B,0),"Open"),HYPERLINK("#'Main'!B1","Open"))</f>
        <v>Open</v>
      </c>
      <c r="O61" t="str">
        <f t="shared" ca="1" si="0"/>
        <v>Open</v>
      </c>
    </row>
    <row r="62" spans="1:16" ht="15.75" x14ac:dyDescent="0.25">
      <c r="A62" s="37"/>
      <c r="B62" s="33" t="s">
        <v>369</v>
      </c>
      <c r="C62" s="33" t="s">
        <v>388</v>
      </c>
      <c r="D62" s="53" t="s">
        <v>161</v>
      </c>
      <c r="E62" s="37">
        <v>1</v>
      </c>
      <c r="F62" s="38" t="s">
        <v>371</v>
      </c>
      <c r="G62" s="33"/>
      <c r="H62" s="33"/>
      <c r="I62" s="33"/>
      <c r="J62" s="34" t="s">
        <v>2</v>
      </c>
      <c r="K62" s="37"/>
      <c r="L62" s="33" t="s">
        <v>355</v>
      </c>
      <c r="M62" s="33">
        <v>62</v>
      </c>
      <c r="N62" s="41" t="str">
        <f>IFERROR(HYPERLINK("#'Main'!B"&amp;MATCH(TRIM(A62),Main!B:B,0),"Open"),HYPERLINK("#'Main'!B1","Open"))</f>
        <v>Open</v>
      </c>
      <c r="O62" s="41" t="str">
        <f t="shared" ca="1" si="0"/>
        <v>Open</v>
      </c>
      <c r="P62" s="41"/>
    </row>
    <row r="63" spans="1:16" ht="15.75" x14ac:dyDescent="0.25">
      <c r="A63" s="44"/>
      <c r="B63" s="42" t="s">
        <v>369</v>
      </c>
      <c r="C63" s="42" t="s">
        <v>389</v>
      </c>
      <c r="D63" s="53" t="s">
        <v>161</v>
      </c>
      <c r="E63" s="44">
        <v>1</v>
      </c>
      <c r="F63" s="45" t="s">
        <v>371</v>
      </c>
      <c r="G63" s="42"/>
      <c r="H63" s="42"/>
      <c r="I63" s="42"/>
      <c r="J63" s="34" t="s">
        <v>2</v>
      </c>
      <c r="K63" s="44"/>
      <c r="L63" s="42" t="s">
        <v>355</v>
      </c>
      <c r="M63" s="42">
        <v>63</v>
      </c>
      <c r="N63" t="str">
        <f>IFERROR(HYPERLINK("#'Main'!B"&amp;MATCH(TRIM(A63),Main!B:B,0),"Open"),HYPERLINK("#'Main'!B1","Open"))</f>
        <v>Open</v>
      </c>
      <c r="O63" t="str">
        <f t="shared" ca="1" si="0"/>
        <v>Open</v>
      </c>
    </row>
    <row r="64" spans="1:16" ht="15.75" x14ac:dyDescent="0.25">
      <c r="A64" s="37"/>
      <c r="B64" s="33" t="s">
        <v>369</v>
      </c>
      <c r="C64" s="33" t="s">
        <v>390</v>
      </c>
      <c r="D64" s="53" t="s">
        <v>161</v>
      </c>
      <c r="E64" s="37">
        <v>1</v>
      </c>
      <c r="F64" s="38" t="s">
        <v>371</v>
      </c>
      <c r="G64" s="33"/>
      <c r="H64" s="33"/>
      <c r="I64" s="33"/>
      <c r="J64" s="34" t="s">
        <v>2</v>
      </c>
      <c r="K64" s="37"/>
      <c r="L64" s="33" t="s">
        <v>355</v>
      </c>
      <c r="M64" s="33">
        <v>64</v>
      </c>
      <c r="N64" s="41" t="str">
        <f>IFERROR(HYPERLINK("#'Main'!B"&amp;MATCH(TRIM(A64),Main!B:B,0),"Open"),HYPERLINK("#'Main'!B1","Open"))</f>
        <v>Open</v>
      </c>
      <c r="O64" s="41" t="str">
        <f t="shared" ca="1" si="0"/>
        <v>Open</v>
      </c>
      <c r="P64" s="41"/>
    </row>
    <row r="65" spans="1:16" ht="30" customHeight="1" x14ac:dyDescent="0.25">
      <c r="A65" s="51" t="s">
        <v>146</v>
      </c>
      <c r="B65" s="42" t="s">
        <v>391</v>
      </c>
      <c r="C65" s="60" t="s">
        <v>151</v>
      </c>
      <c r="D65" s="47" t="s">
        <v>51</v>
      </c>
      <c r="E65" s="44">
        <v>1</v>
      </c>
      <c r="F65" s="45" t="s">
        <v>57</v>
      </c>
      <c r="G65" s="42" t="s">
        <v>392</v>
      </c>
      <c r="H65" s="42" t="s">
        <v>111</v>
      </c>
      <c r="I65" s="42"/>
      <c r="J65" s="34" t="s">
        <v>2</v>
      </c>
      <c r="K65" s="44" t="s">
        <v>146</v>
      </c>
      <c r="L65" s="42" t="s">
        <v>393</v>
      </c>
      <c r="M65" s="42">
        <v>2</v>
      </c>
      <c r="N65" t="str">
        <f>IFERROR(HYPERLINK("#'Main'!B"&amp;MATCH(TRIM(A65),Main!B:B,0),"Open"),HYPERLINK("#'Main'!B1","Open"))</f>
        <v>Open</v>
      </c>
      <c r="O65" t="str">
        <f t="shared" ca="1" si="0"/>
        <v>Open</v>
      </c>
    </row>
    <row r="66" spans="1:16" ht="30" customHeight="1" x14ac:dyDescent="0.25">
      <c r="A66" s="50" t="s">
        <v>146</v>
      </c>
      <c r="B66" s="33" t="s">
        <v>391</v>
      </c>
      <c r="C66" s="59" t="s">
        <v>149</v>
      </c>
      <c r="D66" s="47" t="s">
        <v>51</v>
      </c>
      <c r="E66" s="37">
        <v>1</v>
      </c>
      <c r="F66" s="38" t="s">
        <v>57</v>
      </c>
      <c r="G66" s="33" t="s">
        <v>394</v>
      </c>
      <c r="H66" s="33" t="s">
        <v>111</v>
      </c>
      <c r="I66" s="33"/>
      <c r="J66" s="34" t="s">
        <v>2</v>
      </c>
      <c r="K66" s="37" t="s">
        <v>146</v>
      </c>
      <c r="L66" s="33" t="s">
        <v>393</v>
      </c>
      <c r="M66" s="33">
        <v>3</v>
      </c>
      <c r="N66" s="41" t="str">
        <f>IFERROR(HYPERLINK("#'Main'!B"&amp;MATCH(TRIM(A66),Main!B:B,0),"Open"),HYPERLINK("#'Main'!B1","Open"))</f>
        <v>Open</v>
      </c>
      <c r="O66" s="41" t="str">
        <f t="shared" ref="O66:O129" ca="1" si="1">IFERROR(HYPERLINK("#"&amp;F66&amp;"!A"&amp;MATCH(A66,INDIRECT("'"&amp;F66&amp;"'!A:A"),0),"Open"),HYPERLINK("#"&amp;F66&amp;"!A1","Open"))</f>
        <v>Open</v>
      </c>
      <c r="P66" s="41"/>
    </row>
    <row r="67" spans="1:16" ht="30" customHeight="1" x14ac:dyDescent="0.25">
      <c r="A67" s="51" t="s">
        <v>146</v>
      </c>
      <c r="B67" s="42" t="s">
        <v>391</v>
      </c>
      <c r="C67" s="60" t="s">
        <v>144</v>
      </c>
      <c r="D67" s="47" t="s">
        <v>51</v>
      </c>
      <c r="E67" s="44">
        <v>1</v>
      </c>
      <c r="F67" s="45" t="s">
        <v>134</v>
      </c>
      <c r="G67" s="42" t="s">
        <v>395</v>
      </c>
      <c r="H67" s="42" t="s">
        <v>111</v>
      </c>
      <c r="I67" s="42"/>
      <c r="J67" s="34" t="s">
        <v>2</v>
      </c>
      <c r="K67" s="44" t="s">
        <v>146</v>
      </c>
      <c r="L67" s="42" t="s">
        <v>393</v>
      </c>
      <c r="M67" s="42">
        <v>4</v>
      </c>
      <c r="N67" t="str">
        <f>IFERROR(HYPERLINK("#'Main'!B"&amp;MATCH(TRIM(A67),Main!B:B,0),"Open"),HYPERLINK("#'Main'!B1","Open"))</f>
        <v>Open</v>
      </c>
      <c r="O67" t="str">
        <f t="shared" ca="1" si="1"/>
        <v>Open</v>
      </c>
    </row>
    <row r="68" spans="1:16" ht="30" customHeight="1" x14ac:dyDescent="0.25">
      <c r="A68" s="50" t="s">
        <v>146</v>
      </c>
      <c r="B68" s="33" t="s">
        <v>391</v>
      </c>
      <c r="C68" s="59" t="s">
        <v>35</v>
      </c>
      <c r="D68" s="53" t="s">
        <v>161</v>
      </c>
      <c r="E68" s="37">
        <v>1</v>
      </c>
      <c r="F68" s="38" t="s">
        <v>57</v>
      </c>
      <c r="G68" s="33" t="s">
        <v>396</v>
      </c>
      <c r="H68" s="33" t="s">
        <v>100</v>
      </c>
      <c r="I68" s="33"/>
      <c r="J68" s="34" t="s">
        <v>2</v>
      </c>
      <c r="K68" s="37" t="s">
        <v>146</v>
      </c>
      <c r="L68" s="33" t="s">
        <v>393</v>
      </c>
      <c r="M68" s="33">
        <v>5</v>
      </c>
      <c r="N68" s="41" t="str">
        <f>IFERROR(HYPERLINK("#'Main'!B"&amp;MATCH(TRIM(A68),Main!B:B,0),"Open"),HYPERLINK("#'Main'!B1","Open"))</f>
        <v>Open</v>
      </c>
      <c r="O68" s="41" t="str">
        <f t="shared" ca="1" si="1"/>
        <v>Open</v>
      </c>
      <c r="P68" s="41"/>
    </row>
    <row r="69" spans="1:16" ht="30" customHeight="1" x14ac:dyDescent="0.25">
      <c r="A69" s="51" t="s">
        <v>146</v>
      </c>
      <c r="B69" s="42" t="s">
        <v>391</v>
      </c>
      <c r="C69" s="60" t="s">
        <v>181</v>
      </c>
      <c r="D69" s="53" t="s">
        <v>161</v>
      </c>
      <c r="E69" s="44">
        <v>1</v>
      </c>
      <c r="F69" s="45" t="s">
        <v>134</v>
      </c>
      <c r="G69" s="42" t="s">
        <v>397</v>
      </c>
      <c r="H69" s="42" t="s">
        <v>111</v>
      </c>
      <c r="I69" s="42"/>
      <c r="J69" s="34" t="s">
        <v>2</v>
      </c>
      <c r="K69" s="44" t="s">
        <v>146</v>
      </c>
      <c r="L69" s="42" t="s">
        <v>393</v>
      </c>
      <c r="M69" s="42">
        <v>6</v>
      </c>
      <c r="N69" t="str">
        <f>IFERROR(HYPERLINK("#'Main'!B"&amp;MATCH(TRIM(A69),Main!B:B,0),"Open"),HYPERLINK("#'Main'!B1","Open"))</f>
        <v>Open</v>
      </c>
      <c r="O69" t="str">
        <f t="shared" ca="1" si="1"/>
        <v>Open</v>
      </c>
    </row>
    <row r="70" spans="1:16" ht="30" customHeight="1" x14ac:dyDescent="0.25">
      <c r="A70" s="50" t="s">
        <v>146</v>
      </c>
      <c r="B70" s="33" t="s">
        <v>391</v>
      </c>
      <c r="C70" s="59" t="s">
        <v>184</v>
      </c>
      <c r="D70" s="53" t="s">
        <v>161</v>
      </c>
      <c r="E70" s="37">
        <v>1</v>
      </c>
      <c r="F70" s="38" t="s">
        <v>57</v>
      </c>
      <c r="G70" s="33" t="s">
        <v>398</v>
      </c>
      <c r="H70" s="33" t="s">
        <v>111</v>
      </c>
      <c r="I70" s="33"/>
      <c r="J70" s="34" t="s">
        <v>2</v>
      </c>
      <c r="K70" s="37" t="s">
        <v>146</v>
      </c>
      <c r="L70" s="33" t="s">
        <v>393</v>
      </c>
      <c r="M70" s="33">
        <v>7</v>
      </c>
      <c r="N70" s="41" t="str">
        <f>IFERROR(HYPERLINK("#'Main'!B"&amp;MATCH(TRIM(A70),Main!B:B,0),"Open"),HYPERLINK("#'Main'!B1","Open"))</f>
        <v>Open</v>
      </c>
      <c r="O70" s="41" t="str">
        <f t="shared" ca="1" si="1"/>
        <v>Open</v>
      </c>
      <c r="P70" s="41"/>
    </row>
    <row r="71" spans="1:16" ht="30" customHeight="1" x14ac:dyDescent="0.25">
      <c r="A71" s="51" t="s">
        <v>146</v>
      </c>
      <c r="B71" s="42" t="s">
        <v>391</v>
      </c>
      <c r="C71" s="60" t="s">
        <v>187</v>
      </c>
      <c r="D71" s="53" t="s">
        <v>161</v>
      </c>
      <c r="E71" s="44">
        <v>1</v>
      </c>
      <c r="F71" s="45" t="s">
        <v>57</v>
      </c>
      <c r="G71" s="42" t="s">
        <v>399</v>
      </c>
      <c r="H71" s="42" t="s">
        <v>111</v>
      </c>
      <c r="I71" s="42"/>
      <c r="J71" s="34" t="s">
        <v>2</v>
      </c>
      <c r="K71" s="44" t="s">
        <v>146</v>
      </c>
      <c r="L71" s="42" t="s">
        <v>393</v>
      </c>
      <c r="M71" s="42">
        <v>8</v>
      </c>
      <c r="N71" t="str">
        <f>IFERROR(HYPERLINK("#'Main'!B"&amp;MATCH(TRIM(A71),Main!B:B,0),"Open"),HYPERLINK("#'Main'!B1","Open"))</f>
        <v>Open</v>
      </c>
      <c r="O71" t="str">
        <f t="shared" ca="1" si="1"/>
        <v>Open</v>
      </c>
    </row>
    <row r="72" spans="1:16" ht="30" customHeight="1" x14ac:dyDescent="0.25">
      <c r="A72" s="50" t="s">
        <v>178</v>
      </c>
      <c r="B72" s="33" t="s">
        <v>391</v>
      </c>
      <c r="C72" s="59" t="s">
        <v>149</v>
      </c>
      <c r="D72" s="47" t="s">
        <v>51</v>
      </c>
      <c r="E72" s="37">
        <v>1</v>
      </c>
      <c r="F72" s="38" t="s">
        <v>57</v>
      </c>
      <c r="G72" s="33" t="s">
        <v>400</v>
      </c>
      <c r="H72" s="33" t="s">
        <v>111</v>
      </c>
      <c r="I72" s="33"/>
      <c r="J72" s="34" t="s">
        <v>2</v>
      </c>
      <c r="K72" s="37" t="s">
        <v>178</v>
      </c>
      <c r="L72" s="33" t="s">
        <v>393</v>
      </c>
      <c r="M72" s="33">
        <v>9</v>
      </c>
      <c r="N72" s="41" t="str">
        <f>IFERROR(HYPERLINK("#'Main'!B"&amp;MATCH(TRIM(A72),Main!B:B,0),"Open"),HYPERLINK("#'Main'!B1","Open"))</f>
        <v>Open</v>
      </c>
      <c r="O72" s="41" t="str">
        <f t="shared" ca="1" si="1"/>
        <v>Open</v>
      </c>
      <c r="P72" s="41"/>
    </row>
    <row r="73" spans="1:16" ht="30" customHeight="1" x14ac:dyDescent="0.25">
      <c r="A73" s="51" t="s">
        <v>178</v>
      </c>
      <c r="B73" s="42" t="s">
        <v>391</v>
      </c>
      <c r="C73" s="60" t="s">
        <v>144</v>
      </c>
      <c r="D73" s="47" t="s">
        <v>51</v>
      </c>
      <c r="E73" s="44">
        <v>1</v>
      </c>
      <c r="F73" s="45" t="s">
        <v>134</v>
      </c>
      <c r="G73" s="42" t="s">
        <v>401</v>
      </c>
      <c r="H73" s="42" t="s">
        <v>111</v>
      </c>
      <c r="I73" s="42"/>
      <c r="J73" s="34" t="s">
        <v>2</v>
      </c>
      <c r="K73" s="44" t="s">
        <v>178</v>
      </c>
      <c r="L73" s="42" t="s">
        <v>393</v>
      </c>
      <c r="M73" s="42">
        <v>10</v>
      </c>
      <c r="N73" t="str">
        <f>IFERROR(HYPERLINK("#'Main'!B"&amp;MATCH(TRIM(A73),Main!B:B,0),"Open"),HYPERLINK("#'Main'!B1","Open"))</f>
        <v>Open</v>
      </c>
      <c r="O73" t="str">
        <f t="shared" ca="1" si="1"/>
        <v>Open</v>
      </c>
    </row>
    <row r="74" spans="1:16" ht="30" customHeight="1" x14ac:dyDescent="0.25">
      <c r="A74" s="50" t="s">
        <v>178</v>
      </c>
      <c r="B74" s="33" t="s">
        <v>391</v>
      </c>
      <c r="C74" s="59" t="s">
        <v>35</v>
      </c>
      <c r="D74" s="53" t="s">
        <v>161</v>
      </c>
      <c r="E74" s="37">
        <v>1</v>
      </c>
      <c r="F74" s="38" t="s">
        <v>57</v>
      </c>
      <c r="G74" s="33" t="s">
        <v>402</v>
      </c>
      <c r="H74" s="33" t="s">
        <v>100</v>
      </c>
      <c r="I74" s="33"/>
      <c r="J74" s="34" t="s">
        <v>2</v>
      </c>
      <c r="K74" s="37" t="s">
        <v>178</v>
      </c>
      <c r="L74" s="33" t="s">
        <v>393</v>
      </c>
      <c r="M74" s="33">
        <v>11</v>
      </c>
      <c r="N74" s="41" t="str">
        <f>IFERROR(HYPERLINK("#'Main'!B"&amp;MATCH(TRIM(A74),Main!B:B,0),"Open"),HYPERLINK("#'Main'!B1","Open"))</f>
        <v>Open</v>
      </c>
      <c r="O74" s="41" t="str">
        <f t="shared" ca="1" si="1"/>
        <v>Open</v>
      </c>
      <c r="P74" s="41"/>
    </row>
    <row r="75" spans="1:16" ht="30" customHeight="1" x14ac:dyDescent="0.25">
      <c r="A75" s="51" t="s">
        <v>178</v>
      </c>
      <c r="B75" s="42" t="s">
        <v>391</v>
      </c>
      <c r="C75" s="60" t="s">
        <v>177</v>
      </c>
      <c r="D75" s="53" t="s">
        <v>161</v>
      </c>
      <c r="E75" s="44">
        <v>1</v>
      </c>
      <c r="F75" s="45" t="s">
        <v>57</v>
      </c>
      <c r="G75" s="42" t="s">
        <v>403</v>
      </c>
      <c r="H75" s="42" t="s">
        <v>111</v>
      </c>
      <c r="I75" s="42"/>
      <c r="J75" s="34" t="s">
        <v>2</v>
      </c>
      <c r="K75" s="44" t="s">
        <v>178</v>
      </c>
      <c r="L75" s="42" t="s">
        <v>393</v>
      </c>
      <c r="M75" s="42">
        <v>12</v>
      </c>
      <c r="N75" t="str">
        <f>IFERROR(HYPERLINK("#'Main'!B"&amp;MATCH(TRIM(A75),Main!B:B,0),"Open"),HYPERLINK("#'Main'!B1","Open"))</f>
        <v>Open</v>
      </c>
      <c r="O75" t="str">
        <f t="shared" ca="1" si="1"/>
        <v>Open</v>
      </c>
    </row>
    <row r="76" spans="1:16" ht="30" customHeight="1" x14ac:dyDescent="0.25">
      <c r="A76" s="50" t="s">
        <v>178</v>
      </c>
      <c r="B76" s="33" t="s">
        <v>391</v>
      </c>
      <c r="C76" s="59" t="s">
        <v>181</v>
      </c>
      <c r="D76" s="53" t="s">
        <v>161</v>
      </c>
      <c r="E76" s="37">
        <v>1</v>
      </c>
      <c r="F76" s="38" t="s">
        <v>134</v>
      </c>
      <c r="G76" s="33" t="s">
        <v>404</v>
      </c>
      <c r="H76" s="33" t="s">
        <v>111</v>
      </c>
      <c r="I76" s="33"/>
      <c r="J76" s="34" t="s">
        <v>2</v>
      </c>
      <c r="K76" s="37" t="s">
        <v>178</v>
      </c>
      <c r="L76" s="33" t="s">
        <v>393</v>
      </c>
      <c r="M76" s="33">
        <v>13</v>
      </c>
      <c r="N76" s="41" t="str">
        <f>IFERROR(HYPERLINK("#'Main'!B"&amp;MATCH(TRIM(A76),Main!B:B,0),"Open"),HYPERLINK("#'Main'!B1","Open"))</f>
        <v>Open</v>
      </c>
      <c r="O76" s="41" t="str">
        <f t="shared" ca="1" si="1"/>
        <v>Open</v>
      </c>
      <c r="P76" s="41"/>
    </row>
    <row r="77" spans="1:16" ht="30" customHeight="1" x14ac:dyDescent="0.25">
      <c r="A77" s="51" t="s">
        <v>178</v>
      </c>
      <c r="B77" s="42" t="s">
        <v>391</v>
      </c>
      <c r="C77" s="60" t="s">
        <v>184</v>
      </c>
      <c r="D77" s="53" t="s">
        <v>161</v>
      </c>
      <c r="E77" s="44">
        <v>1</v>
      </c>
      <c r="F77" s="45" t="s">
        <v>57</v>
      </c>
      <c r="G77" s="42" t="s">
        <v>405</v>
      </c>
      <c r="H77" s="42" t="s">
        <v>111</v>
      </c>
      <c r="I77" s="42"/>
      <c r="J77" s="34" t="s">
        <v>2</v>
      </c>
      <c r="K77" s="44" t="s">
        <v>178</v>
      </c>
      <c r="L77" s="42" t="s">
        <v>393</v>
      </c>
      <c r="M77" s="42">
        <v>14</v>
      </c>
      <c r="N77" t="str">
        <f>IFERROR(HYPERLINK("#'Main'!B"&amp;MATCH(TRIM(A77),Main!B:B,0),"Open"),HYPERLINK("#'Main'!B1","Open"))</f>
        <v>Open</v>
      </c>
      <c r="O77" t="str">
        <f t="shared" ca="1" si="1"/>
        <v>Open</v>
      </c>
    </row>
    <row r="78" spans="1:16" ht="30" customHeight="1" x14ac:dyDescent="0.25">
      <c r="A78" s="50" t="s">
        <v>178</v>
      </c>
      <c r="B78" s="33" t="s">
        <v>391</v>
      </c>
      <c r="C78" s="59" t="s">
        <v>187</v>
      </c>
      <c r="D78" s="53" t="s">
        <v>161</v>
      </c>
      <c r="E78" s="37">
        <v>1</v>
      </c>
      <c r="F78" s="38" t="s">
        <v>57</v>
      </c>
      <c r="G78" s="33" t="s">
        <v>406</v>
      </c>
      <c r="H78" s="33" t="s">
        <v>111</v>
      </c>
      <c r="I78" s="33"/>
      <c r="J78" s="34" t="s">
        <v>2</v>
      </c>
      <c r="K78" s="37" t="s">
        <v>178</v>
      </c>
      <c r="L78" s="33" t="s">
        <v>393</v>
      </c>
      <c r="M78" s="33">
        <v>15</v>
      </c>
      <c r="N78" s="41" t="str">
        <f>IFERROR(HYPERLINK("#'Main'!B"&amp;MATCH(TRIM(A78),Main!B:B,0),"Open"),HYPERLINK("#'Main'!B1","Open"))</f>
        <v>Open</v>
      </c>
      <c r="O78" s="41" t="str">
        <f t="shared" ca="1" si="1"/>
        <v>Open</v>
      </c>
      <c r="P78" s="41"/>
    </row>
    <row r="79" spans="1:16" ht="15.75" x14ac:dyDescent="0.25">
      <c r="A79" s="51" t="s">
        <v>176</v>
      </c>
      <c r="B79" s="42" t="s">
        <v>391</v>
      </c>
      <c r="C79" s="60" t="s">
        <v>151</v>
      </c>
      <c r="D79" s="47" t="s">
        <v>51</v>
      </c>
      <c r="E79" s="44">
        <v>1</v>
      </c>
      <c r="F79" s="45" t="s">
        <v>57</v>
      </c>
      <c r="G79" s="42" t="s">
        <v>407</v>
      </c>
      <c r="H79" s="42" t="s">
        <v>111</v>
      </c>
      <c r="I79" s="42"/>
      <c r="J79" s="34" t="s">
        <v>2</v>
      </c>
      <c r="K79" s="44" t="s">
        <v>176</v>
      </c>
      <c r="L79" s="42" t="s">
        <v>393</v>
      </c>
      <c r="M79" s="42">
        <v>16</v>
      </c>
      <c r="N79" t="str">
        <f>IFERROR(HYPERLINK("#'Main'!B"&amp;MATCH(TRIM(A79),Main!B:B,0),"Open"),HYPERLINK("#'Main'!B1","Open"))</f>
        <v>Open</v>
      </c>
      <c r="O79" t="str">
        <f t="shared" ca="1" si="1"/>
        <v>Open</v>
      </c>
    </row>
    <row r="80" spans="1:16" ht="15.75" x14ac:dyDescent="0.25">
      <c r="A80" s="50" t="s">
        <v>176</v>
      </c>
      <c r="B80" s="33" t="s">
        <v>391</v>
      </c>
      <c r="C80" s="59" t="s">
        <v>149</v>
      </c>
      <c r="D80" s="47" t="s">
        <v>51</v>
      </c>
      <c r="E80" s="37">
        <v>1</v>
      </c>
      <c r="F80" s="38" t="s">
        <v>57</v>
      </c>
      <c r="G80" s="33" t="s">
        <v>408</v>
      </c>
      <c r="H80" s="33" t="s">
        <v>111</v>
      </c>
      <c r="I80" s="33"/>
      <c r="J80" s="34" t="s">
        <v>2</v>
      </c>
      <c r="K80" s="37" t="s">
        <v>176</v>
      </c>
      <c r="L80" s="33" t="s">
        <v>393</v>
      </c>
      <c r="M80" s="33">
        <v>17</v>
      </c>
      <c r="N80" s="41" t="str">
        <f>IFERROR(HYPERLINK("#'Main'!B"&amp;MATCH(TRIM(A80),Main!B:B,0),"Open"),HYPERLINK("#'Main'!B1","Open"))</f>
        <v>Open</v>
      </c>
      <c r="O80" s="41" t="str">
        <f t="shared" ca="1" si="1"/>
        <v>Open</v>
      </c>
      <c r="P80" s="41"/>
    </row>
    <row r="81" spans="1:16" ht="15.75" x14ac:dyDescent="0.25">
      <c r="A81" s="51" t="s">
        <v>176</v>
      </c>
      <c r="B81" s="42" t="s">
        <v>391</v>
      </c>
      <c r="C81" s="60" t="s">
        <v>144</v>
      </c>
      <c r="D81" s="47" t="s">
        <v>51</v>
      </c>
      <c r="E81" s="44">
        <v>1</v>
      </c>
      <c r="F81" s="45" t="s">
        <v>134</v>
      </c>
      <c r="G81" s="42" t="s">
        <v>409</v>
      </c>
      <c r="H81" s="42" t="s">
        <v>111</v>
      </c>
      <c r="I81" s="42"/>
      <c r="J81" s="34" t="s">
        <v>2</v>
      </c>
      <c r="K81" s="44" t="s">
        <v>176</v>
      </c>
      <c r="L81" s="42" t="s">
        <v>393</v>
      </c>
      <c r="M81" s="42">
        <v>18</v>
      </c>
      <c r="N81" t="str">
        <f>IFERROR(HYPERLINK("#'Main'!B"&amp;MATCH(TRIM(A81),Main!B:B,0),"Open"),HYPERLINK("#'Main'!B1","Open"))</f>
        <v>Open</v>
      </c>
      <c r="O81" t="str">
        <f t="shared" ca="1" si="1"/>
        <v>Open</v>
      </c>
    </row>
    <row r="82" spans="1:16" ht="15.75" x14ac:dyDescent="0.25">
      <c r="A82" s="50" t="s">
        <v>176</v>
      </c>
      <c r="B82" s="33" t="s">
        <v>391</v>
      </c>
      <c r="C82" s="59" t="s">
        <v>175</v>
      </c>
      <c r="D82" s="53" t="s">
        <v>161</v>
      </c>
      <c r="E82" s="37">
        <v>1</v>
      </c>
      <c r="F82" s="38" t="s">
        <v>125</v>
      </c>
      <c r="G82" s="33" t="s">
        <v>410</v>
      </c>
      <c r="H82" s="33" t="s">
        <v>111</v>
      </c>
      <c r="I82" s="33"/>
      <c r="J82" s="34" t="s">
        <v>2</v>
      </c>
      <c r="K82" s="37" t="s">
        <v>176</v>
      </c>
      <c r="L82" s="33" t="s">
        <v>393</v>
      </c>
      <c r="M82" s="33">
        <v>19</v>
      </c>
      <c r="N82" s="41" t="str">
        <f>IFERROR(HYPERLINK("#'Main'!B"&amp;MATCH(TRIM(A82),Main!B:B,0),"Open"),HYPERLINK("#'Main'!B1","Open"))</f>
        <v>Open</v>
      </c>
      <c r="O82" s="41" t="str">
        <f t="shared" ca="1" si="1"/>
        <v>Open</v>
      </c>
      <c r="P82" s="41"/>
    </row>
    <row r="83" spans="1:16" ht="15.75" x14ac:dyDescent="0.25">
      <c r="A83" s="51" t="s">
        <v>176</v>
      </c>
      <c r="B83" s="42" t="s">
        <v>391</v>
      </c>
      <c r="C83" s="60" t="s">
        <v>35</v>
      </c>
      <c r="D83" s="53" t="s">
        <v>161</v>
      </c>
      <c r="E83" s="44">
        <v>1</v>
      </c>
      <c r="F83" s="45" t="s">
        <v>57</v>
      </c>
      <c r="G83" s="42" t="s">
        <v>411</v>
      </c>
      <c r="H83" s="42" t="s">
        <v>100</v>
      </c>
      <c r="I83" s="42"/>
      <c r="J83" s="34" t="s">
        <v>2</v>
      </c>
      <c r="K83" s="44" t="s">
        <v>176</v>
      </c>
      <c r="L83" s="42" t="s">
        <v>393</v>
      </c>
      <c r="M83" s="42">
        <v>20</v>
      </c>
      <c r="N83" t="str">
        <f>IFERROR(HYPERLINK("#'Main'!B"&amp;MATCH(TRIM(A83),Main!B:B,0),"Open"),HYPERLINK("#'Main'!B1","Open"))</f>
        <v>Open</v>
      </c>
      <c r="O83" t="str">
        <f t="shared" ca="1" si="1"/>
        <v>Open</v>
      </c>
    </row>
    <row r="84" spans="1:16" ht="15.75" x14ac:dyDescent="0.25">
      <c r="A84" s="50" t="s">
        <v>176</v>
      </c>
      <c r="B84" s="33" t="s">
        <v>391</v>
      </c>
      <c r="C84" s="59" t="s">
        <v>177</v>
      </c>
      <c r="D84" s="53" t="s">
        <v>161</v>
      </c>
      <c r="E84" s="37">
        <v>1</v>
      </c>
      <c r="F84" s="38" t="s">
        <v>57</v>
      </c>
      <c r="G84" s="33" t="s">
        <v>412</v>
      </c>
      <c r="H84" s="33" t="s">
        <v>111</v>
      </c>
      <c r="I84" s="33"/>
      <c r="J84" s="34" t="s">
        <v>2</v>
      </c>
      <c r="K84" s="37" t="s">
        <v>176</v>
      </c>
      <c r="L84" s="33" t="s">
        <v>393</v>
      </c>
      <c r="M84" s="33">
        <v>21</v>
      </c>
      <c r="N84" s="41" t="str">
        <f>IFERROR(HYPERLINK("#'Main'!B"&amp;MATCH(TRIM(A84),Main!B:B,0),"Open"),HYPERLINK("#'Main'!B1","Open"))</f>
        <v>Open</v>
      </c>
      <c r="O84" s="41" t="str">
        <f t="shared" ca="1" si="1"/>
        <v>Open</v>
      </c>
      <c r="P84" s="41"/>
    </row>
    <row r="85" spans="1:16" ht="15.75" x14ac:dyDescent="0.25">
      <c r="A85" s="51" t="s">
        <v>176</v>
      </c>
      <c r="B85" s="42" t="s">
        <v>391</v>
      </c>
      <c r="C85" s="60" t="s">
        <v>181</v>
      </c>
      <c r="D85" s="53" t="s">
        <v>161</v>
      </c>
      <c r="E85" s="44">
        <v>1</v>
      </c>
      <c r="F85" s="45" t="s">
        <v>134</v>
      </c>
      <c r="G85" s="42" t="s">
        <v>413</v>
      </c>
      <c r="H85" s="42" t="s">
        <v>111</v>
      </c>
      <c r="I85" s="42"/>
      <c r="J85" s="34" t="s">
        <v>2</v>
      </c>
      <c r="K85" s="44" t="s">
        <v>176</v>
      </c>
      <c r="L85" s="42" t="s">
        <v>393</v>
      </c>
      <c r="M85" s="42">
        <v>22</v>
      </c>
      <c r="N85" t="str">
        <f>IFERROR(HYPERLINK("#'Main'!B"&amp;MATCH(TRIM(A85),Main!B:B,0),"Open"),HYPERLINK("#'Main'!B1","Open"))</f>
        <v>Open</v>
      </c>
      <c r="O85" t="str">
        <f t="shared" ca="1" si="1"/>
        <v>Open</v>
      </c>
    </row>
    <row r="86" spans="1:16" ht="15.75" x14ac:dyDescent="0.25">
      <c r="A86" s="50" t="s">
        <v>176</v>
      </c>
      <c r="B86" s="33" t="s">
        <v>391</v>
      </c>
      <c r="C86" s="59" t="s">
        <v>184</v>
      </c>
      <c r="D86" s="53" t="s">
        <v>161</v>
      </c>
      <c r="E86" s="37">
        <v>1</v>
      </c>
      <c r="F86" s="38" t="s">
        <v>57</v>
      </c>
      <c r="G86" s="33" t="s">
        <v>414</v>
      </c>
      <c r="H86" s="33" t="s">
        <v>111</v>
      </c>
      <c r="I86" s="33"/>
      <c r="J86" s="34" t="s">
        <v>2</v>
      </c>
      <c r="K86" s="37" t="s">
        <v>176</v>
      </c>
      <c r="L86" s="33" t="s">
        <v>393</v>
      </c>
      <c r="M86" s="33">
        <v>23</v>
      </c>
      <c r="N86" s="41" t="str">
        <f>IFERROR(HYPERLINK("#'Main'!B"&amp;MATCH(TRIM(A86),Main!B:B,0),"Open"),HYPERLINK("#'Main'!B1","Open"))</f>
        <v>Open</v>
      </c>
      <c r="O86" s="41" t="str">
        <f t="shared" ca="1" si="1"/>
        <v>Open</v>
      </c>
      <c r="P86" s="41"/>
    </row>
    <row r="87" spans="1:16" ht="15.75" x14ac:dyDescent="0.25">
      <c r="A87" s="51" t="s">
        <v>176</v>
      </c>
      <c r="B87" s="42" t="s">
        <v>391</v>
      </c>
      <c r="C87" s="60" t="s">
        <v>187</v>
      </c>
      <c r="D87" s="53" t="s">
        <v>161</v>
      </c>
      <c r="E87" s="44">
        <v>1</v>
      </c>
      <c r="F87" s="45" t="s">
        <v>57</v>
      </c>
      <c r="G87" s="42" t="s">
        <v>415</v>
      </c>
      <c r="H87" s="42" t="s">
        <v>111</v>
      </c>
      <c r="I87" s="42"/>
      <c r="J87" s="34" t="s">
        <v>2</v>
      </c>
      <c r="K87" s="44" t="s">
        <v>176</v>
      </c>
      <c r="L87" s="42" t="s">
        <v>393</v>
      </c>
      <c r="M87" s="42">
        <v>24</v>
      </c>
      <c r="N87" t="str">
        <f>IFERROR(HYPERLINK("#'Main'!B"&amp;MATCH(TRIM(A87),Main!B:B,0),"Open"),HYPERLINK("#'Main'!B1","Open"))</f>
        <v>Open</v>
      </c>
      <c r="O87" t="str">
        <f t="shared" ca="1" si="1"/>
        <v>Open</v>
      </c>
    </row>
    <row r="88" spans="1:16" ht="30" customHeight="1" x14ac:dyDescent="0.25">
      <c r="A88" s="50" t="s">
        <v>208</v>
      </c>
      <c r="B88" s="33" t="s">
        <v>391</v>
      </c>
      <c r="C88" s="59" t="s">
        <v>151</v>
      </c>
      <c r="D88" s="47" t="s">
        <v>51</v>
      </c>
      <c r="E88" s="37">
        <v>1</v>
      </c>
      <c r="F88" s="38" t="s">
        <v>57</v>
      </c>
      <c r="G88" s="33" t="s">
        <v>416</v>
      </c>
      <c r="H88" s="33" t="s">
        <v>111</v>
      </c>
      <c r="I88" s="33"/>
      <c r="J88" s="34" t="s">
        <v>2</v>
      </c>
      <c r="K88" s="37" t="s">
        <v>208</v>
      </c>
      <c r="L88" s="33" t="s">
        <v>393</v>
      </c>
      <c r="M88" s="33">
        <v>25</v>
      </c>
      <c r="N88" s="41" t="str">
        <f>IFERROR(HYPERLINK("#'Main'!B"&amp;MATCH(TRIM(A88),Main!B:B,0),"Open"),HYPERLINK("#'Main'!B1","Open"))</f>
        <v>Open</v>
      </c>
      <c r="O88" s="41" t="str">
        <f t="shared" ca="1" si="1"/>
        <v>Open</v>
      </c>
      <c r="P88" s="41"/>
    </row>
    <row r="89" spans="1:16" ht="30" customHeight="1" x14ac:dyDescent="0.25">
      <c r="A89" s="51" t="s">
        <v>208</v>
      </c>
      <c r="B89" s="42" t="s">
        <v>391</v>
      </c>
      <c r="C89" s="60" t="s">
        <v>144</v>
      </c>
      <c r="D89" s="47" t="s">
        <v>51</v>
      </c>
      <c r="E89" s="44">
        <v>1</v>
      </c>
      <c r="F89" s="45" t="s">
        <v>134</v>
      </c>
      <c r="G89" s="42" t="s">
        <v>417</v>
      </c>
      <c r="H89" s="42" t="s">
        <v>111</v>
      </c>
      <c r="I89" s="42"/>
      <c r="J89" s="34" t="s">
        <v>2</v>
      </c>
      <c r="K89" s="44" t="s">
        <v>208</v>
      </c>
      <c r="L89" s="42" t="s">
        <v>393</v>
      </c>
      <c r="M89" s="42">
        <v>26</v>
      </c>
      <c r="N89" t="str">
        <f>IFERROR(HYPERLINK("#'Main'!B"&amp;MATCH(TRIM(A89),Main!B:B,0),"Open"),HYPERLINK("#'Main'!B1","Open"))</f>
        <v>Open</v>
      </c>
      <c r="O89" t="str">
        <f t="shared" ca="1" si="1"/>
        <v>Open</v>
      </c>
    </row>
    <row r="90" spans="1:16" ht="30" customHeight="1" x14ac:dyDescent="0.25">
      <c r="A90" s="50" t="s">
        <v>208</v>
      </c>
      <c r="B90" s="33" t="s">
        <v>391</v>
      </c>
      <c r="C90" s="59" t="s">
        <v>35</v>
      </c>
      <c r="D90" s="53" t="s">
        <v>161</v>
      </c>
      <c r="E90" s="37">
        <v>1</v>
      </c>
      <c r="F90" s="38" t="s">
        <v>57</v>
      </c>
      <c r="G90" s="33" t="s">
        <v>418</v>
      </c>
      <c r="H90" s="33" t="s">
        <v>100</v>
      </c>
      <c r="I90" s="33"/>
      <c r="J90" s="34" t="s">
        <v>2</v>
      </c>
      <c r="K90" s="37" t="s">
        <v>208</v>
      </c>
      <c r="L90" s="33" t="s">
        <v>393</v>
      </c>
      <c r="M90" s="33">
        <v>27</v>
      </c>
      <c r="N90" s="41" t="str">
        <f>IFERROR(HYPERLINK("#'Main'!B"&amp;MATCH(TRIM(A90),Main!B:B,0),"Open"),HYPERLINK("#'Main'!B1","Open"))</f>
        <v>Open</v>
      </c>
      <c r="O90" s="41" t="str">
        <f t="shared" ca="1" si="1"/>
        <v>Open</v>
      </c>
      <c r="P90" s="41"/>
    </row>
    <row r="91" spans="1:16" ht="30" customHeight="1" x14ac:dyDescent="0.25">
      <c r="A91" s="51" t="s">
        <v>208</v>
      </c>
      <c r="B91" s="42" t="s">
        <v>391</v>
      </c>
      <c r="C91" s="60" t="s">
        <v>181</v>
      </c>
      <c r="D91" s="53" t="s">
        <v>161</v>
      </c>
      <c r="E91" s="44">
        <v>1</v>
      </c>
      <c r="F91" s="45" t="s">
        <v>134</v>
      </c>
      <c r="G91" s="42" t="s">
        <v>419</v>
      </c>
      <c r="H91" s="42" t="s">
        <v>111</v>
      </c>
      <c r="I91" s="42"/>
      <c r="J91" s="34" t="s">
        <v>2</v>
      </c>
      <c r="K91" s="44" t="s">
        <v>208</v>
      </c>
      <c r="L91" s="42" t="s">
        <v>393</v>
      </c>
      <c r="M91" s="42">
        <v>28</v>
      </c>
      <c r="N91" t="str">
        <f>IFERROR(HYPERLINK("#'Main'!B"&amp;MATCH(TRIM(A91),Main!B:B,0),"Open"),HYPERLINK("#'Main'!B1","Open"))</f>
        <v>Open</v>
      </c>
      <c r="O91" t="str">
        <f t="shared" ca="1" si="1"/>
        <v>Open</v>
      </c>
    </row>
    <row r="92" spans="1:16" ht="30" customHeight="1" x14ac:dyDescent="0.25">
      <c r="A92" s="50" t="s">
        <v>208</v>
      </c>
      <c r="B92" s="33" t="s">
        <v>391</v>
      </c>
      <c r="C92" s="59" t="s">
        <v>184</v>
      </c>
      <c r="D92" s="53" t="s">
        <v>161</v>
      </c>
      <c r="E92" s="37">
        <v>1</v>
      </c>
      <c r="F92" s="38" t="s">
        <v>57</v>
      </c>
      <c r="G92" s="33" t="s">
        <v>420</v>
      </c>
      <c r="H92" s="33" t="s">
        <v>111</v>
      </c>
      <c r="I92" s="33"/>
      <c r="J92" s="34" t="s">
        <v>2</v>
      </c>
      <c r="K92" s="37" t="s">
        <v>208</v>
      </c>
      <c r="L92" s="33" t="s">
        <v>393</v>
      </c>
      <c r="M92" s="33">
        <v>29</v>
      </c>
      <c r="N92" s="41" t="str">
        <f>IFERROR(HYPERLINK("#'Main'!B"&amp;MATCH(TRIM(A92),Main!B:B,0),"Open"),HYPERLINK("#'Main'!B1","Open"))</f>
        <v>Open</v>
      </c>
      <c r="O92" s="41" t="str">
        <f t="shared" ca="1" si="1"/>
        <v>Open</v>
      </c>
      <c r="P92" s="41"/>
    </row>
    <row r="93" spans="1:16" ht="30" customHeight="1" x14ac:dyDescent="0.25">
      <c r="A93" s="51" t="s">
        <v>208</v>
      </c>
      <c r="B93" s="42" t="s">
        <v>391</v>
      </c>
      <c r="C93" s="60" t="s">
        <v>187</v>
      </c>
      <c r="D93" s="53" t="s">
        <v>161</v>
      </c>
      <c r="E93" s="44">
        <v>1</v>
      </c>
      <c r="F93" s="45" t="s">
        <v>57</v>
      </c>
      <c r="G93" s="42" t="s">
        <v>421</v>
      </c>
      <c r="H93" s="42" t="s">
        <v>111</v>
      </c>
      <c r="I93" s="42"/>
      <c r="J93" s="34" t="s">
        <v>2</v>
      </c>
      <c r="K93" s="44" t="s">
        <v>208</v>
      </c>
      <c r="L93" s="42" t="s">
        <v>393</v>
      </c>
      <c r="M93" s="42">
        <v>30</v>
      </c>
      <c r="N93" t="str">
        <f>IFERROR(HYPERLINK("#'Main'!B"&amp;MATCH(TRIM(A93),Main!B:B,0),"Open"),HYPERLINK("#'Main'!B1","Open"))</f>
        <v>Open</v>
      </c>
      <c r="O93" t="str">
        <f t="shared" ca="1" si="1"/>
        <v>Open</v>
      </c>
    </row>
    <row r="94" spans="1:16" ht="30" customHeight="1" x14ac:dyDescent="0.25">
      <c r="A94" s="50" t="s">
        <v>155</v>
      </c>
      <c r="B94" s="33" t="s">
        <v>391</v>
      </c>
      <c r="C94" s="59" t="s">
        <v>153</v>
      </c>
      <c r="D94" s="47" t="s">
        <v>51</v>
      </c>
      <c r="E94" s="37">
        <v>1</v>
      </c>
      <c r="F94" s="38" t="s">
        <v>57</v>
      </c>
      <c r="G94" s="33" t="s">
        <v>422</v>
      </c>
      <c r="H94" s="33" t="s">
        <v>111</v>
      </c>
      <c r="I94" s="33"/>
      <c r="J94" s="34" t="s">
        <v>2</v>
      </c>
      <c r="K94" s="37" t="s">
        <v>155</v>
      </c>
      <c r="L94" s="33" t="s">
        <v>393</v>
      </c>
      <c r="M94" s="33">
        <v>31</v>
      </c>
      <c r="N94" s="41" t="str">
        <f>IFERROR(HYPERLINK("#'Main'!B"&amp;MATCH(TRIM(A94),Main!B:B,0),"Open"),HYPERLINK("#'Main'!B1","Open"))</f>
        <v>Open</v>
      </c>
      <c r="O94" s="41" t="str">
        <f t="shared" ca="1" si="1"/>
        <v>Open</v>
      </c>
      <c r="P94" s="41"/>
    </row>
    <row r="95" spans="1:16" ht="30" customHeight="1" x14ac:dyDescent="0.25">
      <c r="A95" s="51" t="s">
        <v>155</v>
      </c>
      <c r="B95" s="42" t="s">
        <v>391</v>
      </c>
      <c r="C95" s="60" t="s">
        <v>149</v>
      </c>
      <c r="D95" s="47" t="s">
        <v>51</v>
      </c>
      <c r="E95" s="44">
        <v>1</v>
      </c>
      <c r="F95" s="45" t="s">
        <v>57</v>
      </c>
      <c r="G95" s="42" t="s">
        <v>423</v>
      </c>
      <c r="H95" s="42" t="s">
        <v>111</v>
      </c>
      <c r="I95" s="42"/>
      <c r="J95" s="34" t="s">
        <v>2</v>
      </c>
      <c r="K95" s="44" t="s">
        <v>155</v>
      </c>
      <c r="L95" s="42" t="s">
        <v>393</v>
      </c>
      <c r="M95" s="42">
        <v>32</v>
      </c>
      <c r="N95" t="str">
        <f>IFERROR(HYPERLINK("#'Main'!B"&amp;MATCH(TRIM(A95),Main!B:B,0),"Open"),HYPERLINK("#'Main'!B1","Open"))</f>
        <v>Open</v>
      </c>
      <c r="O95" t="str">
        <f t="shared" ca="1" si="1"/>
        <v>Open</v>
      </c>
    </row>
    <row r="96" spans="1:16" ht="30" customHeight="1" x14ac:dyDescent="0.25">
      <c r="A96" s="50" t="s">
        <v>155</v>
      </c>
      <c r="B96" s="33" t="s">
        <v>391</v>
      </c>
      <c r="C96" s="59" t="s">
        <v>144</v>
      </c>
      <c r="D96" s="47" t="s">
        <v>51</v>
      </c>
      <c r="E96" s="37">
        <v>1</v>
      </c>
      <c r="F96" s="38" t="s">
        <v>134</v>
      </c>
      <c r="G96" s="33" t="s">
        <v>424</v>
      </c>
      <c r="H96" s="33" t="s">
        <v>111</v>
      </c>
      <c r="I96" s="33"/>
      <c r="J96" s="34" t="s">
        <v>2</v>
      </c>
      <c r="K96" s="37" t="s">
        <v>155</v>
      </c>
      <c r="L96" s="33" t="s">
        <v>393</v>
      </c>
      <c r="M96" s="33">
        <v>33</v>
      </c>
      <c r="N96" s="41" t="str">
        <f>IFERROR(HYPERLINK("#'Main'!B"&amp;MATCH(TRIM(A96),Main!B:B,0),"Open"),HYPERLINK("#'Main'!B1","Open"))</f>
        <v>Open</v>
      </c>
      <c r="O96" s="41" t="str">
        <f t="shared" ca="1" si="1"/>
        <v>Open</v>
      </c>
      <c r="P96" s="41"/>
    </row>
    <row r="97" spans="1:16" ht="30" customHeight="1" x14ac:dyDescent="0.25">
      <c r="A97" s="51" t="s">
        <v>155</v>
      </c>
      <c r="B97" s="42" t="s">
        <v>391</v>
      </c>
      <c r="C97" s="60" t="s">
        <v>35</v>
      </c>
      <c r="D97" s="53" t="s">
        <v>161</v>
      </c>
      <c r="E97" s="44">
        <v>1</v>
      </c>
      <c r="F97" s="45" t="s">
        <v>57</v>
      </c>
      <c r="G97" s="42" t="s">
        <v>425</v>
      </c>
      <c r="H97" s="42" t="s">
        <v>100</v>
      </c>
      <c r="I97" s="42"/>
      <c r="J97" s="34" t="s">
        <v>2</v>
      </c>
      <c r="K97" s="44" t="s">
        <v>155</v>
      </c>
      <c r="L97" s="42" t="s">
        <v>393</v>
      </c>
      <c r="M97" s="42">
        <v>34</v>
      </c>
      <c r="N97" t="str">
        <f>IFERROR(HYPERLINK("#'Main'!B"&amp;MATCH(TRIM(A97),Main!B:B,0),"Open"),HYPERLINK("#'Main'!B1","Open"))</f>
        <v>Open</v>
      </c>
      <c r="O97" t="str">
        <f t="shared" ca="1" si="1"/>
        <v>Open</v>
      </c>
    </row>
    <row r="98" spans="1:16" ht="30" customHeight="1" x14ac:dyDescent="0.25">
      <c r="A98" s="50" t="s">
        <v>155</v>
      </c>
      <c r="B98" s="33" t="s">
        <v>391</v>
      </c>
      <c r="C98" s="59" t="s">
        <v>177</v>
      </c>
      <c r="D98" s="53" t="s">
        <v>161</v>
      </c>
      <c r="E98" s="37">
        <v>1</v>
      </c>
      <c r="F98" s="38" t="s">
        <v>57</v>
      </c>
      <c r="G98" s="33" t="s">
        <v>426</v>
      </c>
      <c r="H98" s="33" t="s">
        <v>111</v>
      </c>
      <c r="I98" s="33"/>
      <c r="J98" s="34" t="s">
        <v>2</v>
      </c>
      <c r="K98" s="37" t="s">
        <v>155</v>
      </c>
      <c r="L98" s="33" t="s">
        <v>393</v>
      </c>
      <c r="M98" s="33">
        <v>35</v>
      </c>
      <c r="N98" s="41" t="str">
        <f>IFERROR(HYPERLINK("#'Main'!B"&amp;MATCH(TRIM(A98),Main!B:B,0),"Open"),HYPERLINK("#'Main'!B1","Open"))</f>
        <v>Open</v>
      </c>
      <c r="O98" s="41" t="str">
        <f t="shared" ca="1" si="1"/>
        <v>Open</v>
      </c>
      <c r="P98" s="41"/>
    </row>
    <row r="99" spans="1:16" ht="30" customHeight="1" x14ac:dyDescent="0.25">
      <c r="A99" s="51" t="s">
        <v>155</v>
      </c>
      <c r="B99" s="42" t="s">
        <v>391</v>
      </c>
      <c r="C99" s="60" t="s">
        <v>181</v>
      </c>
      <c r="D99" s="53" t="s">
        <v>161</v>
      </c>
      <c r="E99" s="44">
        <v>1</v>
      </c>
      <c r="F99" s="45" t="s">
        <v>134</v>
      </c>
      <c r="G99" s="42" t="s">
        <v>427</v>
      </c>
      <c r="H99" s="42" t="s">
        <v>111</v>
      </c>
      <c r="I99" s="42"/>
      <c r="J99" s="34" t="s">
        <v>2</v>
      </c>
      <c r="K99" s="44" t="s">
        <v>155</v>
      </c>
      <c r="L99" s="42" t="s">
        <v>393</v>
      </c>
      <c r="M99" s="42">
        <v>36</v>
      </c>
      <c r="N99" t="str">
        <f>IFERROR(HYPERLINK("#'Main'!B"&amp;MATCH(TRIM(A99),Main!B:B,0),"Open"),HYPERLINK("#'Main'!B1","Open"))</f>
        <v>Open</v>
      </c>
      <c r="O99" t="str">
        <f t="shared" ca="1" si="1"/>
        <v>Open</v>
      </c>
    </row>
    <row r="100" spans="1:16" ht="30" customHeight="1" x14ac:dyDescent="0.25">
      <c r="A100" s="50" t="s">
        <v>155</v>
      </c>
      <c r="B100" s="33" t="s">
        <v>391</v>
      </c>
      <c r="C100" s="59" t="s">
        <v>184</v>
      </c>
      <c r="D100" s="53" t="s">
        <v>161</v>
      </c>
      <c r="E100" s="37">
        <v>1</v>
      </c>
      <c r="F100" s="38" t="s">
        <v>57</v>
      </c>
      <c r="G100" s="33" t="s">
        <v>428</v>
      </c>
      <c r="H100" s="33" t="s">
        <v>111</v>
      </c>
      <c r="I100" s="33"/>
      <c r="J100" s="34" t="s">
        <v>2</v>
      </c>
      <c r="K100" s="37" t="s">
        <v>155</v>
      </c>
      <c r="L100" s="33" t="s">
        <v>393</v>
      </c>
      <c r="M100" s="33">
        <v>37</v>
      </c>
      <c r="N100" s="41" t="str">
        <f>IFERROR(HYPERLINK("#'Main'!B"&amp;MATCH(TRIM(A100),Main!B:B,0),"Open"),HYPERLINK("#'Main'!B1","Open"))</f>
        <v>Open</v>
      </c>
      <c r="O100" s="41" t="str">
        <f t="shared" ca="1" si="1"/>
        <v>Open</v>
      </c>
      <c r="P100" s="41"/>
    </row>
    <row r="101" spans="1:16" ht="30" customHeight="1" x14ac:dyDescent="0.25">
      <c r="A101" s="51" t="s">
        <v>155</v>
      </c>
      <c r="B101" s="42" t="s">
        <v>391</v>
      </c>
      <c r="C101" s="60" t="s">
        <v>187</v>
      </c>
      <c r="D101" s="53" t="s">
        <v>161</v>
      </c>
      <c r="E101" s="44">
        <v>1</v>
      </c>
      <c r="F101" s="45" t="s">
        <v>57</v>
      </c>
      <c r="G101" s="42" t="s">
        <v>429</v>
      </c>
      <c r="H101" s="42" t="s">
        <v>111</v>
      </c>
      <c r="I101" s="42"/>
      <c r="J101" s="34" t="s">
        <v>2</v>
      </c>
      <c r="K101" s="44" t="s">
        <v>155</v>
      </c>
      <c r="L101" s="42" t="s">
        <v>393</v>
      </c>
      <c r="M101" s="42">
        <v>38</v>
      </c>
      <c r="N101" t="str">
        <f>IFERROR(HYPERLINK("#'Main'!B"&amp;MATCH(TRIM(A101),Main!B:B,0),"Open"),HYPERLINK("#'Main'!B1","Open"))</f>
        <v>Open</v>
      </c>
      <c r="O101" t="str">
        <f t="shared" ca="1" si="1"/>
        <v>Open</v>
      </c>
    </row>
    <row r="102" spans="1:16" ht="30" customHeight="1" x14ac:dyDescent="0.25">
      <c r="A102" s="50" t="s">
        <v>206</v>
      </c>
      <c r="B102" s="33" t="s">
        <v>391</v>
      </c>
      <c r="C102" s="59" t="s">
        <v>153</v>
      </c>
      <c r="D102" s="47" t="s">
        <v>51</v>
      </c>
      <c r="E102" s="37">
        <v>1</v>
      </c>
      <c r="F102" s="38" t="s">
        <v>57</v>
      </c>
      <c r="G102" s="33" t="s">
        <v>430</v>
      </c>
      <c r="H102" s="33" t="s">
        <v>111</v>
      </c>
      <c r="I102" s="33"/>
      <c r="J102" s="34" t="s">
        <v>2</v>
      </c>
      <c r="K102" s="37" t="s">
        <v>206</v>
      </c>
      <c r="L102" s="33" t="s">
        <v>393</v>
      </c>
      <c r="M102" s="33">
        <v>39</v>
      </c>
      <c r="N102" s="41" t="str">
        <f>IFERROR(HYPERLINK("#'Main'!B"&amp;MATCH(TRIM(A102),Main!B:B,0),"Open"),HYPERLINK("#'Main'!B1","Open"))</f>
        <v>Open</v>
      </c>
      <c r="O102" s="41" t="str">
        <f t="shared" ca="1" si="1"/>
        <v>Open</v>
      </c>
      <c r="P102" s="41"/>
    </row>
    <row r="103" spans="1:16" ht="30" customHeight="1" x14ac:dyDescent="0.25">
      <c r="A103" s="51" t="s">
        <v>206</v>
      </c>
      <c r="B103" s="42" t="s">
        <v>391</v>
      </c>
      <c r="C103" s="60" t="s">
        <v>149</v>
      </c>
      <c r="D103" s="47" t="s">
        <v>51</v>
      </c>
      <c r="E103" s="44">
        <v>1</v>
      </c>
      <c r="F103" s="45" t="s">
        <v>57</v>
      </c>
      <c r="G103" s="42" t="s">
        <v>431</v>
      </c>
      <c r="H103" s="42" t="s">
        <v>111</v>
      </c>
      <c r="I103" s="42"/>
      <c r="J103" s="34" t="s">
        <v>2</v>
      </c>
      <c r="K103" s="44" t="s">
        <v>206</v>
      </c>
      <c r="L103" s="42" t="s">
        <v>393</v>
      </c>
      <c r="M103" s="42">
        <v>40</v>
      </c>
      <c r="N103" t="str">
        <f>IFERROR(HYPERLINK("#'Main'!B"&amp;MATCH(TRIM(A103),Main!B:B,0),"Open"),HYPERLINK("#'Main'!B1","Open"))</f>
        <v>Open</v>
      </c>
      <c r="O103" t="str">
        <f t="shared" ca="1" si="1"/>
        <v>Open</v>
      </c>
    </row>
    <row r="104" spans="1:16" ht="30" customHeight="1" x14ac:dyDescent="0.25">
      <c r="A104" s="50" t="s">
        <v>206</v>
      </c>
      <c r="B104" s="33" t="s">
        <v>391</v>
      </c>
      <c r="C104" s="59" t="s">
        <v>144</v>
      </c>
      <c r="D104" s="47" t="s">
        <v>51</v>
      </c>
      <c r="E104" s="37">
        <v>1</v>
      </c>
      <c r="F104" s="38" t="s">
        <v>134</v>
      </c>
      <c r="G104" s="33" t="s">
        <v>432</v>
      </c>
      <c r="H104" s="33" t="s">
        <v>111</v>
      </c>
      <c r="I104" s="33"/>
      <c r="J104" s="34" t="s">
        <v>2</v>
      </c>
      <c r="K104" s="37" t="s">
        <v>206</v>
      </c>
      <c r="L104" s="33" t="s">
        <v>393</v>
      </c>
      <c r="M104" s="33">
        <v>41</v>
      </c>
      <c r="N104" s="41" t="str">
        <f>IFERROR(HYPERLINK("#'Main'!B"&amp;MATCH(TRIM(A104),Main!B:B,0),"Open"),HYPERLINK("#'Main'!B1","Open"))</f>
        <v>Open</v>
      </c>
      <c r="O104" s="41" t="str">
        <f t="shared" ca="1" si="1"/>
        <v>Open</v>
      </c>
      <c r="P104" s="41"/>
    </row>
    <row r="105" spans="1:16" ht="30" customHeight="1" x14ac:dyDescent="0.25">
      <c r="A105" s="51" t="s">
        <v>206</v>
      </c>
      <c r="B105" s="42" t="s">
        <v>391</v>
      </c>
      <c r="C105" s="60" t="s">
        <v>35</v>
      </c>
      <c r="D105" s="53" t="s">
        <v>161</v>
      </c>
      <c r="E105" s="44">
        <v>1</v>
      </c>
      <c r="F105" s="45" t="s">
        <v>57</v>
      </c>
      <c r="G105" s="42" t="s">
        <v>433</v>
      </c>
      <c r="H105" s="42" t="s">
        <v>100</v>
      </c>
      <c r="I105" s="42"/>
      <c r="J105" s="34" t="s">
        <v>2</v>
      </c>
      <c r="K105" s="44" t="s">
        <v>206</v>
      </c>
      <c r="L105" s="42" t="s">
        <v>393</v>
      </c>
      <c r="M105" s="42">
        <v>42</v>
      </c>
      <c r="N105" t="str">
        <f>IFERROR(HYPERLINK("#'Main'!B"&amp;MATCH(TRIM(A105),Main!B:B,0),"Open"),HYPERLINK("#'Main'!B1","Open"))</f>
        <v>Open</v>
      </c>
      <c r="O105" t="str">
        <f t="shared" ca="1" si="1"/>
        <v>Open</v>
      </c>
    </row>
    <row r="106" spans="1:16" ht="30" customHeight="1" x14ac:dyDescent="0.25">
      <c r="A106" s="50" t="s">
        <v>206</v>
      </c>
      <c r="B106" s="33" t="s">
        <v>391</v>
      </c>
      <c r="C106" s="59" t="s">
        <v>181</v>
      </c>
      <c r="D106" s="53" t="s">
        <v>161</v>
      </c>
      <c r="E106" s="37">
        <v>1</v>
      </c>
      <c r="F106" s="38" t="s">
        <v>134</v>
      </c>
      <c r="G106" s="33" t="s">
        <v>434</v>
      </c>
      <c r="H106" s="33" t="s">
        <v>111</v>
      </c>
      <c r="I106" s="33"/>
      <c r="J106" s="34" t="s">
        <v>2</v>
      </c>
      <c r="K106" s="37" t="s">
        <v>206</v>
      </c>
      <c r="L106" s="33" t="s">
        <v>393</v>
      </c>
      <c r="M106" s="33">
        <v>43</v>
      </c>
      <c r="N106" s="41" t="str">
        <f>IFERROR(HYPERLINK("#'Main'!B"&amp;MATCH(TRIM(A106),Main!B:B,0),"Open"),HYPERLINK("#'Main'!B1","Open"))</f>
        <v>Open</v>
      </c>
      <c r="O106" s="41" t="str">
        <f t="shared" ca="1" si="1"/>
        <v>Open</v>
      </c>
      <c r="P106" s="41"/>
    </row>
    <row r="107" spans="1:16" ht="30" customHeight="1" x14ac:dyDescent="0.25">
      <c r="A107" s="51" t="s">
        <v>206</v>
      </c>
      <c r="B107" s="42" t="s">
        <v>391</v>
      </c>
      <c r="C107" s="60" t="s">
        <v>184</v>
      </c>
      <c r="D107" s="53" t="s">
        <v>161</v>
      </c>
      <c r="E107" s="44">
        <v>1</v>
      </c>
      <c r="F107" s="45" t="s">
        <v>57</v>
      </c>
      <c r="G107" s="42" t="s">
        <v>435</v>
      </c>
      <c r="H107" s="42" t="s">
        <v>111</v>
      </c>
      <c r="I107" s="42"/>
      <c r="J107" s="34" t="s">
        <v>2</v>
      </c>
      <c r="K107" s="44" t="s">
        <v>206</v>
      </c>
      <c r="L107" s="42" t="s">
        <v>393</v>
      </c>
      <c r="M107" s="42">
        <v>44</v>
      </c>
      <c r="N107" t="str">
        <f>IFERROR(HYPERLINK("#'Main'!B"&amp;MATCH(TRIM(A107),Main!B:B,0),"Open"),HYPERLINK("#'Main'!B1","Open"))</f>
        <v>Open</v>
      </c>
      <c r="O107" t="str">
        <f t="shared" ca="1" si="1"/>
        <v>Open</v>
      </c>
    </row>
    <row r="108" spans="1:16" ht="30" customHeight="1" x14ac:dyDescent="0.25">
      <c r="A108" s="50" t="s">
        <v>206</v>
      </c>
      <c r="B108" s="33" t="s">
        <v>391</v>
      </c>
      <c r="C108" s="59" t="s">
        <v>187</v>
      </c>
      <c r="D108" s="53" t="s">
        <v>161</v>
      </c>
      <c r="E108" s="37">
        <v>1</v>
      </c>
      <c r="F108" s="38" t="s">
        <v>57</v>
      </c>
      <c r="G108" s="33" t="s">
        <v>436</v>
      </c>
      <c r="H108" s="33" t="s">
        <v>111</v>
      </c>
      <c r="I108" s="33"/>
      <c r="J108" s="34" t="s">
        <v>2</v>
      </c>
      <c r="K108" s="37" t="s">
        <v>206</v>
      </c>
      <c r="L108" s="33" t="s">
        <v>393</v>
      </c>
      <c r="M108" s="33">
        <v>45</v>
      </c>
      <c r="N108" s="41" t="str">
        <f>IFERROR(HYPERLINK("#'Main'!B"&amp;MATCH(TRIM(A108),Main!B:B,0),"Open"),HYPERLINK("#'Main'!B1","Open"))</f>
        <v>Open</v>
      </c>
      <c r="O108" s="41" t="str">
        <f t="shared" ca="1" si="1"/>
        <v>Open</v>
      </c>
      <c r="P108" s="41"/>
    </row>
    <row r="109" spans="1:16" ht="30" customHeight="1" x14ac:dyDescent="0.25">
      <c r="A109" s="51" t="s">
        <v>207</v>
      </c>
      <c r="B109" s="42" t="s">
        <v>391</v>
      </c>
      <c r="C109" s="60" t="s">
        <v>153</v>
      </c>
      <c r="D109" s="47" t="s">
        <v>51</v>
      </c>
      <c r="E109" s="44">
        <v>1</v>
      </c>
      <c r="F109" s="45" t="s">
        <v>57</v>
      </c>
      <c r="G109" s="42" t="s">
        <v>437</v>
      </c>
      <c r="H109" s="42" t="s">
        <v>111</v>
      </c>
      <c r="I109" s="42"/>
      <c r="J109" s="34" t="s">
        <v>2</v>
      </c>
      <c r="K109" s="44" t="s">
        <v>207</v>
      </c>
      <c r="L109" s="42" t="s">
        <v>393</v>
      </c>
      <c r="M109" s="42">
        <v>46</v>
      </c>
      <c r="N109" t="str">
        <f>IFERROR(HYPERLINK("#'Main'!B"&amp;MATCH(TRIM(A109),Main!B:B,0),"Open"),HYPERLINK("#'Main'!B1","Open"))</f>
        <v>Open</v>
      </c>
      <c r="O109" t="str">
        <f t="shared" ca="1" si="1"/>
        <v>Open</v>
      </c>
    </row>
    <row r="110" spans="1:16" ht="30" customHeight="1" x14ac:dyDescent="0.25">
      <c r="A110" s="50" t="s">
        <v>207</v>
      </c>
      <c r="B110" s="33" t="s">
        <v>391</v>
      </c>
      <c r="C110" s="59" t="s">
        <v>149</v>
      </c>
      <c r="D110" s="47" t="s">
        <v>51</v>
      </c>
      <c r="E110" s="37">
        <v>1</v>
      </c>
      <c r="F110" s="38" t="s">
        <v>57</v>
      </c>
      <c r="G110" s="33" t="s">
        <v>438</v>
      </c>
      <c r="H110" s="33" t="s">
        <v>111</v>
      </c>
      <c r="I110" s="33"/>
      <c r="J110" s="34" t="s">
        <v>2</v>
      </c>
      <c r="K110" s="37" t="s">
        <v>207</v>
      </c>
      <c r="L110" s="33" t="s">
        <v>393</v>
      </c>
      <c r="M110" s="33">
        <v>47</v>
      </c>
      <c r="N110" s="41" t="str">
        <f>IFERROR(HYPERLINK("#'Main'!B"&amp;MATCH(TRIM(A110),Main!B:B,0),"Open"),HYPERLINK("#'Main'!B1","Open"))</f>
        <v>Open</v>
      </c>
      <c r="O110" s="41" t="str">
        <f t="shared" ca="1" si="1"/>
        <v>Open</v>
      </c>
      <c r="P110" s="41"/>
    </row>
    <row r="111" spans="1:16" ht="30" customHeight="1" x14ac:dyDescent="0.25">
      <c r="A111" s="51" t="s">
        <v>207</v>
      </c>
      <c r="B111" s="42" t="s">
        <v>391</v>
      </c>
      <c r="C111" s="60" t="s">
        <v>144</v>
      </c>
      <c r="D111" s="47" t="s">
        <v>51</v>
      </c>
      <c r="E111" s="44">
        <v>1</v>
      </c>
      <c r="F111" s="45" t="s">
        <v>134</v>
      </c>
      <c r="G111" s="42" t="s">
        <v>439</v>
      </c>
      <c r="H111" s="42" t="s">
        <v>111</v>
      </c>
      <c r="I111" s="42"/>
      <c r="J111" s="34" t="s">
        <v>2</v>
      </c>
      <c r="K111" s="44" t="s">
        <v>207</v>
      </c>
      <c r="L111" s="42" t="s">
        <v>393</v>
      </c>
      <c r="M111" s="42">
        <v>48</v>
      </c>
      <c r="N111" t="str">
        <f>IFERROR(HYPERLINK("#'Main'!B"&amp;MATCH(TRIM(A111),Main!B:B,0),"Open"),HYPERLINK("#'Main'!B1","Open"))</f>
        <v>Open</v>
      </c>
      <c r="O111" t="str">
        <f t="shared" ca="1" si="1"/>
        <v>Open</v>
      </c>
    </row>
    <row r="112" spans="1:16" ht="30" customHeight="1" x14ac:dyDescent="0.25">
      <c r="A112" s="50" t="s">
        <v>207</v>
      </c>
      <c r="B112" s="33" t="s">
        <v>391</v>
      </c>
      <c r="C112" s="59" t="s">
        <v>35</v>
      </c>
      <c r="D112" s="53" t="s">
        <v>161</v>
      </c>
      <c r="E112" s="37">
        <v>1</v>
      </c>
      <c r="F112" s="38" t="s">
        <v>57</v>
      </c>
      <c r="G112" s="33" t="s">
        <v>440</v>
      </c>
      <c r="H112" s="33" t="s">
        <v>100</v>
      </c>
      <c r="I112" s="33"/>
      <c r="J112" s="34" t="s">
        <v>2</v>
      </c>
      <c r="K112" s="37" t="s">
        <v>207</v>
      </c>
      <c r="L112" s="33" t="s">
        <v>393</v>
      </c>
      <c r="M112" s="33">
        <v>49</v>
      </c>
      <c r="N112" s="41" t="str">
        <f>IFERROR(HYPERLINK("#'Main'!B"&amp;MATCH(TRIM(A112),Main!B:B,0),"Open"),HYPERLINK("#'Main'!B1","Open"))</f>
        <v>Open</v>
      </c>
      <c r="O112" s="41" t="str">
        <f t="shared" ca="1" si="1"/>
        <v>Open</v>
      </c>
      <c r="P112" s="41"/>
    </row>
    <row r="113" spans="1:16" ht="30" customHeight="1" x14ac:dyDescent="0.25">
      <c r="A113" s="51" t="s">
        <v>207</v>
      </c>
      <c r="B113" s="42" t="s">
        <v>391</v>
      </c>
      <c r="C113" s="60" t="s">
        <v>177</v>
      </c>
      <c r="D113" s="53" t="s">
        <v>161</v>
      </c>
      <c r="E113" s="44">
        <v>1</v>
      </c>
      <c r="F113" s="45" t="s">
        <v>57</v>
      </c>
      <c r="G113" s="42" t="s">
        <v>441</v>
      </c>
      <c r="H113" s="42" t="s">
        <v>111</v>
      </c>
      <c r="I113" s="42"/>
      <c r="J113" s="34" t="s">
        <v>2</v>
      </c>
      <c r="K113" s="44" t="s">
        <v>207</v>
      </c>
      <c r="L113" s="42" t="s">
        <v>393</v>
      </c>
      <c r="M113" s="42">
        <v>50</v>
      </c>
      <c r="N113" t="str">
        <f>IFERROR(HYPERLINK("#'Main'!B"&amp;MATCH(TRIM(A113),Main!B:B,0),"Open"),HYPERLINK("#'Main'!B1","Open"))</f>
        <v>Open</v>
      </c>
      <c r="O113" t="str">
        <f t="shared" ca="1" si="1"/>
        <v>Open</v>
      </c>
    </row>
    <row r="114" spans="1:16" ht="30" customHeight="1" x14ac:dyDescent="0.25">
      <c r="A114" s="50" t="s">
        <v>207</v>
      </c>
      <c r="B114" s="33" t="s">
        <v>391</v>
      </c>
      <c r="C114" s="59" t="s">
        <v>181</v>
      </c>
      <c r="D114" s="53" t="s">
        <v>161</v>
      </c>
      <c r="E114" s="37">
        <v>1</v>
      </c>
      <c r="F114" s="38" t="s">
        <v>134</v>
      </c>
      <c r="G114" s="33" t="s">
        <v>442</v>
      </c>
      <c r="H114" s="33" t="s">
        <v>111</v>
      </c>
      <c r="I114" s="33"/>
      <c r="J114" s="34" t="s">
        <v>2</v>
      </c>
      <c r="K114" s="37" t="s">
        <v>207</v>
      </c>
      <c r="L114" s="33" t="s">
        <v>393</v>
      </c>
      <c r="M114" s="33">
        <v>51</v>
      </c>
      <c r="N114" s="41" t="str">
        <f>IFERROR(HYPERLINK("#'Main'!B"&amp;MATCH(TRIM(A114),Main!B:B,0),"Open"),HYPERLINK("#'Main'!B1","Open"))</f>
        <v>Open</v>
      </c>
      <c r="O114" s="41" t="str">
        <f t="shared" ca="1" si="1"/>
        <v>Open</v>
      </c>
      <c r="P114" s="41"/>
    </row>
    <row r="115" spans="1:16" ht="30" customHeight="1" x14ac:dyDescent="0.25">
      <c r="A115" s="51" t="s">
        <v>207</v>
      </c>
      <c r="B115" s="42" t="s">
        <v>391</v>
      </c>
      <c r="C115" s="60" t="s">
        <v>184</v>
      </c>
      <c r="D115" s="53" t="s">
        <v>161</v>
      </c>
      <c r="E115" s="44">
        <v>1</v>
      </c>
      <c r="F115" s="45" t="s">
        <v>57</v>
      </c>
      <c r="G115" s="42" t="s">
        <v>443</v>
      </c>
      <c r="H115" s="42" t="s">
        <v>111</v>
      </c>
      <c r="I115" s="42"/>
      <c r="J115" s="34" t="s">
        <v>2</v>
      </c>
      <c r="K115" s="44" t="s">
        <v>207</v>
      </c>
      <c r="L115" s="42" t="s">
        <v>393</v>
      </c>
      <c r="M115" s="42">
        <v>52</v>
      </c>
      <c r="N115" t="str">
        <f>IFERROR(HYPERLINK("#'Main'!B"&amp;MATCH(TRIM(A115),Main!B:B,0),"Open"),HYPERLINK("#'Main'!B1","Open"))</f>
        <v>Open</v>
      </c>
      <c r="O115" t="str">
        <f t="shared" ca="1" si="1"/>
        <v>Open</v>
      </c>
    </row>
    <row r="116" spans="1:16" ht="30" customHeight="1" x14ac:dyDescent="0.25">
      <c r="A116" s="50" t="s">
        <v>207</v>
      </c>
      <c r="B116" s="33" t="s">
        <v>391</v>
      </c>
      <c r="C116" s="59" t="s">
        <v>187</v>
      </c>
      <c r="D116" s="53" t="s">
        <v>161</v>
      </c>
      <c r="E116" s="37">
        <v>1</v>
      </c>
      <c r="F116" s="38" t="s">
        <v>57</v>
      </c>
      <c r="G116" s="33" t="s">
        <v>444</v>
      </c>
      <c r="H116" s="33" t="s">
        <v>111</v>
      </c>
      <c r="I116" s="33"/>
      <c r="J116" s="34" t="s">
        <v>2</v>
      </c>
      <c r="K116" s="37" t="s">
        <v>207</v>
      </c>
      <c r="L116" s="33" t="s">
        <v>393</v>
      </c>
      <c r="M116" s="33">
        <v>53</v>
      </c>
      <c r="N116" s="41" t="str">
        <f>IFERROR(HYPERLINK("#'Main'!B"&amp;MATCH(TRIM(A116),Main!B:B,0),"Open"),HYPERLINK("#'Main'!B1","Open"))</f>
        <v>Open</v>
      </c>
      <c r="O116" s="41" t="str">
        <f t="shared" ca="1" si="1"/>
        <v>Open</v>
      </c>
      <c r="P116" s="41"/>
    </row>
    <row r="117" spans="1:16" ht="30" customHeight="1" x14ac:dyDescent="0.25">
      <c r="A117" s="51" t="s">
        <v>209</v>
      </c>
      <c r="B117" s="42" t="s">
        <v>391</v>
      </c>
      <c r="C117" s="60" t="s">
        <v>149</v>
      </c>
      <c r="D117" s="47" t="s">
        <v>51</v>
      </c>
      <c r="E117" s="44">
        <v>1</v>
      </c>
      <c r="F117" s="45" t="s">
        <v>57</v>
      </c>
      <c r="G117" s="42" t="s">
        <v>445</v>
      </c>
      <c r="H117" s="42" t="s">
        <v>111</v>
      </c>
      <c r="I117" s="42"/>
      <c r="J117" s="34" t="s">
        <v>2</v>
      </c>
      <c r="K117" s="44" t="s">
        <v>209</v>
      </c>
      <c r="L117" s="42" t="s">
        <v>393</v>
      </c>
      <c r="M117" s="42">
        <v>54</v>
      </c>
      <c r="N117" t="str">
        <f>IFERROR(HYPERLINK("#'Main'!B"&amp;MATCH(TRIM(A117),Main!B:B,0),"Open"),HYPERLINK("#'Main'!B1","Open"))</f>
        <v>Open</v>
      </c>
      <c r="O117" t="str">
        <f t="shared" ca="1" si="1"/>
        <v>Open</v>
      </c>
    </row>
    <row r="118" spans="1:16" ht="30" customHeight="1" x14ac:dyDescent="0.25">
      <c r="A118" s="50" t="s">
        <v>209</v>
      </c>
      <c r="B118" s="33" t="s">
        <v>391</v>
      </c>
      <c r="C118" s="59" t="s">
        <v>144</v>
      </c>
      <c r="D118" s="47" t="s">
        <v>51</v>
      </c>
      <c r="E118" s="37">
        <v>1</v>
      </c>
      <c r="F118" s="38" t="s">
        <v>134</v>
      </c>
      <c r="G118" s="33" t="s">
        <v>446</v>
      </c>
      <c r="H118" s="33" t="s">
        <v>111</v>
      </c>
      <c r="I118" s="33"/>
      <c r="J118" s="34" t="s">
        <v>2</v>
      </c>
      <c r="K118" s="37" t="s">
        <v>209</v>
      </c>
      <c r="L118" s="33" t="s">
        <v>393</v>
      </c>
      <c r="M118" s="33">
        <v>55</v>
      </c>
      <c r="N118" s="41" t="str">
        <f>IFERROR(HYPERLINK("#'Main'!B"&amp;MATCH(TRIM(A118),Main!B:B,0),"Open"),HYPERLINK("#'Main'!B1","Open"))</f>
        <v>Open</v>
      </c>
      <c r="O118" s="41" t="str">
        <f t="shared" ca="1" si="1"/>
        <v>Open</v>
      </c>
      <c r="P118" s="41"/>
    </row>
    <row r="119" spans="1:16" ht="30" customHeight="1" x14ac:dyDescent="0.25">
      <c r="A119" s="51" t="s">
        <v>209</v>
      </c>
      <c r="B119" s="42" t="s">
        <v>391</v>
      </c>
      <c r="C119" s="60" t="s">
        <v>35</v>
      </c>
      <c r="D119" s="53" t="s">
        <v>161</v>
      </c>
      <c r="E119" s="44">
        <v>1</v>
      </c>
      <c r="F119" s="45" t="s">
        <v>57</v>
      </c>
      <c r="G119" s="42" t="s">
        <v>447</v>
      </c>
      <c r="H119" s="42" t="s">
        <v>100</v>
      </c>
      <c r="I119" s="42"/>
      <c r="J119" s="34" t="s">
        <v>2</v>
      </c>
      <c r="K119" s="44" t="s">
        <v>209</v>
      </c>
      <c r="L119" s="42" t="s">
        <v>393</v>
      </c>
      <c r="M119" s="42">
        <v>56</v>
      </c>
      <c r="N119" t="str">
        <f>IFERROR(HYPERLINK("#'Main'!B"&amp;MATCH(TRIM(A119),Main!B:B,0),"Open"),HYPERLINK("#'Main'!B1","Open"))</f>
        <v>Open</v>
      </c>
      <c r="O119" t="str">
        <f t="shared" ca="1" si="1"/>
        <v>Open</v>
      </c>
    </row>
    <row r="120" spans="1:16" ht="30" customHeight="1" x14ac:dyDescent="0.25">
      <c r="A120" s="50" t="s">
        <v>209</v>
      </c>
      <c r="B120" s="33" t="s">
        <v>391</v>
      </c>
      <c r="C120" s="59" t="s">
        <v>181</v>
      </c>
      <c r="D120" s="53" t="s">
        <v>161</v>
      </c>
      <c r="E120" s="37">
        <v>1</v>
      </c>
      <c r="F120" s="38" t="s">
        <v>134</v>
      </c>
      <c r="G120" s="33" t="s">
        <v>448</v>
      </c>
      <c r="H120" s="33" t="s">
        <v>111</v>
      </c>
      <c r="I120" s="33"/>
      <c r="J120" s="34" t="s">
        <v>2</v>
      </c>
      <c r="K120" s="37" t="s">
        <v>209</v>
      </c>
      <c r="L120" s="33" t="s">
        <v>393</v>
      </c>
      <c r="M120" s="33">
        <v>57</v>
      </c>
      <c r="N120" s="41" t="str">
        <f>IFERROR(HYPERLINK("#'Main'!B"&amp;MATCH(TRIM(A120),Main!B:B,0),"Open"),HYPERLINK("#'Main'!B1","Open"))</f>
        <v>Open</v>
      </c>
      <c r="O120" s="41" t="str">
        <f t="shared" ca="1" si="1"/>
        <v>Open</v>
      </c>
      <c r="P120" s="41"/>
    </row>
    <row r="121" spans="1:16" ht="30" customHeight="1" x14ac:dyDescent="0.25">
      <c r="A121" s="51" t="s">
        <v>209</v>
      </c>
      <c r="B121" s="42" t="s">
        <v>391</v>
      </c>
      <c r="C121" s="60" t="s">
        <v>184</v>
      </c>
      <c r="D121" s="53" t="s">
        <v>161</v>
      </c>
      <c r="E121" s="44">
        <v>1</v>
      </c>
      <c r="F121" s="45" t="s">
        <v>57</v>
      </c>
      <c r="G121" s="42" t="s">
        <v>449</v>
      </c>
      <c r="H121" s="42" t="s">
        <v>111</v>
      </c>
      <c r="I121" s="42"/>
      <c r="J121" s="34" t="s">
        <v>2</v>
      </c>
      <c r="K121" s="44" t="s">
        <v>209</v>
      </c>
      <c r="L121" s="42" t="s">
        <v>393</v>
      </c>
      <c r="M121" s="42">
        <v>58</v>
      </c>
      <c r="N121" t="str">
        <f>IFERROR(HYPERLINK("#'Main'!B"&amp;MATCH(TRIM(A121),Main!B:B,0),"Open"),HYPERLINK("#'Main'!B1","Open"))</f>
        <v>Open</v>
      </c>
      <c r="O121" t="str">
        <f t="shared" ca="1" si="1"/>
        <v>Open</v>
      </c>
    </row>
    <row r="122" spans="1:16" ht="30" customHeight="1" x14ac:dyDescent="0.25">
      <c r="A122" s="50" t="s">
        <v>209</v>
      </c>
      <c r="B122" s="33" t="s">
        <v>391</v>
      </c>
      <c r="C122" s="59" t="s">
        <v>187</v>
      </c>
      <c r="D122" s="53" t="s">
        <v>161</v>
      </c>
      <c r="E122" s="37">
        <v>1</v>
      </c>
      <c r="F122" s="38" t="s">
        <v>57</v>
      </c>
      <c r="G122" s="33" t="s">
        <v>450</v>
      </c>
      <c r="H122" s="33" t="s">
        <v>111</v>
      </c>
      <c r="I122" s="33"/>
      <c r="J122" s="34" t="s">
        <v>2</v>
      </c>
      <c r="K122" s="37" t="s">
        <v>209</v>
      </c>
      <c r="L122" s="33" t="s">
        <v>393</v>
      </c>
      <c r="M122" s="33">
        <v>59</v>
      </c>
      <c r="N122" s="41" t="str">
        <f>IFERROR(HYPERLINK("#'Main'!B"&amp;MATCH(TRIM(A122),Main!B:B,0),"Open"),HYPERLINK("#'Main'!B1","Open"))</f>
        <v>Open</v>
      </c>
      <c r="O122" s="41" t="str">
        <f t="shared" ca="1" si="1"/>
        <v>Open</v>
      </c>
      <c r="P122" s="41"/>
    </row>
    <row r="123" spans="1:16" ht="30" customHeight="1" x14ac:dyDescent="0.25">
      <c r="A123" s="51" t="s">
        <v>157</v>
      </c>
      <c r="B123" s="42" t="s">
        <v>391</v>
      </c>
      <c r="C123" s="60" t="s">
        <v>156</v>
      </c>
      <c r="D123" s="47" t="s">
        <v>51</v>
      </c>
      <c r="E123" s="44">
        <v>1</v>
      </c>
      <c r="F123" s="45" t="s">
        <v>57</v>
      </c>
      <c r="G123" s="42" t="s">
        <v>451</v>
      </c>
      <c r="H123" s="42" t="s">
        <v>111</v>
      </c>
      <c r="I123" s="42"/>
      <c r="J123" s="34" t="s">
        <v>2</v>
      </c>
      <c r="K123" s="44" t="s">
        <v>157</v>
      </c>
      <c r="L123" s="42" t="s">
        <v>393</v>
      </c>
      <c r="M123" s="42">
        <v>60</v>
      </c>
      <c r="N123" t="str">
        <f>IFERROR(HYPERLINK("#'Main'!B"&amp;MATCH(TRIM(A123),Main!B:B,0),"Open"),HYPERLINK("#'Main'!B1","Open"))</f>
        <v>Open</v>
      </c>
      <c r="O123" t="str">
        <f t="shared" ca="1" si="1"/>
        <v>Open</v>
      </c>
    </row>
    <row r="124" spans="1:16" ht="30" customHeight="1" x14ac:dyDescent="0.25">
      <c r="A124" s="50" t="s">
        <v>157</v>
      </c>
      <c r="B124" s="33" t="s">
        <v>391</v>
      </c>
      <c r="C124" s="59" t="s">
        <v>153</v>
      </c>
      <c r="D124" s="47" t="s">
        <v>51</v>
      </c>
      <c r="E124" s="37">
        <v>1</v>
      </c>
      <c r="F124" s="38" t="s">
        <v>57</v>
      </c>
      <c r="G124" s="33" t="s">
        <v>452</v>
      </c>
      <c r="H124" s="33" t="s">
        <v>111</v>
      </c>
      <c r="I124" s="33"/>
      <c r="J124" s="34" t="s">
        <v>2</v>
      </c>
      <c r="K124" s="37" t="s">
        <v>157</v>
      </c>
      <c r="L124" s="33" t="s">
        <v>393</v>
      </c>
      <c r="M124" s="33">
        <v>61</v>
      </c>
      <c r="N124" s="41" t="str">
        <f>IFERROR(HYPERLINK("#'Main'!B"&amp;MATCH(TRIM(A124),Main!B:B,0),"Open"),HYPERLINK("#'Main'!B1","Open"))</f>
        <v>Open</v>
      </c>
      <c r="O124" s="41" t="str">
        <f t="shared" ca="1" si="1"/>
        <v>Open</v>
      </c>
      <c r="P124" s="41"/>
    </row>
    <row r="125" spans="1:16" ht="30" customHeight="1" x14ac:dyDescent="0.25">
      <c r="A125" s="51" t="s">
        <v>157</v>
      </c>
      <c r="B125" s="42" t="s">
        <v>391</v>
      </c>
      <c r="C125" s="60" t="s">
        <v>149</v>
      </c>
      <c r="D125" s="47" t="s">
        <v>51</v>
      </c>
      <c r="E125" s="44">
        <v>1</v>
      </c>
      <c r="F125" s="45" t="s">
        <v>57</v>
      </c>
      <c r="G125" s="42" t="s">
        <v>453</v>
      </c>
      <c r="H125" s="42" t="s">
        <v>111</v>
      </c>
      <c r="I125" s="42"/>
      <c r="J125" s="34" t="s">
        <v>2</v>
      </c>
      <c r="K125" s="44" t="s">
        <v>157</v>
      </c>
      <c r="L125" s="42" t="s">
        <v>393</v>
      </c>
      <c r="M125" s="42">
        <v>62</v>
      </c>
      <c r="N125" t="str">
        <f>IFERROR(HYPERLINK("#'Main'!B"&amp;MATCH(TRIM(A125),Main!B:B,0),"Open"),HYPERLINK("#'Main'!B1","Open"))</f>
        <v>Open</v>
      </c>
      <c r="O125" t="str">
        <f t="shared" ca="1" si="1"/>
        <v>Open</v>
      </c>
    </row>
    <row r="126" spans="1:16" ht="30" customHeight="1" x14ac:dyDescent="0.25">
      <c r="A126" s="50" t="s">
        <v>157</v>
      </c>
      <c r="B126" s="33" t="s">
        <v>391</v>
      </c>
      <c r="C126" s="59" t="s">
        <v>144</v>
      </c>
      <c r="D126" s="47" t="s">
        <v>51</v>
      </c>
      <c r="E126" s="37">
        <v>1</v>
      </c>
      <c r="F126" s="38" t="s">
        <v>134</v>
      </c>
      <c r="G126" s="33" t="s">
        <v>454</v>
      </c>
      <c r="H126" s="33" t="s">
        <v>111</v>
      </c>
      <c r="I126" s="33"/>
      <c r="J126" s="34" t="s">
        <v>2</v>
      </c>
      <c r="K126" s="37" t="s">
        <v>157</v>
      </c>
      <c r="L126" s="33" t="s">
        <v>393</v>
      </c>
      <c r="M126" s="33">
        <v>63</v>
      </c>
      <c r="N126" s="41" t="str">
        <f>IFERROR(HYPERLINK("#'Main'!B"&amp;MATCH(TRIM(A126),Main!B:B,0),"Open"),HYPERLINK("#'Main'!B1","Open"))</f>
        <v>Open</v>
      </c>
      <c r="O126" s="41" t="str">
        <f t="shared" ca="1" si="1"/>
        <v>Open</v>
      </c>
      <c r="P126" s="41"/>
    </row>
    <row r="127" spans="1:16" ht="30" customHeight="1" x14ac:dyDescent="0.25">
      <c r="A127" s="51" t="s">
        <v>157</v>
      </c>
      <c r="B127" s="42" t="s">
        <v>391</v>
      </c>
      <c r="C127" s="60" t="s">
        <v>35</v>
      </c>
      <c r="D127" s="53" t="s">
        <v>161</v>
      </c>
      <c r="E127" s="44">
        <v>1</v>
      </c>
      <c r="F127" s="45" t="s">
        <v>57</v>
      </c>
      <c r="G127" s="42" t="s">
        <v>455</v>
      </c>
      <c r="H127" s="42" t="s">
        <v>100</v>
      </c>
      <c r="I127" s="42"/>
      <c r="J127" s="34" t="s">
        <v>2</v>
      </c>
      <c r="K127" s="44" t="s">
        <v>157</v>
      </c>
      <c r="L127" s="42" t="s">
        <v>393</v>
      </c>
      <c r="M127" s="42">
        <v>64</v>
      </c>
      <c r="N127" t="str">
        <f>IFERROR(HYPERLINK("#'Main'!B"&amp;MATCH(TRIM(A127),Main!B:B,0),"Open"),HYPERLINK("#'Main'!B1","Open"))</f>
        <v>Open</v>
      </c>
      <c r="O127" t="str">
        <f t="shared" ca="1" si="1"/>
        <v>Open</v>
      </c>
    </row>
    <row r="128" spans="1:16" ht="30" customHeight="1" x14ac:dyDescent="0.25">
      <c r="A128" s="50" t="s">
        <v>157</v>
      </c>
      <c r="B128" s="33" t="s">
        <v>391</v>
      </c>
      <c r="C128" s="59" t="s">
        <v>177</v>
      </c>
      <c r="D128" s="53" t="s">
        <v>161</v>
      </c>
      <c r="E128" s="37">
        <v>1</v>
      </c>
      <c r="F128" s="38" t="s">
        <v>57</v>
      </c>
      <c r="G128" s="33" t="s">
        <v>456</v>
      </c>
      <c r="H128" s="33" t="s">
        <v>111</v>
      </c>
      <c r="I128" s="33"/>
      <c r="J128" s="34" t="s">
        <v>2</v>
      </c>
      <c r="K128" s="37" t="s">
        <v>157</v>
      </c>
      <c r="L128" s="33" t="s">
        <v>393</v>
      </c>
      <c r="M128" s="33">
        <v>65</v>
      </c>
      <c r="N128" s="41" t="str">
        <f>IFERROR(HYPERLINK("#'Main'!B"&amp;MATCH(TRIM(A128),Main!B:B,0),"Open"),HYPERLINK("#'Main'!B1","Open"))</f>
        <v>Open</v>
      </c>
      <c r="O128" s="41" t="str">
        <f t="shared" ca="1" si="1"/>
        <v>Open</v>
      </c>
      <c r="P128" s="41"/>
    </row>
    <row r="129" spans="1:16" ht="30" customHeight="1" x14ac:dyDescent="0.25">
      <c r="A129" s="51" t="s">
        <v>157</v>
      </c>
      <c r="B129" s="42" t="s">
        <v>391</v>
      </c>
      <c r="C129" s="60" t="s">
        <v>181</v>
      </c>
      <c r="D129" s="53" t="s">
        <v>161</v>
      </c>
      <c r="E129" s="44">
        <v>1</v>
      </c>
      <c r="F129" s="45" t="s">
        <v>134</v>
      </c>
      <c r="G129" s="42" t="s">
        <v>457</v>
      </c>
      <c r="H129" s="42" t="s">
        <v>111</v>
      </c>
      <c r="I129" s="42"/>
      <c r="J129" s="34" t="s">
        <v>2</v>
      </c>
      <c r="K129" s="44" t="s">
        <v>157</v>
      </c>
      <c r="L129" s="42" t="s">
        <v>393</v>
      </c>
      <c r="M129" s="42">
        <v>66</v>
      </c>
      <c r="N129" t="str">
        <f>IFERROR(HYPERLINK("#'Main'!B"&amp;MATCH(TRIM(A129),Main!B:B,0),"Open"),HYPERLINK("#'Main'!B1","Open"))</f>
        <v>Open</v>
      </c>
      <c r="O129" t="str">
        <f t="shared" ca="1" si="1"/>
        <v>Open</v>
      </c>
    </row>
    <row r="130" spans="1:16" ht="30" customHeight="1" x14ac:dyDescent="0.25">
      <c r="A130" s="50" t="s">
        <v>157</v>
      </c>
      <c r="B130" s="33" t="s">
        <v>391</v>
      </c>
      <c r="C130" s="59" t="s">
        <v>184</v>
      </c>
      <c r="D130" s="53" t="s">
        <v>161</v>
      </c>
      <c r="E130" s="37">
        <v>1</v>
      </c>
      <c r="F130" s="38" t="s">
        <v>57</v>
      </c>
      <c r="G130" s="33" t="s">
        <v>458</v>
      </c>
      <c r="H130" s="33" t="s">
        <v>111</v>
      </c>
      <c r="I130" s="33"/>
      <c r="J130" s="34" t="s">
        <v>2</v>
      </c>
      <c r="K130" s="37" t="s">
        <v>157</v>
      </c>
      <c r="L130" s="33" t="s">
        <v>393</v>
      </c>
      <c r="M130" s="33">
        <v>67</v>
      </c>
      <c r="N130" s="41" t="str">
        <f>IFERROR(HYPERLINK("#'Main'!B"&amp;MATCH(TRIM(A130),Main!B:B,0),"Open"),HYPERLINK("#'Main'!B1","Open"))</f>
        <v>Open</v>
      </c>
      <c r="O130" s="41" t="str">
        <f t="shared" ref="O130:O193" ca="1" si="2">IFERROR(HYPERLINK("#"&amp;F130&amp;"!A"&amp;MATCH(A130,INDIRECT("'"&amp;F130&amp;"'!A:A"),0),"Open"),HYPERLINK("#"&amp;F130&amp;"!A1","Open"))</f>
        <v>Open</v>
      </c>
      <c r="P130" s="41"/>
    </row>
    <row r="131" spans="1:16" ht="30" customHeight="1" x14ac:dyDescent="0.25">
      <c r="A131" s="51" t="s">
        <v>157</v>
      </c>
      <c r="B131" s="42" t="s">
        <v>391</v>
      </c>
      <c r="C131" s="60" t="s">
        <v>187</v>
      </c>
      <c r="D131" s="53" t="s">
        <v>161</v>
      </c>
      <c r="E131" s="44">
        <v>1</v>
      </c>
      <c r="F131" s="45" t="s">
        <v>57</v>
      </c>
      <c r="G131" s="42" t="s">
        <v>459</v>
      </c>
      <c r="H131" s="42" t="s">
        <v>111</v>
      </c>
      <c r="I131" s="42"/>
      <c r="J131" s="34" t="s">
        <v>2</v>
      </c>
      <c r="K131" s="44" t="s">
        <v>157</v>
      </c>
      <c r="L131" s="42" t="s">
        <v>393</v>
      </c>
      <c r="M131" s="42">
        <v>68</v>
      </c>
      <c r="N131" t="str">
        <f>IFERROR(HYPERLINK("#'Main'!B"&amp;MATCH(TRIM(A131),Main!B:B,0),"Open"),HYPERLINK("#'Main'!B1","Open"))</f>
        <v>Open</v>
      </c>
      <c r="O131" t="str">
        <f t="shared" ca="1" si="2"/>
        <v>Open</v>
      </c>
    </row>
    <row r="132" spans="1:16" ht="30" customHeight="1" x14ac:dyDescent="0.25">
      <c r="A132" s="50" t="s">
        <v>210</v>
      </c>
      <c r="B132" s="33" t="s">
        <v>391</v>
      </c>
      <c r="C132" s="59" t="s">
        <v>149</v>
      </c>
      <c r="D132" s="47" t="s">
        <v>51</v>
      </c>
      <c r="E132" s="37">
        <v>1</v>
      </c>
      <c r="F132" s="38" t="s">
        <v>57</v>
      </c>
      <c r="G132" s="33" t="s">
        <v>460</v>
      </c>
      <c r="H132" s="33" t="s">
        <v>111</v>
      </c>
      <c r="I132" s="33"/>
      <c r="J132" s="34" t="s">
        <v>2</v>
      </c>
      <c r="K132" s="37" t="s">
        <v>210</v>
      </c>
      <c r="L132" s="33" t="s">
        <v>393</v>
      </c>
      <c r="M132" s="33">
        <v>69</v>
      </c>
      <c r="N132" s="41" t="str">
        <f>IFERROR(HYPERLINK("#'Main'!B"&amp;MATCH(TRIM(A132),Main!B:B,0),"Open"),HYPERLINK("#'Main'!B1","Open"))</f>
        <v>Open</v>
      </c>
      <c r="O132" s="41" t="str">
        <f t="shared" ca="1" si="2"/>
        <v>Open</v>
      </c>
      <c r="P132" s="41"/>
    </row>
    <row r="133" spans="1:16" ht="30" customHeight="1" x14ac:dyDescent="0.25">
      <c r="A133" s="51" t="s">
        <v>210</v>
      </c>
      <c r="B133" s="42" t="s">
        <v>391</v>
      </c>
      <c r="C133" s="60" t="s">
        <v>144</v>
      </c>
      <c r="D133" s="47" t="s">
        <v>51</v>
      </c>
      <c r="E133" s="44">
        <v>1</v>
      </c>
      <c r="F133" s="45" t="s">
        <v>134</v>
      </c>
      <c r="G133" s="42" t="s">
        <v>461</v>
      </c>
      <c r="H133" s="42" t="s">
        <v>111</v>
      </c>
      <c r="I133" s="42"/>
      <c r="J133" s="34" t="s">
        <v>2</v>
      </c>
      <c r="K133" s="44" t="s">
        <v>210</v>
      </c>
      <c r="L133" s="42" t="s">
        <v>393</v>
      </c>
      <c r="M133" s="42">
        <v>70</v>
      </c>
      <c r="N133" t="str">
        <f>IFERROR(HYPERLINK("#'Main'!B"&amp;MATCH(TRIM(A133),Main!B:B,0),"Open"),HYPERLINK("#'Main'!B1","Open"))</f>
        <v>Open</v>
      </c>
      <c r="O133" t="str">
        <f t="shared" ca="1" si="2"/>
        <v>Open</v>
      </c>
    </row>
    <row r="134" spans="1:16" ht="30" customHeight="1" x14ac:dyDescent="0.25">
      <c r="A134" s="50" t="s">
        <v>210</v>
      </c>
      <c r="B134" s="33" t="s">
        <v>391</v>
      </c>
      <c r="C134" s="59" t="s">
        <v>35</v>
      </c>
      <c r="D134" s="53" t="s">
        <v>161</v>
      </c>
      <c r="E134" s="37">
        <v>1</v>
      </c>
      <c r="F134" s="38" t="s">
        <v>57</v>
      </c>
      <c r="G134" s="33" t="s">
        <v>462</v>
      </c>
      <c r="H134" s="33" t="s">
        <v>100</v>
      </c>
      <c r="I134" s="33"/>
      <c r="J134" s="34" t="s">
        <v>2</v>
      </c>
      <c r="K134" s="37" t="s">
        <v>210</v>
      </c>
      <c r="L134" s="33" t="s">
        <v>393</v>
      </c>
      <c r="M134" s="33">
        <v>71</v>
      </c>
      <c r="N134" s="41" t="str">
        <f>IFERROR(HYPERLINK("#'Main'!B"&amp;MATCH(TRIM(A134),Main!B:B,0),"Open"),HYPERLINK("#'Main'!B1","Open"))</f>
        <v>Open</v>
      </c>
      <c r="O134" s="41" t="str">
        <f t="shared" ca="1" si="2"/>
        <v>Open</v>
      </c>
      <c r="P134" s="41"/>
    </row>
    <row r="135" spans="1:16" ht="30" customHeight="1" x14ac:dyDescent="0.25">
      <c r="A135" s="51" t="s">
        <v>210</v>
      </c>
      <c r="B135" s="42" t="s">
        <v>391</v>
      </c>
      <c r="C135" s="60" t="s">
        <v>181</v>
      </c>
      <c r="D135" s="53" t="s">
        <v>161</v>
      </c>
      <c r="E135" s="44">
        <v>1</v>
      </c>
      <c r="F135" s="45" t="s">
        <v>134</v>
      </c>
      <c r="G135" s="42" t="s">
        <v>463</v>
      </c>
      <c r="H135" s="42" t="s">
        <v>111</v>
      </c>
      <c r="I135" s="42"/>
      <c r="J135" s="34" t="s">
        <v>2</v>
      </c>
      <c r="K135" s="44" t="s">
        <v>210</v>
      </c>
      <c r="L135" s="42" t="s">
        <v>393</v>
      </c>
      <c r="M135" s="42">
        <v>72</v>
      </c>
      <c r="N135" t="str">
        <f>IFERROR(HYPERLINK("#'Main'!B"&amp;MATCH(TRIM(A135),Main!B:B,0),"Open"),HYPERLINK("#'Main'!B1","Open"))</f>
        <v>Open</v>
      </c>
      <c r="O135" t="str">
        <f t="shared" ca="1" si="2"/>
        <v>Open</v>
      </c>
    </row>
    <row r="136" spans="1:16" ht="30" customHeight="1" x14ac:dyDescent="0.25">
      <c r="A136" s="50" t="s">
        <v>210</v>
      </c>
      <c r="B136" s="33" t="s">
        <v>391</v>
      </c>
      <c r="C136" s="59" t="s">
        <v>184</v>
      </c>
      <c r="D136" s="53" t="s">
        <v>161</v>
      </c>
      <c r="E136" s="37">
        <v>1</v>
      </c>
      <c r="F136" s="38" t="s">
        <v>57</v>
      </c>
      <c r="G136" s="33" t="s">
        <v>464</v>
      </c>
      <c r="H136" s="33" t="s">
        <v>111</v>
      </c>
      <c r="I136" s="33"/>
      <c r="J136" s="34" t="s">
        <v>2</v>
      </c>
      <c r="K136" s="37" t="s">
        <v>210</v>
      </c>
      <c r="L136" s="33" t="s">
        <v>393</v>
      </c>
      <c r="M136" s="33">
        <v>73</v>
      </c>
      <c r="N136" s="41" t="str">
        <f>IFERROR(HYPERLINK("#'Main'!B"&amp;MATCH(TRIM(A136),Main!B:B,0),"Open"),HYPERLINK("#'Main'!B1","Open"))</f>
        <v>Open</v>
      </c>
      <c r="O136" s="41" t="str">
        <f t="shared" ca="1" si="2"/>
        <v>Open</v>
      </c>
      <c r="P136" s="41"/>
    </row>
    <row r="137" spans="1:16" ht="30" customHeight="1" x14ac:dyDescent="0.25">
      <c r="A137" s="51" t="s">
        <v>210</v>
      </c>
      <c r="B137" s="42" t="s">
        <v>391</v>
      </c>
      <c r="C137" s="60" t="s">
        <v>187</v>
      </c>
      <c r="D137" s="53" t="s">
        <v>161</v>
      </c>
      <c r="E137" s="44">
        <v>1</v>
      </c>
      <c r="F137" s="45" t="s">
        <v>57</v>
      </c>
      <c r="G137" s="42" t="s">
        <v>465</v>
      </c>
      <c r="H137" s="42" t="s">
        <v>111</v>
      </c>
      <c r="I137" s="42"/>
      <c r="J137" s="34" t="s">
        <v>2</v>
      </c>
      <c r="K137" s="44" t="s">
        <v>210</v>
      </c>
      <c r="L137" s="42" t="s">
        <v>393</v>
      </c>
      <c r="M137" s="42">
        <v>74</v>
      </c>
      <c r="N137" t="str">
        <f>IFERROR(HYPERLINK("#'Main'!B"&amp;MATCH(TRIM(A137),Main!B:B,0),"Open"),HYPERLINK("#'Main'!B1","Open"))</f>
        <v>Open</v>
      </c>
      <c r="O137" t="str">
        <f t="shared" ca="1" si="2"/>
        <v>Open</v>
      </c>
    </row>
    <row r="138" spans="1:16" ht="30" customHeight="1" x14ac:dyDescent="0.25">
      <c r="A138" s="50" t="s">
        <v>211</v>
      </c>
      <c r="B138" s="33" t="s">
        <v>391</v>
      </c>
      <c r="C138" s="59" t="s">
        <v>153</v>
      </c>
      <c r="D138" s="47" t="s">
        <v>51</v>
      </c>
      <c r="E138" s="37">
        <v>1</v>
      </c>
      <c r="F138" s="38" t="s">
        <v>57</v>
      </c>
      <c r="G138" s="33" t="s">
        <v>466</v>
      </c>
      <c r="H138" s="33" t="s">
        <v>111</v>
      </c>
      <c r="I138" s="33"/>
      <c r="J138" s="34" t="s">
        <v>2</v>
      </c>
      <c r="K138" s="37" t="s">
        <v>211</v>
      </c>
      <c r="L138" s="33" t="s">
        <v>393</v>
      </c>
      <c r="M138" s="33">
        <v>75</v>
      </c>
      <c r="N138" s="41" t="str">
        <f>IFERROR(HYPERLINK("#'Main'!B"&amp;MATCH(TRIM(A138),Main!B:B,0),"Open"),HYPERLINK("#'Main'!B1","Open"))</f>
        <v>Open</v>
      </c>
      <c r="O138" s="41" t="str">
        <f t="shared" ca="1" si="2"/>
        <v>Open</v>
      </c>
      <c r="P138" s="41"/>
    </row>
    <row r="139" spans="1:16" ht="30" customHeight="1" x14ac:dyDescent="0.25">
      <c r="A139" s="51" t="s">
        <v>211</v>
      </c>
      <c r="B139" s="42" t="s">
        <v>391</v>
      </c>
      <c r="C139" s="60" t="s">
        <v>144</v>
      </c>
      <c r="D139" s="47" t="s">
        <v>51</v>
      </c>
      <c r="E139" s="44">
        <v>1</v>
      </c>
      <c r="F139" s="45" t="s">
        <v>134</v>
      </c>
      <c r="G139" s="42" t="s">
        <v>467</v>
      </c>
      <c r="H139" s="42" t="s">
        <v>111</v>
      </c>
      <c r="I139" s="42"/>
      <c r="J139" s="34" t="s">
        <v>2</v>
      </c>
      <c r="K139" s="44" t="s">
        <v>211</v>
      </c>
      <c r="L139" s="42" t="s">
        <v>393</v>
      </c>
      <c r="M139" s="42">
        <v>76</v>
      </c>
      <c r="N139" t="str">
        <f>IFERROR(HYPERLINK("#'Main'!B"&amp;MATCH(TRIM(A139),Main!B:B,0),"Open"),HYPERLINK("#'Main'!B1","Open"))</f>
        <v>Open</v>
      </c>
      <c r="O139" t="str">
        <f t="shared" ca="1" si="2"/>
        <v>Open</v>
      </c>
    </row>
    <row r="140" spans="1:16" ht="30" customHeight="1" x14ac:dyDescent="0.25">
      <c r="A140" s="50" t="s">
        <v>211</v>
      </c>
      <c r="B140" s="33" t="s">
        <v>391</v>
      </c>
      <c r="C140" s="59" t="s">
        <v>35</v>
      </c>
      <c r="D140" s="53" t="s">
        <v>161</v>
      </c>
      <c r="E140" s="37">
        <v>1</v>
      </c>
      <c r="F140" s="38" t="s">
        <v>57</v>
      </c>
      <c r="G140" s="33" t="s">
        <v>468</v>
      </c>
      <c r="H140" s="33" t="s">
        <v>100</v>
      </c>
      <c r="I140" s="33"/>
      <c r="J140" s="34" t="s">
        <v>2</v>
      </c>
      <c r="K140" s="37" t="s">
        <v>211</v>
      </c>
      <c r="L140" s="33" t="s">
        <v>393</v>
      </c>
      <c r="M140" s="33">
        <v>77</v>
      </c>
      <c r="N140" s="41" t="str">
        <f>IFERROR(HYPERLINK("#'Main'!B"&amp;MATCH(TRIM(A140),Main!B:B,0),"Open"),HYPERLINK("#'Main'!B1","Open"))</f>
        <v>Open</v>
      </c>
      <c r="O140" s="41" t="str">
        <f t="shared" ca="1" si="2"/>
        <v>Open</v>
      </c>
      <c r="P140" s="41"/>
    </row>
    <row r="141" spans="1:16" ht="30" customHeight="1" x14ac:dyDescent="0.25">
      <c r="A141" s="51" t="s">
        <v>211</v>
      </c>
      <c r="B141" s="42" t="s">
        <v>391</v>
      </c>
      <c r="C141" s="60" t="s">
        <v>177</v>
      </c>
      <c r="D141" s="53" t="s">
        <v>161</v>
      </c>
      <c r="E141" s="44">
        <v>1</v>
      </c>
      <c r="F141" s="45" t="s">
        <v>57</v>
      </c>
      <c r="G141" s="42" t="s">
        <v>469</v>
      </c>
      <c r="H141" s="42" t="s">
        <v>111</v>
      </c>
      <c r="I141" s="42"/>
      <c r="J141" s="34" t="s">
        <v>2</v>
      </c>
      <c r="K141" s="44" t="s">
        <v>211</v>
      </c>
      <c r="L141" s="42" t="s">
        <v>393</v>
      </c>
      <c r="M141" s="42">
        <v>78</v>
      </c>
      <c r="N141" t="str">
        <f>IFERROR(HYPERLINK("#'Main'!B"&amp;MATCH(TRIM(A141),Main!B:B,0),"Open"),HYPERLINK("#'Main'!B1","Open"))</f>
        <v>Open</v>
      </c>
      <c r="O141" t="str">
        <f t="shared" ca="1" si="2"/>
        <v>Open</v>
      </c>
    </row>
    <row r="142" spans="1:16" ht="30" customHeight="1" x14ac:dyDescent="0.25">
      <c r="A142" s="50" t="s">
        <v>211</v>
      </c>
      <c r="B142" s="33" t="s">
        <v>391</v>
      </c>
      <c r="C142" s="59" t="s">
        <v>181</v>
      </c>
      <c r="D142" s="53" t="s">
        <v>161</v>
      </c>
      <c r="E142" s="37">
        <v>1</v>
      </c>
      <c r="F142" s="38" t="s">
        <v>134</v>
      </c>
      <c r="G142" s="33" t="s">
        <v>470</v>
      </c>
      <c r="H142" s="33" t="s">
        <v>111</v>
      </c>
      <c r="I142" s="33"/>
      <c r="J142" s="34" t="s">
        <v>2</v>
      </c>
      <c r="K142" s="37" t="s">
        <v>211</v>
      </c>
      <c r="L142" s="33" t="s">
        <v>393</v>
      </c>
      <c r="M142" s="33">
        <v>79</v>
      </c>
      <c r="N142" s="41" t="str">
        <f>IFERROR(HYPERLINK("#'Main'!B"&amp;MATCH(TRIM(A142),Main!B:B,0),"Open"),HYPERLINK("#'Main'!B1","Open"))</f>
        <v>Open</v>
      </c>
      <c r="O142" s="41" t="str">
        <f t="shared" ca="1" si="2"/>
        <v>Open</v>
      </c>
      <c r="P142" s="41"/>
    </row>
    <row r="143" spans="1:16" ht="30" customHeight="1" x14ac:dyDescent="0.25">
      <c r="A143" s="51" t="s">
        <v>211</v>
      </c>
      <c r="B143" s="42" t="s">
        <v>391</v>
      </c>
      <c r="C143" s="60" t="s">
        <v>184</v>
      </c>
      <c r="D143" s="53" t="s">
        <v>161</v>
      </c>
      <c r="E143" s="44">
        <v>1</v>
      </c>
      <c r="F143" s="45" t="s">
        <v>57</v>
      </c>
      <c r="G143" s="42" t="s">
        <v>471</v>
      </c>
      <c r="H143" s="42" t="s">
        <v>111</v>
      </c>
      <c r="I143" s="42"/>
      <c r="J143" s="34" t="s">
        <v>2</v>
      </c>
      <c r="K143" s="44" t="s">
        <v>211</v>
      </c>
      <c r="L143" s="42" t="s">
        <v>393</v>
      </c>
      <c r="M143" s="42">
        <v>80</v>
      </c>
      <c r="N143" t="str">
        <f>IFERROR(HYPERLINK("#'Main'!B"&amp;MATCH(TRIM(A143),Main!B:B,0),"Open"),HYPERLINK("#'Main'!B1","Open"))</f>
        <v>Open</v>
      </c>
      <c r="O143" t="str">
        <f t="shared" ca="1" si="2"/>
        <v>Open</v>
      </c>
    </row>
    <row r="144" spans="1:16" ht="30" customHeight="1" x14ac:dyDescent="0.25">
      <c r="A144" s="50" t="s">
        <v>211</v>
      </c>
      <c r="B144" s="33" t="s">
        <v>391</v>
      </c>
      <c r="C144" s="59" t="s">
        <v>187</v>
      </c>
      <c r="D144" s="53" t="s">
        <v>161</v>
      </c>
      <c r="E144" s="37">
        <v>1</v>
      </c>
      <c r="F144" s="38" t="s">
        <v>57</v>
      </c>
      <c r="G144" s="33" t="s">
        <v>472</v>
      </c>
      <c r="H144" s="33" t="s">
        <v>111</v>
      </c>
      <c r="I144" s="33"/>
      <c r="J144" s="34" t="s">
        <v>2</v>
      </c>
      <c r="K144" s="37" t="s">
        <v>211</v>
      </c>
      <c r="L144" s="33" t="s">
        <v>393</v>
      </c>
      <c r="M144" s="33">
        <v>81</v>
      </c>
      <c r="N144" s="41" t="str">
        <f>IFERROR(HYPERLINK("#'Main'!B"&amp;MATCH(TRIM(A144),Main!B:B,0),"Open"),HYPERLINK("#'Main'!B1","Open"))</f>
        <v>Open</v>
      </c>
      <c r="O144" s="41" t="str">
        <f t="shared" ca="1" si="2"/>
        <v>Open</v>
      </c>
      <c r="P144" s="41"/>
    </row>
    <row r="145" spans="1:16" ht="30" customHeight="1" x14ac:dyDescent="0.25">
      <c r="A145" s="51" t="s">
        <v>212</v>
      </c>
      <c r="B145" s="42" t="s">
        <v>391</v>
      </c>
      <c r="C145" s="60" t="s">
        <v>149</v>
      </c>
      <c r="D145" s="47" t="s">
        <v>51</v>
      </c>
      <c r="E145" s="44">
        <v>1</v>
      </c>
      <c r="F145" s="45" t="s">
        <v>57</v>
      </c>
      <c r="G145" s="42" t="s">
        <v>473</v>
      </c>
      <c r="H145" s="42" t="s">
        <v>111</v>
      </c>
      <c r="I145" s="42"/>
      <c r="J145" s="34" t="s">
        <v>2</v>
      </c>
      <c r="K145" s="44" t="s">
        <v>212</v>
      </c>
      <c r="L145" s="42" t="s">
        <v>393</v>
      </c>
      <c r="M145" s="42">
        <v>82</v>
      </c>
      <c r="N145" t="str">
        <f>IFERROR(HYPERLINK("#'Main'!B"&amp;MATCH(TRIM(A145),Main!B:B,0),"Open"),HYPERLINK("#'Main'!B1","Open"))</f>
        <v>Open</v>
      </c>
      <c r="O145" t="str">
        <f t="shared" ca="1" si="2"/>
        <v>Open</v>
      </c>
    </row>
    <row r="146" spans="1:16" ht="30" customHeight="1" x14ac:dyDescent="0.25">
      <c r="A146" s="50" t="s">
        <v>212</v>
      </c>
      <c r="B146" s="33" t="s">
        <v>391</v>
      </c>
      <c r="C146" s="59" t="s">
        <v>144</v>
      </c>
      <c r="D146" s="47" t="s">
        <v>51</v>
      </c>
      <c r="E146" s="37">
        <v>1</v>
      </c>
      <c r="F146" s="38" t="s">
        <v>134</v>
      </c>
      <c r="G146" s="33" t="s">
        <v>474</v>
      </c>
      <c r="H146" s="33" t="s">
        <v>111</v>
      </c>
      <c r="I146" s="33"/>
      <c r="J146" s="34" t="s">
        <v>2</v>
      </c>
      <c r="K146" s="37" t="s">
        <v>212</v>
      </c>
      <c r="L146" s="33" t="s">
        <v>393</v>
      </c>
      <c r="M146" s="33">
        <v>83</v>
      </c>
      <c r="N146" s="41" t="str">
        <f>IFERROR(HYPERLINK("#'Main'!B"&amp;MATCH(TRIM(A146),Main!B:B,0),"Open"),HYPERLINK("#'Main'!B1","Open"))</f>
        <v>Open</v>
      </c>
      <c r="O146" s="41" t="str">
        <f t="shared" ca="1" si="2"/>
        <v>Open</v>
      </c>
      <c r="P146" s="41"/>
    </row>
    <row r="147" spans="1:16" ht="30" customHeight="1" x14ac:dyDescent="0.25">
      <c r="A147" s="51" t="s">
        <v>212</v>
      </c>
      <c r="B147" s="42" t="s">
        <v>391</v>
      </c>
      <c r="C147" s="60" t="s">
        <v>35</v>
      </c>
      <c r="D147" s="53" t="s">
        <v>161</v>
      </c>
      <c r="E147" s="44">
        <v>1</v>
      </c>
      <c r="F147" s="45" t="s">
        <v>57</v>
      </c>
      <c r="G147" s="42" t="s">
        <v>475</v>
      </c>
      <c r="H147" s="42" t="s">
        <v>100</v>
      </c>
      <c r="I147" s="42"/>
      <c r="J147" s="34" t="s">
        <v>2</v>
      </c>
      <c r="K147" s="44" t="s">
        <v>212</v>
      </c>
      <c r="L147" s="42" t="s">
        <v>393</v>
      </c>
      <c r="M147" s="42">
        <v>84</v>
      </c>
      <c r="N147" t="str">
        <f>IFERROR(HYPERLINK("#'Main'!B"&amp;MATCH(TRIM(A147),Main!B:B,0),"Open"),HYPERLINK("#'Main'!B1","Open"))</f>
        <v>Open</v>
      </c>
      <c r="O147" t="str">
        <f t="shared" ca="1" si="2"/>
        <v>Open</v>
      </c>
    </row>
    <row r="148" spans="1:16" ht="30" customHeight="1" x14ac:dyDescent="0.25">
      <c r="A148" s="50" t="s">
        <v>212</v>
      </c>
      <c r="B148" s="33" t="s">
        <v>391</v>
      </c>
      <c r="C148" s="59" t="s">
        <v>177</v>
      </c>
      <c r="D148" s="53" t="s">
        <v>161</v>
      </c>
      <c r="E148" s="37">
        <v>1</v>
      </c>
      <c r="F148" s="38" t="s">
        <v>57</v>
      </c>
      <c r="G148" s="33" t="s">
        <v>476</v>
      </c>
      <c r="H148" s="33" t="s">
        <v>111</v>
      </c>
      <c r="I148" s="33"/>
      <c r="J148" s="34" t="s">
        <v>2</v>
      </c>
      <c r="K148" s="37" t="s">
        <v>212</v>
      </c>
      <c r="L148" s="33" t="s">
        <v>393</v>
      </c>
      <c r="M148" s="33">
        <v>85</v>
      </c>
      <c r="N148" s="41" t="str">
        <f>IFERROR(HYPERLINK("#'Main'!B"&amp;MATCH(TRIM(A148),Main!B:B,0),"Open"),HYPERLINK("#'Main'!B1","Open"))</f>
        <v>Open</v>
      </c>
      <c r="O148" s="41" t="str">
        <f t="shared" ca="1" si="2"/>
        <v>Open</v>
      </c>
      <c r="P148" s="41"/>
    </row>
    <row r="149" spans="1:16" ht="30" customHeight="1" x14ac:dyDescent="0.25">
      <c r="A149" s="51" t="s">
        <v>212</v>
      </c>
      <c r="B149" s="42" t="s">
        <v>391</v>
      </c>
      <c r="C149" s="60" t="s">
        <v>181</v>
      </c>
      <c r="D149" s="53" t="s">
        <v>161</v>
      </c>
      <c r="E149" s="44">
        <v>1</v>
      </c>
      <c r="F149" s="45" t="s">
        <v>134</v>
      </c>
      <c r="G149" s="42" t="s">
        <v>477</v>
      </c>
      <c r="H149" s="42" t="s">
        <v>111</v>
      </c>
      <c r="I149" s="42"/>
      <c r="J149" s="34" t="s">
        <v>2</v>
      </c>
      <c r="K149" s="44" t="s">
        <v>212</v>
      </c>
      <c r="L149" s="42" t="s">
        <v>393</v>
      </c>
      <c r="M149" s="42">
        <v>86</v>
      </c>
      <c r="N149" t="str">
        <f>IFERROR(HYPERLINK("#'Main'!B"&amp;MATCH(TRIM(A149),Main!B:B,0),"Open"),HYPERLINK("#'Main'!B1","Open"))</f>
        <v>Open</v>
      </c>
      <c r="O149" t="str">
        <f t="shared" ca="1" si="2"/>
        <v>Open</v>
      </c>
    </row>
    <row r="150" spans="1:16" ht="30" customHeight="1" x14ac:dyDescent="0.25">
      <c r="A150" s="50" t="s">
        <v>212</v>
      </c>
      <c r="B150" s="33" t="s">
        <v>391</v>
      </c>
      <c r="C150" s="59" t="s">
        <v>184</v>
      </c>
      <c r="D150" s="53" t="s">
        <v>161</v>
      </c>
      <c r="E150" s="37">
        <v>1</v>
      </c>
      <c r="F150" s="38" t="s">
        <v>57</v>
      </c>
      <c r="G150" s="33" t="s">
        <v>478</v>
      </c>
      <c r="H150" s="33" t="s">
        <v>111</v>
      </c>
      <c r="I150" s="33"/>
      <c r="J150" s="34" t="s">
        <v>2</v>
      </c>
      <c r="K150" s="37" t="s">
        <v>212</v>
      </c>
      <c r="L150" s="33" t="s">
        <v>393</v>
      </c>
      <c r="M150" s="33">
        <v>87</v>
      </c>
      <c r="N150" s="41" t="str">
        <f>IFERROR(HYPERLINK("#'Main'!B"&amp;MATCH(TRIM(A150),Main!B:B,0),"Open"),HYPERLINK("#'Main'!B1","Open"))</f>
        <v>Open</v>
      </c>
      <c r="O150" s="41" t="str">
        <f t="shared" ca="1" si="2"/>
        <v>Open</v>
      </c>
      <c r="P150" s="41"/>
    </row>
    <row r="151" spans="1:16" ht="30" customHeight="1" x14ac:dyDescent="0.25">
      <c r="A151" s="51" t="s">
        <v>212</v>
      </c>
      <c r="B151" s="42" t="s">
        <v>391</v>
      </c>
      <c r="C151" s="60" t="s">
        <v>187</v>
      </c>
      <c r="D151" s="53" t="s">
        <v>161</v>
      </c>
      <c r="E151" s="44">
        <v>1</v>
      </c>
      <c r="F151" s="45" t="s">
        <v>57</v>
      </c>
      <c r="G151" s="42" t="s">
        <v>479</v>
      </c>
      <c r="H151" s="42" t="s">
        <v>111</v>
      </c>
      <c r="I151" s="42"/>
      <c r="J151" s="34" t="s">
        <v>2</v>
      </c>
      <c r="K151" s="44" t="s">
        <v>212</v>
      </c>
      <c r="L151" s="42" t="s">
        <v>393</v>
      </c>
      <c r="M151" s="42">
        <v>88</v>
      </c>
      <c r="N151" t="str">
        <f>IFERROR(HYPERLINK("#'Main'!B"&amp;MATCH(TRIM(A151),Main!B:B,0),"Open"),HYPERLINK("#'Main'!B1","Open"))</f>
        <v>Open</v>
      </c>
      <c r="O151" t="str">
        <f t="shared" ca="1" si="2"/>
        <v>Open</v>
      </c>
    </row>
    <row r="152" spans="1:16" ht="30" customHeight="1" x14ac:dyDescent="0.25">
      <c r="A152" s="50" t="s">
        <v>213</v>
      </c>
      <c r="B152" s="33" t="s">
        <v>391</v>
      </c>
      <c r="C152" s="59" t="s">
        <v>149</v>
      </c>
      <c r="D152" s="47" t="s">
        <v>51</v>
      </c>
      <c r="E152" s="37">
        <v>1</v>
      </c>
      <c r="F152" s="38" t="s">
        <v>57</v>
      </c>
      <c r="G152" s="33" t="s">
        <v>480</v>
      </c>
      <c r="H152" s="33" t="s">
        <v>111</v>
      </c>
      <c r="I152" s="33"/>
      <c r="J152" s="34" t="s">
        <v>2</v>
      </c>
      <c r="K152" s="37" t="s">
        <v>213</v>
      </c>
      <c r="L152" s="33" t="s">
        <v>393</v>
      </c>
      <c r="M152" s="33">
        <v>89</v>
      </c>
      <c r="N152" s="41" t="str">
        <f>IFERROR(HYPERLINK("#'Main'!B"&amp;MATCH(TRIM(A152),Main!B:B,0),"Open"),HYPERLINK("#'Main'!B1","Open"))</f>
        <v>Open</v>
      </c>
      <c r="O152" s="41" t="str">
        <f t="shared" ca="1" si="2"/>
        <v>Open</v>
      </c>
      <c r="P152" s="41"/>
    </row>
    <row r="153" spans="1:16" ht="30" customHeight="1" x14ac:dyDescent="0.25">
      <c r="A153" s="51" t="s">
        <v>213</v>
      </c>
      <c r="B153" s="42" t="s">
        <v>391</v>
      </c>
      <c r="C153" s="60" t="s">
        <v>144</v>
      </c>
      <c r="D153" s="47" t="s">
        <v>51</v>
      </c>
      <c r="E153" s="44">
        <v>1</v>
      </c>
      <c r="F153" s="45" t="s">
        <v>134</v>
      </c>
      <c r="G153" s="42" t="s">
        <v>481</v>
      </c>
      <c r="H153" s="42" t="s">
        <v>111</v>
      </c>
      <c r="I153" s="42"/>
      <c r="J153" s="34" t="s">
        <v>2</v>
      </c>
      <c r="K153" s="44" t="s">
        <v>213</v>
      </c>
      <c r="L153" s="42" t="s">
        <v>393</v>
      </c>
      <c r="M153" s="42">
        <v>90</v>
      </c>
      <c r="N153" t="str">
        <f>IFERROR(HYPERLINK("#'Main'!B"&amp;MATCH(TRIM(A153),Main!B:B,0),"Open"),HYPERLINK("#'Main'!B1","Open"))</f>
        <v>Open</v>
      </c>
      <c r="O153" t="str">
        <f t="shared" ca="1" si="2"/>
        <v>Open</v>
      </c>
    </row>
    <row r="154" spans="1:16" ht="30" customHeight="1" x14ac:dyDescent="0.25">
      <c r="A154" s="50" t="s">
        <v>213</v>
      </c>
      <c r="B154" s="33" t="s">
        <v>391</v>
      </c>
      <c r="C154" s="59" t="s">
        <v>35</v>
      </c>
      <c r="D154" s="53" t="s">
        <v>161</v>
      </c>
      <c r="E154" s="37">
        <v>1</v>
      </c>
      <c r="F154" s="38" t="s">
        <v>57</v>
      </c>
      <c r="G154" s="33" t="s">
        <v>482</v>
      </c>
      <c r="H154" s="33" t="s">
        <v>100</v>
      </c>
      <c r="I154" s="33"/>
      <c r="J154" s="34" t="s">
        <v>2</v>
      </c>
      <c r="K154" s="37" t="s">
        <v>213</v>
      </c>
      <c r="L154" s="33" t="s">
        <v>393</v>
      </c>
      <c r="M154" s="33">
        <v>91</v>
      </c>
      <c r="N154" s="41" t="str">
        <f>IFERROR(HYPERLINK("#'Main'!B"&amp;MATCH(TRIM(A154),Main!B:B,0),"Open"),HYPERLINK("#'Main'!B1","Open"))</f>
        <v>Open</v>
      </c>
      <c r="O154" s="41" t="str">
        <f t="shared" ca="1" si="2"/>
        <v>Open</v>
      </c>
      <c r="P154" s="41"/>
    </row>
    <row r="155" spans="1:16" ht="30" customHeight="1" x14ac:dyDescent="0.25">
      <c r="A155" s="51" t="s">
        <v>213</v>
      </c>
      <c r="B155" s="42" t="s">
        <v>391</v>
      </c>
      <c r="C155" s="60" t="s">
        <v>177</v>
      </c>
      <c r="D155" s="53" t="s">
        <v>161</v>
      </c>
      <c r="E155" s="44">
        <v>1</v>
      </c>
      <c r="F155" s="45" t="s">
        <v>57</v>
      </c>
      <c r="G155" s="42" t="s">
        <v>483</v>
      </c>
      <c r="H155" s="42" t="s">
        <v>111</v>
      </c>
      <c r="I155" s="42"/>
      <c r="J155" s="34" t="s">
        <v>2</v>
      </c>
      <c r="K155" s="44" t="s">
        <v>213</v>
      </c>
      <c r="L155" s="42" t="s">
        <v>393</v>
      </c>
      <c r="M155" s="42">
        <v>92</v>
      </c>
      <c r="N155" t="str">
        <f>IFERROR(HYPERLINK("#'Main'!B"&amp;MATCH(TRIM(A155),Main!B:B,0),"Open"),HYPERLINK("#'Main'!B1","Open"))</f>
        <v>Open</v>
      </c>
      <c r="O155" t="str">
        <f t="shared" ca="1" si="2"/>
        <v>Open</v>
      </c>
    </row>
    <row r="156" spans="1:16" ht="30" customHeight="1" x14ac:dyDescent="0.25">
      <c r="A156" s="50" t="s">
        <v>213</v>
      </c>
      <c r="B156" s="33" t="s">
        <v>391</v>
      </c>
      <c r="C156" s="59" t="s">
        <v>181</v>
      </c>
      <c r="D156" s="53" t="s">
        <v>161</v>
      </c>
      <c r="E156" s="37">
        <v>1</v>
      </c>
      <c r="F156" s="38" t="s">
        <v>134</v>
      </c>
      <c r="G156" s="33" t="s">
        <v>484</v>
      </c>
      <c r="H156" s="33" t="s">
        <v>111</v>
      </c>
      <c r="I156" s="33"/>
      <c r="J156" s="34" t="s">
        <v>2</v>
      </c>
      <c r="K156" s="37" t="s">
        <v>213</v>
      </c>
      <c r="L156" s="33" t="s">
        <v>393</v>
      </c>
      <c r="M156" s="33">
        <v>93</v>
      </c>
      <c r="N156" s="41" t="str">
        <f>IFERROR(HYPERLINK("#'Main'!B"&amp;MATCH(TRIM(A156),Main!B:B,0),"Open"),HYPERLINK("#'Main'!B1","Open"))</f>
        <v>Open</v>
      </c>
      <c r="O156" s="41" t="str">
        <f t="shared" ca="1" si="2"/>
        <v>Open</v>
      </c>
      <c r="P156" s="41"/>
    </row>
    <row r="157" spans="1:16" ht="30" customHeight="1" x14ac:dyDescent="0.25">
      <c r="A157" s="51" t="s">
        <v>213</v>
      </c>
      <c r="B157" s="42" t="s">
        <v>391</v>
      </c>
      <c r="C157" s="60" t="s">
        <v>184</v>
      </c>
      <c r="D157" s="53" t="s">
        <v>161</v>
      </c>
      <c r="E157" s="44">
        <v>1</v>
      </c>
      <c r="F157" s="45" t="s">
        <v>57</v>
      </c>
      <c r="G157" s="42" t="s">
        <v>485</v>
      </c>
      <c r="H157" s="42" t="s">
        <v>111</v>
      </c>
      <c r="I157" s="42"/>
      <c r="J157" s="34" t="s">
        <v>2</v>
      </c>
      <c r="K157" s="44" t="s">
        <v>213</v>
      </c>
      <c r="L157" s="42" t="s">
        <v>393</v>
      </c>
      <c r="M157" s="42">
        <v>94</v>
      </c>
      <c r="N157" t="str">
        <f>IFERROR(HYPERLINK("#'Main'!B"&amp;MATCH(TRIM(A157),Main!B:B,0),"Open"),HYPERLINK("#'Main'!B1","Open"))</f>
        <v>Open</v>
      </c>
      <c r="O157" t="str">
        <f t="shared" ca="1" si="2"/>
        <v>Open</v>
      </c>
    </row>
    <row r="158" spans="1:16" ht="30" customHeight="1" x14ac:dyDescent="0.25">
      <c r="A158" s="50" t="s">
        <v>213</v>
      </c>
      <c r="B158" s="33" t="s">
        <v>391</v>
      </c>
      <c r="C158" s="59" t="s">
        <v>187</v>
      </c>
      <c r="D158" s="53" t="s">
        <v>161</v>
      </c>
      <c r="E158" s="37">
        <v>1</v>
      </c>
      <c r="F158" s="38" t="s">
        <v>57</v>
      </c>
      <c r="G158" s="33" t="s">
        <v>486</v>
      </c>
      <c r="H158" s="33" t="s">
        <v>111</v>
      </c>
      <c r="I158" s="33"/>
      <c r="J158" s="34" t="s">
        <v>2</v>
      </c>
      <c r="K158" s="37" t="s">
        <v>213</v>
      </c>
      <c r="L158" s="33" t="s">
        <v>393</v>
      </c>
      <c r="M158" s="33">
        <v>95</v>
      </c>
      <c r="N158" s="41" t="str">
        <f>IFERROR(HYPERLINK("#'Main'!B"&amp;MATCH(TRIM(A158),Main!B:B,0),"Open"),HYPERLINK("#'Main'!B1","Open"))</f>
        <v>Open</v>
      </c>
      <c r="O158" s="41" t="str">
        <f t="shared" ca="1" si="2"/>
        <v>Open</v>
      </c>
      <c r="P158" s="41"/>
    </row>
    <row r="159" spans="1:16" ht="30" customHeight="1" x14ac:dyDescent="0.25">
      <c r="A159" s="51" t="s">
        <v>214</v>
      </c>
      <c r="B159" s="42" t="s">
        <v>391</v>
      </c>
      <c r="C159" s="60" t="s">
        <v>149</v>
      </c>
      <c r="D159" s="47" t="s">
        <v>51</v>
      </c>
      <c r="E159" s="44">
        <v>1</v>
      </c>
      <c r="F159" s="45" t="s">
        <v>57</v>
      </c>
      <c r="G159" s="42" t="s">
        <v>487</v>
      </c>
      <c r="H159" s="42" t="s">
        <v>111</v>
      </c>
      <c r="I159" s="42"/>
      <c r="J159" s="34" t="s">
        <v>2</v>
      </c>
      <c r="K159" s="44" t="s">
        <v>214</v>
      </c>
      <c r="L159" s="42" t="s">
        <v>393</v>
      </c>
      <c r="M159" s="42">
        <v>96</v>
      </c>
      <c r="N159" t="str">
        <f>IFERROR(HYPERLINK("#'Main'!B"&amp;MATCH(TRIM(A159),Main!B:B,0),"Open"),HYPERLINK("#'Main'!B1","Open"))</f>
        <v>Open</v>
      </c>
      <c r="O159" t="str">
        <f t="shared" ca="1" si="2"/>
        <v>Open</v>
      </c>
    </row>
    <row r="160" spans="1:16" ht="30" customHeight="1" x14ac:dyDescent="0.25">
      <c r="A160" s="50" t="s">
        <v>214</v>
      </c>
      <c r="B160" s="33" t="s">
        <v>391</v>
      </c>
      <c r="C160" s="59" t="s">
        <v>144</v>
      </c>
      <c r="D160" s="47" t="s">
        <v>51</v>
      </c>
      <c r="E160" s="37">
        <v>1</v>
      </c>
      <c r="F160" s="38" t="s">
        <v>134</v>
      </c>
      <c r="G160" s="33" t="s">
        <v>488</v>
      </c>
      <c r="H160" s="33" t="s">
        <v>111</v>
      </c>
      <c r="I160" s="33"/>
      <c r="J160" s="34" t="s">
        <v>2</v>
      </c>
      <c r="K160" s="37" t="s">
        <v>214</v>
      </c>
      <c r="L160" s="33" t="s">
        <v>393</v>
      </c>
      <c r="M160" s="33">
        <v>97</v>
      </c>
      <c r="N160" s="41" t="str">
        <f>IFERROR(HYPERLINK("#'Main'!B"&amp;MATCH(TRIM(A160),Main!B:B,0),"Open"),HYPERLINK("#'Main'!B1","Open"))</f>
        <v>Open</v>
      </c>
      <c r="O160" s="41" t="str">
        <f t="shared" ca="1" si="2"/>
        <v>Open</v>
      </c>
      <c r="P160" s="41"/>
    </row>
    <row r="161" spans="1:16" ht="30" customHeight="1" x14ac:dyDescent="0.25">
      <c r="A161" s="51" t="s">
        <v>214</v>
      </c>
      <c r="B161" s="42" t="s">
        <v>391</v>
      </c>
      <c r="C161" s="60" t="s">
        <v>35</v>
      </c>
      <c r="D161" s="53" t="s">
        <v>161</v>
      </c>
      <c r="E161" s="44">
        <v>1</v>
      </c>
      <c r="F161" s="45" t="s">
        <v>57</v>
      </c>
      <c r="G161" s="42" t="s">
        <v>489</v>
      </c>
      <c r="H161" s="42" t="s">
        <v>100</v>
      </c>
      <c r="I161" s="42"/>
      <c r="J161" s="34" t="s">
        <v>2</v>
      </c>
      <c r="K161" s="44" t="s">
        <v>214</v>
      </c>
      <c r="L161" s="42" t="s">
        <v>393</v>
      </c>
      <c r="M161" s="42">
        <v>98</v>
      </c>
      <c r="N161" t="str">
        <f>IFERROR(HYPERLINK("#'Main'!B"&amp;MATCH(TRIM(A161),Main!B:B,0),"Open"),HYPERLINK("#'Main'!B1","Open"))</f>
        <v>Open</v>
      </c>
      <c r="O161" t="str">
        <f t="shared" ca="1" si="2"/>
        <v>Open</v>
      </c>
    </row>
    <row r="162" spans="1:16" ht="30" customHeight="1" x14ac:dyDescent="0.25">
      <c r="A162" s="50" t="s">
        <v>214</v>
      </c>
      <c r="B162" s="33" t="s">
        <v>391</v>
      </c>
      <c r="C162" s="59" t="s">
        <v>177</v>
      </c>
      <c r="D162" s="53" t="s">
        <v>161</v>
      </c>
      <c r="E162" s="37">
        <v>1</v>
      </c>
      <c r="F162" s="38" t="s">
        <v>57</v>
      </c>
      <c r="G162" s="33" t="s">
        <v>490</v>
      </c>
      <c r="H162" s="33" t="s">
        <v>111</v>
      </c>
      <c r="I162" s="33"/>
      <c r="J162" s="34" t="s">
        <v>2</v>
      </c>
      <c r="K162" s="37" t="s">
        <v>214</v>
      </c>
      <c r="L162" s="33" t="s">
        <v>393</v>
      </c>
      <c r="M162" s="33">
        <v>99</v>
      </c>
      <c r="N162" s="41" t="str">
        <f>IFERROR(HYPERLINK("#'Main'!B"&amp;MATCH(TRIM(A162),Main!B:B,0),"Open"),HYPERLINK("#'Main'!B1","Open"))</f>
        <v>Open</v>
      </c>
      <c r="O162" s="41" t="str">
        <f t="shared" ca="1" si="2"/>
        <v>Open</v>
      </c>
      <c r="P162" s="41"/>
    </row>
    <row r="163" spans="1:16" ht="30" customHeight="1" x14ac:dyDescent="0.25">
      <c r="A163" s="51" t="s">
        <v>214</v>
      </c>
      <c r="B163" s="42" t="s">
        <v>391</v>
      </c>
      <c r="C163" s="60" t="s">
        <v>181</v>
      </c>
      <c r="D163" s="53" t="s">
        <v>161</v>
      </c>
      <c r="E163" s="44">
        <v>1</v>
      </c>
      <c r="F163" s="45" t="s">
        <v>134</v>
      </c>
      <c r="G163" s="42" t="s">
        <v>491</v>
      </c>
      <c r="H163" s="42" t="s">
        <v>111</v>
      </c>
      <c r="I163" s="42"/>
      <c r="J163" s="34" t="s">
        <v>2</v>
      </c>
      <c r="K163" s="44" t="s">
        <v>214</v>
      </c>
      <c r="L163" s="42" t="s">
        <v>393</v>
      </c>
      <c r="M163" s="42">
        <v>100</v>
      </c>
      <c r="N163" t="str">
        <f>IFERROR(HYPERLINK("#'Main'!B"&amp;MATCH(TRIM(A163),Main!B:B,0),"Open"),HYPERLINK("#'Main'!B1","Open"))</f>
        <v>Open</v>
      </c>
      <c r="O163" t="str">
        <f t="shared" ca="1" si="2"/>
        <v>Open</v>
      </c>
    </row>
    <row r="164" spans="1:16" ht="30" customHeight="1" x14ac:dyDescent="0.25">
      <c r="A164" s="50" t="s">
        <v>214</v>
      </c>
      <c r="B164" s="33" t="s">
        <v>391</v>
      </c>
      <c r="C164" s="59" t="s">
        <v>184</v>
      </c>
      <c r="D164" s="53" t="s">
        <v>161</v>
      </c>
      <c r="E164" s="37">
        <v>1</v>
      </c>
      <c r="F164" s="38" t="s">
        <v>57</v>
      </c>
      <c r="G164" s="33" t="s">
        <v>492</v>
      </c>
      <c r="H164" s="33" t="s">
        <v>111</v>
      </c>
      <c r="I164" s="33"/>
      <c r="J164" s="34" t="s">
        <v>2</v>
      </c>
      <c r="K164" s="37" t="s">
        <v>214</v>
      </c>
      <c r="L164" s="33" t="s">
        <v>393</v>
      </c>
      <c r="M164" s="33">
        <v>101</v>
      </c>
      <c r="N164" s="41" t="str">
        <f>IFERROR(HYPERLINK("#'Main'!B"&amp;MATCH(TRIM(A164),Main!B:B,0),"Open"),HYPERLINK("#'Main'!B1","Open"))</f>
        <v>Open</v>
      </c>
      <c r="O164" s="41" t="str">
        <f t="shared" ca="1" si="2"/>
        <v>Open</v>
      </c>
      <c r="P164" s="41"/>
    </row>
    <row r="165" spans="1:16" ht="30" customHeight="1" x14ac:dyDescent="0.25">
      <c r="A165" s="51" t="s">
        <v>214</v>
      </c>
      <c r="B165" s="42" t="s">
        <v>391</v>
      </c>
      <c r="C165" s="60" t="s">
        <v>187</v>
      </c>
      <c r="D165" s="53" t="s">
        <v>161</v>
      </c>
      <c r="E165" s="44">
        <v>1</v>
      </c>
      <c r="F165" s="45" t="s">
        <v>57</v>
      </c>
      <c r="G165" s="42" t="s">
        <v>493</v>
      </c>
      <c r="H165" s="42" t="s">
        <v>111</v>
      </c>
      <c r="I165" s="42"/>
      <c r="J165" s="34" t="s">
        <v>2</v>
      </c>
      <c r="K165" s="44" t="s">
        <v>214</v>
      </c>
      <c r="L165" s="42" t="s">
        <v>393</v>
      </c>
      <c r="M165" s="42">
        <v>102</v>
      </c>
      <c r="N165" t="str">
        <f>IFERROR(HYPERLINK("#'Main'!B"&amp;MATCH(TRIM(A165),Main!B:B,0),"Open"),HYPERLINK("#'Main'!B1","Open"))</f>
        <v>Open</v>
      </c>
      <c r="O165" t="str">
        <f t="shared" ca="1" si="2"/>
        <v>Open</v>
      </c>
    </row>
    <row r="166" spans="1:16" ht="30" customHeight="1" x14ac:dyDescent="0.25">
      <c r="A166" s="50" t="s">
        <v>215</v>
      </c>
      <c r="B166" s="33" t="s">
        <v>391</v>
      </c>
      <c r="C166" s="59" t="s">
        <v>149</v>
      </c>
      <c r="D166" s="47" t="s">
        <v>51</v>
      </c>
      <c r="E166" s="37">
        <v>1</v>
      </c>
      <c r="F166" s="38" t="s">
        <v>57</v>
      </c>
      <c r="G166" s="33" t="s">
        <v>494</v>
      </c>
      <c r="H166" s="33" t="s">
        <v>111</v>
      </c>
      <c r="I166" s="33"/>
      <c r="J166" s="34" t="s">
        <v>2</v>
      </c>
      <c r="K166" s="37" t="s">
        <v>215</v>
      </c>
      <c r="L166" s="33" t="s">
        <v>393</v>
      </c>
      <c r="M166" s="33">
        <v>103</v>
      </c>
      <c r="N166" s="41" t="str">
        <f>IFERROR(HYPERLINK("#'Main'!B"&amp;MATCH(TRIM(A166),Main!B:B,0),"Open"),HYPERLINK("#'Main'!B1","Open"))</f>
        <v>Open</v>
      </c>
      <c r="O166" s="41" t="str">
        <f t="shared" ca="1" si="2"/>
        <v>Open</v>
      </c>
      <c r="P166" s="41"/>
    </row>
    <row r="167" spans="1:16" ht="30" customHeight="1" x14ac:dyDescent="0.25">
      <c r="A167" s="51" t="s">
        <v>215</v>
      </c>
      <c r="B167" s="42" t="s">
        <v>391</v>
      </c>
      <c r="C167" s="60" t="s">
        <v>144</v>
      </c>
      <c r="D167" s="47" t="s">
        <v>51</v>
      </c>
      <c r="E167" s="44">
        <v>1</v>
      </c>
      <c r="F167" s="45" t="s">
        <v>134</v>
      </c>
      <c r="G167" s="42" t="s">
        <v>495</v>
      </c>
      <c r="H167" s="42" t="s">
        <v>111</v>
      </c>
      <c r="I167" s="42"/>
      <c r="J167" s="34" t="s">
        <v>2</v>
      </c>
      <c r="K167" s="44" t="s">
        <v>215</v>
      </c>
      <c r="L167" s="42" t="s">
        <v>393</v>
      </c>
      <c r="M167" s="42">
        <v>104</v>
      </c>
      <c r="N167" t="str">
        <f>IFERROR(HYPERLINK("#'Main'!B"&amp;MATCH(TRIM(A167),Main!B:B,0),"Open"),HYPERLINK("#'Main'!B1","Open"))</f>
        <v>Open</v>
      </c>
      <c r="O167" t="str">
        <f t="shared" ca="1" si="2"/>
        <v>Open</v>
      </c>
    </row>
    <row r="168" spans="1:16" ht="30" customHeight="1" x14ac:dyDescent="0.25">
      <c r="A168" s="50" t="s">
        <v>215</v>
      </c>
      <c r="B168" s="33" t="s">
        <v>391</v>
      </c>
      <c r="C168" s="59" t="s">
        <v>35</v>
      </c>
      <c r="D168" s="53" t="s">
        <v>161</v>
      </c>
      <c r="E168" s="37">
        <v>1</v>
      </c>
      <c r="F168" s="38" t="s">
        <v>57</v>
      </c>
      <c r="G168" s="33" t="s">
        <v>496</v>
      </c>
      <c r="H168" s="33" t="s">
        <v>100</v>
      </c>
      <c r="I168" s="33"/>
      <c r="J168" s="34" t="s">
        <v>2</v>
      </c>
      <c r="K168" s="37" t="s">
        <v>215</v>
      </c>
      <c r="L168" s="33" t="s">
        <v>393</v>
      </c>
      <c r="M168" s="33">
        <v>105</v>
      </c>
      <c r="N168" s="41" t="str">
        <f>IFERROR(HYPERLINK("#'Main'!B"&amp;MATCH(TRIM(A168),Main!B:B,0),"Open"),HYPERLINK("#'Main'!B1","Open"))</f>
        <v>Open</v>
      </c>
      <c r="O168" s="41" t="str">
        <f t="shared" ca="1" si="2"/>
        <v>Open</v>
      </c>
      <c r="P168" s="41"/>
    </row>
    <row r="169" spans="1:16" ht="30" customHeight="1" x14ac:dyDescent="0.25">
      <c r="A169" s="51" t="s">
        <v>215</v>
      </c>
      <c r="B169" s="42" t="s">
        <v>391</v>
      </c>
      <c r="C169" s="60" t="s">
        <v>177</v>
      </c>
      <c r="D169" s="53" t="s">
        <v>161</v>
      </c>
      <c r="E169" s="44">
        <v>1</v>
      </c>
      <c r="F169" s="45" t="s">
        <v>57</v>
      </c>
      <c r="G169" s="42" t="s">
        <v>497</v>
      </c>
      <c r="H169" s="42" t="s">
        <v>111</v>
      </c>
      <c r="I169" s="42"/>
      <c r="J169" s="34" t="s">
        <v>2</v>
      </c>
      <c r="K169" s="44" t="s">
        <v>215</v>
      </c>
      <c r="L169" s="42" t="s">
        <v>393</v>
      </c>
      <c r="M169" s="42">
        <v>106</v>
      </c>
      <c r="N169" t="str">
        <f>IFERROR(HYPERLINK("#'Main'!B"&amp;MATCH(TRIM(A169),Main!B:B,0),"Open"),HYPERLINK("#'Main'!B1","Open"))</f>
        <v>Open</v>
      </c>
      <c r="O169" t="str">
        <f t="shared" ca="1" si="2"/>
        <v>Open</v>
      </c>
    </row>
    <row r="170" spans="1:16" ht="30" customHeight="1" x14ac:dyDescent="0.25">
      <c r="A170" s="50" t="s">
        <v>215</v>
      </c>
      <c r="B170" s="33" t="s">
        <v>391</v>
      </c>
      <c r="C170" s="59" t="s">
        <v>181</v>
      </c>
      <c r="D170" s="53" t="s">
        <v>161</v>
      </c>
      <c r="E170" s="37">
        <v>1</v>
      </c>
      <c r="F170" s="38" t="s">
        <v>134</v>
      </c>
      <c r="G170" s="33" t="s">
        <v>498</v>
      </c>
      <c r="H170" s="33" t="s">
        <v>111</v>
      </c>
      <c r="I170" s="33"/>
      <c r="J170" s="34" t="s">
        <v>2</v>
      </c>
      <c r="K170" s="37" t="s">
        <v>215</v>
      </c>
      <c r="L170" s="33" t="s">
        <v>393</v>
      </c>
      <c r="M170" s="33">
        <v>107</v>
      </c>
      <c r="N170" s="41" t="str">
        <f>IFERROR(HYPERLINK("#'Main'!B"&amp;MATCH(TRIM(A170),Main!B:B,0),"Open"),HYPERLINK("#'Main'!B1","Open"))</f>
        <v>Open</v>
      </c>
      <c r="O170" s="41" t="str">
        <f t="shared" ca="1" si="2"/>
        <v>Open</v>
      </c>
      <c r="P170" s="41"/>
    </row>
    <row r="171" spans="1:16" ht="30" customHeight="1" x14ac:dyDescent="0.25">
      <c r="A171" s="51" t="s">
        <v>215</v>
      </c>
      <c r="B171" s="42" t="s">
        <v>391</v>
      </c>
      <c r="C171" s="60" t="s">
        <v>184</v>
      </c>
      <c r="D171" s="53" t="s">
        <v>161</v>
      </c>
      <c r="E171" s="44">
        <v>1</v>
      </c>
      <c r="F171" s="45" t="s">
        <v>57</v>
      </c>
      <c r="G171" s="42" t="s">
        <v>499</v>
      </c>
      <c r="H171" s="42" t="s">
        <v>111</v>
      </c>
      <c r="I171" s="42"/>
      <c r="J171" s="34" t="s">
        <v>2</v>
      </c>
      <c r="K171" s="44" t="s">
        <v>215</v>
      </c>
      <c r="L171" s="42" t="s">
        <v>393</v>
      </c>
      <c r="M171" s="42">
        <v>108</v>
      </c>
      <c r="N171" t="str">
        <f>IFERROR(HYPERLINK("#'Main'!B"&amp;MATCH(TRIM(A171),Main!B:B,0),"Open"),HYPERLINK("#'Main'!B1","Open"))</f>
        <v>Open</v>
      </c>
      <c r="O171" t="str">
        <f t="shared" ca="1" si="2"/>
        <v>Open</v>
      </c>
    </row>
    <row r="172" spans="1:16" ht="30" customHeight="1" x14ac:dyDescent="0.25">
      <c r="A172" s="50" t="s">
        <v>215</v>
      </c>
      <c r="B172" s="33" t="s">
        <v>391</v>
      </c>
      <c r="C172" s="59" t="s">
        <v>187</v>
      </c>
      <c r="D172" s="53" t="s">
        <v>161</v>
      </c>
      <c r="E172" s="37">
        <v>1</v>
      </c>
      <c r="F172" s="38" t="s">
        <v>57</v>
      </c>
      <c r="G172" s="33" t="s">
        <v>500</v>
      </c>
      <c r="H172" s="33" t="s">
        <v>111</v>
      </c>
      <c r="I172" s="33"/>
      <c r="J172" s="34" t="s">
        <v>2</v>
      </c>
      <c r="K172" s="37" t="s">
        <v>215</v>
      </c>
      <c r="L172" s="33" t="s">
        <v>393</v>
      </c>
      <c r="M172" s="33">
        <v>109</v>
      </c>
      <c r="N172" s="41" t="str">
        <f>IFERROR(HYPERLINK("#'Main'!B"&amp;MATCH(TRIM(A172),Main!B:B,0),"Open"),HYPERLINK("#'Main'!B1","Open"))</f>
        <v>Open</v>
      </c>
      <c r="O172" s="41" t="str">
        <f t="shared" ca="1" si="2"/>
        <v>Open</v>
      </c>
      <c r="P172" s="41"/>
    </row>
    <row r="173" spans="1:16" ht="30" customHeight="1" x14ac:dyDescent="0.25">
      <c r="A173" s="51" t="s">
        <v>216</v>
      </c>
      <c r="B173" s="42" t="s">
        <v>391</v>
      </c>
      <c r="C173" s="60" t="s">
        <v>151</v>
      </c>
      <c r="D173" s="47" t="s">
        <v>51</v>
      </c>
      <c r="E173" s="44">
        <v>1</v>
      </c>
      <c r="F173" s="45" t="s">
        <v>57</v>
      </c>
      <c r="G173" s="42" t="s">
        <v>501</v>
      </c>
      <c r="H173" s="42" t="s">
        <v>111</v>
      </c>
      <c r="I173" s="42"/>
      <c r="J173" s="34" t="s">
        <v>2</v>
      </c>
      <c r="K173" s="44" t="s">
        <v>216</v>
      </c>
      <c r="L173" s="42" t="s">
        <v>393</v>
      </c>
      <c r="M173" s="42">
        <v>110</v>
      </c>
      <c r="N173" t="str">
        <f>IFERROR(HYPERLINK("#'Main'!B"&amp;MATCH(TRIM(A173),Main!B:B,0),"Open"),HYPERLINK("#'Main'!B1","Open"))</f>
        <v>Open</v>
      </c>
      <c r="O173" t="str">
        <f t="shared" ca="1" si="2"/>
        <v>Open</v>
      </c>
    </row>
    <row r="174" spans="1:16" ht="30" customHeight="1" x14ac:dyDescent="0.25">
      <c r="A174" s="50" t="s">
        <v>216</v>
      </c>
      <c r="B174" s="33" t="s">
        <v>391</v>
      </c>
      <c r="C174" s="59" t="s">
        <v>144</v>
      </c>
      <c r="D174" s="47" t="s">
        <v>51</v>
      </c>
      <c r="E174" s="37">
        <v>1</v>
      </c>
      <c r="F174" s="38" t="s">
        <v>134</v>
      </c>
      <c r="G174" s="33" t="s">
        <v>502</v>
      </c>
      <c r="H174" s="33" t="s">
        <v>111</v>
      </c>
      <c r="I174" s="33"/>
      <c r="J174" s="34" t="s">
        <v>2</v>
      </c>
      <c r="K174" s="37" t="s">
        <v>216</v>
      </c>
      <c r="L174" s="33" t="s">
        <v>393</v>
      </c>
      <c r="M174" s="33">
        <v>111</v>
      </c>
      <c r="N174" s="41" t="str">
        <f>IFERROR(HYPERLINK("#'Main'!B"&amp;MATCH(TRIM(A174),Main!B:B,0),"Open"),HYPERLINK("#'Main'!B1","Open"))</f>
        <v>Open</v>
      </c>
      <c r="O174" s="41" t="str">
        <f t="shared" ca="1" si="2"/>
        <v>Open</v>
      </c>
      <c r="P174" s="41"/>
    </row>
    <row r="175" spans="1:16" ht="30" customHeight="1" x14ac:dyDescent="0.25">
      <c r="A175" s="51" t="s">
        <v>216</v>
      </c>
      <c r="B175" s="42" t="s">
        <v>391</v>
      </c>
      <c r="C175" s="60" t="s">
        <v>35</v>
      </c>
      <c r="D175" s="53" t="s">
        <v>161</v>
      </c>
      <c r="E175" s="44">
        <v>1</v>
      </c>
      <c r="F175" s="45" t="s">
        <v>57</v>
      </c>
      <c r="G175" s="42" t="s">
        <v>503</v>
      </c>
      <c r="H175" s="42" t="s">
        <v>100</v>
      </c>
      <c r="I175" s="42"/>
      <c r="J175" s="34" t="s">
        <v>2</v>
      </c>
      <c r="K175" s="44" t="s">
        <v>216</v>
      </c>
      <c r="L175" s="42" t="s">
        <v>393</v>
      </c>
      <c r="M175" s="42">
        <v>112</v>
      </c>
      <c r="N175" t="str">
        <f>IFERROR(HYPERLINK("#'Main'!B"&amp;MATCH(TRIM(A175),Main!B:B,0),"Open"),HYPERLINK("#'Main'!B1","Open"))</f>
        <v>Open</v>
      </c>
      <c r="O175" t="str">
        <f t="shared" ca="1" si="2"/>
        <v>Open</v>
      </c>
    </row>
    <row r="176" spans="1:16" ht="30" customHeight="1" x14ac:dyDescent="0.25">
      <c r="A176" s="50" t="s">
        <v>216</v>
      </c>
      <c r="B176" s="33" t="s">
        <v>391</v>
      </c>
      <c r="C176" s="59" t="s">
        <v>181</v>
      </c>
      <c r="D176" s="53" t="s">
        <v>161</v>
      </c>
      <c r="E176" s="37">
        <v>1</v>
      </c>
      <c r="F176" s="38" t="s">
        <v>134</v>
      </c>
      <c r="G176" s="33" t="s">
        <v>504</v>
      </c>
      <c r="H176" s="33" t="s">
        <v>111</v>
      </c>
      <c r="I176" s="33"/>
      <c r="J176" s="34" t="s">
        <v>2</v>
      </c>
      <c r="K176" s="37" t="s">
        <v>216</v>
      </c>
      <c r="L176" s="33" t="s">
        <v>393</v>
      </c>
      <c r="M176" s="33">
        <v>113</v>
      </c>
      <c r="N176" s="41" t="str">
        <f>IFERROR(HYPERLINK("#'Main'!B"&amp;MATCH(TRIM(A176),Main!B:B,0),"Open"),HYPERLINK("#'Main'!B1","Open"))</f>
        <v>Open</v>
      </c>
      <c r="O176" s="41" t="str">
        <f t="shared" ca="1" si="2"/>
        <v>Open</v>
      </c>
      <c r="P176" s="41"/>
    </row>
    <row r="177" spans="1:16" ht="30" customHeight="1" x14ac:dyDescent="0.25">
      <c r="A177" s="51" t="s">
        <v>216</v>
      </c>
      <c r="B177" s="42" t="s">
        <v>391</v>
      </c>
      <c r="C177" s="60" t="s">
        <v>184</v>
      </c>
      <c r="D177" s="53" t="s">
        <v>161</v>
      </c>
      <c r="E177" s="44">
        <v>1</v>
      </c>
      <c r="F177" s="45" t="s">
        <v>57</v>
      </c>
      <c r="G177" s="42" t="s">
        <v>505</v>
      </c>
      <c r="H177" s="42" t="s">
        <v>111</v>
      </c>
      <c r="I177" s="42"/>
      <c r="J177" s="34" t="s">
        <v>2</v>
      </c>
      <c r="K177" s="44" t="s">
        <v>216</v>
      </c>
      <c r="L177" s="42" t="s">
        <v>393</v>
      </c>
      <c r="M177" s="42">
        <v>114</v>
      </c>
      <c r="N177" t="str">
        <f>IFERROR(HYPERLINK("#'Main'!B"&amp;MATCH(TRIM(A177),Main!B:B,0),"Open"),HYPERLINK("#'Main'!B1","Open"))</f>
        <v>Open</v>
      </c>
      <c r="O177" t="str">
        <f t="shared" ca="1" si="2"/>
        <v>Open</v>
      </c>
    </row>
    <row r="178" spans="1:16" ht="30" customHeight="1" x14ac:dyDescent="0.25">
      <c r="A178" s="50" t="s">
        <v>216</v>
      </c>
      <c r="B178" s="33" t="s">
        <v>391</v>
      </c>
      <c r="C178" s="59" t="s">
        <v>187</v>
      </c>
      <c r="D178" s="53" t="s">
        <v>161</v>
      </c>
      <c r="E178" s="37">
        <v>1</v>
      </c>
      <c r="F178" s="38" t="s">
        <v>57</v>
      </c>
      <c r="G178" s="33" t="s">
        <v>506</v>
      </c>
      <c r="H178" s="33" t="s">
        <v>111</v>
      </c>
      <c r="I178" s="33"/>
      <c r="J178" s="34" t="s">
        <v>2</v>
      </c>
      <c r="K178" s="37" t="s">
        <v>216</v>
      </c>
      <c r="L178" s="33" t="s">
        <v>393</v>
      </c>
      <c r="M178" s="33">
        <v>115</v>
      </c>
      <c r="N178" s="41" t="str">
        <f>IFERROR(HYPERLINK("#'Main'!B"&amp;MATCH(TRIM(A178),Main!B:B,0),"Open"),HYPERLINK("#'Main'!B1","Open"))</f>
        <v>Open</v>
      </c>
      <c r="O178" s="41" t="str">
        <f t="shared" ca="1" si="2"/>
        <v>Open</v>
      </c>
      <c r="P178" s="41"/>
    </row>
    <row r="179" spans="1:16" ht="30" customHeight="1" x14ac:dyDescent="0.25">
      <c r="A179" s="51" t="s">
        <v>217</v>
      </c>
      <c r="B179" s="42" t="s">
        <v>391</v>
      </c>
      <c r="C179" s="60" t="s">
        <v>149</v>
      </c>
      <c r="D179" s="47" t="s">
        <v>51</v>
      </c>
      <c r="E179" s="44">
        <v>1</v>
      </c>
      <c r="F179" s="45" t="s">
        <v>57</v>
      </c>
      <c r="G179" s="42" t="s">
        <v>507</v>
      </c>
      <c r="H179" s="42" t="s">
        <v>111</v>
      </c>
      <c r="I179" s="42"/>
      <c r="J179" s="34" t="s">
        <v>2</v>
      </c>
      <c r="K179" s="44" t="s">
        <v>217</v>
      </c>
      <c r="L179" s="42" t="s">
        <v>393</v>
      </c>
      <c r="M179" s="42">
        <v>116</v>
      </c>
      <c r="N179" t="str">
        <f>IFERROR(HYPERLINK("#'Main'!B"&amp;MATCH(TRIM(A179),Main!B:B,0),"Open"),HYPERLINK("#'Main'!B1","Open"))</f>
        <v>Open</v>
      </c>
      <c r="O179" t="str">
        <f t="shared" ca="1" si="2"/>
        <v>Open</v>
      </c>
    </row>
    <row r="180" spans="1:16" ht="30" customHeight="1" x14ac:dyDescent="0.25">
      <c r="A180" s="50" t="s">
        <v>217</v>
      </c>
      <c r="B180" s="33" t="s">
        <v>391</v>
      </c>
      <c r="C180" s="59" t="s">
        <v>144</v>
      </c>
      <c r="D180" s="47" t="s">
        <v>51</v>
      </c>
      <c r="E180" s="37">
        <v>1</v>
      </c>
      <c r="F180" s="38" t="s">
        <v>134</v>
      </c>
      <c r="G180" s="33" t="s">
        <v>508</v>
      </c>
      <c r="H180" s="33" t="s">
        <v>111</v>
      </c>
      <c r="I180" s="33"/>
      <c r="J180" s="34" t="s">
        <v>2</v>
      </c>
      <c r="K180" s="37" t="s">
        <v>217</v>
      </c>
      <c r="L180" s="33" t="s">
        <v>393</v>
      </c>
      <c r="M180" s="33">
        <v>117</v>
      </c>
      <c r="N180" s="41" t="str">
        <f>IFERROR(HYPERLINK("#'Main'!B"&amp;MATCH(TRIM(A180),Main!B:B,0),"Open"),HYPERLINK("#'Main'!B1","Open"))</f>
        <v>Open</v>
      </c>
      <c r="O180" s="41" t="str">
        <f t="shared" ca="1" si="2"/>
        <v>Open</v>
      </c>
      <c r="P180" s="41"/>
    </row>
    <row r="181" spans="1:16" ht="30" customHeight="1" x14ac:dyDescent="0.25">
      <c r="A181" s="51" t="s">
        <v>217</v>
      </c>
      <c r="B181" s="42" t="s">
        <v>391</v>
      </c>
      <c r="C181" s="60" t="s">
        <v>35</v>
      </c>
      <c r="D181" s="53" t="s">
        <v>161</v>
      </c>
      <c r="E181" s="44">
        <v>1</v>
      </c>
      <c r="F181" s="45" t="s">
        <v>57</v>
      </c>
      <c r="G181" s="42" t="s">
        <v>509</v>
      </c>
      <c r="H181" s="42" t="s">
        <v>100</v>
      </c>
      <c r="I181" s="42"/>
      <c r="J181" s="34" t="s">
        <v>2</v>
      </c>
      <c r="K181" s="44" t="s">
        <v>217</v>
      </c>
      <c r="L181" s="42" t="s">
        <v>393</v>
      </c>
      <c r="M181" s="42">
        <v>118</v>
      </c>
      <c r="N181" t="str">
        <f>IFERROR(HYPERLINK("#'Main'!B"&amp;MATCH(TRIM(A181),Main!B:B,0),"Open"),HYPERLINK("#'Main'!B1","Open"))</f>
        <v>Open</v>
      </c>
      <c r="O181" t="str">
        <f t="shared" ca="1" si="2"/>
        <v>Open</v>
      </c>
    </row>
    <row r="182" spans="1:16" ht="30" customHeight="1" x14ac:dyDescent="0.25">
      <c r="A182" s="50" t="s">
        <v>217</v>
      </c>
      <c r="B182" s="33" t="s">
        <v>391</v>
      </c>
      <c r="C182" s="59" t="s">
        <v>181</v>
      </c>
      <c r="D182" s="53" t="s">
        <v>161</v>
      </c>
      <c r="E182" s="37">
        <v>1</v>
      </c>
      <c r="F182" s="38" t="s">
        <v>134</v>
      </c>
      <c r="G182" s="33" t="s">
        <v>510</v>
      </c>
      <c r="H182" s="33" t="s">
        <v>111</v>
      </c>
      <c r="I182" s="33"/>
      <c r="J182" s="34" t="s">
        <v>2</v>
      </c>
      <c r="K182" s="37" t="s">
        <v>217</v>
      </c>
      <c r="L182" s="33" t="s">
        <v>393</v>
      </c>
      <c r="M182" s="33">
        <v>119</v>
      </c>
      <c r="N182" s="41" t="str">
        <f>IFERROR(HYPERLINK("#'Main'!B"&amp;MATCH(TRIM(A182),Main!B:B,0),"Open"),HYPERLINK("#'Main'!B1","Open"))</f>
        <v>Open</v>
      </c>
      <c r="O182" s="41" t="str">
        <f t="shared" ca="1" si="2"/>
        <v>Open</v>
      </c>
      <c r="P182" s="41"/>
    </row>
    <row r="183" spans="1:16" ht="30" customHeight="1" x14ac:dyDescent="0.25">
      <c r="A183" s="51" t="s">
        <v>217</v>
      </c>
      <c r="B183" s="42" t="s">
        <v>391</v>
      </c>
      <c r="C183" s="60" t="s">
        <v>184</v>
      </c>
      <c r="D183" s="53" t="s">
        <v>161</v>
      </c>
      <c r="E183" s="44">
        <v>1</v>
      </c>
      <c r="F183" s="45" t="s">
        <v>57</v>
      </c>
      <c r="G183" s="42" t="s">
        <v>511</v>
      </c>
      <c r="H183" s="42" t="s">
        <v>111</v>
      </c>
      <c r="I183" s="42"/>
      <c r="J183" s="34" t="s">
        <v>2</v>
      </c>
      <c r="K183" s="44" t="s">
        <v>217</v>
      </c>
      <c r="L183" s="42" t="s">
        <v>393</v>
      </c>
      <c r="M183" s="42">
        <v>120</v>
      </c>
      <c r="N183" t="str">
        <f>IFERROR(HYPERLINK("#'Main'!B"&amp;MATCH(TRIM(A183),Main!B:B,0),"Open"),HYPERLINK("#'Main'!B1","Open"))</f>
        <v>Open</v>
      </c>
      <c r="O183" t="str">
        <f t="shared" ca="1" si="2"/>
        <v>Open</v>
      </c>
    </row>
    <row r="184" spans="1:16" ht="30" customHeight="1" x14ac:dyDescent="0.25">
      <c r="A184" s="50" t="s">
        <v>217</v>
      </c>
      <c r="B184" s="33" t="s">
        <v>391</v>
      </c>
      <c r="C184" s="59" t="s">
        <v>187</v>
      </c>
      <c r="D184" s="53" t="s">
        <v>161</v>
      </c>
      <c r="E184" s="37">
        <v>1</v>
      </c>
      <c r="F184" s="38" t="s">
        <v>57</v>
      </c>
      <c r="G184" s="33" t="s">
        <v>512</v>
      </c>
      <c r="H184" s="33" t="s">
        <v>111</v>
      </c>
      <c r="I184" s="33"/>
      <c r="J184" s="34" t="s">
        <v>2</v>
      </c>
      <c r="K184" s="37" t="s">
        <v>217</v>
      </c>
      <c r="L184" s="33" t="s">
        <v>393</v>
      </c>
      <c r="M184" s="33">
        <v>121</v>
      </c>
      <c r="N184" s="41" t="str">
        <f>IFERROR(HYPERLINK("#'Main'!B"&amp;MATCH(TRIM(A184),Main!B:B,0),"Open"),HYPERLINK("#'Main'!B1","Open"))</f>
        <v>Open</v>
      </c>
      <c r="O184" s="41" t="str">
        <f t="shared" ca="1" si="2"/>
        <v>Open</v>
      </c>
      <c r="P184" s="41"/>
    </row>
    <row r="185" spans="1:16" ht="30" customHeight="1" x14ac:dyDescent="0.25">
      <c r="A185" s="51" t="s">
        <v>219</v>
      </c>
      <c r="B185" s="42" t="s">
        <v>391</v>
      </c>
      <c r="C185" s="60" t="s">
        <v>144</v>
      </c>
      <c r="D185" s="47" t="s">
        <v>51</v>
      </c>
      <c r="E185" s="44">
        <v>1</v>
      </c>
      <c r="F185" s="45" t="s">
        <v>134</v>
      </c>
      <c r="G185" s="42" t="s">
        <v>513</v>
      </c>
      <c r="H185" s="42" t="s">
        <v>111</v>
      </c>
      <c r="I185" s="42"/>
      <c r="J185" s="34" t="s">
        <v>2</v>
      </c>
      <c r="K185" s="44" t="s">
        <v>219</v>
      </c>
      <c r="L185" s="42" t="s">
        <v>393</v>
      </c>
      <c r="M185" s="42">
        <v>122</v>
      </c>
      <c r="N185" t="str">
        <f>IFERROR(HYPERLINK("#'Main'!B"&amp;MATCH(TRIM(A185),Main!B:B,0),"Open"),HYPERLINK("#'Main'!B1","Open"))</f>
        <v>Open</v>
      </c>
      <c r="O185" t="str">
        <f t="shared" ca="1" si="2"/>
        <v>Open</v>
      </c>
    </row>
    <row r="186" spans="1:16" ht="30" customHeight="1" x14ac:dyDescent="0.25">
      <c r="A186" s="50" t="s">
        <v>219</v>
      </c>
      <c r="B186" s="33" t="s">
        <v>391</v>
      </c>
      <c r="C186" s="59" t="s">
        <v>35</v>
      </c>
      <c r="D186" s="53" t="s">
        <v>161</v>
      </c>
      <c r="E186" s="37">
        <v>1</v>
      </c>
      <c r="F186" s="38" t="s">
        <v>57</v>
      </c>
      <c r="G186" s="33" t="s">
        <v>514</v>
      </c>
      <c r="H186" s="33" t="s">
        <v>100</v>
      </c>
      <c r="I186" s="33"/>
      <c r="J186" s="34" t="s">
        <v>2</v>
      </c>
      <c r="K186" s="37" t="s">
        <v>219</v>
      </c>
      <c r="L186" s="33" t="s">
        <v>393</v>
      </c>
      <c r="M186" s="33">
        <v>123</v>
      </c>
      <c r="N186" s="41" t="str">
        <f>IFERROR(HYPERLINK("#'Main'!B"&amp;MATCH(TRIM(A186),Main!B:B,0),"Open"),HYPERLINK("#'Main'!B1","Open"))</f>
        <v>Open</v>
      </c>
      <c r="O186" s="41" t="str">
        <f t="shared" ca="1" si="2"/>
        <v>Open</v>
      </c>
      <c r="P186" s="41"/>
    </row>
    <row r="187" spans="1:16" ht="30" customHeight="1" x14ac:dyDescent="0.25">
      <c r="A187" s="51" t="s">
        <v>219</v>
      </c>
      <c r="B187" s="42" t="s">
        <v>391</v>
      </c>
      <c r="C187" s="60" t="s">
        <v>177</v>
      </c>
      <c r="D187" s="53" t="s">
        <v>161</v>
      </c>
      <c r="E187" s="44">
        <v>1</v>
      </c>
      <c r="F187" s="45" t="s">
        <v>57</v>
      </c>
      <c r="G187" s="42" t="s">
        <v>515</v>
      </c>
      <c r="H187" s="42" t="s">
        <v>111</v>
      </c>
      <c r="I187" s="42"/>
      <c r="J187" s="34" t="s">
        <v>2</v>
      </c>
      <c r="K187" s="44" t="s">
        <v>219</v>
      </c>
      <c r="L187" s="42" t="s">
        <v>393</v>
      </c>
      <c r="M187" s="42">
        <v>124</v>
      </c>
      <c r="N187" t="str">
        <f>IFERROR(HYPERLINK("#'Main'!B"&amp;MATCH(TRIM(A187),Main!B:B,0),"Open"),HYPERLINK("#'Main'!B1","Open"))</f>
        <v>Open</v>
      </c>
      <c r="O187" t="str">
        <f t="shared" ca="1" si="2"/>
        <v>Open</v>
      </c>
    </row>
    <row r="188" spans="1:16" ht="30" customHeight="1" x14ac:dyDescent="0.25">
      <c r="A188" s="50" t="s">
        <v>219</v>
      </c>
      <c r="B188" s="33" t="s">
        <v>391</v>
      </c>
      <c r="C188" s="59" t="s">
        <v>181</v>
      </c>
      <c r="D188" s="53" t="s">
        <v>161</v>
      </c>
      <c r="E188" s="37">
        <v>1</v>
      </c>
      <c r="F188" s="38" t="s">
        <v>134</v>
      </c>
      <c r="G188" s="33" t="s">
        <v>516</v>
      </c>
      <c r="H188" s="33" t="s">
        <v>111</v>
      </c>
      <c r="I188" s="33"/>
      <c r="J188" s="34" t="s">
        <v>2</v>
      </c>
      <c r="K188" s="37" t="s">
        <v>219</v>
      </c>
      <c r="L188" s="33" t="s">
        <v>393</v>
      </c>
      <c r="M188" s="33">
        <v>125</v>
      </c>
      <c r="N188" s="41" t="str">
        <f>IFERROR(HYPERLINK("#'Main'!B"&amp;MATCH(TRIM(A188),Main!B:B,0),"Open"),HYPERLINK("#'Main'!B1","Open"))</f>
        <v>Open</v>
      </c>
      <c r="O188" s="41" t="str">
        <f t="shared" ca="1" si="2"/>
        <v>Open</v>
      </c>
      <c r="P188" s="41"/>
    </row>
    <row r="189" spans="1:16" ht="30" customHeight="1" x14ac:dyDescent="0.25">
      <c r="A189" s="51" t="s">
        <v>219</v>
      </c>
      <c r="B189" s="42" t="s">
        <v>391</v>
      </c>
      <c r="C189" s="60" t="s">
        <v>184</v>
      </c>
      <c r="D189" s="53" t="s">
        <v>161</v>
      </c>
      <c r="E189" s="44">
        <v>1</v>
      </c>
      <c r="F189" s="45" t="s">
        <v>57</v>
      </c>
      <c r="G189" s="42" t="s">
        <v>517</v>
      </c>
      <c r="H189" s="42" t="s">
        <v>111</v>
      </c>
      <c r="I189" s="42"/>
      <c r="J189" s="34" t="s">
        <v>2</v>
      </c>
      <c r="K189" s="44" t="s">
        <v>219</v>
      </c>
      <c r="L189" s="42" t="s">
        <v>393</v>
      </c>
      <c r="M189" s="42">
        <v>126</v>
      </c>
      <c r="N189" t="str">
        <f>IFERROR(HYPERLINK("#'Main'!B"&amp;MATCH(TRIM(A189),Main!B:B,0),"Open"),HYPERLINK("#'Main'!B1","Open"))</f>
        <v>Open</v>
      </c>
      <c r="O189" t="str">
        <f t="shared" ca="1" si="2"/>
        <v>Open</v>
      </c>
    </row>
    <row r="190" spans="1:16" ht="30" customHeight="1" x14ac:dyDescent="0.25">
      <c r="A190" s="50" t="s">
        <v>219</v>
      </c>
      <c r="B190" s="33" t="s">
        <v>391</v>
      </c>
      <c r="C190" s="59" t="s">
        <v>187</v>
      </c>
      <c r="D190" s="53" t="s">
        <v>161</v>
      </c>
      <c r="E190" s="37">
        <v>1</v>
      </c>
      <c r="F190" s="38" t="s">
        <v>57</v>
      </c>
      <c r="G190" s="33" t="s">
        <v>518</v>
      </c>
      <c r="H190" s="33" t="s">
        <v>111</v>
      </c>
      <c r="I190" s="33"/>
      <c r="J190" s="34" t="s">
        <v>2</v>
      </c>
      <c r="K190" s="37" t="s">
        <v>219</v>
      </c>
      <c r="L190" s="33" t="s">
        <v>393</v>
      </c>
      <c r="M190" s="33">
        <v>127</v>
      </c>
      <c r="N190" s="41" t="str">
        <f>IFERROR(HYPERLINK("#'Main'!B"&amp;MATCH(TRIM(A190),Main!B:B,0),"Open"),HYPERLINK("#'Main'!B1","Open"))</f>
        <v>Open</v>
      </c>
      <c r="O190" s="41" t="str">
        <f t="shared" ca="1" si="2"/>
        <v>Open</v>
      </c>
      <c r="P190" s="41"/>
    </row>
    <row r="191" spans="1:16" ht="30" customHeight="1" x14ac:dyDescent="0.25">
      <c r="A191" s="51" t="s">
        <v>218</v>
      </c>
      <c r="B191" s="42" t="s">
        <v>391</v>
      </c>
      <c r="C191" s="60" t="s">
        <v>149</v>
      </c>
      <c r="D191" s="47" t="s">
        <v>51</v>
      </c>
      <c r="E191" s="44">
        <v>1</v>
      </c>
      <c r="F191" s="45" t="s">
        <v>57</v>
      </c>
      <c r="G191" s="42" t="s">
        <v>519</v>
      </c>
      <c r="H191" s="42" t="s">
        <v>111</v>
      </c>
      <c r="I191" s="42"/>
      <c r="J191" s="34" t="s">
        <v>2</v>
      </c>
      <c r="K191" s="44" t="s">
        <v>218</v>
      </c>
      <c r="L191" s="42" t="s">
        <v>393</v>
      </c>
      <c r="M191" s="42">
        <v>128</v>
      </c>
      <c r="N191" t="str">
        <f>IFERROR(HYPERLINK("#'Main'!B"&amp;MATCH(TRIM(A191),Main!B:B,0),"Open"),HYPERLINK("#'Main'!B1","Open"))</f>
        <v>Open</v>
      </c>
      <c r="O191" t="str">
        <f t="shared" ca="1" si="2"/>
        <v>Open</v>
      </c>
    </row>
    <row r="192" spans="1:16" ht="30" customHeight="1" x14ac:dyDescent="0.25">
      <c r="A192" s="50" t="s">
        <v>218</v>
      </c>
      <c r="B192" s="33" t="s">
        <v>391</v>
      </c>
      <c r="C192" s="59" t="s">
        <v>144</v>
      </c>
      <c r="D192" s="47" t="s">
        <v>51</v>
      </c>
      <c r="E192" s="37">
        <v>1</v>
      </c>
      <c r="F192" s="38" t="s">
        <v>134</v>
      </c>
      <c r="G192" s="33" t="s">
        <v>520</v>
      </c>
      <c r="H192" s="33" t="s">
        <v>111</v>
      </c>
      <c r="I192" s="33"/>
      <c r="J192" s="34" t="s">
        <v>2</v>
      </c>
      <c r="K192" s="37" t="s">
        <v>218</v>
      </c>
      <c r="L192" s="33" t="s">
        <v>393</v>
      </c>
      <c r="M192" s="33">
        <v>129</v>
      </c>
      <c r="N192" s="41" t="str">
        <f>IFERROR(HYPERLINK("#'Main'!B"&amp;MATCH(TRIM(A192),Main!B:B,0),"Open"),HYPERLINK("#'Main'!B1","Open"))</f>
        <v>Open</v>
      </c>
      <c r="O192" s="41" t="str">
        <f t="shared" ca="1" si="2"/>
        <v>Open</v>
      </c>
      <c r="P192" s="41"/>
    </row>
    <row r="193" spans="1:16" ht="30" customHeight="1" x14ac:dyDescent="0.25">
      <c r="A193" s="51" t="s">
        <v>218</v>
      </c>
      <c r="B193" s="42" t="s">
        <v>391</v>
      </c>
      <c r="C193" s="60" t="s">
        <v>35</v>
      </c>
      <c r="D193" s="53" t="s">
        <v>161</v>
      </c>
      <c r="E193" s="44">
        <v>1</v>
      </c>
      <c r="F193" s="45" t="s">
        <v>57</v>
      </c>
      <c r="G193" s="42" t="s">
        <v>521</v>
      </c>
      <c r="H193" s="42" t="s">
        <v>100</v>
      </c>
      <c r="I193" s="42"/>
      <c r="J193" s="34" t="s">
        <v>2</v>
      </c>
      <c r="K193" s="44" t="s">
        <v>218</v>
      </c>
      <c r="L193" s="42" t="s">
        <v>393</v>
      </c>
      <c r="M193" s="42">
        <v>130</v>
      </c>
      <c r="N193" t="str">
        <f>IFERROR(HYPERLINK("#'Main'!B"&amp;MATCH(TRIM(A193),Main!B:B,0),"Open"),HYPERLINK("#'Main'!B1","Open"))</f>
        <v>Open</v>
      </c>
      <c r="O193" t="str">
        <f t="shared" ca="1" si="2"/>
        <v>Open</v>
      </c>
    </row>
    <row r="194" spans="1:16" ht="30" customHeight="1" x14ac:dyDescent="0.25">
      <c r="A194" s="50" t="s">
        <v>218</v>
      </c>
      <c r="B194" s="33" t="s">
        <v>391</v>
      </c>
      <c r="C194" s="59" t="s">
        <v>177</v>
      </c>
      <c r="D194" s="53" t="s">
        <v>161</v>
      </c>
      <c r="E194" s="37">
        <v>1</v>
      </c>
      <c r="F194" s="38" t="s">
        <v>57</v>
      </c>
      <c r="G194" s="33" t="s">
        <v>522</v>
      </c>
      <c r="H194" s="33" t="s">
        <v>111</v>
      </c>
      <c r="I194" s="33"/>
      <c r="J194" s="34" t="s">
        <v>2</v>
      </c>
      <c r="K194" s="37" t="s">
        <v>218</v>
      </c>
      <c r="L194" s="33" t="s">
        <v>393</v>
      </c>
      <c r="M194" s="33">
        <v>131</v>
      </c>
      <c r="N194" s="41" t="str">
        <f>IFERROR(HYPERLINK("#'Main'!B"&amp;MATCH(TRIM(A194),Main!B:B,0),"Open"),HYPERLINK("#'Main'!B1","Open"))</f>
        <v>Open</v>
      </c>
      <c r="O194" s="41" t="str">
        <f t="shared" ref="O194:O205" ca="1" si="3">IFERROR(HYPERLINK("#"&amp;F194&amp;"!A"&amp;MATCH(A194,INDIRECT("'"&amp;F194&amp;"'!A:A"),0),"Open"),HYPERLINK("#"&amp;F194&amp;"!A1","Open"))</f>
        <v>Open</v>
      </c>
      <c r="P194" s="41"/>
    </row>
    <row r="195" spans="1:16" ht="30" customHeight="1" x14ac:dyDescent="0.25">
      <c r="A195" s="51" t="s">
        <v>218</v>
      </c>
      <c r="B195" s="42" t="s">
        <v>391</v>
      </c>
      <c r="C195" s="60" t="s">
        <v>181</v>
      </c>
      <c r="D195" s="53" t="s">
        <v>161</v>
      </c>
      <c r="E195" s="44">
        <v>1</v>
      </c>
      <c r="F195" s="45" t="s">
        <v>134</v>
      </c>
      <c r="G195" s="42" t="s">
        <v>523</v>
      </c>
      <c r="H195" s="42" t="s">
        <v>111</v>
      </c>
      <c r="I195" s="42"/>
      <c r="J195" s="34" t="s">
        <v>2</v>
      </c>
      <c r="K195" s="44" t="s">
        <v>218</v>
      </c>
      <c r="L195" s="42" t="s">
        <v>393</v>
      </c>
      <c r="M195" s="42">
        <v>132</v>
      </c>
      <c r="N195" t="str">
        <f>IFERROR(HYPERLINK("#'Main'!B"&amp;MATCH(TRIM(A195),Main!B:B,0),"Open"),HYPERLINK("#'Main'!B1","Open"))</f>
        <v>Open</v>
      </c>
      <c r="O195" t="str">
        <f t="shared" ca="1" si="3"/>
        <v>Open</v>
      </c>
    </row>
    <row r="196" spans="1:16" ht="30" customHeight="1" x14ac:dyDescent="0.25">
      <c r="A196" s="50" t="s">
        <v>218</v>
      </c>
      <c r="B196" s="33" t="s">
        <v>391</v>
      </c>
      <c r="C196" s="59" t="s">
        <v>184</v>
      </c>
      <c r="D196" s="53" t="s">
        <v>161</v>
      </c>
      <c r="E196" s="37">
        <v>1</v>
      </c>
      <c r="F196" s="38" t="s">
        <v>57</v>
      </c>
      <c r="G196" s="33" t="s">
        <v>524</v>
      </c>
      <c r="H196" s="33" t="s">
        <v>111</v>
      </c>
      <c r="I196" s="33"/>
      <c r="J196" s="34" t="s">
        <v>2</v>
      </c>
      <c r="K196" s="37" t="s">
        <v>218</v>
      </c>
      <c r="L196" s="33" t="s">
        <v>393</v>
      </c>
      <c r="M196" s="33">
        <v>133</v>
      </c>
      <c r="N196" s="41" t="str">
        <f>IFERROR(HYPERLINK("#'Main'!B"&amp;MATCH(TRIM(A196),Main!B:B,0),"Open"),HYPERLINK("#'Main'!B1","Open"))</f>
        <v>Open</v>
      </c>
      <c r="O196" s="41" t="str">
        <f t="shared" ca="1" si="3"/>
        <v>Open</v>
      </c>
      <c r="P196" s="41"/>
    </row>
    <row r="197" spans="1:16" ht="30" customHeight="1" x14ac:dyDescent="0.25">
      <c r="A197" s="51" t="s">
        <v>218</v>
      </c>
      <c r="B197" s="42" t="s">
        <v>391</v>
      </c>
      <c r="C197" s="60" t="s">
        <v>187</v>
      </c>
      <c r="D197" s="53" t="s">
        <v>161</v>
      </c>
      <c r="E197" s="44">
        <v>1</v>
      </c>
      <c r="F197" s="45" t="s">
        <v>57</v>
      </c>
      <c r="G197" s="42" t="s">
        <v>525</v>
      </c>
      <c r="H197" s="42" t="s">
        <v>111</v>
      </c>
      <c r="I197" s="42"/>
      <c r="J197" s="34" t="s">
        <v>2</v>
      </c>
      <c r="K197" s="44" t="s">
        <v>218</v>
      </c>
      <c r="L197" s="42" t="s">
        <v>393</v>
      </c>
      <c r="M197" s="42">
        <v>134</v>
      </c>
      <c r="N197" t="str">
        <f>IFERROR(HYPERLINK("#'Main'!B"&amp;MATCH(TRIM(A197),Main!B:B,0),"Open"),HYPERLINK("#'Main'!B1","Open"))</f>
        <v>Open</v>
      </c>
      <c r="O197" t="str">
        <f t="shared" ca="1" si="3"/>
        <v>Open</v>
      </c>
    </row>
    <row r="198" spans="1:16" ht="30" customHeight="1" x14ac:dyDescent="0.25">
      <c r="A198" s="50" t="s">
        <v>189</v>
      </c>
      <c r="B198" s="33" t="s">
        <v>391</v>
      </c>
      <c r="C198" s="59" t="s">
        <v>151</v>
      </c>
      <c r="D198" s="47" t="s">
        <v>51</v>
      </c>
      <c r="E198" s="37">
        <v>1</v>
      </c>
      <c r="F198" s="38" t="s">
        <v>57</v>
      </c>
      <c r="G198" s="33" t="s">
        <v>526</v>
      </c>
      <c r="H198" s="33" t="s">
        <v>111</v>
      </c>
      <c r="I198" s="33"/>
      <c r="J198" s="34" t="s">
        <v>2</v>
      </c>
      <c r="K198" s="37" t="s">
        <v>189</v>
      </c>
      <c r="L198" s="33" t="s">
        <v>393</v>
      </c>
      <c r="M198" s="33">
        <v>135</v>
      </c>
      <c r="N198" s="41" t="str">
        <f>IFERROR(HYPERLINK("#'Main'!B"&amp;MATCH(TRIM(A198),Main!B:B,0),"Open"),HYPERLINK("#'Main'!B1","Open"))</f>
        <v>Open</v>
      </c>
      <c r="O198" s="41" t="str">
        <f t="shared" ca="1" si="3"/>
        <v>Open</v>
      </c>
      <c r="P198" s="41"/>
    </row>
    <row r="199" spans="1:16" ht="30" customHeight="1" x14ac:dyDescent="0.25">
      <c r="A199" s="51" t="s">
        <v>189</v>
      </c>
      <c r="B199" s="42" t="s">
        <v>391</v>
      </c>
      <c r="C199" s="60" t="s">
        <v>149</v>
      </c>
      <c r="D199" s="47" t="s">
        <v>51</v>
      </c>
      <c r="E199" s="44">
        <v>1</v>
      </c>
      <c r="F199" s="45" t="s">
        <v>57</v>
      </c>
      <c r="G199" s="42" t="s">
        <v>527</v>
      </c>
      <c r="H199" s="42" t="s">
        <v>111</v>
      </c>
      <c r="I199" s="42"/>
      <c r="J199" s="34" t="s">
        <v>2</v>
      </c>
      <c r="K199" s="44" t="s">
        <v>189</v>
      </c>
      <c r="L199" s="42" t="s">
        <v>393</v>
      </c>
      <c r="M199" s="42">
        <v>136</v>
      </c>
      <c r="N199" t="str">
        <f>IFERROR(HYPERLINK("#'Main'!B"&amp;MATCH(TRIM(A199),Main!B:B,0),"Open"),HYPERLINK("#'Main'!B1","Open"))</f>
        <v>Open</v>
      </c>
      <c r="O199" t="str">
        <f t="shared" ca="1" si="3"/>
        <v>Open</v>
      </c>
    </row>
    <row r="200" spans="1:16" ht="30" customHeight="1" x14ac:dyDescent="0.25">
      <c r="A200" s="50" t="s">
        <v>189</v>
      </c>
      <c r="B200" s="33" t="s">
        <v>391</v>
      </c>
      <c r="C200" s="59" t="s">
        <v>144</v>
      </c>
      <c r="D200" s="47" t="s">
        <v>51</v>
      </c>
      <c r="E200" s="37">
        <v>1</v>
      </c>
      <c r="F200" s="38" t="s">
        <v>134</v>
      </c>
      <c r="G200" s="33" t="s">
        <v>528</v>
      </c>
      <c r="H200" s="33" t="s">
        <v>111</v>
      </c>
      <c r="I200" s="33"/>
      <c r="J200" s="34" t="s">
        <v>2</v>
      </c>
      <c r="K200" s="37" t="s">
        <v>189</v>
      </c>
      <c r="L200" s="33" t="s">
        <v>393</v>
      </c>
      <c r="M200" s="33">
        <v>137</v>
      </c>
      <c r="N200" s="41" t="str">
        <f>IFERROR(HYPERLINK("#'Main'!B"&amp;MATCH(TRIM(A200),Main!B:B,0),"Open"),HYPERLINK("#'Main'!B1","Open"))</f>
        <v>Open</v>
      </c>
      <c r="O200" s="41" t="str">
        <f t="shared" ca="1" si="3"/>
        <v>Open</v>
      </c>
      <c r="P200" s="41"/>
    </row>
    <row r="201" spans="1:16" ht="30" customHeight="1" x14ac:dyDescent="0.25">
      <c r="A201" s="51" t="s">
        <v>189</v>
      </c>
      <c r="B201" s="42" t="s">
        <v>391</v>
      </c>
      <c r="C201" s="60" t="s">
        <v>188</v>
      </c>
      <c r="D201" s="53" t="s">
        <v>161</v>
      </c>
      <c r="E201" s="44">
        <v>1</v>
      </c>
      <c r="F201" s="45" t="s">
        <v>57</v>
      </c>
      <c r="G201" s="42" t="s">
        <v>529</v>
      </c>
      <c r="H201" s="42" t="s">
        <v>111</v>
      </c>
      <c r="I201" s="42"/>
      <c r="J201" s="34" t="s">
        <v>2</v>
      </c>
      <c r="K201" s="44" t="s">
        <v>189</v>
      </c>
      <c r="L201" s="42" t="s">
        <v>393</v>
      </c>
      <c r="M201" s="42">
        <v>138</v>
      </c>
      <c r="N201" t="str">
        <f>IFERROR(HYPERLINK("#'Main'!B"&amp;MATCH(TRIM(A201),Main!B:B,0),"Open"),HYPERLINK("#'Main'!B1","Open"))</f>
        <v>Open</v>
      </c>
      <c r="O201" t="str">
        <f t="shared" ca="1" si="3"/>
        <v>Open</v>
      </c>
    </row>
    <row r="202" spans="1:16" ht="30" customHeight="1" x14ac:dyDescent="0.25">
      <c r="A202" s="50" t="s">
        <v>189</v>
      </c>
      <c r="B202" s="33" t="s">
        <v>391</v>
      </c>
      <c r="C202" s="59" t="s">
        <v>35</v>
      </c>
      <c r="D202" s="53" t="s">
        <v>161</v>
      </c>
      <c r="E202" s="37">
        <v>1</v>
      </c>
      <c r="F202" s="38" t="s">
        <v>57</v>
      </c>
      <c r="G202" s="33" t="s">
        <v>530</v>
      </c>
      <c r="H202" s="33" t="s">
        <v>100</v>
      </c>
      <c r="I202" s="33"/>
      <c r="J202" s="34" t="s">
        <v>2</v>
      </c>
      <c r="K202" s="37" t="s">
        <v>189</v>
      </c>
      <c r="L202" s="33" t="s">
        <v>393</v>
      </c>
      <c r="M202" s="33">
        <v>139</v>
      </c>
      <c r="N202" s="41" t="str">
        <f>IFERROR(HYPERLINK("#'Main'!B"&amp;MATCH(TRIM(A202),Main!B:B,0),"Open"),HYPERLINK("#'Main'!B1","Open"))</f>
        <v>Open</v>
      </c>
      <c r="O202" s="41" t="str">
        <f t="shared" ca="1" si="3"/>
        <v>Open</v>
      </c>
      <c r="P202" s="41"/>
    </row>
    <row r="203" spans="1:16" ht="30" customHeight="1" x14ac:dyDescent="0.25">
      <c r="A203" s="51" t="s">
        <v>189</v>
      </c>
      <c r="B203" s="42" t="s">
        <v>391</v>
      </c>
      <c r="C203" s="60" t="s">
        <v>181</v>
      </c>
      <c r="D203" s="53" t="s">
        <v>161</v>
      </c>
      <c r="E203" s="44">
        <v>1</v>
      </c>
      <c r="F203" s="45" t="s">
        <v>134</v>
      </c>
      <c r="G203" s="42" t="s">
        <v>531</v>
      </c>
      <c r="H203" s="42" t="s">
        <v>111</v>
      </c>
      <c r="I203" s="42"/>
      <c r="J203" s="34" t="s">
        <v>2</v>
      </c>
      <c r="K203" s="44" t="s">
        <v>189</v>
      </c>
      <c r="L203" s="42" t="s">
        <v>393</v>
      </c>
      <c r="M203" s="42">
        <v>140</v>
      </c>
      <c r="N203" t="str">
        <f>IFERROR(HYPERLINK("#'Main'!B"&amp;MATCH(TRIM(A203),Main!B:B,0),"Open"),HYPERLINK("#'Main'!B1","Open"))</f>
        <v>Open</v>
      </c>
      <c r="O203" t="str">
        <f t="shared" ca="1" si="3"/>
        <v>Open</v>
      </c>
    </row>
    <row r="204" spans="1:16" ht="30" customHeight="1" x14ac:dyDescent="0.25">
      <c r="A204" s="50" t="s">
        <v>189</v>
      </c>
      <c r="B204" s="33" t="s">
        <v>391</v>
      </c>
      <c r="C204" s="59" t="s">
        <v>184</v>
      </c>
      <c r="D204" s="53" t="s">
        <v>161</v>
      </c>
      <c r="E204" s="37">
        <v>1</v>
      </c>
      <c r="F204" s="38" t="s">
        <v>57</v>
      </c>
      <c r="G204" s="33" t="s">
        <v>532</v>
      </c>
      <c r="H204" s="33" t="s">
        <v>111</v>
      </c>
      <c r="I204" s="33"/>
      <c r="J204" s="34" t="s">
        <v>2</v>
      </c>
      <c r="K204" s="37" t="s">
        <v>189</v>
      </c>
      <c r="L204" s="33" t="s">
        <v>393</v>
      </c>
      <c r="M204" s="33">
        <v>141</v>
      </c>
      <c r="N204" s="41" t="str">
        <f>IFERROR(HYPERLINK("#'Main'!B"&amp;MATCH(TRIM(A204),Main!B:B,0),"Open"),HYPERLINK("#'Main'!B1","Open"))</f>
        <v>Open</v>
      </c>
      <c r="O204" s="41" t="str">
        <f t="shared" ca="1" si="3"/>
        <v>Open</v>
      </c>
      <c r="P204" s="41"/>
    </row>
    <row r="205" spans="1:16" ht="30" customHeight="1" x14ac:dyDescent="0.25">
      <c r="A205" s="51" t="s">
        <v>189</v>
      </c>
      <c r="B205" s="42" t="s">
        <v>391</v>
      </c>
      <c r="C205" s="60" t="s">
        <v>187</v>
      </c>
      <c r="D205" s="53" t="s">
        <v>161</v>
      </c>
      <c r="E205" s="44">
        <v>1</v>
      </c>
      <c r="F205" s="45" t="s">
        <v>57</v>
      </c>
      <c r="G205" s="42" t="s">
        <v>533</v>
      </c>
      <c r="H205" s="42" t="s">
        <v>111</v>
      </c>
      <c r="I205" s="42"/>
      <c r="J205" s="34" t="s">
        <v>2</v>
      </c>
      <c r="K205" s="44" t="s">
        <v>189</v>
      </c>
      <c r="L205" s="42" t="s">
        <v>393</v>
      </c>
      <c r="M205" s="42">
        <v>142</v>
      </c>
      <c r="N205" t="str">
        <f>IFERROR(HYPERLINK("#'Main'!B"&amp;MATCH(TRIM(A205),Main!B:B,0),"Open"),HYPERLINK("#'Main'!B1","Open"))</f>
        <v>Open</v>
      </c>
      <c r="O205" t="str">
        <f t="shared" ca="1" si="3"/>
        <v>Open</v>
      </c>
    </row>
  </sheetData>
  <autoFilter ref="A1:P205" xr:uid="{00000000-0009-0000-0000-000005000000}"/>
  <conditionalFormatting sqref="B2:D205">
    <cfRule type="expression" dxfId="66" priority="3" stopIfTrue="1">
      <formula>OR(NOT(ISERROR(SEARCH("Critical",B2))),NOT(ISERROR(SEARCH("Non-Pass",B2))),NOT(ISERROR(SEARCH("Error",B2))))</formula>
    </cfRule>
    <cfRule type="expression" dxfId="65" priority="4" stopIfTrue="1">
      <formula>OR(NOT(ISERROR(SEARCH("Warning",B2))),NOT(ISERROR(SEARCH("Needs Work",B2))))</formula>
    </cfRule>
  </conditionalFormatting>
  <conditionalFormatting sqref="J2:J205">
    <cfRule type="expression" dxfId="64" priority="1" stopIfTrue="1">
      <formula>LOWER(J2)="done"</formula>
    </cfRule>
    <cfRule type="expression" dxfId="63" priority="2" stopIfTrue="1">
      <formula>OR(LOWER(J2)="to do",LOWER(J2)="in progress",LOWER(J2)="in review")</formula>
    </cfRule>
    <cfRule type="expression" dxfId="62" priority="7" stopIfTrue="1">
      <formula>OR(NOT(ISERROR(SEARCH("Critical",J2))),NOT(ISERROR(SEARCH("Non-Pass",J2))),NOT(ISERROR(SEARCH("Error",J2))))</formula>
    </cfRule>
    <cfRule type="expression" dxfId="61" priority="8" stopIfTrue="1">
      <formula>OR(NOT(ISERROR(SEARCH("Warning",J2))),NOT(ISERROR(SEARCH("Needs Work",J2))))</formula>
    </cfRule>
  </conditionalFormatting>
  <hyperlinks>
    <hyperlink ref="P1" location="'Dashboard'!A1" display="BACK TO DASHBOARD" xr:uid="{00000000-0004-0000-0500-000000000000}"/>
    <hyperlink ref="C2" location="FixPlan!A16"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3" display="No 40-60 Word Answer Paragraphs" xr:uid="{00000000-0004-0000-0500-000005000000}"/>
    <hyperlink ref="F4" location="'Content &amp; AI Readiness'!A1" display="Content &amp; AI Readiness" xr:uid="{00000000-0004-0000-0500-000006000000}"/>
    <hyperlink ref="C5" location="FixPlan!A32" display="No Question Headings" xr:uid="{00000000-0004-0000-0500-000007000000}"/>
    <hyperlink ref="F5" location="'Content &amp; AI Readiness'!A1" display="Content &amp; AI Readiness" xr:uid="{00000000-0004-0000-0500-000008000000}"/>
    <hyperlink ref="C6" location="FixPlan!A24" display="No Answer-Friendly Structure" xr:uid="{00000000-0004-0000-0500-000009000000}"/>
    <hyperlink ref="F6" location="'Content &amp; AI Readiness'!A1" display="Content &amp; AI Readiness" xr:uid="{00000000-0004-0000-0500-00000A000000}"/>
    <hyperlink ref="C8" location="FixPlan!A8" display="Broken Internal Links" xr:uid="{00000000-0004-0000-0500-00000B000000}"/>
    <hyperlink ref="F8" location="'Link Intelligence'!A1" display="Link Intelligence" xr:uid="{00000000-0004-0000-0500-00000C000000}"/>
    <hyperlink ref="C9" location="FixPlan!A7" display="CWV LCP Above 4.0s" xr:uid="{00000000-0004-0000-0500-00000D000000}"/>
    <hyperlink ref="F9" location="'Technical Diagnostics'!A1" display="Technical Diagnostics" xr:uid="{00000000-0004-0000-0500-00000E000000}"/>
    <hyperlink ref="C10" location="FixPlan!A5" display="Canonical Points Elsewhere" xr:uid="{00000000-0004-0000-0500-00000F000000}"/>
    <hyperlink ref="F10" location="'Technical Diagnostics'!A1" display="Technical Diagnostics" xr:uid="{00000000-0004-0000-0500-000010000000}"/>
    <hyperlink ref="C11" location="FixPlan!A3" display="Missing Title" xr:uid="{00000000-0004-0000-0500-000011000000}"/>
    <hyperlink ref="F11" location="'Technical Diagnostics'!A1" display="Technical Diagnostics" xr:uid="{00000000-0004-0000-0500-000012000000}"/>
    <hyperlink ref="C12" location="FixPlan!A4" display="Noindex Directive" xr:uid="{00000000-0004-0000-0500-000013000000}"/>
    <hyperlink ref="F12" location="'Technical Diagnostics'!A1" display="Technical Diagnostics" xr:uid="{00000000-0004-0000-0500-000014000000}"/>
    <hyperlink ref="C13" location="FixPlan!A2" display="Non-200 Status"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6" display="Low AEO Readiness Score" xr:uid="{00000000-0004-0000-0500-000019000000}"/>
    <hyperlink ref="F15" location="'Content &amp; AI Readiness'!A1" display="Content &amp; AI Readiness" xr:uid="{00000000-0004-0000-0500-00001A000000}"/>
    <hyperlink ref="C16" location="FixPlan!A17"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4" display="AI Crawlers Not Explicitly Allowed" xr:uid="{00000000-0004-0000-0500-000031000000}"/>
    <hyperlink ref="F27" location="'Technical Diagnostics'!A1" display="Technical Diagnostics" xr:uid="{00000000-0004-0000-0500-000032000000}"/>
    <hyperlink ref="C28" location="FixPlan!A33" display="No 40-60 Word Answer Paragraphs" xr:uid="{00000000-0004-0000-0500-000033000000}"/>
    <hyperlink ref="F28" location="'Technical Diagnostics'!A1" display="Technical Diagnostics" xr:uid="{00000000-0004-0000-0500-000034000000}"/>
    <hyperlink ref="C29" location="FixPlan!A31" display="No ETag Header" xr:uid="{00000000-0004-0000-0500-000035000000}"/>
    <hyperlink ref="F29" location="'Technical Diagnostics'!A1" display="Technical Diagnostics" xr:uid="{00000000-0004-0000-0500-000036000000}"/>
    <hyperlink ref="C30" location="FixPlan!A32" display="No Question Headings" xr:uid="{00000000-0004-0000-0500-000037000000}"/>
    <hyperlink ref="F30" location="'Content &amp; AI Readiness'!A1" display="Content &amp; AI Readiness" xr:uid="{00000000-0004-0000-0500-000038000000}"/>
    <hyperlink ref="C31" location="FixPlan!A30" display="Thin Content" xr:uid="{00000000-0004-0000-0500-000039000000}"/>
    <hyperlink ref="F31" location="'Technical Diagnostics'!A1" display="Technical Diagnostics" xr:uid="{00000000-0004-0000-0500-00003A000000}"/>
    <hyperlink ref="C32" location="FixPlan!A29" display="Generic Anchor Text Present" xr:uid="{00000000-0004-0000-0500-00003B000000}"/>
    <hyperlink ref="F32" location="'Technical Diagnostics'!A1" display="Technical Diagnostics" xr:uid="{00000000-0004-0000-0500-00003C000000}"/>
    <hyperlink ref="C33" location="FixPlan!A35" display="Image Filename Quality Issues" xr:uid="{00000000-0004-0000-0500-00003D000000}"/>
    <hyperlink ref="F33" location="'Technical Diagnostics'!A1" display="Technical Diagnostics" xr:uid="{00000000-0004-0000-0500-00003E000000}"/>
    <hyperlink ref="C34" location="FixPlan!A26" display="CLS Above 0.1" xr:uid="{00000000-0004-0000-0500-00003F000000}"/>
    <hyperlink ref="F34" location="'Technical Diagnostics'!A1" display="Technical Diagnostics" xr:uid="{00000000-0004-0000-0500-000040000000}"/>
    <hyperlink ref="C35" location="FixPlan!A25" display="INP Above 100ms" xr:uid="{00000000-0004-0000-0500-000041000000}"/>
    <hyperlink ref="F35" location="'Technical Diagnostics'!A1" display="Technical Diagnostics" xr:uid="{00000000-0004-0000-0500-000042000000}"/>
    <hyperlink ref="C36" location="FixPlan!A27" display="Low Regional Authority" xr:uid="{00000000-0004-0000-0500-000043000000}"/>
    <hyperlink ref="F36" location="'Technical Diagnostics'!A1" display="Technical Diagnostics" xr:uid="{00000000-0004-0000-0500-000044000000}"/>
    <hyperlink ref="C37" location="FixPlan!A24" display="No Answer-Friendly Structure" xr:uid="{00000000-0004-0000-0500-000045000000}"/>
    <hyperlink ref="F37" location="'Technical Diagnostics'!A1" display="Technical Diagnostics" xr:uid="{00000000-0004-0000-0500-000046000000}"/>
    <hyperlink ref="C38" location="FixPlan!A23" display="No Cache-Control Header" xr:uid="{00000000-0004-0000-0500-000047000000}"/>
    <hyperlink ref="F38" location="'Technical Diagnostics'!A1" display="Technical Diagnostics" xr:uid="{00000000-0004-0000-0500-000048000000}"/>
    <hyperlink ref="C39" location="FixPlan!A22"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8"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8" display="Multiple H1" xr:uid="{00000000-0004-0000-0500-000064000000}"/>
    <hyperlink ref="F65" location="'Technical Diagnostics'!A1" display="Technical Diagnostics" xr:uid="{00000000-0004-0000-0500-000065000000}"/>
    <hyperlink ref="A66" r:id="rId2" xr:uid="{00000000-0004-0000-0500-000066000000}"/>
    <hyperlink ref="C66" location="FixPlan!A17" display="Low Image Alt Coverage" xr:uid="{00000000-0004-0000-0500-000067000000}"/>
    <hyperlink ref="F66" location="'Technical Diagnostics'!A1" display="Technical Diagnostics" xr:uid="{00000000-0004-0000-0500-000068000000}"/>
    <hyperlink ref="A67" r:id="rId3" xr:uid="{00000000-0004-0000-0500-000069000000}"/>
    <hyperlink ref="C67" location="FixPlan!A16" display="Low AEO Readiness Score" xr:uid="{00000000-0004-0000-0500-00006A000000}"/>
    <hyperlink ref="F67" location="'Content &amp; AI Readiness'!A1" display="Content &amp; AI Readiness" xr:uid="{00000000-0004-0000-0500-00006B000000}"/>
    <hyperlink ref="A68" r:id="rId4" xr:uid="{00000000-0004-0000-0500-00006C000000}"/>
    <hyperlink ref="C68" location="FixPlan!A31" display="No ETag Header" xr:uid="{00000000-0004-0000-0500-00006D000000}"/>
    <hyperlink ref="F68" location="'Technical Diagnostics'!A1" display="Technical Diagnostics" xr:uid="{00000000-0004-0000-0500-00006E000000}"/>
    <hyperlink ref="A69" r:id="rId5" xr:uid="{00000000-0004-0000-0500-00006F000000}"/>
    <hyperlink ref="C69" location="FixPlan!A32" display="No Question Headings" xr:uid="{00000000-0004-0000-0500-000070000000}"/>
    <hyperlink ref="F69" location="'Content &amp; AI Readiness'!A1" display="Content &amp; AI Readiness" xr:uid="{00000000-0004-0000-0500-000071000000}"/>
    <hyperlink ref="A70" r:id="rId6" xr:uid="{00000000-0004-0000-0500-000072000000}"/>
    <hyperlink ref="C70" location="FixPlan!A33" display="No 40-60 Word Answer Paragraphs" xr:uid="{00000000-0004-0000-0500-000073000000}"/>
    <hyperlink ref="F70" location="'Technical Diagnostics'!A1" display="Technical Diagnostics" xr:uid="{00000000-0004-0000-0500-000074000000}"/>
    <hyperlink ref="A71" r:id="rId7" xr:uid="{00000000-0004-0000-0500-000075000000}"/>
    <hyperlink ref="C71" location="FixPlan!A34" display="AI Crawlers Not Explicitly Allowed" xr:uid="{00000000-0004-0000-0500-000076000000}"/>
    <hyperlink ref="F71" location="'Technical Diagnostics'!A1" display="Technical Diagnostics" xr:uid="{00000000-0004-0000-0500-000077000000}"/>
    <hyperlink ref="A72" r:id="rId8" xr:uid="{00000000-0004-0000-0500-000078000000}"/>
    <hyperlink ref="C72" location="FixPlan!A17" display="Low Image Alt Coverage" xr:uid="{00000000-0004-0000-0500-000079000000}"/>
    <hyperlink ref="F72" location="'Technical Diagnostics'!A1" display="Technical Diagnostics" xr:uid="{00000000-0004-0000-0500-00007A000000}"/>
    <hyperlink ref="A73" r:id="rId9" xr:uid="{00000000-0004-0000-0500-00007B000000}"/>
    <hyperlink ref="C73" location="FixPlan!A16" display="Low AEO Readiness Score" xr:uid="{00000000-0004-0000-0500-00007C000000}"/>
    <hyperlink ref="F73" location="'Content &amp; AI Readiness'!A1" display="Content &amp; AI Readiness" xr:uid="{00000000-0004-0000-0500-00007D000000}"/>
    <hyperlink ref="A74" r:id="rId10" xr:uid="{00000000-0004-0000-0500-00007E000000}"/>
    <hyperlink ref="C74" location="FixPlan!A31" display="No ETag Header" xr:uid="{00000000-0004-0000-0500-00007F000000}"/>
    <hyperlink ref="F74" location="'Technical Diagnostics'!A1" display="Technical Diagnostics" xr:uid="{00000000-0004-0000-0500-000080000000}"/>
    <hyperlink ref="A75" r:id="rId11" xr:uid="{00000000-0004-0000-0500-000081000000}"/>
    <hyperlink ref="C75" location="FixPlan!A30" display="Thin Content" xr:uid="{00000000-0004-0000-0500-000082000000}"/>
    <hyperlink ref="F75" location="'Technical Diagnostics'!A1" display="Technical Diagnostics" xr:uid="{00000000-0004-0000-0500-000083000000}"/>
    <hyperlink ref="A76" r:id="rId12" xr:uid="{00000000-0004-0000-0500-000084000000}"/>
    <hyperlink ref="C76" location="FixPlan!A32" display="No Question Headings" xr:uid="{00000000-0004-0000-0500-000085000000}"/>
    <hyperlink ref="F76" location="'Content &amp; AI Readiness'!A1" display="Content &amp; AI Readiness" xr:uid="{00000000-0004-0000-0500-000086000000}"/>
    <hyperlink ref="A77" r:id="rId13" xr:uid="{00000000-0004-0000-0500-000087000000}"/>
    <hyperlink ref="C77" location="FixPlan!A33" display="No 40-60 Word Answer Paragraphs" xr:uid="{00000000-0004-0000-0500-000088000000}"/>
    <hyperlink ref="F77" location="'Technical Diagnostics'!A1" display="Technical Diagnostics" xr:uid="{00000000-0004-0000-0500-000089000000}"/>
    <hyperlink ref="A78" r:id="rId14" xr:uid="{00000000-0004-0000-0500-00008A000000}"/>
    <hyperlink ref="C78" location="FixPlan!A34" display="AI Crawlers Not Explicitly Allowed" xr:uid="{00000000-0004-0000-0500-00008B000000}"/>
    <hyperlink ref="F78" location="'Technical Diagnostics'!A1" display="Technical Diagnostics" xr:uid="{00000000-0004-0000-0500-00008C000000}"/>
    <hyperlink ref="A79" r:id="rId15" xr:uid="{00000000-0004-0000-0500-00008D000000}"/>
    <hyperlink ref="C79" location="FixPlan!A18" display="Multiple H1" xr:uid="{00000000-0004-0000-0500-00008E000000}"/>
    <hyperlink ref="F79" location="'Technical Diagnostics'!A1" display="Technical Diagnostics" xr:uid="{00000000-0004-0000-0500-00008F000000}"/>
    <hyperlink ref="A80" r:id="rId16" xr:uid="{00000000-0004-0000-0500-000090000000}"/>
    <hyperlink ref="C80" location="FixPlan!A17" display="Low Image Alt Coverage" xr:uid="{00000000-0004-0000-0500-000091000000}"/>
    <hyperlink ref="F80" location="'Technical Diagnostics'!A1" display="Technical Diagnostics" xr:uid="{00000000-0004-0000-0500-000092000000}"/>
    <hyperlink ref="A81" r:id="rId17" xr:uid="{00000000-0004-0000-0500-000093000000}"/>
    <hyperlink ref="C81" location="FixPlan!A16" display="Low AEO Readiness Score" xr:uid="{00000000-0004-0000-0500-000094000000}"/>
    <hyperlink ref="F81" location="'Content &amp; AI Readiness'!A1" display="Content &amp; AI Readiness" xr:uid="{00000000-0004-0000-0500-000095000000}"/>
    <hyperlink ref="A82" r:id="rId18" xr:uid="{00000000-0004-0000-0500-000096000000}"/>
    <hyperlink ref="C82" location="FixPlan!A29" display="Generic Anchor Text Present" xr:uid="{00000000-0004-0000-0500-000097000000}"/>
    <hyperlink ref="F82" location="'Link Intelligence'!A1" display="Link Intelligence" xr:uid="{00000000-0004-0000-0500-000098000000}"/>
    <hyperlink ref="A83" r:id="rId19" xr:uid="{00000000-0004-0000-0500-000099000000}"/>
    <hyperlink ref="C83" location="FixPlan!A31" display="No ETag Header" xr:uid="{00000000-0004-0000-0500-00009A000000}"/>
    <hyperlink ref="F83" location="'Technical Diagnostics'!A1" display="Technical Diagnostics" xr:uid="{00000000-0004-0000-0500-00009B000000}"/>
    <hyperlink ref="A84" r:id="rId20" xr:uid="{00000000-0004-0000-0500-00009C000000}"/>
    <hyperlink ref="C84" location="FixPlan!A30" display="Thin Content" xr:uid="{00000000-0004-0000-0500-00009D000000}"/>
    <hyperlink ref="F84" location="'Technical Diagnostics'!A1" display="Technical Diagnostics" xr:uid="{00000000-0004-0000-0500-00009E000000}"/>
    <hyperlink ref="A85" r:id="rId21" xr:uid="{00000000-0004-0000-0500-00009F000000}"/>
    <hyperlink ref="C85" location="FixPlan!A32" display="No Question Headings" xr:uid="{00000000-0004-0000-0500-0000A0000000}"/>
    <hyperlink ref="F85" location="'Content &amp; AI Readiness'!A1" display="Content &amp; AI Readiness" xr:uid="{00000000-0004-0000-0500-0000A1000000}"/>
    <hyperlink ref="A86" r:id="rId22" xr:uid="{00000000-0004-0000-0500-0000A2000000}"/>
    <hyperlink ref="C86" location="FixPlan!A33" display="No 40-60 Word Answer Paragraphs" xr:uid="{00000000-0004-0000-0500-0000A3000000}"/>
    <hyperlink ref="F86" location="'Technical Diagnostics'!A1" display="Technical Diagnostics" xr:uid="{00000000-0004-0000-0500-0000A4000000}"/>
    <hyperlink ref="A87" r:id="rId23" xr:uid="{00000000-0004-0000-0500-0000A5000000}"/>
    <hyperlink ref="C87" location="FixPlan!A34" display="AI Crawlers Not Explicitly Allowed" xr:uid="{00000000-0004-0000-0500-0000A6000000}"/>
    <hyperlink ref="F87" location="'Technical Diagnostics'!A1" display="Technical Diagnostics" xr:uid="{00000000-0004-0000-0500-0000A7000000}"/>
    <hyperlink ref="A88" r:id="rId24" xr:uid="{00000000-0004-0000-0500-0000A8000000}"/>
    <hyperlink ref="C88" location="FixPlan!A18" display="Multiple H1" xr:uid="{00000000-0004-0000-0500-0000A9000000}"/>
    <hyperlink ref="F88" location="'Technical Diagnostics'!A1" display="Technical Diagnostics" xr:uid="{00000000-0004-0000-0500-0000AA000000}"/>
    <hyperlink ref="A89" r:id="rId25" xr:uid="{00000000-0004-0000-0500-0000AB000000}"/>
    <hyperlink ref="C89" location="FixPlan!A16" display="Low AEO Readiness Score" xr:uid="{00000000-0004-0000-0500-0000AC000000}"/>
    <hyperlink ref="F89" location="'Content &amp; AI Readiness'!A1" display="Content &amp; AI Readiness" xr:uid="{00000000-0004-0000-0500-0000AD000000}"/>
    <hyperlink ref="A90" r:id="rId26" xr:uid="{00000000-0004-0000-0500-0000AE000000}"/>
    <hyperlink ref="C90" location="FixPlan!A31" display="No ETag Header" xr:uid="{00000000-0004-0000-0500-0000AF000000}"/>
    <hyperlink ref="F90" location="'Technical Diagnostics'!A1" display="Technical Diagnostics" xr:uid="{00000000-0004-0000-0500-0000B0000000}"/>
    <hyperlink ref="A91" r:id="rId27" xr:uid="{00000000-0004-0000-0500-0000B1000000}"/>
    <hyperlink ref="C91" location="FixPlan!A32" display="No Question Headings" xr:uid="{00000000-0004-0000-0500-0000B2000000}"/>
    <hyperlink ref="F91" location="'Content &amp; AI Readiness'!A1" display="Content &amp; AI Readiness" xr:uid="{00000000-0004-0000-0500-0000B3000000}"/>
    <hyperlink ref="A92" r:id="rId28" xr:uid="{00000000-0004-0000-0500-0000B4000000}"/>
    <hyperlink ref="C92" location="FixPlan!A33" display="No 40-60 Word Answer Paragraphs" xr:uid="{00000000-0004-0000-0500-0000B5000000}"/>
    <hyperlink ref="F92" location="'Technical Diagnostics'!A1" display="Technical Diagnostics" xr:uid="{00000000-0004-0000-0500-0000B6000000}"/>
    <hyperlink ref="A93" r:id="rId29" xr:uid="{00000000-0004-0000-0500-0000B7000000}"/>
    <hyperlink ref="C93" location="FixPlan!A34" display="AI Crawlers Not Explicitly Allowed" xr:uid="{00000000-0004-0000-0500-0000B8000000}"/>
    <hyperlink ref="F93" location="'Technical Diagnostics'!A1" display="Technical Diagnostics" xr:uid="{00000000-0004-0000-0500-0000B9000000}"/>
    <hyperlink ref="A94" r:id="rId30" xr:uid="{00000000-0004-0000-0500-0000BA000000}"/>
    <hyperlink ref="C94" location="FixPlan!A19" display="Missing H1" xr:uid="{00000000-0004-0000-0500-0000BB000000}"/>
    <hyperlink ref="F94" location="'Technical Diagnostics'!A1" display="Technical Diagnostics" xr:uid="{00000000-0004-0000-0500-0000BC000000}"/>
    <hyperlink ref="A95" r:id="rId31" xr:uid="{00000000-0004-0000-0500-0000BD000000}"/>
    <hyperlink ref="C95" location="FixPlan!A17" display="Low Image Alt Coverage" xr:uid="{00000000-0004-0000-0500-0000BE000000}"/>
    <hyperlink ref="F95" location="'Technical Diagnostics'!A1" display="Technical Diagnostics" xr:uid="{00000000-0004-0000-0500-0000BF000000}"/>
    <hyperlink ref="A96" r:id="rId32" xr:uid="{00000000-0004-0000-0500-0000C0000000}"/>
    <hyperlink ref="C96" location="FixPlan!A16" display="Low AEO Readiness Score" xr:uid="{00000000-0004-0000-0500-0000C1000000}"/>
    <hyperlink ref="F96" location="'Content &amp; AI Readiness'!A1" display="Content &amp; AI Readiness" xr:uid="{00000000-0004-0000-0500-0000C2000000}"/>
    <hyperlink ref="A97" r:id="rId33" xr:uid="{00000000-0004-0000-0500-0000C3000000}"/>
    <hyperlink ref="C97" location="FixPlan!A31" display="No ETag Header" xr:uid="{00000000-0004-0000-0500-0000C4000000}"/>
    <hyperlink ref="F97" location="'Technical Diagnostics'!A1" display="Technical Diagnostics" xr:uid="{00000000-0004-0000-0500-0000C5000000}"/>
    <hyperlink ref="A98" r:id="rId34" xr:uid="{00000000-0004-0000-0500-0000C6000000}"/>
    <hyperlink ref="C98" location="FixPlan!A30" display="Thin Content" xr:uid="{00000000-0004-0000-0500-0000C7000000}"/>
    <hyperlink ref="F98" location="'Technical Diagnostics'!A1" display="Technical Diagnostics" xr:uid="{00000000-0004-0000-0500-0000C8000000}"/>
    <hyperlink ref="A99" r:id="rId35" xr:uid="{00000000-0004-0000-0500-0000C9000000}"/>
    <hyperlink ref="C99" location="FixPlan!A32" display="No Question Headings" xr:uid="{00000000-0004-0000-0500-0000CA000000}"/>
    <hyperlink ref="F99" location="'Content &amp; AI Readiness'!A1" display="Content &amp; AI Readiness" xr:uid="{00000000-0004-0000-0500-0000CB000000}"/>
    <hyperlink ref="A100" r:id="rId36" xr:uid="{00000000-0004-0000-0500-0000CC000000}"/>
    <hyperlink ref="C100" location="FixPlan!A33" display="No 40-60 Word Answer Paragraphs" xr:uid="{00000000-0004-0000-0500-0000CD000000}"/>
    <hyperlink ref="F100" location="'Technical Diagnostics'!A1" display="Technical Diagnostics" xr:uid="{00000000-0004-0000-0500-0000CE000000}"/>
    <hyperlink ref="A101" r:id="rId37" xr:uid="{00000000-0004-0000-0500-0000CF000000}"/>
    <hyperlink ref="C101" location="FixPlan!A34" display="AI Crawlers Not Explicitly Allowed" xr:uid="{00000000-0004-0000-0500-0000D0000000}"/>
    <hyperlink ref="F101" location="'Technical Diagnostics'!A1" display="Technical Diagnostics" xr:uid="{00000000-0004-0000-0500-0000D1000000}"/>
    <hyperlink ref="A102" r:id="rId38" xr:uid="{00000000-0004-0000-0500-0000D2000000}"/>
    <hyperlink ref="C102" location="FixPlan!A19" display="Missing H1" xr:uid="{00000000-0004-0000-0500-0000D3000000}"/>
    <hyperlink ref="F102" location="'Technical Diagnostics'!A1" display="Technical Diagnostics" xr:uid="{00000000-0004-0000-0500-0000D4000000}"/>
    <hyperlink ref="A103" r:id="rId39" xr:uid="{00000000-0004-0000-0500-0000D5000000}"/>
    <hyperlink ref="C103" location="FixPlan!A17" display="Low Image Alt Coverage" xr:uid="{00000000-0004-0000-0500-0000D6000000}"/>
    <hyperlink ref="F103" location="'Technical Diagnostics'!A1" display="Technical Diagnostics" xr:uid="{00000000-0004-0000-0500-0000D7000000}"/>
    <hyperlink ref="A104" r:id="rId40" xr:uid="{00000000-0004-0000-0500-0000D8000000}"/>
    <hyperlink ref="C104" location="FixPlan!A16" display="Low AEO Readiness Score" xr:uid="{00000000-0004-0000-0500-0000D9000000}"/>
    <hyperlink ref="F104" location="'Content &amp; AI Readiness'!A1" display="Content &amp; AI Readiness" xr:uid="{00000000-0004-0000-0500-0000DA000000}"/>
    <hyperlink ref="A105" r:id="rId41" xr:uid="{00000000-0004-0000-0500-0000DB000000}"/>
    <hyperlink ref="C105" location="FixPlan!A31" display="No ETag Header" xr:uid="{00000000-0004-0000-0500-0000DC000000}"/>
    <hyperlink ref="F105" location="'Technical Diagnostics'!A1" display="Technical Diagnostics" xr:uid="{00000000-0004-0000-0500-0000DD000000}"/>
    <hyperlink ref="A106" r:id="rId42" xr:uid="{00000000-0004-0000-0500-0000DE000000}"/>
    <hyperlink ref="C106" location="FixPlan!A32" display="No Question Headings" xr:uid="{00000000-0004-0000-0500-0000DF000000}"/>
    <hyperlink ref="F106" location="'Content &amp; AI Readiness'!A1" display="Content &amp; AI Readiness" xr:uid="{00000000-0004-0000-0500-0000E0000000}"/>
    <hyperlink ref="A107" r:id="rId43" xr:uid="{00000000-0004-0000-0500-0000E1000000}"/>
    <hyperlink ref="C107" location="FixPlan!A33" display="No 40-60 Word Answer Paragraphs" xr:uid="{00000000-0004-0000-0500-0000E2000000}"/>
    <hyperlink ref="F107" location="'Technical Diagnostics'!A1" display="Technical Diagnostics" xr:uid="{00000000-0004-0000-0500-0000E3000000}"/>
    <hyperlink ref="A108" r:id="rId44" xr:uid="{00000000-0004-0000-0500-0000E4000000}"/>
    <hyperlink ref="C108" location="FixPlan!A34" display="AI Crawlers Not Explicitly Allowed" xr:uid="{00000000-0004-0000-0500-0000E5000000}"/>
    <hyperlink ref="F108" location="'Technical Diagnostics'!A1" display="Technical Diagnostics" xr:uid="{00000000-0004-0000-0500-0000E6000000}"/>
    <hyperlink ref="A109" r:id="rId45" xr:uid="{00000000-0004-0000-0500-0000E7000000}"/>
    <hyperlink ref="C109" location="FixPlan!A19" display="Missing H1" xr:uid="{00000000-0004-0000-0500-0000E8000000}"/>
    <hyperlink ref="F109" location="'Technical Diagnostics'!A1" display="Technical Diagnostics" xr:uid="{00000000-0004-0000-0500-0000E9000000}"/>
    <hyperlink ref="A110" r:id="rId46" xr:uid="{00000000-0004-0000-0500-0000EA000000}"/>
    <hyperlink ref="C110" location="FixPlan!A17" display="Low Image Alt Coverage" xr:uid="{00000000-0004-0000-0500-0000EB000000}"/>
    <hyperlink ref="F110" location="'Technical Diagnostics'!A1" display="Technical Diagnostics" xr:uid="{00000000-0004-0000-0500-0000EC000000}"/>
    <hyperlink ref="A111" r:id="rId47" xr:uid="{00000000-0004-0000-0500-0000ED000000}"/>
    <hyperlink ref="C111" location="FixPlan!A16" display="Low AEO Readiness Score" xr:uid="{00000000-0004-0000-0500-0000EE000000}"/>
    <hyperlink ref="F111" location="'Content &amp; AI Readiness'!A1" display="Content &amp; AI Readiness" xr:uid="{00000000-0004-0000-0500-0000EF000000}"/>
    <hyperlink ref="A112" r:id="rId48" xr:uid="{00000000-0004-0000-0500-0000F0000000}"/>
    <hyperlink ref="C112" location="FixPlan!A31" display="No ETag Header" xr:uid="{00000000-0004-0000-0500-0000F1000000}"/>
    <hyperlink ref="F112" location="'Technical Diagnostics'!A1" display="Technical Diagnostics" xr:uid="{00000000-0004-0000-0500-0000F2000000}"/>
    <hyperlink ref="A113" r:id="rId49" xr:uid="{00000000-0004-0000-0500-0000F3000000}"/>
    <hyperlink ref="C113" location="FixPlan!A30" display="Thin Content" xr:uid="{00000000-0004-0000-0500-0000F4000000}"/>
    <hyperlink ref="F113" location="'Technical Diagnostics'!A1" display="Technical Diagnostics" xr:uid="{00000000-0004-0000-0500-0000F5000000}"/>
    <hyperlink ref="A114" r:id="rId50" xr:uid="{00000000-0004-0000-0500-0000F6000000}"/>
    <hyperlink ref="C114" location="FixPlan!A32" display="No Question Headings" xr:uid="{00000000-0004-0000-0500-0000F7000000}"/>
    <hyperlink ref="F114" location="'Content &amp; AI Readiness'!A1" display="Content &amp; AI Readiness" xr:uid="{00000000-0004-0000-0500-0000F8000000}"/>
    <hyperlink ref="A115" r:id="rId51" xr:uid="{00000000-0004-0000-0500-0000F9000000}"/>
    <hyperlink ref="C115" location="FixPlan!A33" display="No 40-60 Word Answer Paragraphs" xr:uid="{00000000-0004-0000-0500-0000FA000000}"/>
    <hyperlink ref="F115" location="'Technical Diagnostics'!A1" display="Technical Diagnostics" xr:uid="{00000000-0004-0000-0500-0000FB000000}"/>
    <hyperlink ref="A116" r:id="rId52" xr:uid="{00000000-0004-0000-0500-0000FC000000}"/>
    <hyperlink ref="C116" location="FixPlan!A34" display="AI Crawlers Not Explicitly Allowed" xr:uid="{00000000-0004-0000-0500-0000FD000000}"/>
    <hyperlink ref="F116" location="'Technical Diagnostics'!A1" display="Technical Diagnostics" xr:uid="{00000000-0004-0000-0500-0000FE000000}"/>
    <hyperlink ref="A117" r:id="rId53" xr:uid="{00000000-0004-0000-0500-0000FF000000}"/>
    <hyperlink ref="C117" location="FixPlan!A17" display="Low Image Alt Coverage" xr:uid="{00000000-0004-0000-0500-000000010000}"/>
    <hyperlink ref="F117" location="'Technical Diagnostics'!A1" display="Technical Diagnostics" xr:uid="{00000000-0004-0000-0500-000001010000}"/>
    <hyperlink ref="A118" r:id="rId54" xr:uid="{00000000-0004-0000-0500-000002010000}"/>
    <hyperlink ref="C118" location="FixPlan!A16" display="Low AEO Readiness Score" xr:uid="{00000000-0004-0000-0500-000003010000}"/>
    <hyperlink ref="F118" location="'Content &amp; AI Readiness'!A1" display="Content &amp; AI Readiness" xr:uid="{00000000-0004-0000-0500-000004010000}"/>
    <hyperlink ref="A119" r:id="rId55" xr:uid="{00000000-0004-0000-0500-000005010000}"/>
    <hyperlink ref="C119" location="FixPlan!A31" display="No ETag Header" xr:uid="{00000000-0004-0000-0500-000006010000}"/>
    <hyperlink ref="F119" location="'Technical Diagnostics'!A1" display="Technical Diagnostics" xr:uid="{00000000-0004-0000-0500-000007010000}"/>
    <hyperlink ref="A120" r:id="rId56" xr:uid="{00000000-0004-0000-0500-000008010000}"/>
    <hyperlink ref="C120" location="FixPlan!A32" display="No Question Headings" xr:uid="{00000000-0004-0000-0500-000009010000}"/>
    <hyperlink ref="F120" location="'Content &amp; AI Readiness'!A1" display="Content &amp; AI Readiness" xr:uid="{00000000-0004-0000-0500-00000A010000}"/>
    <hyperlink ref="A121" r:id="rId57" xr:uid="{00000000-0004-0000-0500-00000B010000}"/>
    <hyperlink ref="C121" location="FixPlan!A33" display="No 40-60 Word Answer Paragraphs" xr:uid="{00000000-0004-0000-0500-00000C010000}"/>
    <hyperlink ref="F121" location="'Technical Diagnostics'!A1" display="Technical Diagnostics" xr:uid="{00000000-0004-0000-0500-00000D010000}"/>
    <hyperlink ref="A122" r:id="rId58" xr:uid="{00000000-0004-0000-0500-00000E010000}"/>
    <hyperlink ref="C122" location="FixPlan!A34" display="AI Crawlers Not Explicitly Allowed" xr:uid="{00000000-0004-0000-0500-00000F010000}"/>
    <hyperlink ref="F122" location="'Technical Diagnostics'!A1" display="Technical Diagnostics" xr:uid="{00000000-0004-0000-0500-000010010000}"/>
    <hyperlink ref="A123" r:id="rId59" xr:uid="{00000000-0004-0000-0500-000011010000}"/>
    <hyperlink ref="C123" location="FixPlan!A20" display="Missing Meta Description" xr:uid="{00000000-0004-0000-0500-000012010000}"/>
    <hyperlink ref="F123" location="'Technical Diagnostics'!A1" display="Technical Diagnostics" xr:uid="{00000000-0004-0000-0500-000013010000}"/>
    <hyperlink ref="A124" r:id="rId60" xr:uid="{00000000-0004-0000-0500-000014010000}"/>
    <hyperlink ref="C124" location="FixPlan!A19" display="Missing H1" xr:uid="{00000000-0004-0000-0500-000015010000}"/>
    <hyperlink ref="F124" location="'Technical Diagnostics'!A1" display="Technical Diagnostics" xr:uid="{00000000-0004-0000-0500-000016010000}"/>
    <hyperlink ref="A125" r:id="rId61" xr:uid="{00000000-0004-0000-0500-000017010000}"/>
    <hyperlink ref="C125" location="FixPlan!A17" display="Low Image Alt Coverage" xr:uid="{00000000-0004-0000-0500-000018010000}"/>
    <hyperlink ref="F125" location="'Technical Diagnostics'!A1" display="Technical Diagnostics" xr:uid="{00000000-0004-0000-0500-000019010000}"/>
    <hyperlink ref="A126" r:id="rId62" xr:uid="{00000000-0004-0000-0500-00001A010000}"/>
    <hyperlink ref="C126" location="FixPlan!A16" display="Low AEO Readiness Score" xr:uid="{00000000-0004-0000-0500-00001B010000}"/>
    <hyperlink ref="F126" location="'Content &amp; AI Readiness'!A1" display="Content &amp; AI Readiness" xr:uid="{00000000-0004-0000-0500-00001C010000}"/>
    <hyperlink ref="A127" r:id="rId63" xr:uid="{00000000-0004-0000-0500-00001D010000}"/>
    <hyperlink ref="C127" location="FixPlan!A31" display="No ETag Header" xr:uid="{00000000-0004-0000-0500-00001E010000}"/>
    <hyperlink ref="F127" location="'Technical Diagnostics'!A1" display="Technical Diagnostics" xr:uid="{00000000-0004-0000-0500-00001F010000}"/>
    <hyperlink ref="A128" r:id="rId64" xr:uid="{00000000-0004-0000-0500-000020010000}"/>
    <hyperlink ref="C128" location="FixPlan!A30" display="Thin Content" xr:uid="{00000000-0004-0000-0500-000021010000}"/>
    <hyperlink ref="F128" location="'Technical Diagnostics'!A1" display="Technical Diagnostics" xr:uid="{00000000-0004-0000-0500-000022010000}"/>
    <hyperlink ref="A129" r:id="rId65" xr:uid="{00000000-0004-0000-0500-000023010000}"/>
    <hyperlink ref="C129" location="FixPlan!A32" display="No Question Headings" xr:uid="{00000000-0004-0000-0500-000024010000}"/>
    <hyperlink ref="F129" location="'Content &amp; AI Readiness'!A1" display="Content &amp; AI Readiness" xr:uid="{00000000-0004-0000-0500-000025010000}"/>
    <hyperlink ref="A130" r:id="rId66" xr:uid="{00000000-0004-0000-0500-000026010000}"/>
    <hyperlink ref="C130" location="FixPlan!A33" display="No 40-60 Word Answer Paragraphs" xr:uid="{00000000-0004-0000-0500-000027010000}"/>
    <hyperlink ref="F130" location="'Technical Diagnostics'!A1" display="Technical Diagnostics" xr:uid="{00000000-0004-0000-0500-000028010000}"/>
    <hyperlink ref="A131" r:id="rId67" xr:uid="{00000000-0004-0000-0500-000029010000}"/>
    <hyperlink ref="C131" location="FixPlan!A34" display="AI Crawlers Not Explicitly Allowed" xr:uid="{00000000-0004-0000-0500-00002A010000}"/>
    <hyperlink ref="F131" location="'Technical Diagnostics'!A1" display="Technical Diagnostics" xr:uid="{00000000-0004-0000-0500-00002B010000}"/>
    <hyperlink ref="A132" r:id="rId68" xr:uid="{00000000-0004-0000-0500-00002C010000}"/>
    <hyperlink ref="C132" location="FixPlan!A17" display="Low Image Alt Coverage" xr:uid="{00000000-0004-0000-0500-00002D010000}"/>
    <hyperlink ref="F132" location="'Technical Diagnostics'!A1" display="Technical Diagnostics" xr:uid="{00000000-0004-0000-0500-00002E010000}"/>
    <hyperlink ref="A133" r:id="rId69" xr:uid="{00000000-0004-0000-0500-00002F010000}"/>
    <hyperlink ref="C133" location="FixPlan!A16" display="Low AEO Readiness Score" xr:uid="{00000000-0004-0000-0500-000030010000}"/>
    <hyperlink ref="F133" location="'Content &amp; AI Readiness'!A1" display="Content &amp; AI Readiness" xr:uid="{00000000-0004-0000-0500-000031010000}"/>
    <hyperlink ref="A134" r:id="rId70" xr:uid="{00000000-0004-0000-0500-000032010000}"/>
    <hyperlink ref="C134" location="FixPlan!A31" display="No ETag Header" xr:uid="{00000000-0004-0000-0500-000033010000}"/>
    <hyperlink ref="F134" location="'Technical Diagnostics'!A1" display="Technical Diagnostics" xr:uid="{00000000-0004-0000-0500-000034010000}"/>
    <hyperlink ref="A135" r:id="rId71" xr:uid="{00000000-0004-0000-0500-000035010000}"/>
    <hyperlink ref="C135" location="FixPlan!A32" display="No Question Headings" xr:uid="{00000000-0004-0000-0500-000036010000}"/>
    <hyperlink ref="F135" location="'Content &amp; AI Readiness'!A1" display="Content &amp; AI Readiness" xr:uid="{00000000-0004-0000-0500-000037010000}"/>
    <hyperlink ref="A136" r:id="rId72" xr:uid="{00000000-0004-0000-0500-000038010000}"/>
    <hyperlink ref="C136" location="FixPlan!A33" display="No 40-60 Word Answer Paragraphs" xr:uid="{00000000-0004-0000-0500-000039010000}"/>
    <hyperlink ref="F136" location="'Technical Diagnostics'!A1" display="Technical Diagnostics" xr:uid="{00000000-0004-0000-0500-00003A010000}"/>
    <hyperlink ref="A137" r:id="rId73" xr:uid="{00000000-0004-0000-0500-00003B010000}"/>
    <hyperlink ref="C137" location="FixPlan!A34" display="AI Crawlers Not Explicitly Allowed" xr:uid="{00000000-0004-0000-0500-00003C010000}"/>
    <hyperlink ref="F137" location="'Technical Diagnostics'!A1" display="Technical Diagnostics" xr:uid="{00000000-0004-0000-0500-00003D010000}"/>
    <hyperlink ref="A138" r:id="rId74" xr:uid="{00000000-0004-0000-0500-00003E010000}"/>
    <hyperlink ref="C138" location="FixPlan!A19" display="Missing H1" xr:uid="{00000000-0004-0000-0500-00003F010000}"/>
    <hyperlink ref="F138" location="'Technical Diagnostics'!A1" display="Technical Diagnostics" xr:uid="{00000000-0004-0000-0500-000040010000}"/>
    <hyperlink ref="A139" r:id="rId75" xr:uid="{00000000-0004-0000-0500-000041010000}"/>
    <hyperlink ref="C139" location="FixPlan!A16" display="Low AEO Readiness Score" xr:uid="{00000000-0004-0000-0500-000042010000}"/>
    <hyperlink ref="F139" location="'Content &amp; AI Readiness'!A1" display="Content &amp; AI Readiness" xr:uid="{00000000-0004-0000-0500-000043010000}"/>
    <hyperlink ref="A140" r:id="rId76" xr:uid="{00000000-0004-0000-0500-000044010000}"/>
    <hyperlink ref="C140" location="FixPlan!A31" display="No ETag Header" xr:uid="{00000000-0004-0000-0500-000045010000}"/>
    <hyperlink ref="F140" location="'Technical Diagnostics'!A1" display="Technical Diagnostics" xr:uid="{00000000-0004-0000-0500-000046010000}"/>
    <hyperlink ref="A141" r:id="rId77" xr:uid="{00000000-0004-0000-0500-000047010000}"/>
    <hyperlink ref="C141" location="FixPlan!A30" display="Thin Content" xr:uid="{00000000-0004-0000-0500-000048010000}"/>
    <hyperlink ref="F141" location="'Technical Diagnostics'!A1" display="Technical Diagnostics" xr:uid="{00000000-0004-0000-0500-000049010000}"/>
    <hyperlink ref="A142" r:id="rId78" xr:uid="{00000000-0004-0000-0500-00004A010000}"/>
    <hyperlink ref="C142" location="FixPlan!A32" display="No Question Headings" xr:uid="{00000000-0004-0000-0500-00004B010000}"/>
    <hyperlink ref="F142" location="'Content &amp; AI Readiness'!A1" display="Content &amp; AI Readiness" xr:uid="{00000000-0004-0000-0500-00004C010000}"/>
    <hyperlink ref="A143" r:id="rId79" xr:uid="{00000000-0004-0000-0500-00004D010000}"/>
    <hyperlink ref="C143" location="FixPlan!A33" display="No 40-60 Word Answer Paragraphs" xr:uid="{00000000-0004-0000-0500-00004E010000}"/>
    <hyperlink ref="F143" location="'Technical Diagnostics'!A1" display="Technical Diagnostics" xr:uid="{00000000-0004-0000-0500-00004F010000}"/>
    <hyperlink ref="A144" r:id="rId80" xr:uid="{00000000-0004-0000-0500-000050010000}"/>
    <hyperlink ref="C144" location="FixPlan!A34" display="AI Crawlers Not Explicitly Allowed" xr:uid="{00000000-0004-0000-0500-000051010000}"/>
    <hyperlink ref="F144" location="'Technical Diagnostics'!A1" display="Technical Diagnostics" xr:uid="{00000000-0004-0000-0500-000052010000}"/>
    <hyperlink ref="A145" r:id="rId81" xr:uid="{00000000-0004-0000-0500-000053010000}"/>
    <hyperlink ref="C145" location="FixPlan!A17" display="Low Image Alt Coverage" xr:uid="{00000000-0004-0000-0500-000054010000}"/>
    <hyperlink ref="F145" location="'Technical Diagnostics'!A1" display="Technical Diagnostics" xr:uid="{00000000-0004-0000-0500-000055010000}"/>
    <hyperlink ref="A146" r:id="rId82" xr:uid="{00000000-0004-0000-0500-000056010000}"/>
    <hyperlink ref="C146" location="FixPlan!A16" display="Low AEO Readiness Score" xr:uid="{00000000-0004-0000-0500-000057010000}"/>
    <hyperlink ref="F146" location="'Content &amp; AI Readiness'!A1" display="Content &amp; AI Readiness" xr:uid="{00000000-0004-0000-0500-000058010000}"/>
    <hyperlink ref="A147" r:id="rId83" xr:uid="{00000000-0004-0000-0500-000059010000}"/>
    <hyperlink ref="C147" location="FixPlan!A31" display="No ETag Header" xr:uid="{00000000-0004-0000-0500-00005A010000}"/>
    <hyperlink ref="F147" location="'Technical Diagnostics'!A1" display="Technical Diagnostics" xr:uid="{00000000-0004-0000-0500-00005B010000}"/>
    <hyperlink ref="A148" r:id="rId84" xr:uid="{00000000-0004-0000-0500-00005C010000}"/>
    <hyperlink ref="C148" location="FixPlan!A30" display="Thin Content" xr:uid="{00000000-0004-0000-0500-00005D010000}"/>
    <hyperlink ref="F148" location="'Technical Diagnostics'!A1" display="Technical Diagnostics" xr:uid="{00000000-0004-0000-0500-00005E010000}"/>
    <hyperlink ref="A149" r:id="rId85" xr:uid="{00000000-0004-0000-0500-00005F010000}"/>
    <hyperlink ref="C149" location="FixPlan!A32" display="No Question Headings" xr:uid="{00000000-0004-0000-0500-000060010000}"/>
    <hyperlink ref="F149" location="'Content &amp; AI Readiness'!A1" display="Content &amp; AI Readiness" xr:uid="{00000000-0004-0000-0500-000061010000}"/>
    <hyperlink ref="A150" r:id="rId86" xr:uid="{00000000-0004-0000-0500-000062010000}"/>
    <hyperlink ref="C150" location="FixPlan!A33" display="No 40-60 Word Answer Paragraphs" xr:uid="{00000000-0004-0000-0500-000063010000}"/>
    <hyperlink ref="F150" location="'Technical Diagnostics'!A1" display="Technical Diagnostics" xr:uid="{00000000-0004-0000-0500-000064010000}"/>
    <hyperlink ref="A151" r:id="rId87" xr:uid="{00000000-0004-0000-0500-000065010000}"/>
    <hyperlink ref="C151" location="FixPlan!A34" display="AI Crawlers Not Explicitly Allowed" xr:uid="{00000000-0004-0000-0500-000066010000}"/>
    <hyperlink ref="F151" location="'Technical Diagnostics'!A1" display="Technical Diagnostics" xr:uid="{00000000-0004-0000-0500-000067010000}"/>
    <hyperlink ref="A152" r:id="rId88" xr:uid="{00000000-0004-0000-0500-000068010000}"/>
    <hyperlink ref="C152" location="FixPlan!A17" display="Low Image Alt Coverage" xr:uid="{00000000-0004-0000-0500-000069010000}"/>
    <hyperlink ref="F152" location="'Technical Diagnostics'!A1" display="Technical Diagnostics" xr:uid="{00000000-0004-0000-0500-00006A010000}"/>
    <hyperlink ref="A153" r:id="rId89" xr:uid="{00000000-0004-0000-0500-00006B010000}"/>
    <hyperlink ref="C153" location="FixPlan!A16" display="Low AEO Readiness Score" xr:uid="{00000000-0004-0000-0500-00006C010000}"/>
    <hyperlink ref="F153" location="'Content &amp; AI Readiness'!A1" display="Content &amp; AI Readiness" xr:uid="{00000000-0004-0000-0500-00006D010000}"/>
    <hyperlink ref="A154" r:id="rId90" xr:uid="{00000000-0004-0000-0500-00006E010000}"/>
    <hyperlink ref="C154" location="FixPlan!A31" display="No ETag Header" xr:uid="{00000000-0004-0000-0500-00006F010000}"/>
    <hyperlink ref="F154" location="'Technical Diagnostics'!A1" display="Technical Diagnostics" xr:uid="{00000000-0004-0000-0500-000070010000}"/>
    <hyperlink ref="A155" r:id="rId91" xr:uid="{00000000-0004-0000-0500-000071010000}"/>
    <hyperlink ref="C155" location="FixPlan!A30" display="Thin Content" xr:uid="{00000000-0004-0000-0500-000072010000}"/>
    <hyperlink ref="F155" location="'Technical Diagnostics'!A1" display="Technical Diagnostics" xr:uid="{00000000-0004-0000-0500-000073010000}"/>
    <hyperlink ref="A156" r:id="rId92" xr:uid="{00000000-0004-0000-0500-000074010000}"/>
    <hyperlink ref="C156" location="FixPlan!A32" display="No Question Headings" xr:uid="{00000000-0004-0000-0500-000075010000}"/>
    <hyperlink ref="F156" location="'Content &amp; AI Readiness'!A1" display="Content &amp; AI Readiness" xr:uid="{00000000-0004-0000-0500-000076010000}"/>
    <hyperlink ref="A157" r:id="rId93" xr:uid="{00000000-0004-0000-0500-000077010000}"/>
    <hyperlink ref="C157" location="FixPlan!A33" display="No 40-60 Word Answer Paragraphs" xr:uid="{00000000-0004-0000-0500-000078010000}"/>
    <hyperlink ref="F157" location="'Technical Diagnostics'!A1" display="Technical Diagnostics" xr:uid="{00000000-0004-0000-0500-000079010000}"/>
    <hyperlink ref="A158" r:id="rId94" xr:uid="{00000000-0004-0000-0500-00007A010000}"/>
    <hyperlink ref="C158" location="FixPlan!A34" display="AI Crawlers Not Explicitly Allowed" xr:uid="{00000000-0004-0000-0500-00007B010000}"/>
    <hyperlink ref="F158" location="'Technical Diagnostics'!A1" display="Technical Diagnostics" xr:uid="{00000000-0004-0000-0500-00007C010000}"/>
    <hyperlink ref="A159" r:id="rId95" xr:uid="{00000000-0004-0000-0500-00007D010000}"/>
    <hyperlink ref="C159" location="FixPlan!A17" display="Low Image Alt Coverage" xr:uid="{00000000-0004-0000-0500-00007E010000}"/>
    <hyperlink ref="F159" location="'Technical Diagnostics'!A1" display="Technical Diagnostics" xr:uid="{00000000-0004-0000-0500-00007F010000}"/>
    <hyperlink ref="A160" r:id="rId96" xr:uid="{00000000-0004-0000-0500-000080010000}"/>
    <hyperlink ref="C160" location="FixPlan!A16" display="Low AEO Readiness Score" xr:uid="{00000000-0004-0000-0500-000081010000}"/>
    <hyperlink ref="F160" location="'Content &amp; AI Readiness'!A1" display="Content &amp; AI Readiness" xr:uid="{00000000-0004-0000-0500-000082010000}"/>
    <hyperlink ref="A161" r:id="rId97" xr:uid="{00000000-0004-0000-0500-000083010000}"/>
    <hyperlink ref="C161" location="FixPlan!A31" display="No ETag Header" xr:uid="{00000000-0004-0000-0500-000084010000}"/>
    <hyperlink ref="F161" location="'Technical Diagnostics'!A1" display="Technical Diagnostics" xr:uid="{00000000-0004-0000-0500-000085010000}"/>
    <hyperlink ref="A162" r:id="rId98" xr:uid="{00000000-0004-0000-0500-000086010000}"/>
    <hyperlink ref="C162" location="FixPlan!A30" display="Thin Content" xr:uid="{00000000-0004-0000-0500-000087010000}"/>
    <hyperlink ref="F162" location="'Technical Diagnostics'!A1" display="Technical Diagnostics" xr:uid="{00000000-0004-0000-0500-000088010000}"/>
    <hyperlink ref="A163" r:id="rId99" xr:uid="{00000000-0004-0000-0500-000089010000}"/>
    <hyperlink ref="C163" location="FixPlan!A32" display="No Question Headings" xr:uid="{00000000-0004-0000-0500-00008A010000}"/>
    <hyperlink ref="F163" location="'Content &amp; AI Readiness'!A1" display="Content &amp; AI Readiness" xr:uid="{00000000-0004-0000-0500-00008B010000}"/>
    <hyperlink ref="A164" r:id="rId100" xr:uid="{00000000-0004-0000-0500-00008C010000}"/>
    <hyperlink ref="C164" location="FixPlan!A33" display="No 40-60 Word Answer Paragraphs" xr:uid="{00000000-0004-0000-0500-00008D010000}"/>
    <hyperlink ref="F164" location="'Technical Diagnostics'!A1" display="Technical Diagnostics" xr:uid="{00000000-0004-0000-0500-00008E010000}"/>
    <hyperlink ref="A165" r:id="rId101" xr:uid="{00000000-0004-0000-0500-00008F010000}"/>
    <hyperlink ref="C165" location="FixPlan!A34" display="AI Crawlers Not Explicitly Allowed" xr:uid="{00000000-0004-0000-0500-000090010000}"/>
    <hyperlink ref="F165" location="'Technical Diagnostics'!A1" display="Technical Diagnostics" xr:uid="{00000000-0004-0000-0500-000091010000}"/>
    <hyperlink ref="A166" r:id="rId102" xr:uid="{00000000-0004-0000-0500-000092010000}"/>
    <hyperlink ref="C166" location="FixPlan!A17" display="Low Image Alt Coverage" xr:uid="{00000000-0004-0000-0500-000093010000}"/>
    <hyperlink ref="F166" location="'Technical Diagnostics'!A1" display="Technical Diagnostics" xr:uid="{00000000-0004-0000-0500-000094010000}"/>
    <hyperlink ref="A167" r:id="rId103" xr:uid="{00000000-0004-0000-0500-000095010000}"/>
    <hyperlink ref="C167" location="FixPlan!A16" display="Low AEO Readiness Score" xr:uid="{00000000-0004-0000-0500-000096010000}"/>
    <hyperlink ref="F167" location="'Content &amp; AI Readiness'!A1" display="Content &amp; AI Readiness" xr:uid="{00000000-0004-0000-0500-000097010000}"/>
    <hyperlink ref="A168" r:id="rId104" xr:uid="{00000000-0004-0000-0500-000098010000}"/>
    <hyperlink ref="C168" location="FixPlan!A31" display="No ETag Header" xr:uid="{00000000-0004-0000-0500-000099010000}"/>
    <hyperlink ref="F168" location="'Technical Diagnostics'!A1" display="Technical Diagnostics" xr:uid="{00000000-0004-0000-0500-00009A010000}"/>
    <hyperlink ref="A169" r:id="rId105" xr:uid="{00000000-0004-0000-0500-00009B010000}"/>
    <hyperlink ref="C169" location="FixPlan!A30" display="Thin Content" xr:uid="{00000000-0004-0000-0500-00009C010000}"/>
    <hyperlink ref="F169" location="'Technical Diagnostics'!A1" display="Technical Diagnostics" xr:uid="{00000000-0004-0000-0500-00009D010000}"/>
    <hyperlink ref="A170" r:id="rId106" xr:uid="{00000000-0004-0000-0500-00009E010000}"/>
    <hyperlink ref="C170" location="FixPlan!A32" display="No Question Headings" xr:uid="{00000000-0004-0000-0500-00009F010000}"/>
    <hyperlink ref="F170" location="'Content &amp; AI Readiness'!A1" display="Content &amp; AI Readiness" xr:uid="{00000000-0004-0000-0500-0000A0010000}"/>
    <hyperlink ref="A171" r:id="rId107" xr:uid="{00000000-0004-0000-0500-0000A1010000}"/>
    <hyperlink ref="C171" location="FixPlan!A33" display="No 40-60 Word Answer Paragraphs" xr:uid="{00000000-0004-0000-0500-0000A2010000}"/>
    <hyperlink ref="F171" location="'Technical Diagnostics'!A1" display="Technical Diagnostics" xr:uid="{00000000-0004-0000-0500-0000A3010000}"/>
    <hyperlink ref="A172" r:id="rId108" xr:uid="{00000000-0004-0000-0500-0000A4010000}"/>
    <hyperlink ref="C172" location="FixPlan!A34" display="AI Crawlers Not Explicitly Allowed" xr:uid="{00000000-0004-0000-0500-0000A5010000}"/>
    <hyperlink ref="F172" location="'Technical Diagnostics'!A1" display="Technical Diagnostics" xr:uid="{00000000-0004-0000-0500-0000A6010000}"/>
    <hyperlink ref="A173" r:id="rId109" xr:uid="{00000000-0004-0000-0500-0000A7010000}"/>
    <hyperlink ref="C173" location="FixPlan!A18" display="Multiple H1" xr:uid="{00000000-0004-0000-0500-0000A8010000}"/>
    <hyperlink ref="F173" location="'Technical Diagnostics'!A1" display="Technical Diagnostics" xr:uid="{00000000-0004-0000-0500-0000A9010000}"/>
    <hyperlink ref="A174" r:id="rId110" xr:uid="{00000000-0004-0000-0500-0000AA010000}"/>
    <hyperlink ref="C174" location="FixPlan!A16" display="Low AEO Readiness Score" xr:uid="{00000000-0004-0000-0500-0000AB010000}"/>
    <hyperlink ref="F174" location="'Content &amp; AI Readiness'!A1" display="Content &amp; AI Readiness" xr:uid="{00000000-0004-0000-0500-0000AC010000}"/>
    <hyperlink ref="A175" r:id="rId111" xr:uid="{00000000-0004-0000-0500-0000AD010000}"/>
    <hyperlink ref="C175" location="FixPlan!A31" display="No ETag Header" xr:uid="{00000000-0004-0000-0500-0000AE010000}"/>
    <hyperlink ref="F175" location="'Technical Diagnostics'!A1" display="Technical Diagnostics" xr:uid="{00000000-0004-0000-0500-0000AF010000}"/>
    <hyperlink ref="A176" r:id="rId112" xr:uid="{00000000-0004-0000-0500-0000B0010000}"/>
    <hyperlink ref="C176" location="FixPlan!A32" display="No Question Headings" xr:uid="{00000000-0004-0000-0500-0000B1010000}"/>
    <hyperlink ref="F176" location="'Content &amp; AI Readiness'!A1" display="Content &amp; AI Readiness" xr:uid="{00000000-0004-0000-0500-0000B2010000}"/>
    <hyperlink ref="A177" r:id="rId113" xr:uid="{00000000-0004-0000-0500-0000B3010000}"/>
    <hyperlink ref="C177" location="FixPlan!A33" display="No 40-60 Word Answer Paragraphs" xr:uid="{00000000-0004-0000-0500-0000B4010000}"/>
    <hyperlink ref="F177" location="'Technical Diagnostics'!A1" display="Technical Diagnostics" xr:uid="{00000000-0004-0000-0500-0000B5010000}"/>
    <hyperlink ref="A178" r:id="rId114" xr:uid="{00000000-0004-0000-0500-0000B6010000}"/>
    <hyperlink ref="C178" location="FixPlan!A34" display="AI Crawlers Not Explicitly Allowed" xr:uid="{00000000-0004-0000-0500-0000B7010000}"/>
    <hyperlink ref="F178" location="'Technical Diagnostics'!A1" display="Technical Diagnostics" xr:uid="{00000000-0004-0000-0500-0000B8010000}"/>
    <hyperlink ref="A179" r:id="rId115" xr:uid="{00000000-0004-0000-0500-0000B9010000}"/>
    <hyperlink ref="C179" location="FixPlan!A17" display="Low Image Alt Coverage" xr:uid="{00000000-0004-0000-0500-0000BA010000}"/>
    <hyperlink ref="F179" location="'Technical Diagnostics'!A1" display="Technical Diagnostics" xr:uid="{00000000-0004-0000-0500-0000BB010000}"/>
    <hyperlink ref="A180" r:id="rId116" xr:uid="{00000000-0004-0000-0500-0000BC010000}"/>
    <hyperlink ref="C180" location="FixPlan!A16" display="Low AEO Readiness Score" xr:uid="{00000000-0004-0000-0500-0000BD010000}"/>
    <hyperlink ref="F180" location="'Content &amp; AI Readiness'!A1" display="Content &amp; AI Readiness" xr:uid="{00000000-0004-0000-0500-0000BE010000}"/>
    <hyperlink ref="A181" r:id="rId117" xr:uid="{00000000-0004-0000-0500-0000BF010000}"/>
    <hyperlink ref="C181" location="FixPlan!A31" display="No ETag Header" xr:uid="{00000000-0004-0000-0500-0000C0010000}"/>
    <hyperlink ref="F181" location="'Technical Diagnostics'!A1" display="Technical Diagnostics" xr:uid="{00000000-0004-0000-0500-0000C1010000}"/>
    <hyperlink ref="A182" r:id="rId118" xr:uid="{00000000-0004-0000-0500-0000C2010000}"/>
    <hyperlink ref="C182" location="FixPlan!A32" display="No Question Headings" xr:uid="{00000000-0004-0000-0500-0000C3010000}"/>
    <hyperlink ref="F182" location="'Content &amp; AI Readiness'!A1" display="Content &amp; AI Readiness" xr:uid="{00000000-0004-0000-0500-0000C4010000}"/>
    <hyperlink ref="A183" r:id="rId119" xr:uid="{00000000-0004-0000-0500-0000C5010000}"/>
    <hyperlink ref="C183" location="FixPlan!A33" display="No 40-60 Word Answer Paragraphs" xr:uid="{00000000-0004-0000-0500-0000C6010000}"/>
    <hyperlink ref="F183" location="'Technical Diagnostics'!A1" display="Technical Diagnostics" xr:uid="{00000000-0004-0000-0500-0000C7010000}"/>
    <hyperlink ref="A184" r:id="rId120" xr:uid="{00000000-0004-0000-0500-0000C8010000}"/>
    <hyperlink ref="C184" location="FixPlan!A34" display="AI Crawlers Not Explicitly Allowed" xr:uid="{00000000-0004-0000-0500-0000C9010000}"/>
    <hyperlink ref="F184" location="'Technical Diagnostics'!A1" display="Technical Diagnostics" xr:uid="{00000000-0004-0000-0500-0000CA010000}"/>
    <hyperlink ref="A185" r:id="rId121" xr:uid="{00000000-0004-0000-0500-0000CB010000}"/>
    <hyperlink ref="C185" location="FixPlan!A16" display="Low AEO Readiness Score" xr:uid="{00000000-0004-0000-0500-0000CC010000}"/>
    <hyperlink ref="F185" location="'Content &amp; AI Readiness'!A1" display="Content &amp; AI Readiness" xr:uid="{00000000-0004-0000-0500-0000CD010000}"/>
    <hyperlink ref="A186" r:id="rId122" xr:uid="{00000000-0004-0000-0500-0000CE010000}"/>
    <hyperlink ref="C186" location="FixPlan!A31" display="No ETag Header" xr:uid="{00000000-0004-0000-0500-0000CF010000}"/>
    <hyperlink ref="F186" location="'Technical Diagnostics'!A1" display="Technical Diagnostics" xr:uid="{00000000-0004-0000-0500-0000D0010000}"/>
    <hyperlink ref="A187" r:id="rId123" xr:uid="{00000000-0004-0000-0500-0000D1010000}"/>
    <hyperlink ref="C187" location="FixPlan!A30" display="Thin Content" xr:uid="{00000000-0004-0000-0500-0000D2010000}"/>
    <hyperlink ref="F187" location="'Technical Diagnostics'!A1" display="Technical Diagnostics" xr:uid="{00000000-0004-0000-0500-0000D3010000}"/>
    <hyperlink ref="A188" r:id="rId124" xr:uid="{00000000-0004-0000-0500-0000D4010000}"/>
    <hyperlink ref="C188" location="FixPlan!A32" display="No Question Headings" xr:uid="{00000000-0004-0000-0500-0000D5010000}"/>
    <hyperlink ref="F188" location="'Content &amp; AI Readiness'!A1" display="Content &amp; AI Readiness" xr:uid="{00000000-0004-0000-0500-0000D6010000}"/>
    <hyperlink ref="A189" r:id="rId125" xr:uid="{00000000-0004-0000-0500-0000D7010000}"/>
    <hyperlink ref="C189" location="FixPlan!A33" display="No 40-60 Word Answer Paragraphs" xr:uid="{00000000-0004-0000-0500-0000D8010000}"/>
    <hyperlink ref="F189" location="'Technical Diagnostics'!A1" display="Technical Diagnostics" xr:uid="{00000000-0004-0000-0500-0000D9010000}"/>
    <hyperlink ref="A190" r:id="rId126" xr:uid="{00000000-0004-0000-0500-0000DA010000}"/>
    <hyperlink ref="C190" location="FixPlan!A34" display="AI Crawlers Not Explicitly Allowed" xr:uid="{00000000-0004-0000-0500-0000DB010000}"/>
    <hyperlink ref="F190" location="'Technical Diagnostics'!A1" display="Technical Diagnostics" xr:uid="{00000000-0004-0000-0500-0000DC010000}"/>
    <hyperlink ref="A191" r:id="rId127" xr:uid="{00000000-0004-0000-0500-0000DD010000}"/>
    <hyperlink ref="C191" location="FixPlan!A17" display="Low Image Alt Coverage" xr:uid="{00000000-0004-0000-0500-0000DE010000}"/>
    <hyperlink ref="F191" location="'Technical Diagnostics'!A1" display="Technical Diagnostics" xr:uid="{00000000-0004-0000-0500-0000DF010000}"/>
    <hyperlink ref="A192" r:id="rId128" xr:uid="{00000000-0004-0000-0500-0000E0010000}"/>
    <hyperlink ref="C192" location="FixPlan!A16" display="Low AEO Readiness Score" xr:uid="{00000000-0004-0000-0500-0000E1010000}"/>
    <hyperlink ref="F192" location="'Content &amp; AI Readiness'!A1" display="Content &amp; AI Readiness" xr:uid="{00000000-0004-0000-0500-0000E2010000}"/>
    <hyperlink ref="A193" r:id="rId129" xr:uid="{00000000-0004-0000-0500-0000E3010000}"/>
    <hyperlink ref="C193" location="FixPlan!A31" display="No ETag Header" xr:uid="{00000000-0004-0000-0500-0000E4010000}"/>
    <hyperlink ref="F193" location="'Technical Diagnostics'!A1" display="Technical Diagnostics" xr:uid="{00000000-0004-0000-0500-0000E5010000}"/>
    <hyperlink ref="A194" r:id="rId130" xr:uid="{00000000-0004-0000-0500-0000E6010000}"/>
    <hyperlink ref="C194" location="FixPlan!A30" display="Thin Content" xr:uid="{00000000-0004-0000-0500-0000E7010000}"/>
    <hyperlink ref="F194" location="'Technical Diagnostics'!A1" display="Technical Diagnostics" xr:uid="{00000000-0004-0000-0500-0000E8010000}"/>
    <hyperlink ref="A195" r:id="rId131" xr:uid="{00000000-0004-0000-0500-0000E9010000}"/>
    <hyperlink ref="C195" location="FixPlan!A32" display="No Question Headings" xr:uid="{00000000-0004-0000-0500-0000EA010000}"/>
    <hyperlink ref="F195" location="'Content &amp; AI Readiness'!A1" display="Content &amp; AI Readiness" xr:uid="{00000000-0004-0000-0500-0000EB010000}"/>
    <hyperlink ref="A196" r:id="rId132" xr:uid="{00000000-0004-0000-0500-0000EC010000}"/>
    <hyperlink ref="C196" location="FixPlan!A33" display="No 40-60 Word Answer Paragraphs" xr:uid="{00000000-0004-0000-0500-0000ED010000}"/>
    <hyperlink ref="F196" location="'Technical Diagnostics'!A1" display="Technical Diagnostics" xr:uid="{00000000-0004-0000-0500-0000EE010000}"/>
    <hyperlink ref="A197" r:id="rId133" xr:uid="{00000000-0004-0000-0500-0000EF010000}"/>
    <hyperlink ref="C197" location="FixPlan!A34" display="AI Crawlers Not Explicitly Allowed" xr:uid="{00000000-0004-0000-0500-0000F0010000}"/>
    <hyperlink ref="F197" location="'Technical Diagnostics'!A1" display="Technical Diagnostics" xr:uid="{00000000-0004-0000-0500-0000F1010000}"/>
    <hyperlink ref="A198" r:id="rId134" xr:uid="{00000000-0004-0000-0500-0000F2010000}"/>
    <hyperlink ref="C198" location="FixPlan!A18" display="Multiple H1" xr:uid="{00000000-0004-0000-0500-0000F3010000}"/>
    <hyperlink ref="F198" location="'Technical Diagnostics'!A1" display="Technical Diagnostics" xr:uid="{00000000-0004-0000-0500-0000F4010000}"/>
    <hyperlink ref="A199" r:id="rId135" xr:uid="{00000000-0004-0000-0500-0000F5010000}"/>
    <hyperlink ref="C199" location="FixPlan!A17" display="Low Image Alt Coverage" xr:uid="{00000000-0004-0000-0500-0000F6010000}"/>
    <hyperlink ref="F199" location="'Technical Diagnostics'!A1" display="Technical Diagnostics" xr:uid="{00000000-0004-0000-0500-0000F7010000}"/>
    <hyperlink ref="A200" r:id="rId136" xr:uid="{00000000-0004-0000-0500-0000F8010000}"/>
    <hyperlink ref="C200" location="FixPlan!A16" display="Low AEO Readiness Score" xr:uid="{00000000-0004-0000-0500-0000F9010000}"/>
    <hyperlink ref="F200" location="'Content &amp; AI Readiness'!A1" display="Content &amp; AI Readiness" xr:uid="{00000000-0004-0000-0500-0000FA010000}"/>
    <hyperlink ref="A201" r:id="rId137" xr:uid="{00000000-0004-0000-0500-0000FB010000}"/>
    <hyperlink ref="C201" location="FixPlan!A35" display="Image Filename Quality Issues" xr:uid="{00000000-0004-0000-0500-0000FC010000}"/>
    <hyperlink ref="F201" location="'Technical Diagnostics'!A1" display="Technical Diagnostics" xr:uid="{00000000-0004-0000-0500-0000FD010000}"/>
    <hyperlink ref="A202" r:id="rId138" xr:uid="{00000000-0004-0000-0500-0000FE010000}"/>
    <hyperlink ref="C202" location="FixPlan!A31" display="No ETag Header" xr:uid="{00000000-0004-0000-0500-0000FF010000}"/>
    <hyperlink ref="F202" location="'Technical Diagnostics'!A1" display="Technical Diagnostics" xr:uid="{00000000-0004-0000-0500-000000020000}"/>
    <hyperlink ref="A203" r:id="rId139" xr:uid="{00000000-0004-0000-0500-000001020000}"/>
    <hyperlink ref="C203" location="FixPlan!A32" display="No Question Headings" xr:uid="{00000000-0004-0000-0500-000002020000}"/>
    <hyperlink ref="F203" location="'Content &amp; AI Readiness'!A1" display="Content &amp; AI Readiness" xr:uid="{00000000-0004-0000-0500-000003020000}"/>
    <hyperlink ref="A204" r:id="rId140" xr:uid="{00000000-0004-0000-0500-000004020000}"/>
    <hyperlink ref="C204" location="FixPlan!A33" display="No 40-60 Word Answer Paragraphs" xr:uid="{00000000-0004-0000-0500-000005020000}"/>
    <hyperlink ref="F204" location="'Technical Diagnostics'!A1" display="Technical Diagnostics" xr:uid="{00000000-0004-0000-0500-000006020000}"/>
    <hyperlink ref="A205" r:id="rId141" xr:uid="{00000000-0004-0000-0500-000007020000}"/>
    <hyperlink ref="C205" location="FixPlan!A34" display="AI Crawlers Not Explicitly Allowed" xr:uid="{00000000-0004-0000-0500-000008020000}"/>
    <hyperlink ref="F205" location="'Technical Diagnostics'!A1" display="Technical Diagnostics" xr:uid="{00000000-0004-0000-0500-000009020000}"/>
  </hyperlinks>
  <pageMargins left="0.75" right="0.75" top="1" bottom="1" header="0.5" footer="0.5"/>
  <legacyDrawing r:id="rId14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2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6"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26" customWidth="1"/>
  </cols>
  <sheetData>
    <row r="1" spans="1:29" ht="45" x14ac:dyDescent="0.25">
      <c r="A1" s="31" t="s">
        <v>78</v>
      </c>
      <c r="B1" s="31" t="s">
        <v>534</v>
      </c>
      <c r="C1" s="31" t="s">
        <v>535</v>
      </c>
      <c r="D1" s="31" t="s">
        <v>191</v>
      </c>
      <c r="E1" s="31" t="s">
        <v>192</v>
      </c>
      <c r="F1" s="31" t="s">
        <v>536</v>
      </c>
      <c r="G1" s="31" t="s">
        <v>196</v>
      </c>
      <c r="H1" s="31" t="s">
        <v>197</v>
      </c>
      <c r="I1" s="31" t="s">
        <v>537</v>
      </c>
      <c r="J1" s="31" t="s">
        <v>538</v>
      </c>
      <c r="K1" s="31" t="s">
        <v>199</v>
      </c>
      <c r="L1" s="31" t="s">
        <v>201</v>
      </c>
      <c r="M1" s="31" t="s">
        <v>539</v>
      </c>
      <c r="N1" s="31" t="s">
        <v>540</v>
      </c>
      <c r="O1" s="31" t="s">
        <v>541</v>
      </c>
      <c r="P1" s="31" t="s">
        <v>542</v>
      </c>
      <c r="Q1" s="31" t="s">
        <v>543</v>
      </c>
      <c r="R1" s="31" t="s">
        <v>544</v>
      </c>
      <c r="S1" s="31" t="s">
        <v>545</v>
      </c>
      <c r="T1" s="31" t="s">
        <v>546</v>
      </c>
      <c r="U1" s="31" t="s">
        <v>547</v>
      </c>
      <c r="V1" s="31" t="s">
        <v>548</v>
      </c>
      <c r="W1" s="31" t="s">
        <v>549</v>
      </c>
      <c r="X1" s="31" t="s">
        <v>550</v>
      </c>
      <c r="Y1" s="31" t="s">
        <v>551</v>
      </c>
      <c r="Z1" s="31" t="s">
        <v>552</v>
      </c>
      <c r="AA1" s="31" t="s">
        <v>351</v>
      </c>
      <c r="AB1" s="31" t="s">
        <v>93</v>
      </c>
      <c r="AC1" s="32" t="s">
        <v>95</v>
      </c>
    </row>
    <row r="2" spans="1:29" ht="30" customHeight="1" x14ac:dyDescent="0.25">
      <c r="A2" s="50" t="s">
        <v>146</v>
      </c>
      <c r="B2" s="33" t="s">
        <v>553</v>
      </c>
      <c r="C2" s="52">
        <v>200</v>
      </c>
      <c r="D2" s="47" t="s">
        <v>51</v>
      </c>
      <c r="E2" s="55">
        <v>60</v>
      </c>
      <c r="F2" s="33" t="s">
        <v>554</v>
      </c>
      <c r="G2" s="33">
        <v>0</v>
      </c>
      <c r="H2" s="33">
        <v>3</v>
      </c>
      <c r="I2" s="33" t="s">
        <v>555</v>
      </c>
      <c r="J2" s="33" t="s">
        <v>556</v>
      </c>
      <c r="K2" s="52" t="s">
        <v>204</v>
      </c>
      <c r="L2" s="33" t="s">
        <v>205</v>
      </c>
      <c r="M2" s="33">
        <v>0</v>
      </c>
      <c r="N2" s="52" t="b">
        <v>0</v>
      </c>
      <c r="O2" s="33"/>
      <c r="P2" s="33"/>
      <c r="Q2" s="33"/>
      <c r="R2" s="33">
        <v>0</v>
      </c>
      <c r="S2" s="33">
        <v>0</v>
      </c>
      <c r="T2" s="33">
        <v>0</v>
      </c>
      <c r="U2" s="33">
        <v>0</v>
      </c>
      <c r="V2" s="33">
        <v>0</v>
      </c>
      <c r="W2" s="37" t="s">
        <v>146</v>
      </c>
      <c r="X2" s="37" t="s">
        <v>146</v>
      </c>
      <c r="Y2" s="33" t="s">
        <v>557</v>
      </c>
      <c r="Z2" s="33"/>
      <c r="AA2" s="33" t="s">
        <v>553</v>
      </c>
      <c r="AB2" s="41" t="str">
        <f>IFERROR(HYPERLINK("#'Main'!B"&amp;MATCH(TRIM(A2),Main!B:B,0),"Open"),HYPERLINK("#'Main'!B1","Open"))</f>
        <v>Open</v>
      </c>
      <c r="AC2" s="41"/>
    </row>
    <row r="3" spans="1:29" ht="30" customHeight="1" x14ac:dyDescent="0.25">
      <c r="A3" s="51" t="s">
        <v>178</v>
      </c>
      <c r="B3" s="42" t="s">
        <v>553</v>
      </c>
      <c r="C3" s="52">
        <v>200</v>
      </c>
      <c r="D3" s="47" t="s">
        <v>51</v>
      </c>
      <c r="E3" s="56">
        <v>70</v>
      </c>
      <c r="F3" s="42" t="s">
        <v>554</v>
      </c>
      <c r="G3" s="42">
        <v>0</v>
      </c>
      <c r="H3" s="42">
        <v>2</v>
      </c>
      <c r="I3" s="42" t="s">
        <v>555</v>
      </c>
      <c r="J3" s="42" t="s">
        <v>556</v>
      </c>
      <c r="K3" s="52" t="s">
        <v>204</v>
      </c>
      <c r="L3" s="42" t="s">
        <v>205</v>
      </c>
      <c r="M3" s="42">
        <v>0</v>
      </c>
      <c r="N3" s="52" t="b">
        <v>0</v>
      </c>
      <c r="O3" s="42"/>
      <c r="P3" s="42"/>
      <c r="Q3" s="42"/>
      <c r="R3" s="42">
        <v>0</v>
      </c>
      <c r="S3" s="42">
        <v>0</v>
      </c>
      <c r="T3" s="42">
        <v>0</v>
      </c>
      <c r="U3" s="42">
        <v>0</v>
      </c>
      <c r="V3" s="42">
        <v>0</v>
      </c>
      <c r="W3" s="44" t="s">
        <v>178</v>
      </c>
      <c r="X3" s="44" t="s">
        <v>178</v>
      </c>
      <c r="Y3" s="42" t="s">
        <v>557</v>
      </c>
      <c r="Z3" s="42"/>
      <c r="AA3" s="42" t="s">
        <v>553</v>
      </c>
      <c r="AB3" t="str">
        <f>IFERROR(HYPERLINK("#'Main'!B"&amp;MATCH(TRIM(A3),Main!B:B,0),"Open"),HYPERLINK("#'Main'!B1","Open"))</f>
        <v>Open</v>
      </c>
    </row>
    <row r="4" spans="1:29" ht="15.75" x14ac:dyDescent="0.25">
      <c r="A4" s="50" t="s">
        <v>176</v>
      </c>
      <c r="B4" s="33" t="s">
        <v>553</v>
      </c>
      <c r="C4" s="52">
        <v>200</v>
      </c>
      <c r="D4" s="47" t="s">
        <v>51</v>
      </c>
      <c r="E4" s="55">
        <v>60</v>
      </c>
      <c r="F4" s="33" t="s">
        <v>554</v>
      </c>
      <c r="G4" s="33">
        <v>0</v>
      </c>
      <c r="H4" s="33">
        <v>3</v>
      </c>
      <c r="I4" s="33" t="s">
        <v>555</v>
      </c>
      <c r="J4" s="33" t="s">
        <v>556</v>
      </c>
      <c r="K4" s="52" t="s">
        <v>204</v>
      </c>
      <c r="L4" s="33" t="s">
        <v>205</v>
      </c>
      <c r="M4" s="33">
        <v>0</v>
      </c>
      <c r="N4" s="52" t="b">
        <v>0</v>
      </c>
      <c r="O4" s="33"/>
      <c r="P4" s="33"/>
      <c r="Q4" s="33"/>
      <c r="R4" s="33">
        <v>0</v>
      </c>
      <c r="S4" s="33">
        <v>0</v>
      </c>
      <c r="T4" s="33">
        <v>0</v>
      </c>
      <c r="U4" s="33">
        <v>0</v>
      </c>
      <c r="V4" s="33">
        <v>0</v>
      </c>
      <c r="W4" s="37" t="s">
        <v>176</v>
      </c>
      <c r="X4" s="37" t="s">
        <v>176</v>
      </c>
      <c r="Y4" s="33" t="s">
        <v>557</v>
      </c>
      <c r="Z4" s="33"/>
      <c r="AA4" s="33" t="s">
        <v>553</v>
      </c>
      <c r="AB4" s="41" t="str">
        <f>IFERROR(HYPERLINK("#'Main'!B"&amp;MATCH(TRIM(A4),Main!B:B,0),"Open"),HYPERLINK("#'Main'!B1","Open"))</f>
        <v>Open</v>
      </c>
      <c r="AC4" s="41"/>
    </row>
    <row r="5" spans="1:29" ht="30" customHeight="1" x14ac:dyDescent="0.25">
      <c r="A5" s="51" t="s">
        <v>208</v>
      </c>
      <c r="B5" s="42" t="s">
        <v>553</v>
      </c>
      <c r="C5" s="52">
        <v>200</v>
      </c>
      <c r="D5" s="47" t="s">
        <v>51</v>
      </c>
      <c r="E5" s="56">
        <v>70</v>
      </c>
      <c r="F5" s="42" t="s">
        <v>554</v>
      </c>
      <c r="G5" s="42">
        <v>0</v>
      </c>
      <c r="H5" s="42">
        <v>2</v>
      </c>
      <c r="I5" s="42" t="s">
        <v>555</v>
      </c>
      <c r="J5" s="42" t="s">
        <v>556</v>
      </c>
      <c r="K5" s="52" t="s">
        <v>204</v>
      </c>
      <c r="L5" s="42" t="s">
        <v>205</v>
      </c>
      <c r="M5" s="42">
        <v>0</v>
      </c>
      <c r="N5" s="52" t="b">
        <v>0</v>
      </c>
      <c r="O5" s="42"/>
      <c r="P5" s="42"/>
      <c r="Q5" s="42"/>
      <c r="R5" s="42">
        <v>0</v>
      </c>
      <c r="S5" s="42">
        <v>0</v>
      </c>
      <c r="T5" s="42">
        <v>0</v>
      </c>
      <c r="U5" s="42">
        <v>0</v>
      </c>
      <c r="V5" s="42">
        <v>0</v>
      </c>
      <c r="W5" s="44" t="s">
        <v>208</v>
      </c>
      <c r="X5" s="44" t="s">
        <v>208</v>
      </c>
      <c r="Y5" s="42" t="s">
        <v>557</v>
      </c>
      <c r="Z5" s="42"/>
      <c r="AA5" s="42" t="s">
        <v>553</v>
      </c>
      <c r="AB5" t="str">
        <f>IFERROR(HYPERLINK("#'Main'!B"&amp;MATCH(TRIM(A5),Main!B:B,0),"Open"),HYPERLINK("#'Main'!B1","Open"))</f>
        <v>Open</v>
      </c>
    </row>
    <row r="6" spans="1:29" ht="30" customHeight="1" x14ac:dyDescent="0.25">
      <c r="A6" s="50" t="s">
        <v>155</v>
      </c>
      <c r="B6" s="33" t="s">
        <v>553</v>
      </c>
      <c r="C6" s="52">
        <v>200</v>
      </c>
      <c r="D6" s="47" t="s">
        <v>51</v>
      </c>
      <c r="E6" s="55">
        <v>60</v>
      </c>
      <c r="F6" s="33" t="s">
        <v>554</v>
      </c>
      <c r="G6" s="33">
        <v>0</v>
      </c>
      <c r="H6" s="33">
        <v>3</v>
      </c>
      <c r="I6" s="33" t="s">
        <v>555</v>
      </c>
      <c r="J6" s="33" t="s">
        <v>556</v>
      </c>
      <c r="K6" s="52" t="s">
        <v>204</v>
      </c>
      <c r="L6" s="33" t="s">
        <v>205</v>
      </c>
      <c r="M6" s="33">
        <v>0</v>
      </c>
      <c r="N6" s="52" t="b">
        <v>0</v>
      </c>
      <c r="O6" s="33"/>
      <c r="P6" s="33"/>
      <c r="Q6" s="33"/>
      <c r="R6" s="33">
        <v>0</v>
      </c>
      <c r="S6" s="33">
        <v>0</v>
      </c>
      <c r="T6" s="33">
        <v>0</v>
      </c>
      <c r="U6" s="33">
        <v>0</v>
      </c>
      <c r="V6" s="33">
        <v>0</v>
      </c>
      <c r="W6" s="37" t="s">
        <v>155</v>
      </c>
      <c r="X6" s="37" t="s">
        <v>155</v>
      </c>
      <c r="Y6" s="33" t="s">
        <v>557</v>
      </c>
      <c r="Z6" s="33"/>
      <c r="AA6" s="33" t="s">
        <v>553</v>
      </c>
      <c r="AB6" s="41" t="str">
        <f>IFERROR(HYPERLINK("#'Main'!B"&amp;MATCH(TRIM(A6),Main!B:B,0),"Open"),HYPERLINK("#'Main'!B1","Open"))</f>
        <v>Open</v>
      </c>
      <c r="AC6" s="41"/>
    </row>
    <row r="7" spans="1:29" ht="30" customHeight="1" x14ac:dyDescent="0.25">
      <c r="A7" s="51" t="s">
        <v>206</v>
      </c>
      <c r="B7" s="42" t="s">
        <v>553</v>
      </c>
      <c r="C7" s="52">
        <v>200</v>
      </c>
      <c r="D7" s="47" t="s">
        <v>51</v>
      </c>
      <c r="E7" s="56">
        <v>60</v>
      </c>
      <c r="F7" s="42" t="s">
        <v>554</v>
      </c>
      <c r="G7" s="42">
        <v>0</v>
      </c>
      <c r="H7" s="42">
        <v>3</v>
      </c>
      <c r="I7" s="42" t="s">
        <v>555</v>
      </c>
      <c r="J7" s="42" t="s">
        <v>556</v>
      </c>
      <c r="K7" s="52" t="s">
        <v>204</v>
      </c>
      <c r="L7" s="42" t="s">
        <v>205</v>
      </c>
      <c r="M7" s="42">
        <v>0</v>
      </c>
      <c r="N7" s="52" t="b">
        <v>0</v>
      </c>
      <c r="O7" s="42"/>
      <c r="P7" s="42"/>
      <c r="Q7" s="42"/>
      <c r="R7" s="42">
        <v>0</v>
      </c>
      <c r="S7" s="42">
        <v>0</v>
      </c>
      <c r="T7" s="42">
        <v>0</v>
      </c>
      <c r="U7" s="42">
        <v>0</v>
      </c>
      <c r="V7" s="42">
        <v>0</v>
      </c>
      <c r="W7" s="44" t="s">
        <v>206</v>
      </c>
      <c r="X7" s="44" t="s">
        <v>206</v>
      </c>
      <c r="Y7" s="42" t="s">
        <v>557</v>
      </c>
      <c r="Z7" s="42"/>
      <c r="AA7" s="42" t="s">
        <v>553</v>
      </c>
      <c r="AB7" t="str">
        <f>IFERROR(HYPERLINK("#'Main'!B"&amp;MATCH(TRIM(A7),Main!B:B,0),"Open"),HYPERLINK("#'Main'!B1","Open"))</f>
        <v>Open</v>
      </c>
    </row>
    <row r="8" spans="1:29" ht="30" customHeight="1" x14ac:dyDescent="0.25">
      <c r="A8" s="50" t="s">
        <v>207</v>
      </c>
      <c r="B8" s="33" t="s">
        <v>553</v>
      </c>
      <c r="C8" s="52">
        <v>200</v>
      </c>
      <c r="D8" s="47" t="s">
        <v>51</v>
      </c>
      <c r="E8" s="55">
        <v>60</v>
      </c>
      <c r="F8" s="33" t="s">
        <v>554</v>
      </c>
      <c r="G8" s="33">
        <v>0</v>
      </c>
      <c r="H8" s="33">
        <v>3</v>
      </c>
      <c r="I8" s="33" t="s">
        <v>555</v>
      </c>
      <c r="J8" s="33" t="s">
        <v>556</v>
      </c>
      <c r="K8" s="52" t="s">
        <v>204</v>
      </c>
      <c r="L8" s="33" t="s">
        <v>205</v>
      </c>
      <c r="M8" s="33">
        <v>0</v>
      </c>
      <c r="N8" s="52" t="b">
        <v>0</v>
      </c>
      <c r="O8" s="33"/>
      <c r="P8" s="33"/>
      <c r="Q8" s="33"/>
      <c r="R8" s="33">
        <v>0</v>
      </c>
      <c r="S8" s="33">
        <v>0</v>
      </c>
      <c r="T8" s="33">
        <v>0</v>
      </c>
      <c r="U8" s="33">
        <v>0</v>
      </c>
      <c r="V8" s="33">
        <v>0</v>
      </c>
      <c r="W8" s="37" t="s">
        <v>207</v>
      </c>
      <c r="X8" s="37" t="s">
        <v>207</v>
      </c>
      <c r="Y8" s="33" t="s">
        <v>557</v>
      </c>
      <c r="Z8" s="33"/>
      <c r="AA8" s="33" t="s">
        <v>553</v>
      </c>
      <c r="AB8" s="41" t="str">
        <f>IFERROR(HYPERLINK("#'Main'!B"&amp;MATCH(TRIM(A8),Main!B:B,0),"Open"),HYPERLINK("#'Main'!B1","Open"))</f>
        <v>Open</v>
      </c>
      <c r="AC8" s="41"/>
    </row>
    <row r="9" spans="1:29" ht="30" customHeight="1" x14ac:dyDescent="0.25">
      <c r="A9" s="51" t="s">
        <v>209</v>
      </c>
      <c r="B9" s="42" t="s">
        <v>553</v>
      </c>
      <c r="C9" s="52">
        <v>200</v>
      </c>
      <c r="D9" s="47" t="s">
        <v>51</v>
      </c>
      <c r="E9" s="56">
        <v>70</v>
      </c>
      <c r="F9" s="42" t="s">
        <v>554</v>
      </c>
      <c r="G9" s="42">
        <v>0</v>
      </c>
      <c r="H9" s="42">
        <v>2</v>
      </c>
      <c r="I9" s="42" t="s">
        <v>555</v>
      </c>
      <c r="J9" s="42" t="s">
        <v>556</v>
      </c>
      <c r="K9" s="52" t="s">
        <v>204</v>
      </c>
      <c r="L9" s="42" t="s">
        <v>205</v>
      </c>
      <c r="M9" s="42">
        <v>0</v>
      </c>
      <c r="N9" s="52" t="b">
        <v>0</v>
      </c>
      <c r="O9" s="42"/>
      <c r="P9" s="42"/>
      <c r="Q9" s="42"/>
      <c r="R9" s="42">
        <v>0</v>
      </c>
      <c r="S9" s="42">
        <v>0</v>
      </c>
      <c r="T9" s="42">
        <v>0</v>
      </c>
      <c r="U9" s="42">
        <v>0</v>
      </c>
      <c r="V9" s="42">
        <v>0</v>
      </c>
      <c r="W9" s="44" t="s">
        <v>209</v>
      </c>
      <c r="X9" s="44" t="s">
        <v>209</v>
      </c>
      <c r="Y9" s="42" t="s">
        <v>557</v>
      </c>
      <c r="Z9" s="42"/>
      <c r="AA9" s="42" t="s">
        <v>553</v>
      </c>
      <c r="AB9" t="str">
        <f>IFERROR(HYPERLINK("#'Main'!B"&amp;MATCH(TRIM(A9),Main!B:B,0),"Open"),HYPERLINK("#'Main'!B1","Open"))</f>
        <v>Open</v>
      </c>
    </row>
    <row r="10" spans="1:29" ht="30" customHeight="1" x14ac:dyDescent="0.25">
      <c r="A10" s="50" t="s">
        <v>157</v>
      </c>
      <c r="B10" s="33" t="s">
        <v>553</v>
      </c>
      <c r="C10" s="52">
        <v>200</v>
      </c>
      <c r="D10" s="47" t="s">
        <v>51</v>
      </c>
      <c r="E10" s="55">
        <v>50</v>
      </c>
      <c r="F10" s="33" t="s">
        <v>554</v>
      </c>
      <c r="G10" s="33">
        <v>0</v>
      </c>
      <c r="H10" s="33">
        <v>4</v>
      </c>
      <c r="I10" s="33" t="s">
        <v>555</v>
      </c>
      <c r="J10" s="33" t="s">
        <v>556</v>
      </c>
      <c r="K10" s="52" t="s">
        <v>204</v>
      </c>
      <c r="L10" s="33" t="s">
        <v>205</v>
      </c>
      <c r="M10" s="33">
        <v>0</v>
      </c>
      <c r="N10" s="52" t="b">
        <v>0</v>
      </c>
      <c r="O10" s="33"/>
      <c r="P10" s="33"/>
      <c r="Q10" s="33"/>
      <c r="R10" s="33">
        <v>0</v>
      </c>
      <c r="S10" s="33">
        <v>0</v>
      </c>
      <c r="T10" s="33">
        <v>0</v>
      </c>
      <c r="U10" s="33">
        <v>0</v>
      </c>
      <c r="V10" s="33">
        <v>0</v>
      </c>
      <c r="W10" s="37" t="s">
        <v>157</v>
      </c>
      <c r="X10" s="37" t="s">
        <v>157</v>
      </c>
      <c r="Y10" s="33" t="s">
        <v>557</v>
      </c>
      <c r="Z10" s="33"/>
      <c r="AA10" s="33" t="s">
        <v>553</v>
      </c>
      <c r="AB10" s="41" t="str">
        <f>IFERROR(HYPERLINK("#'Main'!B"&amp;MATCH(TRIM(A10),Main!B:B,0),"Open"),HYPERLINK("#'Main'!B1","Open"))</f>
        <v>Open</v>
      </c>
      <c r="AC10" s="41"/>
    </row>
    <row r="11" spans="1:29" ht="30" customHeight="1" x14ac:dyDescent="0.25">
      <c r="A11" s="51" t="s">
        <v>210</v>
      </c>
      <c r="B11" s="42" t="s">
        <v>553</v>
      </c>
      <c r="C11" s="52">
        <v>200</v>
      </c>
      <c r="D11" s="47" t="s">
        <v>51</v>
      </c>
      <c r="E11" s="56">
        <v>70</v>
      </c>
      <c r="F11" s="42" t="s">
        <v>554</v>
      </c>
      <c r="G11" s="42">
        <v>0</v>
      </c>
      <c r="H11" s="42">
        <v>2</v>
      </c>
      <c r="I11" s="42" t="s">
        <v>555</v>
      </c>
      <c r="J11" s="42" t="s">
        <v>556</v>
      </c>
      <c r="K11" s="52" t="s">
        <v>204</v>
      </c>
      <c r="L11" s="42" t="s">
        <v>205</v>
      </c>
      <c r="M11" s="42">
        <v>0</v>
      </c>
      <c r="N11" s="52" t="b">
        <v>0</v>
      </c>
      <c r="O11" s="42"/>
      <c r="P11" s="42"/>
      <c r="Q11" s="42"/>
      <c r="R11" s="42">
        <v>0</v>
      </c>
      <c r="S11" s="42">
        <v>0</v>
      </c>
      <c r="T11" s="42">
        <v>0</v>
      </c>
      <c r="U11" s="42">
        <v>0</v>
      </c>
      <c r="V11" s="42">
        <v>0</v>
      </c>
      <c r="W11" s="44" t="s">
        <v>210</v>
      </c>
      <c r="X11" s="44" t="s">
        <v>210</v>
      </c>
      <c r="Y11" s="42" t="s">
        <v>557</v>
      </c>
      <c r="Z11" s="42"/>
      <c r="AA11" s="42" t="s">
        <v>553</v>
      </c>
      <c r="AB11" t="str">
        <f>IFERROR(HYPERLINK("#'Main'!B"&amp;MATCH(TRIM(A11),Main!B:B,0),"Open"),HYPERLINK("#'Main'!B1","Open"))</f>
        <v>Open</v>
      </c>
    </row>
    <row r="12" spans="1:29" ht="30" customHeight="1" x14ac:dyDescent="0.25">
      <c r="A12" s="50" t="s">
        <v>211</v>
      </c>
      <c r="B12" s="33" t="s">
        <v>553</v>
      </c>
      <c r="C12" s="52">
        <v>200</v>
      </c>
      <c r="D12" s="47" t="s">
        <v>51</v>
      </c>
      <c r="E12" s="55">
        <v>70</v>
      </c>
      <c r="F12" s="33" t="s">
        <v>554</v>
      </c>
      <c r="G12" s="33">
        <v>0</v>
      </c>
      <c r="H12" s="33">
        <v>2</v>
      </c>
      <c r="I12" s="33" t="s">
        <v>555</v>
      </c>
      <c r="J12" s="33" t="s">
        <v>556</v>
      </c>
      <c r="K12" s="52" t="s">
        <v>204</v>
      </c>
      <c r="L12" s="33" t="s">
        <v>205</v>
      </c>
      <c r="M12" s="33">
        <v>0</v>
      </c>
      <c r="N12" s="52" t="b">
        <v>0</v>
      </c>
      <c r="O12" s="33"/>
      <c r="P12" s="33"/>
      <c r="Q12" s="33"/>
      <c r="R12" s="33">
        <v>0</v>
      </c>
      <c r="S12" s="33">
        <v>0</v>
      </c>
      <c r="T12" s="33">
        <v>0</v>
      </c>
      <c r="U12" s="33">
        <v>0</v>
      </c>
      <c r="V12" s="33">
        <v>0</v>
      </c>
      <c r="W12" s="37" t="s">
        <v>211</v>
      </c>
      <c r="X12" s="37" t="s">
        <v>211</v>
      </c>
      <c r="Y12" s="33" t="s">
        <v>557</v>
      </c>
      <c r="Z12" s="33"/>
      <c r="AA12" s="33" t="s">
        <v>553</v>
      </c>
      <c r="AB12" s="41" t="str">
        <f>IFERROR(HYPERLINK("#'Main'!B"&amp;MATCH(TRIM(A12),Main!B:B,0),"Open"),HYPERLINK("#'Main'!B1","Open"))</f>
        <v>Open</v>
      </c>
      <c r="AC12" s="41"/>
    </row>
    <row r="13" spans="1:29" ht="30" customHeight="1" x14ac:dyDescent="0.25">
      <c r="A13" s="51" t="s">
        <v>212</v>
      </c>
      <c r="B13" s="42" t="s">
        <v>553</v>
      </c>
      <c r="C13" s="52">
        <v>200</v>
      </c>
      <c r="D13" s="47" t="s">
        <v>51</v>
      </c>
      <c r="E13" s="56">
        <v>70</v>
      </c>
      <c r="F13" s="42" t="s">
        <v>554</v>
      </c>
      <c r="G13" s="42">
        <v>0</v>
      </c>
      <c r="H13" s="42">
        <v>2</v>
      </c>
      <c r="I13" s="42" t="s">
        <v>555</v>
      </c>
      <c r="J13" s="42" t="s">
        <v>556</v>
      </c>
      <c r="K13" s="52" t="s">
        <v>204</v>
      </c>
      <c r="L13" s="42" t="s">
        <v>205</v>
      </c>
      <c r="M13" s="42">
        <v>0</v>
      </c>
      <c r="N13" s="52" t="b">
        <v>0</v>
      </c>
      <c r="O13" s="42"/>
      <c r="P13" s="42"/>
      <c r="Q13" s="42"/>
      <c r="R13" s="42">
        <v>0</v>
      </c>
      <c r="S13" s="42">
        <v>0</v>
      </c>
      <c r="T13" s="42">
        <v>0</v>
      </c>
      <c r="U13" s="42">
        <v>0</v>
      </c>
      <c r="V13" s="42">
        <v>0</v>
      </c>
      <c r="W13" s="44" t="s">
        <v>212</v>
      </c>
      <c r="X13" s="44" t="s">
        <v>212</v>
      </c>
      <c r="Y13" s="42" t="s">
        <v>557</v>
      </c>
      <c r="Z13" s="42"/>
      <c r="AA13" s="42" t="s">
        <v>553</v>
      </c>
      <c r="AB13" t="str">
        <f>IFERROR(HYPERLINK("#'Main'!B"&amp;MATCH(TRIM(A13),Main!B:B,0),"Open"),HYPERLINK("#'Main'!B1","Open"))</f>
        <v>Open</v>
      </c>
    </row>
    <row r="14" spans="1:29" ht="30" customHeight="1" x14ac:dyDescent="0.25">
      <c r="A14" s="50" t="s">
        <v>213</v>
      </c>
      <c r="B14" s="33" t="s">
        <v>553</v>
      </c>
      <c r="C14" s="52">
        <v>200</v>
      </c>
      <c r="D14" s="47" t="s">
        <v>51</v>
      </c>
      <c r="E14" s="55">
        <v>70</v>
      </c>
      <c r="F14" s="33" t="s">
        <v>554</v>
      </c>
      <c r="G14" s="33">
        <v>0</v>
      </c>
      <c r="H14" s="33">
        <v>2</v>
      </c>
      <c r="I14" s="33" t="s">
        <v>555</v>
      </c>
      <c r="J14" s="33" t="s">
        <v>556</v>
      </c>
      <c r="K14" s="52" t="s">
        <v>204</v>
      </c>
      <c r="L14" s="33" t="s">
        <v>205</v>
      </c>
      <c r="M14" s="33">
        <v>0</v>
      </c>
      <c r="N14" s="52" t="b">
        <v>0</v>
      </c>
      <c r="O14" s="33"/>
      <c r="P14" s="33"/>
      <c r="Q14" s="33"/>
      <c r="R14" s="33">
        <v>0</v>
      </c>
      <c r="S14" s="33">
        <v>0</v>
      </c>
      <c r="T14" s="33">
        <v>0</v>
      </c>
      <c r="U14" s="33">
        <v>0</v>
      </c>
      <c r="V14" s="33">
        <v>0</v>
      </c>
      <c r="W14" s="37" t="s">
        <v>213</v>
      </c>
      <c r="X14" s="37" t="s">
        <v>213</v>
      </c>
      <c r="Y14" s="33" t="s">
        <v>557</v>
      </c>
      <c r="Z14" s="33"/>
      <c r="AA14" s="33" t="s">
        <v>553</v>
      </c>
      <c r="AB14" s="41" t="str">
        <f>IFERROR(HYPERLINK("#'Main'!B"&amp;MATCH(TRIM(A14),Main!B:B,0),"Open"),HYPERLINK("#'Main'!B1","Open"))</f>
        <v>Open</v>
      </c>
      <c r="AC14" s="41"/>
    </row>
    <row r="15" spans="1:29" ht="30" customHeight="1" x14ac:dyDescent="0.25">
      <c r="A15" s="51" t="s">
        <v>214</v>
      </c>
      <c r="B15" s="42" t="s">
        <v>553</v>
      </c>
      <c r="C15" s="52">
        <v>200</v>
      </c>
      <c r="D15" s="47" t="s">
        <v>51</v>
      </c>
      <c r="E15" s="56">
        <v>70</v>
      </c>
      <c r="F15" s="42" t="s">
        <v>554</v>
      </c>
      <c r="G15" s="42">
        <v>0</v>
      </c>
      <c r="H15" s="42">
        <v>2</v>
      </c>
      <c r="I15" s="42" t="s">
        <v>555</v>
      </c>
      <c r="J15" s="42" t="s">
        <v>556</v>
      </c>
      <c r="K15" s="52" t="s">
        <v>204</v>
      </c>
      <c r="L15" s="42" t="s">
        <v>205</v>
      </c>
      <c r="M15" s="42">
        <v>0</v>
      </c>
      <c r="N15" s="52" t="b">
        <v>0</v>
      </c>
      <c r="O15" s="42"/>
      <c r="P15" s="42"/>
      <c r="Q15" s="42"/>
      <c r="R15" s="42">
        <v>0</v>
      </c>
      <c r="S15" s="42">
        <v>0</v>
      </c>
      <c r="T15" s="42">
        <v>0</v>
      </c>
      <c r="U15" s="42">
        <v>0</v>
      </c>
      <c r="V15" s="42">
        <v>0</v>
      </c>
      <c r="W15" s="44" t="s">
        <v>214</v>
      </c>
      <c r="X15" s="44" t="s">
        <v>214</v>
      </c>
      <c r="Y15" s="42" t="s">
        <v>557</v>
      </c>
      <c r="Z15" s="42"/>
      <c r="AA15" s="42" t="s">
        <v>553</v>
      </c>
      <c r="AB15" t="str">
        <f>IFERROR(HYPERLINK("#'Main'!B"&amp;MATCH(TRIM(A15),Main!B:B,0),"Open"),HYPERLINK("#'Main'!B1","Open"))</f>
        <v>Open</v>
      </c>
    </row>
    <row r="16" spans="1:29" ht="30" customHeight="1" x14ac:dyDescent="0.25">
      <c r="A16" s="50" t="s">
        <v>215</v>
      </c>
      <c r="B16" s="33" t="s">
        <v>553</v>
      </c>
      <c r="C16" s="52">
        <v>200</v>
      </c>
      <c r="D16" s="47" t="s">
        <v>51</v>
      </c>
      <c r="E16" s="55">
        <v>70</v>
      </c>
      <c r="F16" s="33" t="s">
        <v>554</v>
      </c>
      <c r="G16" s="33">
        <v>0</v>
      </c>
      <c r="H16" s="33">
        <v>2</v>
      </c>
      <c r="I16" s="33" t="s">
        <v>555</v>
      </c>
      <c r="J16" s="33" t="s">
        <v>556</v>
      </c>
      <c r="K16" s="52" t="s">
        <v>204</v>
      </c>
      <c r="L16" s="33" t="s">
        <v>205</v>
      </c>
      <c r="M16" s="33">
        <v>0</v>
      </c>
      <c r="N16" s="52" t="b">
        <v>0</v>
      </c>
      <c r="O16" s="33"/>
      <c r="P16" s="33"/>
      <c r="Q16" s="33"/>
      <c r="R16" s="33">
        <v>0</v>
      </c>
      <c r="S16" s="33">
        <v>0</v>
      </c>
      <c r="T16" s="33">
        <v>0</v>
      </c>
      <c r="U16" s="33">
        <v>0</v>
      </c>
      <c r="V16" s="33">
        <v>0</v>
      </c>
      <c r="W16" s="37" t="s">
        <v>215</v>
      </c>
      <c r="X16" s="37" t="s">
        <v>215</v>
      </c>
      <c r="Y16" s="33" t="s">
        <v>557</v>
      </c>
      <c r="Z16" s="33"/>
      <c r="AA16" s="33" t="s">
        <v>553</v>
      </c>
      <c r="AB16" s="41" t="str">
        <f>IFERROR(HYPERLINK("#'Main'!B"&amp;MATCH(TRIM(A16),Main!B:B,0),"Open"),HYPERLINK("#'Main'!B1","Open"))</f>
        <v>Open</v>
      </c>
      <c r="AC16" s="41"/>
    </row>
    <row r="17" spans="1:29" ht="30" customHeight="1" x14ac:dyDescent="0.25">
      <c r="A17" s="51" t="s">
        <v>216</v>
      </c>
      <c r="B17" s="42" t="s">
        <v>553</v>
      </c>
      <c r="C17" s="52">
        <v>200</v>
      </c>
      <c r="D17" s="47" t="s">
        <v>51</v>
      </c>
      <c r="E17" s="56">
        <v>70</v>
      </c>
      <c r="F17" s="42" t="s">
        <v>554</v>
      </c>
      <c r="G17" s="42">
        <v>0</v>
      </c>
      <c r="H17" s="42">
        <v>2</v>
      </c>
      <c r="I17" s="42" t="s">
        <v>555</v>
      </c>
      <c r="J17" s="42" t="s">
        <v>556</v>
      </c>
      <c r="K17" s="52" t="s">
        <v>204</v>
      </c>
      <c r="L17" s="42" t="s">
        <v>205</v>
      </c>
      <c r="M17" s="42">
        <v>0</v>
      </c>
      <c r="N17" s="52" t="b">
        <v>0</v>
      </c>
      <c r="O17" s="42"/>
      <c r="P17" s="42"/>
      <c r="Q17" s="42"/>
      <c r="R17" s="42">
        <v>0</v>
      </c>
      <c r="S17" s="42">
        <v>0</v>
      </c>
      <c r="T17" s="42">
        <v>0</v>
      </c>
      <c r="U17" s="42">
        <v>0</v>
      </c>
      <c r="V17" s="42">
        <v>0</v>
      </c>
      <c r="W17" s="44" t="s">
        <v>216</v>
      </c>
      <c r="X17" s="44" t="s">
        <v>216</v>
      </c>
      <c r="Y17" s="42" t="s">
        <v>557</v>
      </c>
      <c r="Z17" s="42"/>
      <c r="AA17" s="42" t="s">
        <v>553</v>
      </c>
      <c r="AB17" t="str">
        <f>IFERROR(HYPERLINK("#'Main'!B"&amp;MATCH(TRIM(A17),Main!B:B,0),"Open"),HYPERLINK("#'Main'!B1","Open"))</f>
        <v>Open</v>
      </c>
    </row>
    <row r="18" spans="1:29" ht="30" customHeight="1" x14ac:dyDescent="0.25">
      <c r="A18" s="50" t="s">
        <v>217</v>
      </c>
      <c r="B18" s="33" t="s">
        <v>553</v>
      </c>
      <c r="C18" s="52">
        <v>200</v>
      </c>
      <c r="D18" s="47" t="s">
        <v>51</v>
      </c>
      <c r="E18" s="55">
        <v>70</v>
      </c>
      <c r="F18" s="33" t="s">
        <v>554</v>
      </c>
      <c r="G18" s="33">
        <v>0</v>
      </c>
      <c r="H18" s="33">
        <v>2</v>
      </c>
      <c r="I18" s="33" t="s">
        <v>555</v>
      </c>
      <c r="J18" s="33" t="s">
        <v>556</v>
      </c>
      <c r="K18" s="52" t="s">
        <v>204</v>
      </c>
      <c r="L18" s="33" t="s">
        <v>205</v>
      </c>
      <c r="M18" s="33">
        <v>0</v>
      </c>
      <c r="N18" s="52" t="b">
        <v>0</v>
      </c>
      <c r="O18" s="33"/>
      <c r="P18" s="33"/>
      <c r="Q18" s="33"/>
      <c r="R18" s="33">
        <v>0</v>
      </c>
      <c r="S18" s="33">
        <v>0</v>
      </c>
      <c r="T18" s="33">
        <v>0</v>
      </c>
      <c r="U18" s="33">
        <v>0</v>
      </c>
      <c r="V18" s="33">
        <v>0</v>
      </c>
      <c r="W18" s="37" t="s">
        <v>217</v>
      </c>
      <c r="X18" s="37" t="s">
        <v>217</v>
      </c>
      <c r="Y18" s="33" t="s">
        <v>557</v>
      </c>
      <c r="Z18" s="33"/>
      <c r="AA18" s="33" t="s">
        <v>553</v>
      </c>
      <c r="AB18" s="41" t="str">
        <f>IFERROR(HYPERLINK("#'Main'!B"&amp;MATCH(TRIM(A18),Main!B:B,0),"Open"),HYPERLINK("#'Main'!B1","Open"))</f>
        <v>Open</v>
      </c>
      <c r="AC18" s="41"/>
    </row>
    <row r="19" spans="1:29" ht="30" customHeight="1" x14ac:dyDescent="0.25">
      <c r="A19" s="51" t="s">
        <v>219</v>
      </c>
      <c r="B19" s="42" t="s">
        <v>553</v>
      </c>
      <c r="C19" s="52">
        <v>200</v>
      </c>
      <c r="D19" s="47" t="s">
        <v>51</v>
      </c>
      <c r="E19" s="56">
        <v>80</v>
      </c>
      <c r="F19" s="42" t="s">
        <v>554</v>
      </c>
      <c r="G19" s="42">
        <v>0</v>
      </c>
      <c r="H19" s="42">
        <v>1</v>
      </c>
      <c r="I19" s="42" t="s">
        <v>555</v>
      </c>
      <c r="J19" s="42" t="s">
        <v>556</v>
      </c>
      <c r="K19" s="52" t="s">
        <v>204</v>
      </c>
      <c r="L19" s="42" t="s">
        <v>205</v>
      </c>
      <c r="M19" s="42">
        <v>0</v>
      </c>
      <c r="N19" s="52" t="b">
        <v>0</v>
      </c>
      <c r="O19" s="42"/>
      <c r="P19" s="42"/>
      <c r="Q19" s="42"/>
      <c r="R19" s="42">
        <v>0</v>
      </c>
      <c r="S19" s="42">
        <v>0</v>
      </c>
      <c r="T19" s="42">
        <v>0</v>
      </c>
      <c r="U19" s="42">
        <v>0</v>
      </c>
      <c r="V19" s="42">
        <v>0</v>
      </c>
      <c r="W19" s="44" t="s">
        <v>219</v>
      </c>
      <c r="X19" s="44" t="s">
        <v>219</v>
      </c>
      <c r="Y19" s="42" t="s">
        <v>557</v>
      </c>
      <c r="Z19" s="42"/>
      <c r="AA19" s="42" t="s">
        <v>553</v>
      </c>
      <c r="AB19" t="str">
        <f>IFERROR(HYPERLINK("#'Main'!B"&amp;MATCH(TRIM(A19),Main!B:B,0),"Open"),HYPERLINK("#'Main'!B1","Open"))</f>
        <v>Open</v>
      </c>
    </row>
    <row r="20" spans="1:29" ht="30" customHeight="1" x14ac:dyDescent="0.25">
      <c r="A20" s="50" t="s">
        <v>218</v>
      </c>
      <c r="B20" s="33" t="s">
        <v>553</v>
      </c>
      <c r="C20" s="52">
        <v>200</v>
      </c>
      <c r="D20" s="47" t="s">
        <v>51</v>
      </c>
      <c r="E20" s="55">
        <v>70</v>
      </c>
      <c r="F20" s="33" t="s">
        <v>554</v>
      </c>
      <c r="G20" s="33">
        <v>0</v>
      </c>
      <c r="H20" s="33">
        <v>2</v>
      </c>
      <c r="I20" s="33" t="s">
        <v>555</v>
      </c>
      <c r="J20" s="33" t="s">
        <v>556</v>
      </c>
      <c r="K20" s="52" t="s">
        <v>204</v>
      </c>
      <c r="L20" s="33" t="s">
        <v>205</v>
      </c>
      <c r="M20" s="33">
        <v>0</v>
      </c>
      <c r="N20" s="52" t="b">
        <v>0</v>
      </c>
      <c r="O20" s="33"/>
      <c r="P20" s="33"/>
      <c r="Q20" s="33"/>
      <c r="R20" s="33">
        <v>0</v>
      </c>
      <c r="S20" s="33">
        <v>0</v>
      </c>
      <c r="T20" s="33">
        <v>0</v>
      </c>
      <c r="U20" s="33">
        <v>0</v>
      </c>
      <c r="V20" s="33">
        <v>0</v>
      </c>
      <c r="W20" s="37" t="s">
        <v>218</v>
      </c>
      <c r="X20" s="37" t="s">
        <v>218</v>
      </c>
      <c r="Y20" s="33" t="s">
        <v>557</v>
      </c>
      <c r="Z20" s="33"/>
      <c r="AA20" s="33" t="s">
        <v>553</v>
      </c>
      <c r="AB20" s="41" t="str">
        <f>IFERROR(HYPERLINK("#'Main'!B"&amp;MATCH(TRIM(A20),Main!B:B,0),"Open"),HYPERLINK("#'Main'!B1","Open"))</f>
        <v>Open</v>
      </c>
      <c r="AC20" s="41"/>
    </row>
    <row r="21" spans="1:29" ht="30" customHeight="1" x14ac:dyDescent="0.25">
      <c r="A21" s="51" t="s">
        <v>189</v>
      </c>
      <c r="B21" s="42" t="s">
        <v>553</v>
      </c>
      <c r="C21" s="52">
        <v>200</v>
      </c>
      <c r="D21" s="47" t="s">
        <v>51</v>
      </c>
      <c r="E21" s="56">
        <v>60</v>
      </c>
      <c r="F21" s="42" t="s">
        <v>554</v>
      </c>
      <c r="G21" s="42">
        <v>0</v>
      </c>
      <c r="H21" s="42">
        <v>3</v>
      </c>
      <c r="I21" s="42" t="s">
        <v>555</v>
      </c>
      <c r="J21" s="42" t="s">
        <v>556</v>
      </c>
      <c r="K21" s="52" t="s">
        <v>204</v>
      </c>
      <c r="L21" s="42" t="s">
        <v>205</v>
      </c>
      <c r="M21" s="42">
        <v>0</v>
      </c>
      <c r="N21" s="52" t="b">
        <v>0</v>
      </c>
      <c r="O21" s="42"/>
      <c r="P21" s="42"/>
      <c r="Q21" s="42"/>
      <c r="R21" s="42">
        <v>0</v>
      </c>
      <c r="S21" s="42">
        <v>0</v>
      </c>
      <c r="T21" s="42">
        <v>0</v>
      </c>
      <c r="U21" s="42">
        <v>0</v>
      </c>
      <c r="V21" s="42">
        <v>0</v>
      </c>
      <c r="W21" s="44" t="s">
        <v>189</v>
      </c>
      <c r="X21" s="44" t="s">
        <v>189</v>
      </c>
      <c r="Y21" s="42" t="s">
        <v>557</v>
      </c>
      <c r="Z21" s="42"/>
      <c r="AA21" s="42" t="s">
        <v>553</v>
      </c>
      <c r="AB21" t="str">
        <f>IFERROR(HYPERLINK("#'Main'!B"&amp;MATCH(TRIM(A21),Main!B:B,0),"Open"),HYPERLINK("#'Main'!B1","Open"))</f>
        <v>Open</v>
      </c>
    </row>
  </sheetData>
  <autoFilter ref="A1:AC21" xr:uid="{00000000-0009-0000-0000-000006000000}"/>
  <conditionalFormatting sqref="C2:C21">
    <cfRule type="cellIs" dxfId="60" priority="1" operator="equal">
      <formula>200</formula>
    </cfRule>
    <cfRule type="cellIs" dxfId="59" priority="2" operator="between">
      <formula>300</formula>
      <formula>399</formula>
    </cfRule>
    <cfRule type="cellIs" dxfId="58" priority="3" operator="greaterThanOrEqual">
      <formula>400</formula>
    </cfRule>
  </conditionalFormatting>
  <conditionalFormatting sqref="D2:D21">
    <cfRule type="expression" dxfId="57" priority="4" stopIfTrue="1">
      <formula>LOWER(D2)="critical"</formula>
    </cfRule>
    <cfRule type="expression" dxfId="56" priority="5" stopIfTrue="1">
      <formula>LOWER(D2)="warning"</formula>
    </cfRule>
    <cfRule type="expression" dxfId="55" priority="6" stopIfTrue="1">
      <formula>OR(LOWER(D2)="pass",LOWER(D2)="observation")</formula>
    </cfRule>
    <cfRule type="expression" dxfId="54" priority="13" stopIfTrue="1">
      <formula>OR(NOT(ISERROR(SEARCH("Critical",D2))),NOT(ISERROR(SEARCH("Non-Pass",D2))),NOT(ISERROR(SEARCH("Error",D2))))</formula>
    </cfRule>
    <cfRule type="expression" dxfId="53" priority="14" stopIfTrue="1">
      <formula>OR(NOT(ISERROR(SEARCH("Warning",D2))),NOT(ISERROR(SEARCH("Needs Work",D2))))</formula>
    </cfRule>
  </conditionalFormatting>
  <conditionalFormatting sqref="E2:E21">
    <cfRule type="colorScale" priority="7">
      <colorScale>
        <cfvo type="num" val="0"/>
        <cfvo type="num" val="50"/>
        <cfvo type="num" val="100"/>
        <color rgb="FFF8696B"/>
        <color rgb="FFFFEB84"/>
        <color rgb="FF63BE7B"/>
      </colorScale>
    </cfRule>
  </conditionalFormatting>
  <conditionalFormatting sqref="F2:F21">
    <cfRule type="expression" dxfId="52" priority="15" stopIfTrue="1">
      <formula>OR(NOT(ISERROR(SEARCH("Critical",F2))),NOT(ISERROR(SEARCH("Non-Pass",F2))),NOT(ISERROR(SEARCH("Error",F2))))</formula>
    </cfRule>
    <cfRule type="expression" dxfId="51" priority="16" stopIfTrue="1">
      <formula>OR(NOT(ISERROR(SEARCH("Warning",F2))),NOT(ISERROR(SEARCH("Needs Work",F2))))</formula>
    </cfRule>
  </conditionalFormatting>
  <conditionalFormatting sqref="K2:K21">
    <cfRule type="expression" dxfId="50" priority="17" stopIfTrue="1">
      <formula>OR(NOT(ISERROR(SEARCH("Critical",K2))),NOT(ISERROR(SEARCH("Non-Pass",K2))),NOT(ISERROR(SEARCH("Error",K2))))</formula>
    </cfRule>
    <cfRule type="expression" dxfId="49" priority="18" stopIfTrue="1">
      <formula>OR(NOT(ISERROR(SEARCH("Warning",K2))),NOT(ISERROR(SEARCH("Needs Work",K2))))</formula>
    </cfRule>
  </conditionalFormatting>
  <conditionalFormatting sqref="M2:M21">
    <cfRule type="dataBar" priority="12">
      <dataBar>
        <cfvo type="min"/>
        <cfvo type="max"/>
        <color rgb="FF638EC6"/>
      </dataBar>
    </cfRule>
  </conditionalFormatting>
  <conditionalFormatting sqref="R2:R21">
    <cfRule type="colorScale" priority="8">
      <colorScale>
        <cfvo type="num" val="0"/>
        <cfvo type="num" val="50"/>
        <cfvo type="num" val="100"/>
        <color rgb="FFF8696B"/>
        <color rgb="FFFFEB84"/>
        <color rgb="FF63BE7B"/>
      </colorScale>
    </cfRule>
  </conditionalFormatting>
  <conditionalFormatting sqref="T2:T21">
    <cfRule type="colorScale" priority="9">
      <colorScale>
        <cfvo type="min"/>
        <cfvo type="percentile" val="50"/>
        <cfvo type="max"/>
        <color rgb="FF63BE7B"/>
        <color rgb="FFFFEB84"/>
        <color rgb="FFF8696B"/>
      </colorScale>
    </cfRule>
  </conditionalFormatting>
  <conditionalFormatting sqref="U2:U21">
    <cfRule type="colorScale" priority="11">
      <colorScale>
        <cfvo type="min"/>
        <cfvo type="percentile" val="50"/>
        <cfvo type="max"/>
        <color rgb="FF63BE7B"/>
        <color rgb="FFFFEB84"/>
        <color rgb="FFF8696B"/>
      </colorScale>
    </cfRule>
  </conditionalFormatting>
  <conditionalFormatting sqref="V2:V21">
    <cfRule type="colorScale" priority="10">
      <colorScale>
        <cfvo type="min"/>
        <cfvo type="percentile" val="50"/>
        <cfvo type="max"/>
        <color rgb="FF63BE7B"/>
        <color rgb="FFFFEB84"/>
        <color rgb="FFF8696B"/>
      </colorScale>
    </cfRule>
  </conditionalFormatting>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 ref="A12" r:id="rId11" xr:uid="{00000000-0004-0000-0600-00000B000000}"/>
    <hyperlink ref="A13" r:id="rId12" xr:uid="{00000000-0004-0000-0600-00000C000000}"/>
    <hyperlink ref="A14" r:id="rId13" xr:uid="{00000000-0004-0000-0600-00000D000000}"/>
    <hyperlink ref="A15" r:id="rId14" xr:uid="{00000000-0004-0000-0600-00000E000000}"/>
    <hyperlink ref="A16" r:id="rId15" xr:uid="{00000000-0004-0000-0600-00000F000000}"/>
    <hyperlink ref="A17" r:id="rId16" xr:uid="{00000000-0004-0000-0600-000010000000}"/>
    <hyperlink ref="A18" r:id="rId17" xr:uid="{00000000-0004-0000-0600-000011000000}"/>
    <hyperlink ref="A19" r:id="rId18" xr:uid="{00000000-0004-0000-0600-000012000000}"/>
    <hyperlink ref="A20" r:id="rId19" xr:uid="{00000000-0004-0000-0600-000013000000}"/>
    <hyperlink ref="A21" r:id="rId20" xr:uid="{00000000-0004-0000-0600-000014000000}"/>
  </hyperlinks>
  <pageMargins left="0.75" right="0.75" top="1" bottom="1" header="0.5" footer="0.5"/>
  <legacyDrawing r:id="rId2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29" customWidth="1"/>
    <col min="6" max="6" width="19" customWidth="1"/>
    <col min="7" max="7" width="10" customWidth="1"/>
    <col min="8" max="8" width="17" customWidth="1"/>
    <col min="9" max="9" width="26" customWidth="1"/>
    <col min="10" max="10" width="21" customWidth="1"/>
    <col min="11" max="11" width="12" customWidth="1"/>
    <col min="12" max="13" width="20" customWidth="1"/>
    <col min="14" max="14" width="21" customWidth="1"/>
    <col min="15" max="15" width="24" customWidth="1"/>
    <col min="16" max="16" width="15" customWidth="1"/>
    <col min="17" max="17" width="19" customWidth="1"/>
    <col min="18" max="18" width="13" customWidth="1"/>
    <col min="19" max="19" width="20" customWidth="1"/>
    <col min="20" max="20" width="24" customWidth="1"/>
    <col min="21" max="21" width="26" customWidth="1"/>
    <col min="22" max="22" width="15" customWidth="1"/>
    <col min="23" max="23" width="30" customWidth="1"/>
    <col min="24" max="24" width="23" customWidth="1"/>
  </cols>
  <sheetData>
    <row r="1" spans="1:26" ht="45" x14ac:dyDescent="0.25">
      <c r="A1" s="31" t="s">
        <v>78</v>
      </c>
      <c r="B1" s="31" t="s">
        <v>558</v>
      </c>
      <c r="C1" s="31" t="s">
        <v>559</v>
      </c>
      <c r="D1" s="31" t="s">
        <v>560</v>
      </c>
      <c r="E1" s="31" t="s">
        <v>561</v>
      </c>
      <c r="F1" s="31" t="s">
        <v>562</v>
      </c>
      <c r="G1" s="31" t="s">
        <v>563</v>
      </c>
      <c r="H1" s="31" t="s">
        <v>564</v>
      </c>
      <c r="I1" s="31" t="s">
        <v>565</v>
      </c>
      <c r="J1" s="31" t="s">
        <v>566</v>
      </c>
      <c r="K1" s="31" t="s">
        <v>567</v>
      </c>
      <c r="L1" s="31" t="s">
        <v>568</v>
      </c>
      <c r="M1" s="31" t="s">
        <v>569</v>
      </c>
      <c r="N1" s="31" t="s">
        <v>570</v>
      </c>
      <c r="O1" s="31" t="s">
        <v>571</v>
      </c>
      <c r="P1" s="31" t="s">
        <v>572</v>
      </c>
      <c r="Q1" s="31" t="s">
        <v>573</v>
      </c>
      <c r="R1" s="31" t="s">
        <v>574</v>
      </c>
      <c r="S1" s="31" t="s">
        <v>575</v>
      </c>
      <c r="T1" s="31" t="s">
        <v>576</v>
      </c>
      <c r="U1" s="31" t="s">
        <v>577</v>
      </c>
      <c r="V1" s="31" t="s">
        <v>578</v>
      </c>
      <c r="W1" s="31" t="s">
        <v>579</v>
      </c>
      <c r="X1" s="31" t="s">
        <v>351</v>
      </c>
      <c r="Y1" s="31" t="s">
        <v>93</v>
      </c>
      <c r="Z1" s="32" t="s">
        <v>95</v>
      </c>
    </row>
    <row r="2" spans="1:26" ht="30" customHeight="1" x14ac:dyDescent="0.25">
      <c r="A2" s="50" t="s">
        <v>146</v>
      </c>
      <c r="B2" s="33" t="s">
        <v>580</v>
      </c>
      <c r="C2" s="33">
        <v>1668</v>
      </c>
      <c r="D2" s="33">
        <v>178.62</v>
      </c>
      <c r="E2" s="55">
        <v>19.13</v>
      </c>
      <c r="F2" s="52" t="b">
        <v>0</v>
      </c>
      <c r="G2" s="33">
        <v>2</v>
      </c>
      <c r="H2" s="52" t="b">
        <v>0</v>
      </c>
      <c r="I2" s="52" t="b">
        <v>0</v>
      </c>
      <c r="J2" s="55">
        <v>15</v>
      </c>
      <c r="K2" s="33" t="s">
        <v>581</v>
      </c>
      <c r="L2" s="33">
        <v>0</v>
      </c>
      <c r="M2" s="33"/>
      <c r="N2" s="33">
        <v>0</v>
      </c>
      <c r="O2" s="33">
        <v>0</v>
      </c>
      <c r="P2" s="33">
        <v>0</v>
      </c>
      <c r="Q2" s="33">
        <v>0</v>
      </c>
      <c r="R2" s="33">
        <v>93</v>
      </c>
      <c r="S2" s="33">
        <v>25</v>
      </c>
      <c r="T2" s="61">
        <v>73.12</v>
      </c>
      <c r="U2" s="33">
        <v>55</v>
      </c>
      <c r="V2" s="52" t="b">
        <v>0</v>
      </c>
      <c r="W2" s="52" t="b">
        <v>0</v>
      </c>
      <c r="X2" s="33" t="s">
        <v>580</v>
      </c>
      <c r="Y2" s="41" t="str">
        <f>IFERROR(HYPERLINK("#'Main'!B"&amp;MATCH(TRIM(A2),Main!B:B,0),"Open"),HYPERLINK("#'Main'!B1","Open"))</f>
        <v>Open</v>
      </c>
      <c r="Z2" s="41"/>
    </row>
    <row r="3" spans="1:26" ht="30" customHeight="1" x14ac:dyDescent="0.25">
      <c r="A3" s="51" t="s">
        <v>178</v>
      </c>
      <c r="B3" s="42" t="s">
        <v>580</v>
      </c>
      <c r="C3" s="42">
        <v>235</v>
      </c>
      <c r="D3" s="42">
        <v>172.76</v>
      </c>
      <c r="E3" s="56">
        <v>21.55</v>
      </c>
      <c r="F3" s="34" t="b">
        <v>1</v>
      </c>
      <c r="G3" s="42">
        <v>1</v>
      </c>
      <c r="H3" s="52" t="b">
        <v>0</v>
      </c>
      <c r="I3" s="52" t="b">
        <v>0</v>
      </c>
      <c r="J3" s="56">
        <v>15</v>
      </c>
      <c r="K3" s="42" t="s">
        <v>581</v>
      </c>
      <c r="L3" s="42">
        <v>0</v>
      </c>
      <c r="M3" s="42"/>
      <c r="N3" s="42">
        <v>0</v>
      </c>
      <c r="O3" s="42">
        <v>0</v>
      </c>
      <c r="P3" s="42">
        <v>0</v>
      </c>
      <c r="Q3" s="42">
        <v>0</v>
      </c>
      <c r="R3" s="42">
        <v>44</v>
      </c>
      <c r="S3" s="42">
        <v>12</v>
      </c>
      <c r="T3" s="61">
        <v>72.73</v>
      </c>
      <c r="U3" s="42">
        <v>55</v>
      </c>
      <c r="V3" s="52" t="b">
        <v>0</v>
      </c>
      <c r="W3" s="52" t="b">
        <v>0</v>
      </c>
      <c r="X3" s="42" t="s">
        <v>580</v>
      </c>
      <c r="Y3" t="str">
        <f>IFERROR(HYPERLINK("#'Main'!B"&amp;MATCH(TRIM(A3),Main!B:B,0),"Open"),HYPERLINK("#'Main'!B1","Open"))</f>
        <v>Open</v>
      </c>
    </row>
    <row r="4" spans="1:26" ht="15.75" x14ac:dyDescent="0.25">
      <c r="A4" s="50" t="s">
        <v>176</v>
      </c>
      <c r="B4" s="33" t="s">
        <v>580</v>
      </c>
      <c r="C4" s="33">
        <v>37</v>
      </c>
      <c r="D4" s="33">
        <v>188.06</v>
      </c>
      <c r="E4" s="55">
        <v>11.08</v>
      </c>
      <c r="F4" s="34" t="b">
        <v>1</v>
      </c>
      <c r="G4" s="33">
        <v>5</v>
      </c>
      <c r="H4" s="52" t="b">
        <v>0</v>
      </c>
      <c r="I4" s="52" t="b">
        <v>0</v>
      </c>
      <c r="J4" s="55">
        <v>31.76</v>
      </c>
      <c r="K4" s="33" t="s">
        <v>581</v>
      </c>
      <c r="L4" s="33">
        <v>0</v>
      </c>
      <c r="M4" s="33"/>
      <c r="N4" s="33">
        <v>0</v>
      </c>
      <c r="O4" s="33">
        <v>0</v>
      </c>
      <c r="P4" s="33">
        <v>0</v>
      </c>
      <c r="Q4" s="33">
        <v>0</v>
      </c>
      <c r="R4" s="33">
        <v>63</v>
      </c>
      <c r="S4" s="33">
        <v>13</v>
      </c>
      <c r="T4" s="61">
        <v>79.37</v>
      </c>
      <c r="U4" s="33">
        <v>55</v>
      </c>
      <c r="V4" s="52" t="b">
        <v>0</v>
      </c>
      <c r="W4" s="52" t="b">
        <v>0</v>
      </c>
      <c r="X4" s="33" t="s">
        <v>580</v>
      </c>
      <c r="Y4" s="41" t="str">
        <f>IFERROR(HYPERLINK("#'Main'!B"&amp;MATCH(TRIM(A4),Main!B:B,0),"Open"),HYPERLINK("#'Main'!B1","Open"))</f>
        <v>Open</v>
      </c>
      <c r="Z4" s="41"/>
    </row>
    <row r="5" spans="1:26" ht="30" customHeight="1" x14ac:dyDescent="0.25">
      <c r="A5" s="51" t="s">
        <v>208</v>
      </c>
      <c r="B5" s="42" t="s">
        <v>580</v>
      </c>
      <c r="C5" s="42">
        <v>355</v>
      </c>
      <c r="D5" s="42">
        <v>179.12</v>
      </c>
      <c r="E5" s="56">
        <v>18.96</v>
      </c>
      <c r="F5" s="52" t="b">
        <v>0</v>
      </c>
      <c r="G5" s="42">
        <v>2</v>
      </c>
      <c r="H5" s="52" t="b">
        <v>0</v>
      </c>
      <c r="I5" s="52" t="b">
        <v>0</v>
      </c>
      <c r="J5" s="56">
        <v>15</v>
      </c>
      <c r="K5" s="42" t="s">
        <v>581</v>
      </c>
      <c r="L5" s="42">
        <v>0</v>
      </c>
      <c r="M5" s="42"/>
      <c r="N5" s="42">
        <v>0</v>
      </c>
      <c r="O5" s="42">
        <v>0</v>
      </c>
      <c r="P5" s="42">
        <v>0</v>
      </c>
      <c r="Q5" s="42">
        <v>0</v>
      </c>
      <c r="R5" s="42">
        <v>48</v>
      </c>
      <c r="S5" s="42">
        <v>9</v>
      </c>
      <c r="T5" s="62">
        <v>81.25</v>
      </c>
      <c r="U5" s="42">
        <v>55</v>
      </c>
      <c r="V5" s="52" t="b">
        <v>0</v>
      </c>
      <c r="W5" s="52" t="b">
        <v>0</v>
      </c>
      <c r="X5" s="42" t="s">
        <v>580</v>
      </c>
      <c r="Y5" t="str">
        <f>IFERROR(HYPERLINK("#'Main'!B"&amp;MATCH(TRIM(A5),Main!B:B,0),"Open"),HYPERLINK("#'Main'!B1","Open"))</f>
        <v>Open</v>
      </c>
    </row>
    <row r="6" spans="1:26" ht="30" customHeight="1" x14ac:dyDescent="0.25">
      <c r="A6" s="50" t="s">
        <v>155</v>
      </c>
      <c r="B6" s="33" t="s">
        <v>580</v>
      </c>
      <c r="C6" s="33">
        <v>120</v>
      </c>
      <c r="D6" s="33">
        <v>145.94</v>
      </c>
      <c r="E6" s="55">
        <v>26.1</v>
      </c>
      <c r="F6" s="34" t="b">
        <v>1</v>
      </c>
      <c r="G6" s="33">
        <v>0</v>
      </c>
      <c r="H6" s="34" t="b">
        <v>1</v>
      </c>
      <c r="I6" s="52" t="b">
        <v>0</v>
      </c>
      <c r="J6" s="55">
        <v>15</v>
      </c>
      <c r="K6" s="33" t="s">
        <v>581</v>
      </c>
      <c r="L6" s="33">
        <v>0</v>
      </c>
      <c r="M6" s="33"/>
      <c r="N6" s="33">
        <v>0</v>
      </c>
      <c r="O6" s="33">
        <v>0</v>
      </c>
      <c r="P6" s="33">
        <v>0</v>
      </c>
      <c r="Q6" s="33">
        <v>0</v>
      </c>
      <c r="R6" s="33">
        <v>23</v>
      </c>
      <c r="S6" s="33">
        <v>8</v>
      </c>
      <c r="T6" s="61">
        <v>65.22</v>
      </c>
      <c r="U6" s="33">
        <v>55</v>
      </c>
      <c r="V6" s="52" t="b">
        <v>0</v>
      </c>
      <c r="W6" s="52" t="b">
        <v>0</v>
      </c>
      <c r="X6" s="33" t="s">
        <v>580</v>
      </c>
      <c r="Y6" s="41" t="str">
        <f>IFERROR(HYPERLINK("#'Main'!B"&amp;MATCH(TRIM(A6),Main!B:B,0),"Open"),HYPERLINK("#'Main'!B1","Open"))</f>
        <v>Open</v>
      </c>
      <c r="Z6" s="41"/>
    </row>
    <row r="7" spans="1:26" ht="30" customHeight="1" x14ac:dyDescent="0.25">
      <c r="A7" s="51" t="s">
        <v>206</v>
      </c>
      <c r="B7" s="42" t="s">
        <v>580</v>
      </c>
      <c r="C7" s="42">
        <v>367</v>
      </c>
      <c r="D7" s="42">
        <v>178.18</v>
      </c>
      <c r="E7" s="56">
        <v>18.28</v>
      </c>
      <c r="F7" s="52" t="b">
        <v>0</v>
      </c>
      <c r="G7" s="42">
        <v>0</v>
      </c>
      <c r="H7" s="34" t="b">
        <v>1</v>
      </c>
      <c r="I7" s="52" t="b">
        <v>0</v>
      </c>
      <c r="J7" s="56">
        <v>15</v>
      </c>
      <c r="K7" s="42" t="s">
        <v>581</v>
      </c>
      <c r="L7" s="42">
        <v>0</v>
      </c>
      <c r="M7" s="42"/>
      <c r="N7" s="42">
        <v>0</v>
      </c>
      <c r="O7" s="42">
        <v>0</v>
      </c>
      <c r="P7" s="42">
        <v>0</v>
      </c>
      <c r="Q7" s="42">
        <v>0</v>
      </c>
      <c r="R7" s="42">
        <v>30</v>
      </c>
      <c r="S7" s="42">
        <v>15</v>
      </c>
      <c r="T7" s="61">
        <v>50</v>
      </c>
      <c r="U7" s="42">
        <v>55</v>
      </c>
      <c r="V7" s="52" t="b">
        <v>0</v>
      </c>
      <c r="W7" s="52" t="b">
        <v>0</v>
      </c>
      <c r="X7" s="42" t="s">
        <v>580</v>
      </c>
      <c r="Y7" t="str">
        <f>IFERROR(HYPERLINK("#'Main'!B"&amp;MATCH(TRIM(A7),Main!B:B,0),"Open"),HYPERLINK("#'Main'!B1","Open"))</f>
        <v>Open</v>
      </c>
    </row>
    <row r="8" spans="1:26" ht="30" customHeight="1" x14ac:dyDescent="0.25">
      <c r="A8" s="50" t="s">
        <v>207</v>
      </c>
      <c r="B8" s="33" t="s">
        <v>580</v>
      </c>
      <c r="C8" s="33">
        <v>32</v>
      </c>
      <c r="D8" s="33">
        <v>196.01</v>
      </c>
      <c r="E8" s="55">
        <v>10.7</v>
      </c>
      <c r="F8" s="34" t="b">
        <v>1</v>
      </c>
      <c r="G8" s="33">
        <v>0</v>
      </c>
      <c r="H8" s="34" t="b">
        <v>1</v>
      </c>
      <c r="I8" s="52" t="b">
        <v>0</v>
      </c>
      <c r="J8" s="55">
        <v>32.9</v>
      </c>
      <c r="K8" s="33" t="s">
        <v>581</v>
      </c>
      <c r="L8" s="33">
        <v>0</v>
      </c>
      <c r="M8" s="33"/>
      <c r="N8" s="33">
        <v>0</v>
      </c>
      <c r="O8" s="33">
        <v>0</v>
      </c>
      <c r="P8" s="33">
        <v>0</v>
      </c>
      <c r="Q8" s="33">
        <v>0</v>
      </c>
      <c r="R8" s="33">
        <v>28</v>
      </c>
      <c r="S8" s="33">
        <v>13</v>
      </c>
      <c r="T8" s="61">
        <v>53.57</v>
      </c>
      <c r="U8" s="33">
        <v>55</v>
      </c>
      <c r="V8" s="52" t="b">
        <v>0</v>
      </c>
      <c r="W8" s="52" t="b">
        <v>0</v>
      </c>
      <c r="X8" s="33" t="s">
        <v>580</v>
      </c>
      <c r="Y8" s="41" t="str">
        <f>IFERROR(HYPERLINK("#'Main'!B"&amp;MATCH(TRIM(A8),Main!B:B,0),"Open"),HYPERLINK("#'Main'!B1","Open"))</f>
        <v>Open</v>
      </c>
      <c r="Z8" s="41"/>
    </row>
    <row r="9" spans="1:26" ht="30" customHeight="1" x14ac:dyDescent="0.25">
      <c r="A9" s="51" t="s">
        <v>209</v>
      </c>
      <c r="B9" s="42" t="s">
        <v>580</v>
      </c>
      <c r="C9" s="42">
        <v>415</v>
      </c>
      <c r="D9" s="42">
        <v>168.54</v>
      </c>
      <c r="E9" s="56">
        <v>23.18</v>
      </c>
      <c r="F9" s="52" t="b">
        <v>0</v>
      </c>
      <c r="G9" s="42">
        <v>1</v>
      </c>
      <c r="H9" s="52" t="b">
        <v>0</v>
      </c>
      <c r="I9" s="52" t="b">
        <v>0</v>
      </c>
      <c r="J9" s="56">
        <v>15</v>
      </c>
      <c r="K9" s="42" t="s">
        <v>581</v>
      </c>
      <c r="L9" s="42">
        <v>0</v>
      </c>
      <c r="M9" s="42"/>
      <c r="N9" s="42">
        <v>0</v>
      </c>
      <c r="O9" s="42">
        <v>0</v>
      </c>
      <c r="P9" s="42">
        <v>0</v>
      </c>
      <c r="Q9" s="42">
        <v>0</v>
      </c>
      <c r="R9" s="42">
        <v>56</v>
      </c>
      <c r="S9" s="42">
        <v>37</v>
      </c>
      <c r="T9" s="61">
        <v>33.93</v>
      </c>
      <c r="U9" s="42">
        <v>55</v>
      </c>
      <c r="V9" s="52" t="b">
        <v>0</v>
      </c>
      <c r="W9" s="52" t="b">
        <v>0</v>
      </c>
      <c r="X9" s="42" t="s">
        <v>580</v>
      </c>
      <c r="Y9" t="str">
        <f>IFERROR(HYPERLINK("#'Main'!B"&amp;MATCH(TRIM(A9),Main!B:B,0),"Open"),HYPERLINK("#'Main'!B1","Open"))</f>
        <v>Open</v>
      </c>
    </row>
    <row r="10" spans="1:26" ht="30" customHeight="1" x14ac:dyDescent="0.25">
      <c r="A10" s="50" t="s">
        <v>157</v>
      </c>
      <c r="B10" s="33" t="s">
        <v>580</v>
      </c>
      <c r="C10" s="33">
        <v>31</v>
      </c>
      <c r="D10" s="33">
        <v>175.37</v>
      </c>
      <c r="E10" s="55">
        <v>15.91</v>
      </c>
      <c r="F10" s="34" t="b">
        <v>1</v>
      </c>
      <c r="G10" s="33">
        <v>0</v>
      </c>
      <c r="H10" s="34" t="b">
        <v>1</v>
      </c>
      <c r="I10" s="34" t="b">
        <v>1</v>
      </c>
      <c r="J10" s="55">
        <v>17.27</v>
      </c>
      <c r="K10" s="33" t="s">
        <v>581</v>
      </c>
      <c r="L10" s="33">
        <v>0</v>
      </c>
      <c r="M10" s="33"/>
      <c r="N10" s="33">
        <v>0</v>
      </c>
      <c r="O10" s="33">
        <v>0</v>
      </c>
      <c r="P10" s="33">
        <v>0</v>
      </c>
      <c r="Q10" s="33">
        <v>0</v>
      </c>
      <c r="R10" s="33">
        <v>20</v>
      </c>
      <c r="S10" s="33">
        <v>5</v>
      </c>
      <c r="T10" s="61">
        <v>75</v>
      </c>
      <c r="U10" s="33">
        <v>55</v>
      </c>
      <c r="V10" s="52" t="b">
        <v>0</v>
      </c>
      <c r="W10" s="52" t="b">
        <v>0</v>
      </c>
      <c r="X10" s="33" t="s">
        <v>580</v>
      </c>
      <c r="Y10" s="41" t="str">
        <f>IFERROR(HYPERLINK("#'Main'!B"&amp;MATCH(TRIM(A10),Main!B:B,0),"Open"),HYPERLINK("#'Main'!B1","Open"))</f>
        <v>Open</v>
      </c>
      <c r="Z10" s="41"/>
    </row>
    <row r="11" spans="1:26" ht="30" customHeight="1" x14ac:dyDescent="0.25">
      <c r="A11" s="51" t="s">
        <v>210</v>
      </c>
      <c r="B11" s="42" t="s">
        <v>580</v>
      </c>
      <c r="C11" s="42">
        <v>326</v>
      </c>
      <c r="D11" s="42">
        <v>176.75</v>
      </c>
      <c r="E11" s="56">
        <v>19.64</v>
      </c>
      <c r="F11" s="52" t="b">
        <v>0</v>
      </c>
      <c r="G11" s="42">
        <v>1</v>
      </c>
      <c r="H11" s="52" t="b">
        <v>0</v>
      </c>
      <c r="I11" s="52" t="b">
        <v>0</v>
      </c>
      <c r="J11" s="56">
        <v>15</v>
      </c>
      <c r="K11" s="42" t="s">
        <v>581</v>
      </c>
      <c r="L11" s="42">
        <v>0</v>
      </c>
      <c r="M11" s="42"/>
      <c r="N11" s="42">
        <v>0</v>
      </c>
      <c r="O11" s="42">
        <v>0</v>
      </c>
      <c r="P11" s="42">
        <v>0</v>
      </c>
      <c r="Q11" s="42">
        <v>0</v>
      </c>
      <c r="R11" s="42">
        <v>25</v>
      </c>
      <c r="S11" s="42">
        <v>7</v>
      </c>
      <c r="T11" s="61">
        <v>72</v>
      </c>
      <c r="U11" s="42">
        <v>55</v>
      </c>
      <c r="V11" s="52" t="b">
        <v>0</v>
      </c>
      <c r="W11" s="52" t="b">
        <v>0</v>
      </c>
      <c r="X11" s="42" t="s">
        <v>580</v>
      </c>
      <c r="Y11" t="str">
        <f>IFERROR(HYPERLINK("#'Main'!B"&amp;MATCH(TRIM(A11),Main!B:B,0),"Open"),HYPERLINK("#'Main'!B1","Open"))</f>
        <v>Open</v>
      </c>
    </row>
    <row r="12" spans="1:26" ht="30" customHeight="1" x14ac:dyDescent="0.25">
      <c r="A12" s="50" t="s">
        <v>211</v>
      </c>
      <c r="B12" s="33" t="s">
        <v>580</v>
      </c>
      <c r="C12" s="33">
        <v>97</v>
      </c>
      <c r="D12" s="33">
        <v>174.02</v>
      </c>
      <c r="E12" s="55">
        <v>18.309999999999999</v>
      </c>
      <c r="F12" s="34" t="b">
        <v>1</v>
      </c>
      <c r="G12" s="33">
        <v>0</v>
      </c>
      <c r="H12" s="34" t="b">
        <v>1</v>
      </c>
      <c r="I12" s="52" t="b">
        <v>0</v>
      </c>
      <c r="J12" s="55">
        <v>15</v>
      </c>
      <c r="K12" s="33" t="s">
        <v>581</v>
      </c>
      <c r="L12" s="33">
        <v>0</v>
      </c>
      <c r="M12" s="33"/>
      <c r="N12" s="33">
        <v>0</v>
      </c>
      <c r="O12" s="33">
        <v>0</v>
      </c>
      <c r="P12" s="33">
        <v>0</v>
      </c>
      <c r="Q12" s="33">
        <v>0</v>
      </c>
      <c r="R12" s="33">
        <v>17</v>
      </c>
      <c r="S12" s="33">
        <v>2</v>
      </c>
      <c r="T12" s="62">
        <v>88.24</v>
      </c>
      <c r="U12" s="33">
        <v>55</v>
      </c>
      <c r="V12" s="52" t="b">
        <v>0</v>
      </c>
      <c r="W12" s="52" t="b">
        <v>0</v>
      </c>
      <c r="X12" s="33" t="s">
        <v>580</v>
      </c>
      <c r="Y12" s="41" t="str">
        <f>IFERROR(HYPERLINK("#'Main'!B"&amp;MATCH(TRIM(A12),Main!B:B,0),"Open"),HYPERLINK("#'Main'!B1","Open"))</f>
        <v>Open</v>
      </c>
      <c r="Z12" s="41"/>
    </row>
    <row r="13" spans="1:26" ht="30" customHeight="1" x14ac:dyDescent="0.25">
      <c r="A13" s="51" t="s">
        <v>212</v>
      </c>
      <c r="B13" s="42" t="s">
        <v>580</v>
      </c>
      <c r="C13" s="42">
        <v>195</v>
      </c>
      <c r="D13" s="42">
        <v>8.91</v>
      </c>
      <c r="E13" s="56">
        <v>77.650000000000006</v>
      </c>
      <c r="F13" s="34" t="b">
        <v>1</v>
      </c>
      <c r="G13" s="42">
        <v>1</v>
      </c>
      <c r="H13" s="52" t="b">
        <v>0</v>
      </c>
      <c r="I13" s="52" t="b">
        <v>0</v>
      </c>
      <c r="J13" s="56">
        <v>15</v>
      </c>
      <c r="K13" s="42" t="s">
        <v>581</v>
      </c>
      <c r="L13" s="42">
        <v>0</v>
      </c>
      <c r="M13" s="42"/>
      <c r="N13" s="42">
        <v>0</v>
      </c>
      <c r="O13" s="42">
        <v>0</v>
      </c>
      <c r="P13" s="42">
        <v>0</v>
      </c>
      <c r="Q13" s="42">
        <v>0</v>
      </c>
      <c r="R13" s="42">
        <v>20</v>
      </c>
      <c r="S13" s="42">
        <v>5</v>
      </c>
      <c r="T13" s="61">
        <v>75</v>
      </c>
      <c r="U13" s="42">
        <v>55</v>
      </c>
      <c r="V13" s="52" t="b">
        <v>0</v>
      </c>
      <c r="W13" s="52" t="b">
        <v>0</v>
      </c>
      <c r="X13" s="42" t="s">
        <v>580</v>
      </c>
      <c r="Y13" t="str">
        <f>IFERROR(HYPERLINK("#'Main'!B"&amp;MATCH(TRIM(A13),Main!B:B,0),"Open"),HYPERLINK("#'Main'!B1","Open"))</f>
        <v>Open</v>
      </c>
    </row>
    <row r="14" spans="1:26" ht="30" customHeight="1" x14ac:dyDescent="0.25">
      <c r="A14" s="50" t="s">
        <v>213</v>
      </c>
      <c r="B14" s="33" t="s">
        <v>580</v>
      </c>
      <c r="C14" s="33">
        <v>111</v>
      </c>
      <c r="D14" s="33">
        <v>150.5</v>
      </c>
      <c r="E14" s="55">
        <v>28.17</v>
      </c>
      <c r="F14" s="34" t="b">
        <v>1</v>
      </c>
      <c r="G14" s="33">
        <v>1</v>
      </c>
      <c r="H14" s="52" t="b">
        <v>0</v>
      </c>
      <c r="I14" s="52" t="b">
        <v>0</v>
      </c>
      <c r="J14" s="55">
        <v>15</v>
      </c>
      <c r="K14" s="33" t="s">
        <v>581</v>
      </c>
      <c r="L14" s="33">
        <v>0</v>
      </c>
      <c r="M14" s="33"/>
      <c r="N14" s="33">
        <v>0</v>
      </c>
      <c r="O14" s="33">
        <v>0</v>
      </c>
      <c r="P14" s="33">
        <v>0</v>
      </c>
      <c r="Q14" s="33">
        <v>0</v>
      </c>
      <c r="R14" s="33">
        <v>22</v>
      </c>
      <c r="S14" s="33">
        <v>6</v>
      </c>
      <c r="T14" s="61">
        <v>72.73</v>
      </c>
      <c r="U14" s="33">
        <v>55</v>
      </c>
      <c r="V14" s="52" t="b">
        <v>0</v>
      </c>
      <c r="W14" s="52" t="b">
        <v>0</v>
      </c>
      <c r="X14" s="33" t="s">
        <v>580</v>
      </c>
      <c r="Y14" s="41" t="str">
        <f>IFERROR(HYPERLINK("#'Main'!B"&amp;MATCH(TRIM(A14),Main!B:B,0),"Open"),HYPERLINK("#'Main'!B1","Open"))</f>
        <v>Open</v>
      </c>
      <c r="Z14" s="41"/>
    </row>
    <row r="15" spans="1:26" ht="30" customHeight="1" x14ac:dyDescent="0.25">
      <c r="A15" s="51" t="s">
        <v>214</v>
      </c>
      <c r="B15" s="42" t="s">
        <v>580</v>
      </c>
      <c r="C15" s="42">
        <v>46</v>
      </c>
      <c r="D15" s="42">
        <v>160.15</v>
      </c>
      <c r="E15" s="56">
        <v>18.77</v>
      </c>
      <c r="F15" s="34" t="b">
        <v>1</v>
      </c>
      <c r="G15" s="42">
        <v>1</v>
      </c>
      <c r="H15" s="52" t="b">
        <v>0</v>
      </c>
      <c r="I15" s="52" t="b">
        <v>0</v>
      </c>
      <c r="J15" s="56">
        <v>15</v>
      </c>
      <c r="K15" s="42" t="s">
        <v>581</v>
      </c>
      <c r="L15" s="42">
        <v>0</v>
      </c>
      <c r="M15" s="42"/>
      <c r="N15" s="42">
        <v>0</v>
      </c>
      <c r="O15" s="42">
        <v>0</v>
      </c>
      <c r="P15" s="42">
        <v>0</v>
      </c>
      <c r="Q15" s="42">
        <v>0</v>
      </c>
      <c r="R15" s="42">
        <v>20</v>
      </c>
      <c r="S15" s="42">
        <v>5</v>
      </c>
      <c r="T15" s="61">
        <v>75</v>
      </c>
      <c r="U15" s="42">
        <v>55</v>
      </c>
      <c r="V15" s="52" t="b">
        <v>0</v>
      </c>
      <c r="W15" s="52" t="b">
        <v>0</v>
      </c>
      <c r="X15" s="42" t="s">
        <v>580</v>
      </c>
      <c r="Y15" t="str">
        <f>IFERROR(HYPERLINK("#'Main'!B"&amp;MATCH(TRIM(A15),Main!B:B,0),"Open"),HYPERLINK("#'Main'!B1","Open"))</f>
        <v>Open</v>
      </c>
    </row>
    <row r="16" spans="1:26" ht="30" customHeight="1" x14ac:dyDescent="0.25">
      <c r="A16" s="50" t="s">
        <v>215</v>
      </c>
      <c r="B16" s="33" t="s">
        <v>580</v>
      </c>
      <c r="C16" s="33">
        <v>36</v>
      </c>
      <c r="D16" s="33">
        <v>170.3</v>
      </c>
      <c r="E16" s="55">
        <v>18.440000000000001</v>
      </c>
      <c r="F16" s="34" t="b">
        <v>1</v>
      </c>
      <c r="G16" s="33">
        <v>1</v>
      </c>
      <c r="H16" s="52" t="b">
        <v>0</v>
      </c>
      <c r="I16" s="52" t="b">
        <v>0</v>
      </c>
      <c r="J16" s="55">
        <v>15</v>
      </c>
      <c r="K16" s="33" t="s">
        <v>581</v>
      </c>
      <c r="L16" s="33">
        <v>0</v>
      </c>
      <c r="M16" s="33"/>
      <c r="N16" s="33">
        <v>0</v>
      </c>
      <c r="O16" s="33">
        <v>0</v>
      </c>
      <c r="P16" s="33">
        <v>0</v>
      </c>
      <c r="Q16" s="33">
        <v>0</v>
      </c>
      <c r="R16" s="33">
        <v>44</v>
      </c>
      <c r="S16" s="33">
        <v>15</v>
      </c>
      <c r="T16" s="61">
        <v>65.91</v>
      </c>
      <c r="U16" s="33">
        <v>55</v>
      </c>
      <c r="V16" s="52" t="b">
        <v>0</v>
      </c>
      <c r="W16" s="52" t="b">
        <v>0</v>
      </c>
      <c r="X16" s="33" t="s">
        <v>580</v>
      </c>
      <c r="Y16" s="41" t="str">
        <f>IFERROR(HYPERLINK("#'Main'!B"&amp;MATCH(TRIM(A16),Main!B:B,0),"Open"),HYPERLINK("#'Main'!B1","Open"))</f>
        <v>Open</v>
      </c>
      <c r="Z16" s="41"/>
    </row>
    <row r="17" spans="1:26" ht="30" customHeight="1" x14ac:dyDescent="0.25">
      <c r="A17" s="51" t="s">
        <v>216</v>
      </c>
      <c r="B17" s="42" t="s">
        <v>580</v>
      </c>
      <c r="C17" s="42">
        <v>1418</v>
      </c>
      <c r="D17" s="42">
        <v>126.88</v>
      </c>
      <c r="E17" s="56">
        <v>40.450000000000003</v>
      </c>
      <c r="F17" s="52" t="b">
        <v>0</v>
      </c>
      <c r="G17" s="42">
        <v>2</v>
      </c>
      <c r="H17" s="52" t="b">
        <v>0</v>
      </c>
      <c r="I17" s="52" t="b">
        <v>0</v>
      </c>
      <c r="J17" s="56">
        <v>15</v>
      </c>
      <c r="K17" s="42" t="s">
        <v>581</v>
      </c>
      <c r="L17" s="42">
        <v>0</v>
      </c>
      <c r="M17" s="42"/>
      <c r="N17" s="42">
        <v>0</v>
      </c>
      <c r="O17" s="42">
        <v>0</v>
      </c>
      <c r="P17" s="42">
        <v>0</v>
      </c>
      <c r="Q17" s="42">
        <v>0</v>
      </c>
      <c r="R17" s="42">
        <v>86</v>
      </c>
      <c r="S17" s="42">
        <v>15</v>
      </c>
      <c r="T17" s="62">
        <v>82.56</v>
      </c>
      <c r="U17" s="42">
        <v>55</v>
      </c>
      <c r="V17" s="52" t="b">
        <v>0</v>
      </c>
      <c r="W17" s="52" t="b">
        <v>0</v>
      </c>
      <c r="X17" s="42" t="s">
        <v>580</v>
      </c>
      <c r="Y17" t="str">
        <f>IFERROR(HYPERLINK("#'Main'!B"&amp;MATCH(TRIM(A17),Main!B:B,0),"Open"),HYPERLINK("#'Main'!B1","Open"))</f>
        <v>Open</v>
      </c>
    </row>
    <row r="18" spans="1:26" ht="30" customHeight="1" x14ac:dyDescent="0.25">
      <c r="A18" s="50" t="s">
        <v>217</v>
      </c>
      <c r="B18" s="33" t="s">
        <v>580</v>
      </c>
      <c r="C18" s="33">
        <v>694</v>
      </c>
      <c r="D18" s="33">
        <v>162.81</v>
      </c>
      <c r="E18" s="55">
        <v>23.17</v>
      </c>
      <c r="F18" s="52" t="b">
        <v>0</v>
      </c>
      <c r="G18" s="33">
        <v>1</v>
      </c>
      <c r="H18" s="52" t="b">
        <v>0</v>
      </c>
      <c r="I18" s="52" t="b">
        <v>0</v>
      </c>
      <c r="J18" s="55">
        <v>15</v>
      </c>
      <c r="K18" s="33" t="s">
        <v>581</v>
      </c>
      <c r="L18" s="33">
        <v>0</v>
      </c>
      <c r="M18" s="33"/>
      <c r="N18" s="33">
        <v>0</v>
      </c>
      <c r="O18" s="33">
        <v>0</v>
      </c>
      <c r="P18" s="33">
        <v>0</v>
      </c>
      <c r="Q18" s="33">
        <v>0</v>
      </c>
      <c r="R18" s="33">
        <v>20</v>
      </c>
      <c r="S18" s="33">
        <v>5</v>
      </c>
      <c r="T18" s="61">
        <v>75</v>
      </c>
      <c r="U18" s="33">
        <v>55</v>
      </c>
      <c r="V18" s="52" t="b">
        <v>0</v>
      </c>
      <c r="W18" s="52" t="b">
        <v>0</v>
      </c>
      <c r="X18" s="33" t="s">
        <v>580</v>
      </c>
      <c r="Y18" s="41" t="str">
        <f>IFERROR(HYPERLINK("#'Main'!B"&amp;MATCH(TRIM(A18),Main!B:B,0),"Open"),HYPERLINK("#'Main'!B1","Open"))</f>
        <v>Open</v>
      </c>
      <c r="Z18" s="41"/>
    </row>
    <row r="19" spans="1:26" ht="30" customHeight="1" x14ac:dyDescent="0.25">
      <c r="A19" s="51" t="s">
        <v>219</v>
      </c>
      <c r="B19" s="42" t="s">
        <v>580</v>
      </c>
      <c r="C19" s="42">
        <v>193</v>
      </c>
      <c r="D19" s="42">
        <v>157.86000000000001</v>
      </c>
      <c r="E19" s="56">
        <v>25.18</v>
      </c>
      <c r="F19" s="34" t="b">
        <v>1</v>
      </c>
      <c r="G19" s="42">
        <v>1</v>
      </c>
      <c r="H19" s="52" t="b">
        <v>0</v>
      </c>
      <c r="I19" s="52" t="b">
        <v>0</v>
      </c>
      <c r="J19" s="56">
        <v>15</v>
      </c>
      <c r="K19" s="42" t="s">
        <v>581</v>
      </c>
      <c r="L19" s="42">
        <v>0</v>
      </c>
      <c r="M19" s="42"/>
      <c r="N19" s="42">
        <v>0</v>
      </c>
      <c r="O19" s="42">
        <v>0</v>
      </c>
      <c r="P19" s="42">
        <v>0</v>
      </c>
      <c r="Q19" s="42">
        <v>0</v>
      </c>
      <c r="R19" s="42">
        <v>33</v>
      </c>
      <c r="S19" s="42">
        <v>5</v>
      </c>
      <c r="T19" s="62">
        <v>84.85</v>
      </c>
      <c r="U19" s="42">
        <v>55</v>
      </c>
      <c r="V19" s="52" t="b">
        <v>0</v>
      </c>
      <c r="W19" s="52" t="b">
        <v>0</v>
      </c>
      <c r="X19" s="42" t="s">
        <v>580</v>
      </c>
      <c r="Y19" t="str">
        <f>IFERROR(HYPERLINK("#'Main'!B"&amp;MATCH(TRIM(A19),Main!B:B,0),"Open"),HYPERLINK("#'Main'!B1","Open"))</f>
        <v>Open</v>
      </c>
    </row>
    <row r="20" spans="1:26" ht="30" customHeight="1" x14ac:dyDescent="0.25">
      <c r="A20" s="50" t="s">
        <v>218</v>
      </c>
      <c r="B20" s="33" t="s">
        <v>580</v>
      </c>
      <c r="C20" s="33">
        <v>126</v>
      </c>
      <c r="D20" s="33">
        <v>142.88999999999999</v>
      </c>
      <c r="E20" s="55">
        <v>31.18</v>
      </c>
      <c r="F20" s="34" t="b">
        <v>1</v>
      </c>
      <c r="G20" s="33">
        <v>1</v>
      </c>
      <c r="H20" s="52" t="b">
        <v>0</v>
      </c>
      <c r="I20" s="52" t="b">
        <v>0</v>
      </c>
      <c r="J20" s="55">
        <v>15</v>
      </c>
      <c r="K20" s="33" t="s">
        <v>581</v>
      </c>
      <c r="L20" s="33">
        <v>0</v>
      </c>
      <c r="M20" s="33"/>
      <c r="N20" s="33">
        <v>0</v>
      </c>
      <c r="O20" s="33">
        <v>0</v>
      </c>
      <c r="P20" s="33">
        <v>0</v>
      </c>
      <c r="Q20" s="33">
        <v>0</v>
      </c>
      <c r="R20" s="33">
        <v>49</v>
      </c>
      <c r="S20" s="33">
        <v>10</v>
      </c>
      <c r="T20" s="61">
        <v>79.59</v>
      </c>
      <c r="U20" s="33">
        <v>55</v>
      </c>
      <c r="V20" s="52" t="b">
        <v>0</v>
      </c>
      <c r="W20" s="52" t="b">
        <v>0</v>
      </c>
      <c r="X20" s="33" t="s">
        <v>580</v>
      </c>
      <c r="Y20" s="41" t="str">
        <f>IFERROR(HYPERLINK("#'Main'!B"&amp;MATCH(TRIM(A20),Main!B:B,0),"Open"),HYPERLINK("#'Main'!B1","Open"))</f>
        <v>Open</v>
      </c>
      <c r="Z20" s="41"/>
    </row>
    <row r="21" spans="1:26" ht="30" customHeight="1" x14ac:dyDescent="0.25">
      <c r="A21" s="51" t="s">
        <v>189</v>
      </c>
      <c r="B21" s="42" t="s">
        <v>580</v>
      </c>
      <c r="C21" s="42">
        <v>1869</v>
      </c>
      <c r="D21" s="42">
        <v>183.98</v>
      </c>
      <c r="E21" s="56">
        <v>16.8</v>
      </c>
      <c r="F21" s="52" t="b">
        <v>0</v>
      </c>
      <c r="G21" s="42">
        <v>10</v>
      </c>
      <c r="H21" s="52" t="b">
        <v>0</v>
      </c>
      <c r="I21" s="52" t="b">
        <v>0</v>
      </c>
      <c r="J21" s="56">
        <v>15</v>
      </c>
      <c r="K21" s="42" t="s">
        <v>581</v>
      </c>
      <c r="L21" s="42">
        <v>0</v>
      </c>
      <c r="M21" s="42"/>
      <c r="N21" s="42">
        <v>0</v>
      </c>
      <c r="O21" s="42">
        <v>0</v>
      </c>
      <c r="P21" s="42">
        <v>0</v>
      </c>
      <c r="Q21" s="42">
        <v>0</v>
      </c>
      <c r="R21" s="42">
        <v>109</v>
      </c>
      <c r="S21" s="42">
        <v>94</v>
      </c>
      <c r="T21" s="61">
        <v>13.76</v>
      </c>
      <c r="U21" s="42">
        <v>55</v>
      </c>
      <c r="V21" s="52" t="b">
        <v>0</v>
      </c>
      <c r="W21" s="52" t="b">
        <v>0</v>
      </c>
      <c r="X21" s="42" t="s">
        <v>580</v>
      </c>
      <c r="Y21" t="str">
        <f>IFERROR(HYPERLINK("#'Main'!B"&amp;MATCH(TRIM(A21),Main!B:B,0),"Open"),HYPERLINK("#'Main'!B1","Open"))</f>
        <v>Open</v>
      </c>
    </row>
  </sheetData>
  <autoFilter ref="A1:Z21" xr:uid="{00000000-0009-0000-0000-000007000000}"/>
  <conditionalFormatting sqref="C2:C21">
    <cfRule type="dataBar" priority="1">
      <dataBar>
        <cfvo type="min"/>
        <cfvo type="max"/>
        <color rgb="FF638EC6"/>
      </dataBar>
    </cfRule>
    <cfRule type="dataBar" priority="4">
      <dataBar>
        <cfvo type="min"/>
        <cfvo type="max"/>
        <color rgb="FF638EC6"/>
      </dataBar>
    </cfRule>
  </conditionalFormatting>
  <conditionalFormatting sqref="D2:D21">
    <cfRule type="colorScale" priority="3">
      <colorScale>
        <cfvo type="num" val="0"/>
        <cfvo type="num" val="50"/>
        <cfvo type="num" val="100"/>
        <color rgb="FFF8696B"/>
        <color rgb="FFFFEB84"/>
        <color rgb="FF63BE7B"/>
      </colorScale>
    </cfRule>
  </conditionalFormatting>
  <conditionalFormatting sqref="F2:F21">
    <cfRule type="expression" dxfId="48" priority="8" stopIfTrue="1">
      <formula>OR(NOT(ISERROR(SEARCH("Critical",F2))),NOT(ISERROR(SEARCH("Non-Pass",F2))),NOT(ISERROR(SEARCH("Error",F2))))</formula>
    </cfRule>
    <cfRule type="expression" dxfId="47" priority="9" stopIfTrue="1">
      <formula>OR(NOT(ISERROR(SEARCH("Warning",F2))),NOT(ISERROR(SEARCH("Needs Work",F2))))</formula>
    </cfRule>
  </conditionalFormatting>
  <conditionalFormatting sqref="J2:J21">
    <cfRule type="colorScale" priority="2">
      <colorScale>
        <cfvo type="min"/>
        <cfvo type="percentile" val="50"/>
        <cfvo type="max"/>
        <color rgb="FFF8696B"/>
        <color rgb="FFFFEB84"/>
        <color rgb="FF63BE7B"/>
      </colorScale>
    </cfRule>
  </conditionalFormatting>
  <conditionalFormatting sqref="K2:K21">
    <cfRule type="expression" dxfId="46" priority="6" stopIfTrue="1">
      <formula>OR(NOT(ISERROR(SEARCH("Critical",K2))),NOT(ISERROR(SEARCH("Non-Pass",K2))),NOT(ISERROR(SEARCH("Error",K2))))</formula>
    </cfRule>
    <cfRule type="expression" dxfId="45" priority="7" stopIfTrue="1">
      <formula>OR(NOT(ISERROR(SEARCH("Warning",K2))),NOT(ISERROR(SEARCH("Needs Work",K2))))</formula>
    </cfRule>
  </conditionalFormatting>
  <conditionalFormatting sqref="R2:R21">
    <cfRule type="dataBar" priority="5">
      <dataBar>
        <cfvo type="min"/>
        <cfvo type="max"/>
        <color rgb="FF638EC6"/>
      </dataBar>
    </cfRule>
  </conditionalFormatting>
  <conditionalFormatting sqref="V2:V21">
    <cfRule type="expression" dxfId="44" priority="10" stopIfTrue="1">
      <formula>OR(NOT(ISERROR(SEARCH("Critical",V2))),NOT(ISERROR(SEARCH("Non-Pass",V2))),NOT(ISERROR(SEARCH("Error",V2))))</formula>
    </cfRule>
    <cfRule type="expression" dxfId="43" priority="11" stopIfTrue="1">
      <formula>OR(NOT(ISERROR(SEARCH("Warning",V2))),NOT(ISERROR(SEARCH("Needs Work",V2))))</formula>
    </cfRule>
  </conditionalFormatting>
  <hyperlinks>
    <hyperlink ref="Z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 ref="A12" r:id="rId11" xr:uid="{00000000-0004-0000-0700-00000B000000}"/>
    <hyperlink ref="A13" r:id="rId12" xr:uid="{00000000-0004-0000-0700-00000C000000}"/>
    <hyperlink ref="A14" r:id="rId13" xr:uid="{00000000-0004-0000-0700-00000D000000}"/>
    <hyperlink ref="A15" r:id="rId14" xr:uid="{00000000-0004-0000-0700-00000E000000}"/>
    <hyperlink ref="A16" r:id="rId15" xr:uid="{00000000-0004-0000-0700-00000F000000}"/>
    <hyperlink ref="A17" r:id="rId16" xr:uid="{00000000-0004-0000-0700-000010000000}"/>
    <hyperlink ref="A18" r:id="rId17" xr:uid="{00000000-0004-0000-0700-000011000000}"/>
    <hyperlink ref="A19" r:id="rId18" xr:uid="{00000000-0004-0000-0700-000012000000}"/>
    <hyperlink ref="A20" r:id="rId19" xr:uid="{00000000-0004-0000-0700-000013000000}"/>
    <hyperlink ref="A21" r:id="rId20" xr:uid="{00000000-0004-0000-0700-000014000000}"/>
  </hyperlinks>
  <pageMargins left="0.75" right="0.75" top="1" bottom="1" header="0.5" footer="0.5"/>
  <legacyDrawing r:id="rId2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380"/>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60"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9" width="60" customWidth="1"/>
    <col min="20" max="20" width="19" customWidth="1"/>
  </cols>
  <sheetData>
    <row r="1" spans="1:22" ht="45" x14ac:dyDescent="0.25">
      <c r="A1" s="31" t="s">
        <v>78</v>
      </c>
      <c r="B1" s="31" t="s">
        <v>582</v>
      </c>
      <c r="C1" s="31" t="s">
        <v>583</v>
      </c>
      <c r="D1" s="31" t="s">
        <v>584</v>
      </c>
      <c r="E1" s="31" t="s">
        <v>585</v>
      </c>
      <c r="F1" s="31" t="s">
        <v>586</v>
      </c>
      <c r="G1" s="31" t="s">
        <v>587</v>
      </c>
      <c r="H1" s="31" t="s">
        <v>200</v>
      </c>
      <c r="I1" s="31" t="s">
        <v>588</v>
      </c>
      <c r="J1" s="31" t="s">
        <v>589</v>
      </c>
      <c r="K1" s="31" t="s">
        <v>590</v>
      </c>
      <c r="L1" s="31" t="s">
        <v>591</v>
      </c>
      <c r="M1" s="31" t="s">
        <v>592</v>
      </c>
      <c r="N1" s="31" t="s">
        <v>593</v>
      </c>
      <c r="O1" s="31" t="s">
        <v>594</v>
      </c>
      <c r="P1" s="31" t="s">
        <v>595</v>
      </c>
      <c r="Q1" s="31" t="s">
        <v>596</v>
      </c>
      <c r="R1" s="31" t="s">
        <v>597</v>
      </c>
      <c r="S1" s="31" t="s">
        <v>598</v>
      </c>
      <c r="T1" s="31" t="s">
        <v>351</v>
      </c>
      <c r="U1" s="31" t="s">
        <v>93</v>
      </c>
      <c r="V1" s="32" t="s">
        <v>95</v>
      </c>
    </row>
    <row r="2" spans="1:22" ht="120" customHeight="1" x14ac:dyDescent="0.25">
      <c r="A2" s="50" t="s">
        <v>146</v>
      </c>
      <c r="B2" s="33" t="s">
        <v>355</v>
      </c>
      <c r="C2" s="37"/>
      <c r="D2" s="33"/>
      <c r="E2" s="33"/>
      <c r="F2" s="33"/>
      <c r="G2" s="33">
        <v>16</v>
      </c>
      <c r="H2" s="33">
        <f>COUNTIFS('Link Inventory'!$A:$A,$A2,'Link Inventory'!$E:$E,"Internal",'Link Inventory'!$F:$F,404)+COUNTIFS('Link Inventory'!$A:$A,$A2,'Link Inventory'!$E:$E,"Internal",'Link Inventory'!$F:$F,"404")</f>
        <v>4</v>
      </c>
      <c r="I2" s="33">
        <v>0</v>
      </c>
      <c r="J2" s="33">
        <v>4</v>
      </c>
      <c r="K2" s="33">
        <v>0</v>
      </c>
      <c r="L2" s="40" t="b">
        <v>1</v>
      </c>
      <c r="M2" s="33">
        <v>0</v>
      </c>
      <c r="N2" s="33">
        <v>1.1213000000000001E-2</v>
      </c>
      <c r="O2" s="52">
        <v>0</v>
      </c>
      <c r="P2" s="33">
        <v>0</v>
      </c>
      <c r="Q2" s="33">
        <v>0</v>
      </c>
      <c r="R2" s="33" t="s">
        <v>599</v>
      </c>
      <c r="S2" s="33" t="str">
        <f t="shared" ref="S2:S21" si="0">IF(H2&gt;0,"Fix "&amp;H2&amp;" broken links (See Link Inventory tab for details).","")</f>
        <v>Fix 4 broken links (See Link Inventory tab for details).</v>
      </c>
      <c r="T2" s="33" t="s">
        <v>600</v>
      </c>
      <c r="U2" s="41" t="str">
        <f>IFERROR(HYPERLINK("#'Main'!B"&amp;MATCH(TRIM(A2),Main!B:B,0),"Open"),HYPERLINK("#'Main'!B1","Open"))</f>
        <v>Open</v>
      </c>
      <c r="V2" s="41"/>
    </row>
    <row r="3" spans="1:22" ht="120" customHeight="1" x14ac:dyDescent="0.25">
      <c r="A3" s="51" t="s">
        <v>178</v>
      </c>
      <c r="B3" s="42" t="s">
        <v>355</v>
      </c>
      <c r="C3" s="44"/>
      <c r="D3" s="42"/>
      <c r="E3" s="42"/>
      <c r="F3" s="42"/>
      <c r="G3" s="42">
        <v>32</v>
      </c>
      <c r="H3" s="42">
        <f>COUNTIFS('Link Inventory'!$A:$A,$A3,'Link Inventory'!$E:$E,"Internal",'Link Inventory'!$F:$F,404)+COUNTIFS('Link Inventory'!$A:$A,$A3,'Link Inventory'!$E:$E,"Internal",'Link Inventory'!$F:$F,"404")</f>
        <v>4</v>
      </c>
      <c r="I3" s="42">
        <v>0</v>
      </c>
      <c r="J3" s="42">
        <v>7</v>
      </c>
      <c r="K3" s="42">
        <v>6</v>
      </c>
      <c r="L3" s="46" t="b">
        <v>0</v>
      </c>
      <c r="M3" s="42">
        <v>1</v>
      </c>
      <c r="N3" s="42">
        <v>0.147311</v>
      </c>
      <c r="O3" s="52">
        <v>0</v>
      </c>
      <c r="P3" s="42">
        <v>0</v>
      </c>
      <c r="Q3" s="42">
        <v>0</v>
      </c>
      <c r="R3" s="42" t="s">
        <v>601</v>
      </c>
      <c r="S3" s="42" t="str">
        <f t="shared" si="0"/>
        <v>Fix 4 broken links (See Link Inventory tab for details).</v>
      </c>
      <c r="T3" s="42" t="s">
        <v>600</v>
      </c>
      <c r="U3" t="str">
        <f>IFERROR(HYPERLINK("#'Main'!B"&amp;MATCH(TRIM(A3),Main!B:B,0),"Open"),HYPERLINK("#'Main'!B1","Open"))</f>
        <v>Open</v>
      </c>
    </row>
    <row r="4" spans="1:22" ht="120" customHeight="1" x14ac:dyDescent="0.25">
      <c r="A4" s="50" t="s">
        <v>176</v>
      </c>
      <c r="B4" s="33" t="s">
        <v>355</v>
      </c>
      <c r="C4" s="37"/>
      <c r="D4" s="33"/>
      <c r="E4" s="33"/>
      <c r="F4" s="33"/>
      <c r="G4" s="33">
        <v>62</v>
      </c>
      <c r="H4" s="33">
        <f>COUNTIFS('Link Inventory'!$A:$A,$A4,'Link Inventory'!$E:$E,"Internal",'Link Inventory'!$F:$F,404)+COUNTIFS('Link Inventory'!$A:$A,$A4,'Link Inventory'!$E:$E,"Internal",'Link Inventory'!$F:$F,"404")</f>
        <v>4</v>
      </c>
      <c r="I4" s="33">
        <v>0</v>
      </c>
      <c r="J4" s="33">
        <v>2</v>
      </c>
      <c r="K4" s="33">
        <v>14</v>
      </c>
      <c r="L4" s="40" t="b">
        <v>0</v>
      </c>
      <c r="M4" s="33">
        <v>0</v>
      </c>
      <c r="N4" s="33">
        <v>0.188917</v>
      </c>
      <c r="O4" s="34">
        <v>2</v>
      </c>
      <c r="P4" s="33">
        <v>0</v>
      </c>
      <c r="Q4" s="33">
        <v>0</v>
      </c>
      <c r="R4" s="33" t="s">
        <v>602</v>
      </c>
      <c r="S4" s="33" t="str">
        <f t="shared" si="0"/>
        <v>Fix 4 broken links (See Link Inventory tab for details).</v>
      </c>
      <c r="T4" s="33" t="s">
        <v>600</v>
      </c>
      <c r="U4" s="41" t="str">
        <f>IFERROR(HYPERLINK("#'Main'!B"&amp;MATCH(TRIM(A4),Main!B:B,0),"Open"),HYPERLINK("#'Main'!B1","Open"))</f>
        <v>Open</v>
      </c>
      <c r="V4" s="41"/>
    </row>
    <row r="5" spans="1:22" ht="120" customHeight="1" x14ac:dyDescent="0.25">
      <c r="A5" s="51" t="s">
        <v>208</v>
      </c>
      <c r="B5" s="42" t="s">
        <v>355</v>
      </c>
      <c r="C5" s="44"/>
      <c r="D5" s="42"/>
      <c r="E5" s="42"/>
      <c r="F5" s="42"/>
      <c r="G5" s="42">
        <v>58</v>
      </c>
      <c r="H5" s="42">
        <f>COUNTIFS('Link Inventory'!$A:$A,$A5,'Link Inventory'!$E:$E,"Internal",'Link Inventory'!$F:$F,404)+COUNTIFS('Link Inventory'!$A:$A,$A5,'Link Inventory'!$E:$E,"Internal",'Link Inventory'!$F:$F,"404")</f>
        <v>4</v>
      </c>
      <c r="I5" s="42">
        <v>0</v>
      </c>
      <c r="J5" s="42">
        <v>3</v>
      </c>
      <c r="K5" s="42">
        <v>6</v>
      </c>
      <c r="L5" s="46" t="b">
        <v>0</v>
      </c>
      <c r="M5" s="42">
        <v>1</v>
      </c>
      <c r="N5" s="42">
        <v>0.147311</v>
      </c>
      <c r="O5" s="52">
        <v>0</v>
      </c>
      <c r="P5" s="42">
        <v>0</v>
      </c>
      <c r="Q5" s="42">
        <v>0</v>
      </c>
      <c r="R5" s="42" t="s">
        <v>603</v>
      </c>
      <c r="S5" s="42" t="str">
        <f t="shared" si="0"/>
        <v>Fix 4 broken links (See Link Inventory tab for details).</v>
      </c>
      <c r="T5" s="42" t="s">
        <v>600</v>
      </c>
      <c r="U5" t="str">
        <f>IFERROR(HYPERLINK("#'Main'!B"&amp;MATCH(TRIM(A5),Main!B:B,0),"Open"),HYPERLINK("#'Main'!B1","Open"))</f>
        <v>Open</v>
      </c>
    </row>
    <row r="6" spans="1:22" ht="120" customHeight="1" x14ac:dyDescent="0.25">
      <c r="A6" s="50" t="s">
        <v>155</v>
      </c>
      <c r="B6" s="33" t="s">
        <v>355</v>
      </c>
      <c r="C6" s="37"/>
      <c r="D6" s="33"/>
      <c r="E6" s="33"/>
      <c r="F6" s="33"/>
      <c r="G6" s="33">
        <v>32</v>
      </c>
      <c r="H6" s="33">
        <f>COUNTIFS('Link Inventory'!$A:$A,$A6,'Link Inventory'!$E:$E,"Internal",'Link Inventory'!$F:$F,404)+COUNTIFS('Link Inventory'!$A:$A,$A6,'Link Inventory'!$E:$E,"Internal",'Link Inventory'!$F:$F,"404")</f>
        <v>4</v>
      </c>
      <c r="I6" s="33">
        <v>0</v>
      </c>
      <c r="J6" s="33">
        <v>4</v>
      </c>
      <c r="K6" s="33">
        <v>0</v>
      </c>
      <c r="L6" s="40" t="b">
        <v>1</v>
      </c>
      <c r="M6" s="33">
        <v>0</v>
      </c>
      <c r="N6" s="33">
        <v>1.1213000000000001E-2</v>
      </c>
      <c r="O6" s="52">
        <v>0</v>
      </c>
      <c r="P6" s="33">
        <v>0</v>
      </c>
      <c r="Q6" s="33">
        <v>0</v>
      </c>
      <c r="R6" s="33" t="s">
        <v>601</v>
      </c>
      <c r="S6" s="33" t="str">
        <f t="shared" si="0"/>
        <v>Fix 4 broken links (See Link Inventory tab for details).</v>
      </c>
      <c r="T6" s="33" t="s">
        <v>600</v>
      </c>
      <c r="U6" s="41" t="str">
        <f>IFERROR(HYPERLINK("#'Main'!B"&amp;MATCH(TRIM(A6),Main!B:B,0),"Open"),HYPERLINK("#'Main'!B1","Open"))</f>
        <v>Open</v>
      </c>
      <c r="V6" s="41"/>
    </row>
    <row r="7" spans="1:22" ht="120" customHeight="1" x14ac:dyDescent="0.25">
      <c r="A7" s="51" t="s">
        <v>206</v>
      </c>
      <c r="B7" s="42" t="s">
        <v>355</v>
      </c>
      <c r="C7" s="44"/>
      <c r="D7" s="42"/>
      <c r="E7" s="42"/>
      <c r="F7" s="42"/>
      <c r="G7" s="42">
        <v>32</v>
      </c>
      <c r="H7" s="42">
        <f>COUNTIFS('Link Inventory'!$A:$A,$A7,'Link Inventory'!$E:$E,"Internal",'Link Inventory'!$F:$F,404)+COUNTIFS('Link Inventory'!$A:$A,$A7,'Link Inventory'!$E:$E,"Internal",'Link Inventory'!$F:$F,"404")</f>
        <v>6</v>
      </c>
      <c r="I7" s="42">
        <v>0</v>
      </c>
      <c r="J7" s="42">
        <v>2</v>
      </c>
      <c r="K7" s="42">
        <v>0</v>
      </c>
      <c r="L7" s="46" t="b">
        <v>1</v>
      </c>
      <c r="M7" s="42">
        <v>0</v>
      </c>
      <c r="N7" s="42">
        <v>1.1213000000000001E-2</v>
      </c>
      <c r="O7" s="52">
        <v>0</v>
      </c>
      <c r="P7" s="42">
        <v>0</v>
      </c>
      <c r="Q7" s="42">
        <v>0</v>
      </c>
      <c r="R7" s="42" t="s">
        <v>604</v>
      </c>
      <c r="S7" s="42" t="str">
        <f t="shared" si="0"/>
        <v>Fix 6 broken links (See Link Inventory tab for details).</v>
      </c>
      <c r="T7" s="42" t="s">
        <v>600</v>
      </c>
      <c r="U7" t="str">
        <f>IFERROR(HYPERLINK("#'Main'!B"&amp;MATCH(TRIM(A7),Main!B:B,0),"Open"),HYPERLINK("#'Main'!B1","Open"))</f>
        <v>Open</v>
      </c>
    </row>
    <row r="8" spans="1:22" ht="120" customHeight="1" x14ac:dyDescent="0.25">
      <c r="A8" s="50" t="s">
        <v>207</v>
      </c>
      <c r="B8" s="33" t="s">
        <v>355</v>
      </c>
      <c r="C8" s="37"/>
      <c r="D8" s="33"/>
      <c r="E8" s="33"/>
      <c r="F8" s="33"/>
      <c r="G8" s="33">
        <v>99</v>
      </c>
      <c r="H8" s="33">
        <f>COUNTIFS('Link Inventory'!$A:$A,$A8,'Link Inventory'!$E:$E,"Internal",'Link Inventory'!$F:$F,404)+COUNTIFS('Link Inventory'!$A:$A,$A8,'Link Inventory'!$E:$E,"Internal",'Link Inventory'!$F:$F,"404")</f>
        <v>4</v>
      </c>
      <c r="I8" s="33">
        <v>0</v>
      </c>
      <c r="J8" s="33">
        <v>3</v>
      </c>
      <c r="K8" s="33">
        <v>0</v>
      </c>
      <c r="L8" s="40" t="b">
        <v>1</v>
      </c>
      <c r="M8" s="33">
        <v>0</v>
      </c>
      <c r="N8" s="33">
        <v>1.1213000000000001E-2</v>
      </c>
      <c r="O8" s="52">
        <v>0</v>
      </c>
      <c r="P8" s="33">
        <v>0</v>
      </c>
      <c r="Q8" s="33">
        <v>0</v>
      </c>
      <c r="R8" s="33" t="s">
        <v>605</v>
      </c>
      <c r="S8" s="33" t="str">
        <f t="shared" si="0"/>
        <v>Fix 4 broken links (See Link Inventory tab for details).</v>
      </c>
      <c r="T8" s="33" t="s">
        <v>600</v>
      </c>
      <c r="U8" s="41" t="str">
        <f>IFERROR(HYPERLINK("#'Main'!B"&amp;MATCH(TRIM(A8),Main!B:B,0),"Open"),HYPERLINK("#'Main'!B1","Open"))</f>
        <v>Open</v>
      </c>
      <c r="V8" s="41"/>
    </row>
    <row r="9" spans="1:22" ht="120" customHeight="1" x14ac:dyDescent="0.25">
      <c r="A9" s="51" t="s">
        <v>209</v>
      </c>
      <c r="B9" s="42" t="s">
        <v>355</v>
      </c>
      <c r="C9" s="44"/>
      <c r="D9" s="42"/>
      <c r="E9" s="42"/>
      <c r="F9" s="42"/>
      <c r="G9" s="42">
        <v>41</v>
      </c>
      <c r="H9" s="42">
        <f>COUNTIFS('Link Inventory'!$A:$A,$A9,'Link Inventory'!$E:$E,"Internal",'Link Inventory'!$F:$F,404)+COUNTIFS('Link Inventory'!$A:$A,$A9,'Link Inventory'!$E:$E,"Internal",'Link Inventory'!$F:$F,"404")</f>
        <v>8</v>
      </c>
      <c r="I9" s="42">
        <v>0</v>
      </c>
      <c r="J9" s="42">
        <v>13</v>
      </c>
      <c r="K9" s="42">
        <v>8</v>
      </c>
      <c r="L9" s="46" t="b">
        <v>0</v>
      </c>
      <c r="M9" s="42">
        <v>0</v>
      </c>
      <c r="N9" s="42">
        <v>5.2818999999999998E-2</v>
      </c>
      <c r="O9" s="52">
        <v>0</v>
      </c>
      <c r="P9" s="42">
        <v>0</v>
      </c>
      <c r="Q9" s="42">
        <v>0</v>
      </c>
      <c r="R9" s="42" t="s">
        <v>606</v>
      </c>
      <c r="S9" s="42" t="str">
        <f t="shared" si="0"/>
        <v>Fix 8 broken links (See Link Inventory tab for details).</v>
      </c>
      <c r="T9" s="42" t="s">
        <v>600</v>
      </c>
      <c r="U9" t="str">
        <f>IFERROR(HYPERLINK("#'Main'!B"&amp;MATCH(TRIM(A9),Main!B:B,0),"Open"),HYPERLINK("#'Main'!B1","Open"))</f>
        <v>Open</v>
      </c>
    </row>
    <row r="10" spans="1:22" ht="120" customHeight="1" x14ac:dyDescent="0.25">
      <c r="A10" s="50" t="s">
        <v>157</v>
      </c>
      <c r="B10" s="33" t="s">
        <v>355</v>
      </c>
      <c r="C10" s="37"/>
      <c r="D10" s="33"/>
      <c r="E10" s="33"/>
      <c r="F10" s="33"/>
      <c r="G10" s="33">
        <v>19</v>
      </c>
      <c r="H10" s="33">
        <f>COUNTIFS('Link Inventory'!$A:$A,$A10,'Link Inventory'!$E:$E,"Internal",'Link Inventory'!$F:$F,404)+COUNTIFS('Link Inventory'!$A:$A,$A10,'Link Inventory'!$E:$E,"Internal",'Link Inventory'!$F:$F,"404")</f>
        <v>4</v>
      </c>
      <c r="I10" s="33">
        <v>0</v>
      </c>
      <c r="J10" s="33">
        <v>2</v>
      </c>
      <c r="K10" s="33">
        <v>0</v>
      </c>
      <c r="L10" s="40" t="b">
        <v>1</v>
      </c>
      <c r="M10" s="33">
        <v>0</v>
      </c>
      <c r="N10" s="33">
        <v>1.1213000000000001E-2</v>
      </c>
      <c r="O10" s="52">
        <v>0</v>
      </c>
      <c r="P10" s="33">
        <v>0</v>
      </c>
      <c r="Q10" s="33">
        <v>0</v>
      </c>
      <c r="R10" s="33" t="s">
        <v>607</v>
      </c>
      <c r="S10" s="33" t="str">
        <f t="shared" si="0"/>
        <v>Fix 4 broken links (See Link Inventory tab for details).</v>
      </c>
      <c r="T10" s="33" t="s">
        <v>600</v>
      </c>
      <c r="U10" s="41" t="str">
        <f>IFERROR(HYPERLINK("#'Main'!B"&amp;MATCH(TRIM(A10),Main!B:B,0),"Open"),HYPERLINK("#'Main'!B1","Open"))</f>
        <v>Open</v>
      </c>
      <c r="V10" s="41"/>
    </row>
    <row r="11" spans="1:22" ht="120" customHeight="1" x14ac:dyDescent="0.25">
      <c r="A11" s="51" t="s">
        <v>210</v>
      </c>
      <c r="B11" s="42" t="s">
        <v>355</v>
      </c>
      <c r="C11" s="44"/>
      <c r="D11" s="42"/>
      <c r="E11" s="42"/>
      <c r="F11" s="42"/>
      <c r="G11" s="42">
        <v>19</v>
      </c>
      <c r="H11" s="42">
        <f>COUNTIFS('Link Inventory'!$A:$A,$A11,'Link Inventory'!$E:$E,"Internal",'Link Inventory'!$F:$F,404)+COUNTIFS('Link Inventory'!$A:$A,$A11,'Link Inventory'!$E:$E,"Internal",'Link Inventory'!$F:$F,"404")</f>
        <v>4</v>
      </c>
      <c r="I11" s="42">
        <v>0</v>
      </c>
      <c r="J11" s="42">
        <v>2</v>
      </c>
      <c r="K11" s="42">
        <v>8</v>
      </c>
      <c r="L11" s="46" t="b">
        <v>0</v>
      </c>
      <c r="M11" s="42">
        <v>0</v>
      </c>
      <c r="N11" s="42">
        <v>5.2818999999999998E-2</v>
      </c>
      <c r="O11" s="52">
        <v>0</v>
      </c>
      <c r="P11" s="42">
        <v>0</v>
      </c>
      <c r="Q11" s="42">
        <v>0</v>
      </c>
      <c r="R11" s="42" t="s">
        <v>607</v>
      </c>
      <c r="S11" s="42" t="str">
        <f t="shared" si="0"/>
        <v>Fix 4 broken links (See Link Inventory tab for details).</v>
      </c>
      <c r="T11" s="42" t="s">
        <v>600</v>
      </c>
      <c r="U11" t="str">
        <f>IFERROR(HYPERLINK("#'Main'!B"&amp;MATCH(TRIM(A11),Main!B:B,0),"Open"),HYPERLINK("#'Main'!B1","Open"))</f>
        <v>Open</v>
      </c>
    </row>
    <row r="12" spans="1:22" ht="30" customHeight="1" x14ac:dyDescent="0.25">
      <c r="A12" s="50" t="s">
        <v>211</v>
      </c>
      <c r="B12" s="33" t="s">
        <v>355</v>
      </c>
      <c r="C12" s="37"/>
      <c r="D12" s="33"/>
      <c r="E12" s="33"/>
      <c r="F12" s="33"/>
      <c r="G12" s="33">
        <v>2</v>
      </c>
      <c r="H12" s="33">
        <f>COUNTIFS('Link Inventory'!$A:$A,$A12,'Link Inventory'!$E:$E,"Internal",'Link Inventory'!$F:$F,404)+COUNTIFS('Link Inventory'!$A:$A,$A12,'Link Inventory'!$E:$E,"Internal",'Link Inventory'!$F:$F,"404")</f>
        <v>4</v>
      </c>
      <c r="I12" s="33">
        <v>0</v>
      </c>
      <c r="J12" s="33">
        <v>0</v>
      </c>
      <c r="K12" s="33">
        <v>0</v>
      </c>
      <c r="L12" s="40" t="b">
        <v>1</v>
      </c>
      <c r="M12" s="33">
        <v>0</v>
      </c>
      <c r="N12" s="33">
        <v>1.1213000000000001E-2</v>
      </c>
      <c r="O12" s="52">
        <v>0</v>
      </c>
      <c r="P12" s="33">
        <v>0</v>
      </c>
      <c r="Q12" s="33">
        <v>0</v>
      </c>
      <c r="R12" s="33" t="s">
        <v>608</v>
      </c>
      <c r="S12" s="33" t="str">
        <f t="shared" si="0"/>
        <v>Fix 4 broken links (See Link Inventory tab for details).</v>
      </c>
      <c r="T12" s="33" t="s">
        <v>600</v>
      </c>
      <c r="U12" s="41" t="str">
        <f>IFERROR(HYPERLINK("#'Main'!B"&amp;MATCH(TRIM(A12),Main!B:B,0),"Open"),HYPERLINK("#'Main'!B1","Open"))</f>
        <v>Open</v>
      </c>
      <c r="V12" s="41"/>
    </row>
    <row r="13" spans="1:22" ht="120" customHeight="1" x14ac:dyDescent="0.25">
      <c r="A13" s="51" t="s">
        <v>212</v>
      </c>
      <c r="B13" s="42" t="s">
        <v>355</v>
      </c>
      <c r="C13" s="44"/>
      <c r="D13" s="42"/>
      <c r="E13" s="42"/>
      <c r="F13" s="42"/>
      <c r="G13" s="42">
        <v>19</v>
      </c>
      <c r="H13" s="42">
        <f>COUNTIFS('Link Inventory'!$A:$A,$A13,'Link Inventory'!$E:$E,"Internal",'Link Inventory'!$F:$F,404)+COUNTIFS('Link Inventory'!$A:$A,$A13,'Link Inventory'!$E:$E,"Internal",'Link Inventory'!$F:$F,"404")</f>
        <v>4</v>
      </c>
      <c r="I13" s="42">
        <v>0</v>
      </c>
      <c r="J13" s="42">
        <v>2</v>
      </c>
      <c r="K13" s="42">
        <v>0</v>
      </c>
      <c r="L13" s="46" t="b">
        <v>1</v>
      </c>
      <c r="M13" s="42">
        <v>0</v>
      </c>
      <c r="N13" s="42">
        <v>1.1213000000000001E-2</v>
      </c>
      <c r="O13" s="52">
        <v>0</v>
      </c>
      <c r="P13" s="42">
        <v>0</v>
      </c>
      <c r="Q13" s="42">
        <v>0</v>
      </c>
      <c r="R13" s="42" t="s">
        <v>607</v>
      </c>
      <c r="S13" s="42" t="str">
        <f t="shared" si="0"/>
        <v>Fix 4 broken links (See Link Inventory tab for details).</v>
      </c>
      <c r="T13" s="42" t="s">
        <v>600</v>
      </c>
      <c r="U13" t="str">
        <f>IFERROR(HYPERLINK("#'Main'!B"&amp;MATCH(TRIM(A13),Main!B:B,0),"Open"),HYPERLINK("#'Main'!B1","Open"))</f>
        <v>Open</v>
      </c>
    </row>
    <row r="14" spans="1:22" ht="120" customHeight="1" x14ac:dyDescent="0.25">
      <c r="A14" s="50" t="s">
        <v>213</v>
      </c>
      <c r="B14" s="33" t="s">
        <v>355</v>
      </c>
      <c r="C14" s="37"/>
      <c r="D14" s="33"/>
      <c r="E14" s="33"/>
      <c r="F14" s="33"/>
      <c r="G14" s="33">
        <v>22</v>
      </c>
      <c r="H14" s="33">
        <f>COUNTIFS('Link Inventory'!$A:$A,$A14,'Link Inventory'!$E:$E,"Internal",'Link Inventory'!$F:$F,404)+COUNTIFS('Link Inventory'!$A:$A,$A14,'Link Inventory'!$E:$E,"Internal",'Link Inventory'!$F:$F,"404")</f>
        <v>8</v>
      </c>
      <c r="I14" s="33">
        <v>0</v>
      </c>
      <c r="J14" s="33">
        <v>3</v>
      </c>
      <c r="K14" s="33">
        <v>0</v>
      </c>
      <c r="L14" s="40" t="b">
        <v>1</v>
      </c>
      <c r="M14" s="33">
        <v>0</v>
      </c>
      <c r="N14" s="33">
        <v>1.1213000000000001E-2</v>
      </c>
      <c r="O14" s="52">
        <v>0</v>
      </c>
      <c r="P14" s="33">
        <v>0</v>
      </c>
      <c r="Q14" s="33">
        <v>0</v>
      </c>
      <c r="R14" s="33" t="s">
        <v>609</v>
      </c>
      <c r="S14" s="33" t="str">
        <f t="shared" si="0"/>
        <v>Fix 8 broken links (See Link Inventory tab for details).</v>
      </c>
      <c r="T14" s="33" t="s">
        <v>600</v>
      </c>
      <c r="U14" s="41" t="str">
        <f>IFERROR(HYPERLINK("#'Main'!B"&amp;MATCH(TRIM(A14),Main!B:B,0),"Open"),HYPERLINK("#'Main'!B1","Open"))</f>
        <v>Open</v>
      </c>
      <c r="V14" s="41"/>
    </row>
    <row r="15" spans="1:22" ht="120" customHeight="1" x14ac:dyDescent="0.25">
      <c r="A15" s="51" t="s">
        <v>214</v>
      </c>
      <c r="B15" s="42" t="s">
        <v>355</v>
      </c>
      <c r="C15" s="44"/>
      <c r="D15" s="42"/>
      <c r="E15" s="42"/>
      <c r="F15" s="42"/>
      <c r="G15" s="42">
        <v>617</v>
      </c>
      <c r="H15" s="42">
        <f>COUNTIFS('Link Inventory'!$A:$A,$A15,'Link Inventory'!$E:$E,"Internal",'Link Inventory'!$F:$F,404)+COUNTIFS('Link Inventory'!$A:$A,$A15,'Link Inventory'!$E:$E,"Internal",'Link Inventory'!$F:$F,"404")</f>
        <v>4</v>
      </c>
      <c r="I15" s="42">
        <v>0</v>
      </c>
      <c r="J15" s="42">
        <v>2</v>
      </c>
      <c r="K15" s="42">
        <v>9</v>
      </c>
      <c r="L15" s="46" t="b">
        <v>0</v>
      </c>
      <c r="M15" s="42">
        <v>0</v>
      </c>
      <c r="N15" s="42">
        <v>6.7784999999999998E-2</v>
      </c>
      <c r="O15" s="52">
        <v>0</v>
      </c>
      <c r="P15" s="42">
        <v>0</v>
      </c>
      <c r="Q15" s="42">
        <v>0</v>
      </c>
      <c r="R15" s="42" t="s">
        <v>610</v>
      </c>
      <c r="S15" s="42" t="str">
        <f t="shared" si="0"/>
        <v>Fix 4 broken links (See Link Inventory tab for details).</v>
      </c>
      <c r="T15" s="42" t="s">
        <v>600</v>
      </c>
      <c r="U15" t="str">
        <f>IFERROR(HYPERLINK("#'Main'!B"&amp;MATCH(TRIM(A15),Main!B:B,0),"Open"),HYPERLINK("#'Main'!B1","Open"))</f>
        <v>Open</v>
      </c>
    </row>
    <row r="16" spans="1:22" ht="120" customHeight="1" x14ac:dyDescent="0.25">
      <c r="A16" s="50" t="s">
        <v>215</v>
      </c>
      <c r="B16" s="33" t="s">
        <v>355</v>
      </c>
      <c r="C16" s="37"/>
      <c r="D16" s="33"/>
      <c r="E16" s="33"/>
      <c r="F16" s="33"/>
      <c r="G16" s="33">
        <v>19</v>
      </c>
      <c r="H16" s="33">
        <f>COUNTIFS('Link Inventory'!$A:$A,$A16,'Link Inventory'!$E:$E,"Internal",'Link Inventory'!$F:$F,404)+COUNTIFS('Link Inventory'!$A:$A,$A16,'Link Inventory'!$E:$E,"Internal",'Link Inventory'!$F:$F,"404")</f>
        <v>4</v>
      </c>
      <c r="I16" s="33">
        <v>0</v>
      </c>
      <c r="J16" s="33">
        <v>12</v>
      </c>
      <c r="K16" s="33">
        <v>8</v>
      </c>
      <c r="L16" s="40" t="b">
        <v>0</v>
      </c>
      <c r="M16" s="33">
        <v>0</v>
      </c>
      <c r="N16" s="33">
        <v>5.2818999999999998E-2</v>
      </c>
      <c r="O16" s="52">
        <v>0</v>
      </c>
      <c r="P16" s="33">
        <v>0</v>
      </c>
      <c r="Q16" s="33">
        <v>0</v>
      </c>
      <c r="R16" s="33" t="s">
        <v>607</v>
      </c>
      <c r="S16" s="33" t="str">
        <f t="shared" si="0"/>
        <v>Fix 4 broken links (See Link Inventory tab for details).</v>
      </c>
      <c r="T16" s="33" t="s">
        <v>600</v>
      </c>
      <c r="U16" s="41" t="str">
        <f>IFERROR(HYPERLINK("#'Main'!B"&amp;MATCH(TRIM(A16),Main!B:B,0),"Open"),HYPERLINK("#'Main'!B1","Open"))</f>
        <v>Open</v>
      </c>
      <c r="V16" s="41"/>
    </row>
    <row r="17" spans="1:22" ht="120" customHeight="1" x14ac:dyDescent="0.25">
      <c r="A17" s="51" t="s">
        <v>216</v>
      </c>
      <c r="B17" s="42" t="s">
        <v>355</v>
      </c>
      <c r="C17" s="44"/>
      <c r="D17" s="42"/>
      <c r="E17" s="42"/>
      <c r="F17" s="42"/>
      <c r="G17" s="42">
        <v>25</v>
      </c>
      <c r="H17" s="42">
        <f>COUNTIFS('Link Inventory'!$A:$A,$A17,'Link Inventory'!$E:$E,"Internal",'Link Inventory'!$F:$F,404)+COUNTIFS('Link Inventory'!$A:$A,$A17,'Link Inventory'!$E:$E,"Internal",'Link Inventory'!$F:$F,"404")</f>
        <v>4</v>
      </c>
      <c r="I17" s="42">
        <v>0</v>
      </c>
      <c r="J17" s="42">
        <v>18</v>
      </c>
      <c r="K17" s="42">
        <v>0</v>
      </c>
      <c r="L17" s="46" t="b">
        <v>1</v>
      </c>
      <c r="M17" s="42">
        <v>0</v>
      </c>
      <c r="N17" s="42">
        <v>1.1213000000000001E-2</v>
      </c>
      <c r="O17" s="52">
        <v>0</v>
      </c>
      <c r="P17" s="42">
        <v>0</v>
      </c>
      <c r="Q17" s="42">
        <v>0</v>
      </c>
      <c r="R17" s="42" t="s">
        <v>611</v>
      </c>
      <c r="S17" s="42" t="str">
        <f t="shared" si="0"/>
        <v>Fix 4 broken links (See Link Inventory tab for details).</v>
      </c>
      <c r="T17" s="42" t="s">
        <v>600</v>
      </c>
      <c r="U17" t="str">
        <f>IFERROR(HYPERLINK("#'Main'!B"&amp;MATCH(TRIM(A17),Main!B:B,0),"Open"),HYPERLINK("#'Main'!B1","Open"))</f>
        <v>Open</v>
      </c>
    </row>
    <row r="18" spans="1:22" ht="120" customHeight="1" x14ac:dyDescent="0.25">
      <c r="A18" s="50" t="s">
        <v>217</v>
      </c>
      <c r="B18" s="33" t="s">
        <v>355</v>
      </c>
      <c r="C18" s="37"/>
      <c r="D18" s="33"/>
      <c r="E18" s="33"/>
      <c r="F18" s="33"/>
      <c r="G18" s="33">
        <v>28</v>
      </c>
      <c r="H18" s="33">
        <f>COUNTIFS('Link Inventory'!$A:$A,$A18,'Link Inventory'!$E:$E,"Internal",'Link Inventory'!$F:$F,404)+COUNTIFS('Link Inventory'!$A:$A,$A18,'Link Inventory'!$E:$E,"Internal",'Link Inventory'!$F:$F,"404")</f>
        <v>4</v>
      </c>
      <c r="I18" s="33">
        <v>0</v>
      </c>
      <c r="J18" s="33">
        <v>2</v>
      </c>
      <c r="K18" s="33">
        <v>9</v>
      </c>
      <c r="L18" s="40" t="b">
        <v>0</v>
      </c>
      <c r="M18" s="33">
        <v>0</v>
      </c>
      <c r="N18" s="33">
        <v>6.7784999999999998E-2</v>
      </c>
      <c r="O18" s="52">
        <v>0</v>
      </c>
      <c r="P18" s="33">
        <v>0</v>
      </c>
      <c r="Q18" s="33">
        <v>0</v>
      </c>
      <c r="R18" s="33" t="s">
        <v>612</v>
      </c>
      <c r="S18" s="33" t="str">
        <f t="shared" si="0"/>
        <v>Fix 4 broken links (See Link Inventory tab for details).</v>
      </c>
      <c r="T18" s="33" t="s">
        <v>600</v>
      </c>
      <c r="U18" s="41" t="str">
        <f>IFERROR(HYPERLINK("#'Main'!B"&amp;MATCH(TRIM(A18),Main!B:B,0),"Open"),HYPERLINK("#'Main'!B1","Open"))</f>
        <v>Open</v>
      </c>
      <c r="V18" s="41"/>
    </row>
    <row r="19" spans="1:22" ht="120" customHeight="1" x14ac:dyDescent="0.25">
      <c r="A19" s="51" t="s">
        <v>219</v>
      </c>
      <c r="B19" s="42" t="s">
        <v>355</v>
      </c>
      <c r="C19" s="44"/>
      <c r="D19" s="42"/>
      <c r="E19" s="42"/>
      <c r="F19" s="42"/>
      <c r="G19" s="42">
        <v>19</v>
      </c>
      <c r="H19" s="42">
        <f>COUNTIFS('Link Inventory'!$A:$A,$A19,'Link Inventory'!$E:$E,"Internal",'Link Inventory'!$F:$F,404)+COUNTIFS('Link Inventory'!$A:$A,$A19,'Link Inventory'!$E:$E,"Internal",'Link Inventory'!$F:$F,"404")</f>
        <v>4</v>
      </c>
      <c r="I19" s="42">
        <v>0</v>
      </c>
      <c r="J19" s="42">
        <v>2</v>
      </c>
      <c r="K19" s="42">
        <v>9</v>
      </c>
      <c r="L19" s="46" t="b">
        <v>0</v>
      </c>
      <c r="M19" s="42">
        <v>0</v>
      </c>
      <c r="N19" s="42">
        <v>6.7784999999999998E-2</v>
      </c>
      <c r="O19" s="52">
        <v>0</v>
      </c>
      <c r="P19" s="42">
        <v>0</v>
      </c>
      <c r="Q19" s="42">
        <v>0</v>
      </c>
      <c r="R19" s="42" t="s">
        <v>607</v>
      </c>
      <c r="S19" s="42" t="str">
        <f t="shared" si="0"/>
        <v>Fix 4 broken links (See Link Inventory tab for details).</v>
      </c>
      <c r="T19" s="42" t="s">
        <v>600</v>
      </c>
      <c r="U19" t="str">
        <f>IFERROR(HYPERLINK("#'Main'!B"&amp;MATCH(TRIM(A19),Main!B:B,0),"Open"),HYPERLINK("#'Main'!B1","Open"))</f>
        <v>Open</v>
      </c>
    </row>
    <row r="20" spans="1:22" ht="120" customHeight="1" x14ac:dyDescent="0.25">
      <c r="A20" s="50" t="s">
        <v>218</v>
      </c>
      <c r="B20" s="33" t="s">
        <v>355</v>
      </c>
      <c r="C20" s="37"/>
      <c r="D20" s="33"/>
      <c r="E20" s="33"/>
      <c r="F20" s="33"/>
      <c r="G20" s="33">
        <v>26</v>
      </c>
      <c r="H20" s="33">
        <f>COUNTIFS('Link Inventory'!$A:$A,$A20,'Link Inventory'!$E:$E,"Internal",'Link Inventory'!$F:$F,404)+COUNTIFS('Link Inventory'!$A:$A,$A20,'Link Inventory'!$E:$E,"Internal",'Link Inventory'!$F:$F,"404")</f>
        <v>8</v>
      </c>
      <c r="I20" s="33">
        <v>0</v>
      </c>
      <c r="J20" s="33">
        <v>4</v>
      </c>
      <c r="K20" s="33">
        <v>0</v>
      </c>
      <c r="L20" s="40" t="b">
        <v>1</v>
      </c>
      <c r="M20" s="33">
        <v>0</v>
      </c>
      <c r="N20" s="33">
        <v>1.1213000000000001E-2</v>
      </c>
      <c r="O20" s="52">
        <v>0</v>
      </c>
      <c r="P20" s="33">
        <v>0</v>
      </c>
      <c r="Q20" s="33">
        <v>0</v>
      </c>
      <c r="R20" s="33" t="s">
        <v>613</v>
      </c>
      <c r="S20" s="33" t="str">
        <f t="shared" si="0"/>
        <v>Fix 8 broken links (See Link Inventory tab for details).</v>
      </c>
      <c r="T20" s="33" t="s">
        <v>600</v>
      </c>
      <c r="U20" s="41" t="str">
        <f>IFERROR(HYPERLINK("#'Main'!B"&amp;MATCH(TRIM(A20),Main!B:B,0),"Open"),HYPERLINK("#'Main'!B1","Open"))</f>
        <v>Open</v>
      </c>
      <c r="V20" s="41"/>
    </row>
    <row r="21" spans="1:22" ht="120" customHeight="1" x14ac:dyDescent="0.25">
      <c r="A21" s="51" t="s">
        <v>189</v>
      </c>
      <c r="B21" s="42" t="s">
        <v>355</v>
      </c>
      <c r="C21" s="44"/>
      <c r="D21" s="42"/>
      <c r="E21" s="42"/>
      <c r="F21" s="42"/>
      <c r="G21" s="42">
        <v>16</v>
      </c>
      <c r="H21" s="42">
        <f>COUNTIFS('Link Inventory'!$A:$A,$A21,'Link Inventory'!$E:$E,"Internal",'Link Inventory'!$F:$F,404)+COUNTIFS('Link Inventory'!$A:$A,$A21,'Link Inventory'!$E:$E,"Internal",'Link Inventory'!$F:$F,"404")</f>
        <v>4</v>
      </c>
      <c r="I21" s="42">
        <v>0</v>
      </c>
      <c r="J21" s="42">
        <v>49</v>
      </c>
      <c r="K21" s="42">
        <v>1</v>
      </c>
      <c r="L21" s="46" t="b">
        <v>0</v>
      </c>
      <c r="M21" s="42">
        <v>2</v>
      </c>
      <c r="N21" s="42">
        <v>4.2515999999999998E-2</v>
      </c>
      <c r="O21" s="52">
        <v>0</v>
      </c>
      <c r="P21" s="42">
        <v>0</v>
      </c>
      <c r="Q21" s="42">
        <v>0</v>
      </c>
      <c r="R21" s="42" t="s">
        <v>599</v>
      </c>
      <c r="S21" s="42" t="str">
        <f t="shared" si="0"/>
        <v>Fix 4 broken links (See Link Inventory tab for details).</v>
      </c>
      <c r="T21" s="42" t="s">
        <v>600</v>
      </c>
      <c r="U21" t="str">
        <f>IFERROR(HYPERLINK("#'Main'!B"&amp;MATCH(TRIM(A21),Main!B:B,0),"Open"),HYPERLINK("#'Main'!B1","Open"))</f>
        <v>Open</v>
      </c>
    </row>
    <row r="22" spans="1:22" ht="30" customHeight="1" x14ac:dyDescent="0.25">
      <c r="A22" s="50" t="s">
        <v>146</v>
      </c>
      <c r="B22" s="33" t="s">
        <v>614</v>
      </c>
      <c r="C22" s="37" t="s">
        <v>615</v>
      </c>
      <c r="D22" s="33"/>
      <c r="E22" s="52">
        <v>200</v>
      </c>
      <c r="F22" s="33" t="b">
        <v>1</v>
      </c>
      <c r="G22" s="33">
        <v>0</v>
      </c>
      <c r="H22" s="52">
        <v>0</v>
      </c>
      <c r="I22" s="33">
        <v>0</v>
      </c>
      <c r="J22" s="33">
        <v>0</v>
      </c>
      <c r="K22" s="33">
        <v>0</v>
      </c>
      <c r="L22" s="40" t="b">
        <v>0</v>
      </c>
      <c r="M22" s="33">
        <v>0</v>
      </c>
      <c r="N22" s="33">
        <v>0</v>
      </c>
      <c r="O22" s="52">
        <v>0</v>
      </c>
      <c r="P22" s="33">
        <v>0</v>
      </c>
      <c r="Q22" s="33">
        <v>0</v>
      </c>
      <c r="R22" s="33"/>
      <c r="S22" s="33"/>
      <c r="T22" s="33" t="s">
        <v>616</v>
      </c>
      <c r="U22" s="41" t="str">
        <f>IFERROR(HYPERLINK("#'Main'!B"&amp;MATCH(TRIM(A22),Main!B:B,0),"Open"),HYPERLINK("#'Main'!B1","Open"))</f>
        <v>Open</v>
      </c>
      <c r="V22" s="41"/>
    </row>
    <row r="23" spans="1:22" ht="30" customHeight="1" x14ac:dyDescent="0.25">
      <c r="A23" s="51" t="s">
        <v>146</v>
      </c>
      <c r="B23" s="42" t="s">
        <v>614</v>
      </c>
      <c r="C23" s="44" t="s">
        <v>617</v>
      </c>
      <c r="D23" s="42" t="s">
        <v>618</v>
      </c>
      <c r="E23" s="52">
        <v>200</v>
      </c>
      <c r="F23" s="42" t="b">
        <v>1</v>
      </c>
      <c r="G23" s="42">
        <v>0</v>
      </c>
      <c r="H23" s="52">
        <v>0</v>
      </c>
      <c r="I23" s="42">
        <v>0</v>
      </c>
      <c r="J23" s="42">
        <v>0</v>
      </c>
      <c r="K23" s="42">
        <v>0</v>
      </c>
      <c r="L23" s="46" t="b">
        <v>0</v>
      </c>
      <c r="M23" s="42">
        <v>0</v>
      </c>
      <c r="N23" s="42">
        <v>0</v>
      </c>
      <c r="O23" s="52">
        <v>0</v>
      </c>
      <c r="P23" s="42">
        <v>0</v>
      </c>
      <c r="Q23" s="42">
        <v>0</v>
      </c>
      <c r="R23" s="42"/>
      <c r="S23" s="42"/>
      <c r="T23" s="42" t="s">
        <v>616</v>
      </c>
      <c r="U23" t="str">
        <f>IFERROR(HYPERLINK("#'Main'!B"&amp;MATCH(TRIM(A23),Main!B:B,0),"Open"),HYPERLINK("#'Main'!B1","Open"))</f>
        <v>Open</v>
      </c>
    </row>
    <row r="24" spans="1:22" ht="30" customHeight="1" x14ac:dyDescent="0.25">
      <c r="A24" s="50" t="s">
        <v>146</v>
      </c>
      <c r="B24" s="33" t="s">
        <v>614</v>
      </c>
      <c r="C24" s="37" t="s">
        <v>619</v>
      </c>
      <c r="D24" s="33" t="s">
        <v>620</v>
      </c>
      <c r="E24" s="52">
        <v>200</v>
      </c>
      <c r="F24" s="33" t="b">
        <v>1</v>
      </c>
      <c r="G24" s="33">
        <v>0</v>
      </c>
      <c r="H24" s="52">
        <v>0</v>
      </c>
      <c r="I24" s="33">
        <v>0</v>
      </c>
      <c r="J24" s="33">
        <v>0</v>
      </c>
      <c r="K24" s="33">
        <v>0</v>
      </c>
      <c r="L24" s="40" t="b">
        <v>0</v>
      </c>
      <c r="M24" s="33">
        <v>0</v>
      </c>
      <c r="N24" s="33">
        <v>0</v>
      </c>
      <c r="O24" s="52">
        <v>0</v>
      </c>
      <c r="P24" s="33">
        <v>0</v>
      </c>
      <c r="Q24" s="33">
        <v>0</v>
      </c>
      <c r="R24" s="33"/>
      <c r="S24" s="33"/>
      <c r="T24" s="33" t="s">
        <v>616</v>
      </c>
      <c r="U24" s="41" t="str">
        <f>IFERROR(HYPERLINK("#'Main'!B"&amp;MATCH(TRIM(A24),Main!B:B,0),"Open"),HYPERLINK("#'Main'!B1","Open"))</f>
        <v>Open</v>
      </c>
      <c r="V24" s="41"/>
    </row>
    <row r="25" spans="1:22" ht="30" customHeight="1" x14ac:dyDescent="0.25">
      <c r="A25" s="51" t="s">
        <v>146</v>
      </c>
      <c r="B25" s="42" t="s">
        <v>614</v>
      </c>
      <c r="C25" s="44" t="s">
        <v>621</v>
      </c>
      <c r="D25" s="42" t="s">
        <v>622</v>
      </c>
      <c r="E25" s="52">
        <v>200</v>
      </c>
      <c r="F25" s="42" t="b">
        <v>1</v>
      </c>
      <c r="G25" s="42">
        <v>0</v>
      </c>
      <c r="H25" s="52">
        <v>0</v>
      </c>
      <c r="I25" s="42">
        <v>0</v>
      </c>
      <c r="J25" s="42">
        <v>0</v>
      </c>
      <c r="K25" s="42">
        <v>0</v>
      </c>
      <c r="L25" s="46" t="b">
        <v>0</v>
      </c>
      <c r="M25" s="42">
        <v>0</v>
      </c>
      <c r="N25" s="42">
        <v>0</v>
      </c>
      <c r="O25" s="52">
        <v>0</v>
      </c>
      <c r="P25" s="42">
        <v>0</v>
      </c>
      <c r="Q25" s="42">
        <v>0</v>
      </c>
      <c r="R25" s="42"/>
      <c r="S25" s="42"/>
      <c r="T25" s="42" t="s">
        <v>616</v>
      </c>
      <c r="U25" t="str">
        <f>IFERROR(HYPERLINK("#'Main'!B"&amp;MATCH(TRIM(A25),Main!B:B,0),"Open"),HYPERLINK("#'Main'!B1","Open"))</f>
        <v>Open</v>
      </c>
    </row>
    <row r="26" spans="1:22" ht="30" customHeight="1" x14ac:dyDescent="0.25">
      <c r="A26" s="50" t="s">
        <v>146</v>
      </c>
      <c r="B26" s="33" t="s">
        <v>614</v>
      </c>
      <c r="C26" s="37" t="s">
        <v>623</v>
      </c>
      <c r="D26" s="33" t="s">
        <v>624</v>
      </c>
      <c r="E26" s="52">
        <v>200</v>
      </c>
      <c r="F26" s="33" t="b">
        <v>1</v>
      </c>
      <c r="G26" s="33">
        <v>0</v>
      </c>
      <c r="H26" s="52">
        <v>0</v>
      </c>
      <c r="I26" s="33">
        <v>0</v>
      </c>
      <c r="J26" s="33">
        <v>0</v>
      </c>
      <c r="K26" s="33">
        <v>0</v>
      </c>
      <c r="L26" s="40" t="b">
        <v>0</v>
      </c>
      <c r="M26" s="33">
        <v>0</v>
      </c>
      <c r="N26" s="33">
        <v>0</v>
      </c>
      <c r="O26" s="52">
        <v>0</v>
      </c>
      <c r="P26" s="33">
        <v>0</v>
      </c>
      <c r="Q26" s="33">
        <v>0</v>
      </c>
      <c r="R26" s="33"/>
      <c r="S26" s="33"/>
      <c r="T26" s="33" t="s">
        <v>616</v>
      </c>
      <c r="U26" s="41" t="str">
        <f>IFERROR(HYPERLINK("#'Main'!B"&amp;MATCH(TRIM(A26),Main!B:B,0),"Open"),HYPERLINK("#'Main'!B1","Open"))</f>
        <v>Open</v>
      </c>
      <c r="V26" s="41"/>
    </row>
    <row r="27" spans="1:22" ht="30" customHeight="1" x14ac:dyDescent="0.25">
      <c r="A27" s="51" t="s">
        <v>146</v>
      </c>
      <c r="B27" s="42" t="s">
        <v>614</v>
      </c>
      <c r="C27" s="44" t="s">
        <v>625</v>
      </c>
      <c r="D27" s="42" t="s">
        <v>626</v>
      </c>
      <c r="E27" s="52">
        <v>200</v>
      </c>
      <c r="F27" s="42" t="b">
        <v>1</v>
      </c>
      <c r="G27" s="42">
        <v>0</v>
      </c>
      <c r="H27" s="52">
        <v>0</v>
      </c>
      <c r="I27" s="42">
        <v>0</v>
      </c>
      <c r="J27" s="42">
        <v>0</v>
      </c>
      <c r="K27" s="42">
        <v>0</v>
      </c>
      <c r="L27" s="46" t="b">
        <v>0</v>
      </c>
      <c r="M27" s="42">
        <v>0</v>
      </c>
      <c r="N27" s="42">
        <v>0</v>
      </c>
      <c r="O27" s="52">
        <v>0</v>
      </c>
      <c r="P27" s="42">
        <v>0</v>
      </c>
      <c r="Q27" s="42">
        <v>0</v>
      </c>
      <c r="R27" s="42"/>
      <c r="S27" s="42"/>
      <c r="T27" s="42" t="s">
        <v>616</v>
      </c>
      <c r="U27" t="str">
        <f>IFERROR(HYPERLINK("#'Main'!B"&amp;MATCH(TRIM(A27),Main!B:B,0),"Open"),HYPERLINK("#'Main'!B1","Open"))</f>
        <v>Open</v>
      </c>
    </row>
    <row r="28" spans="1:22" ht="30" customHeight="1" x14ac:dyDescent="0.25">
      <c r="A28" s="50" t="s">
        <v>146</v>
      </c>
      <c r="B28" s="33" t="s">
        <v>614</v>
      </c>
      <c r="C28" s="37" t="s">
        <v>627</v>
      </c>
      <c r="D28" s="33" t="s">
        <v>628</v>
      </c>
      <c r="E28" s="52">
        <v>200</v>
      </c>
      <c r="F28" s="33" t="b">
        <v>1</v>
      </c>
      <c r="G28" s="33">
        <v>0</v>
      </c>
      <c r="H28" s="52">
        <v>0</v>
      </c>
      <c r="I28" s="33">
        <v>0</v>
      </c>
      <c r="J28" s="33">
        <v>0</v>
      </c>
      <c r="K28" s="33">
        <v>0</v>
      </c>
      <c r="L28" s="40" t="b">
        <v>0</v>
      </c>
      <c r="M28" s="33">
        <v>0</v>
      </c>
      <c r="N28" s="33">
        <v>0</v>
      </c>
      <c r="O28" s="52">
        <v>0</v>
      </c>
      <c r="P28" s="33">
        <v>0</v>
      </c>
      <c r="Q28" s="33">
        <v>0</v>
      </c>
      <c r="R28" s="33"/>
      <c r="S28" s="33"/>
      <c r="T28" s="33" t="s">
        <v>616</v>
      </c>
      <c r="U28" s="41" t="str">
        <f>IFERROR(HYPERLINK("#'Main'!B"&amp;MATCH(TRIM(A28),Main!B:B,0),"Open"),HYPERLINK("#'Main'!B1","Open"))</f>
        <v>Open</v>
      </c>
      <c r="V28" s="41"/>
    </row>
    <row r="29" spans="1:22" ht="30" customHeight="1" x14ac:dyDescent="0.25">
      <c r="A29" s="51" t="s">
        <v>146</v>
      </c>
      <c r="B29" s="42" t="s">
        <v>614</v>
      </c>
      <c r="C29" s="44" t="s">
        <v>617</v>
      </c>
      <c r="D29" s="42" t="s">
        <v>618</v>
      </c>
      <c r="E29" s="52">
        <v>200</v>
      </c>
      <c r="F29" s="42" t="b">
        <v>1</v>
      </c>
      <c r="G29" s="42">
        <v>0</v>
      </c>
      <c r="H29" s="52">
        <v>0</v>
      </c>
      <c r="I29" s="42">
        <v>0</v>
      </c>
      <c r="J29" s="42">
        <v>0</v>
      </c>
      <c r="K29" s="42">
        <v>0</v>
      </c>
      <c r="L29" s="46" t="b">
        <v>0</v>
      </c>
      <c r="M29" s="42">
        <v>0</v>
      </c>
      <c r="N29" s="42">
        <v>0</v>
      </c>
      <c r="O29" s="52">
        <v>0</v>
      </c>
      <c r="P29" s="42">
        <v>0</v>
      </c>
      <c r="Q29" s="42">
        <v>0</v>
      </c>
      <c r="R29" s="42"/>
      <c r="S29" s="42"/>
      <c r="T29" s="42" t="s">
        <v>616</v>
      </c>
      <c r="U29" t="str">
        <f>IFERROR(HYPERLINK("#'Main'!B"&amp;MATCH(TRIM(A29),Main!B:B,0),"Open"),HYPERLINK("#'Main'!B1","Open"))</f>
        <v>Open</v>
      </c>
    </row>
    <row r="30" spans="1:22" ht="30" customHeight="1" x14ac:dyDescent="0.25">
      <c r="A30" s="50" t="s">
        <v>146</v>
      </c>
      <c r="B30" s="33" t="s">
        <v>614</v>
      </c>
      <c r="C30" s="37" t="s">
        <v>619</v>
      </c>
      <c r="D30" s="33" t="s">
        <v>620</v>
      </c>
      <c r="E30" s="52">
        <v>200</v>
      </c>
      <c r="F30" s="33" t="b">
        <v>1</v>
      </c>
      <c r="G30" s="33">
        <v>0</v>
      </c>
      <c r="H30" s="52">
        <v>0</v>
      </c>
      <c r="I30" s="33">
        <v>0</v>
      </c>
      <c r="J30" s="33">
        <v>0</v>
      </c>
      <c r="K30" s="33">
        <v>0</v>
      </c>
      <c r="L30" s="40" t="b">
        <v>0</v>
      </c>
      <c r="M30" s="33">
        <v>0</v>
      </c>
      <c r="N30" s="33">
        <v>0</v>
      </c>
      <c r="O30" s="52">
        <v>0</v>
      </c>
      <c r="P30" s="33">
        <v>0</v>
      </c>
      <c r="Q30" s="33">
        <v>0</v>
      </c>
      <c r="R30" s="33"/>
      <c r="S30" s="33"/>
      <c r="T30" s="33" t="s">
        <v>616</v>
      </c>
      <c r="U30" s="41" t="str">
        <f>IFERROR(HYPERLINK("#'Main'!B"&amp;MATCH(TRIM(A30),Main!B:B,0),"Open"),HYPERLINK("#'Main'!B1","Open"))</f>
        <v>Open</v>
      </c>
      <c r="V30" s="41"/>
    </row>
    <row r="31" spans="1:22" ht="30" customHeight="1" x14ac:dyDescent="0.25">
      <c r="A31" s="51" t="s">
        <v>146</v>
      </c>
      <c r="B31" s="42" t="s">
        <v>614</v>
      </c>
      <c r="C31" s="44" t="s">
        <v>621</v>
      </c>
      <c r="D31" s="42" t="s">
        <v>622</v>
      </c>
      <c r="E31" s="52">
        <v>200</v>
      </c>
      <c r="F31" s="42" t="b">
        <v>1</v>
      </c>
      <c r="G31" s="42">
        <v>0</v>
      </c>
      <c r="H31" s="52">
        <v>0</v>
      </c>
      <c r="I31" s="42">
        <v>0</v>
      </c>
      <c r="J31" s="42">
        <v>0</v>
      </c>
      <c r="K31" s="42">
        <v>0</v>
      </c>
      <c r="L31" s="46" t="b">
        <v>0</v>
      </c>
      <c r="M31" s="42">
        <v>0</v>
      </c>
      <c r="N31" s="42">
        <v>0</v>
      </c>
      <c r="O31" s="52">
        <v>0</v>
      </c>
      <c r="P31" s="42">
        <v>0</v>
      </c>
      <c r="Q31" s="42">
        <v>0</v>
      </c>
      <c r="R31" s="42"/>
      <c r="S31" s="42"/>
      <c r="T31" s="42" t="s">
        <v>616</v>
      </c>
      <c r="U31" t="str">
        <f>IFERROR(HYPERLINK("#'Main'!B"&amp;MATCH(TRIM(A31),Main!B:B,0),"Open"),HYPERLINK("#'Main'!B1","Open"))</f>
        <v>Open</v>
      </c>
    </row>
    <row r="32" spans="1:22" ht="30" customHeight="1" x14ac:dyDescent="0.25">
      <c r="A32" s="50" t="s">
        <v>146</v>
      </c>
      <c r="B32" s="33" t="s">
        <v>614</v>
      </c>
      <c r="C32" s="37" t="s">
        <v>623</v>
      </c>
      <c r="D32" s="33" t="s">
        <v>624</v>
      </c>
      <c r="E32" s="52">
        <v>200</v>
      </c>
      <c r="F32" s="33" t="b">
        <v>1</v>
      </c>
      <c r="G32" s="33">
        <v>0</v>
      </c>
      <c r="H32" s="52">
        <v>0</v>
      </c>
      <c r="I32" s="33">
        <v>0</v>
      </c>
      <c r="J32" s="33">
        <v>0</v>
      </c>
      <c r="K32" s="33">
        <v>0</v>
      </c>
      <c r="L32" s="40" t="b">
        <v>0</v>
      </c>
      <c r="M32" s="33">
        <v>0</v>
      </c>
      <c r="N32" s="33">
        <v>0</v>
      </c>
      <c r="O32" s="52">
        <v>0</v>
      </c>
      <c r="P32" s="33">
        <v>0</v>
      </c>
      <c r="Q32" s="33">
        <v>0</v>
      </c>
      <c r="R32" s="33"/>
      <c r="S32" s="33"/>
      <c r="T32" s="33" t="s">
        <v>616</v>
      </c>
      <c r="U32" s="41" t="str">
        <f>IFERROR(HYPERLINK("#'Main'!B"&amp;MATCH(TRIM(A32),Main!B:B,0),"Open"),HYPERLINK("#'Main'!B1","Open"))</f>
        <v>Open</v>
      </c>
      <c r="V32" s="41"/>
    </row>
    <row r="33" spans="1:22" ht="30" customHeight="1" x14ac:dyDescent="0.25">
      <c r="A33" s="51" t="s">
        <v>146</v>
      </c>
      <c r="B33" s="42" t="s">
        <v>614</v>
      </c>
      <c r="C33" s="44" t="s">
        <v>625</v>
      </c>
      <c r="D33" s="42" t="s">
        <v>626</v>
      </c>
      <c r="E33" s="52">
        <v>200</v>
      </c>
      <c r="F33" s="42" t="b">
        <v>1</v>
      </c>
      <c r="G33" s="42">
        <v>0</v>
      </c>
      <c r="H33" s="52">
        <v>0</v>
      </c>
      <c r="I33" s="42">
        <v>0</v>
      </c>
      <c r="J33" s="42">
        <v>0</v>
      </c>
      <c r="K33" s="42">
        <v>0</v>
      </c>
      <c r="L33" s="46" t="b">
        <v>0</v>
      </c>
      <c r="M33" s="42">
        <v>0</v>
      </c>
      <c r="N33" s="42">
        <v>0</v>
      </c>
      <c r="O33" s="52">
        <v>0</v>
      </c>
      <c r="P33" s="42">
        <v>0</v>
      </c>
      <c r="Q33" s="42">
        <v>0</v>
      </c>
      <c r="R33" s="42"/>
      <c r="S33" s="42"/>
      <c r="T33" s="42" t="s">
        <v>616</v>
      </c>
      <c r="U33" t="str">
        <f>IFERROR(HYPERLINK("#'Main'!B"&amp;MATCH(TRIM(A33),Main!B:B,0),"Open"),HYPERLINK("#'Main'!B1","Open"))</f>
        <v>Open</v>
      </c>
    </row>
    <row r="34" spans="1:22" ht="30" customHeight="1" x14ac:dyDescent="0.25">
      <c r="A34" s="50" t="s">
        <v>146</v>
      </c>
      <c r="B34" s="33" t="s">
        <v>614</v>
      </c>
      <c r="C34" s="37" t="s">
        <v>627</v>
      </c>
      <c r="D34" s="33" t="s">
        <v>628</v>
      </c>
      <c r="E34" s="52">
        <v>200</v>
      </c>
      <c r="F34" s="33" t="b">
        <v>1</v>
      </c>
      <c r="G34" s="33">
        <v>0</v>
      </c>
      <c r="H34" s="52">
        <v>0</v>
      </c>
      <c r="I34" s="33">
        <v>0</v>
      </c>
      <c r="J34" s="33">
        <v>0</v>
      </c>
      <c r="K34" s="33">
        <v>0</v>
      </c>
      <c r="L34" s="40" t="b">
        <v>0</v>
      </c>
      <c r="M34" s="33">
        <v>0</v>
      </c>
      <c r="N34" s="33">
        <v>0</v>
      </c>
      <c r="O34" s="52">
        <v>0</v>
      </c>
      <c r="P34" s="33">
        <v>0</v>
      </c>
      <c r="Q34" s="33">
        <v>0</v>
      </c>
      <c r="R34" s="33"/>
      <c r="S34" s="33"/>
      <c r="T34" s="33" t="s">
        <v>616</v>
      </c>
      <c r="U34" s="41" t="str">
        <f>IFERROR(HYPERLINK("#'Main'!B"&amp;MATCH(TRIM(A34),Main!B:B,0),"Open"),HYPERLINK("#'Main'!B1","Open"))</f>
        <v>Open</v>
      </c>
      <c r="V34" s="41"/>
    </row>
    <row r="35" spans="1:22" ht="30" customHeight="1" x14ac:dyDescent="0.25">
      <c r="A35" s="51" t="s">
        <v>146</v>
      </c>
      <c r="B35" s="42" t="s">
        <v>614</v>
      </c>
      <c r="C35" s="44" t="s">
        <v>629</v>
      </c>
      <c r="D35" s="42" t="s">
        <v>630</v>
      </c>
      <c r="E35" s="52">
        <v>200</v>
      </c>
      <c r="F35" s="42" t="b">
        <v>1</v>
      </c>
      <c r="G35" s="42">
        <v>0</v>
      </c>
      <c r="H35" s="52">
        <v>0</v>
      </c>
      <c r="I35" s="42">
        <v>0</v>
      </c>
      <c r="J35" s="42">
        <v>0</v>
      </c>
      <c r="K35" s="42">
        <v>0</v>
      </c>
      <c r="L35" s="46" t="b">
        <v>0</v>
      </c>
      <c r="M35" s="42">
        <v>0</v>
      </c>
      <c r="N35" s="42">
        <v>0</v>
      </c>
      <c r="O35" s="52">
        <v>0</v>
      </c>
      <c r="P35" s="42">
        <v>0</v>
      </c>
      <c r="Q35" s="42">
        <v>0</v>
      </c>
      <c r="R35" s="42"/>
      <c r="S35" s="42"/>
      <c r="T35" s="42" t="s">
        <v>616</v>
      </c>
      <c r="U35" t="str">
        <f>IFERROR(HYPERLINK("#'Main'!B"&amp;MATCH(TRIM(A35),Main!B:B,0),"Open"),HYPERLINK("#'Main'!B1","Open"))</f>
        <v>Open</v>
      </c>
    </row>
    <row r="36" spans="1:22" ht="30" customHeight="1" x14ac:dyDescent="0.25">
      <c r="A36" s="50" t="s">
        <v>146</v>
      </c>
      <c r="B36" s="33" t="s">
        <v>614</v>
      </c>
      <c r="C36" s="37" t="s">
        <v>631</v>
      </c>
      <c r="D36" s="33"/>
      <c r="E36" s="52">
        <v>200</v>
      </c>
      <c r="F36" s="33" t="b">
        <v>1</v>
      </c>
      <c r="G36" s="33">
        <v>0</v>
      </c>
      <c r="H36" s="52">
        <v>0</v>
      </c>
      <c r="I36" s="33">
        <v>0</v>
      </c>
      <c r="J36" s="33">
        <v>0</v>
      </c>
      <c r="K36" s="33">
        <v>0</v>
      </c>
      <c r="L36" s="40" t="b">
        <v>0</v>
      </c>
      <c r="M36" s="33">
        <v>0</v>
      </c>
      <c r="N36" s="33">
        <v>0</v>
      </c>
      <c r="O36" s="52">
        <v>0</v>
      </c>
      <c r="P36" s="33">
        <v>0</v>
      </c>
      <c r="Q36" s="33">
        <v>0</v>
      </c>
      <c r="R36" s="33"/>
      <c r="S36" s="33"/>
      <c r="T36" s="33" t="s">
        <v>616</v>
      </c>
      <c r="U36" s="41" t="str">
        <f>IFERROR(HYPERLINK("#'Main'!B"&amp;MATCH(TRIM(A36),Main!B:B,0),"Open"),HYPERLINK("#'Main'!B1","Open"))</f>
        <v>Open</v>
      </c>
      <c r="V36" s="41"/>
    </row>
    <row r="37" spans="1:22" ht="30" customHeight="1" x14ac:dyDescent="0.25">
      <c r="A37" s="51" t="s">
        <v>146</v>
      </c>
      <c r="B37" s="42" t="s">
        <v>614</v>
      </c>
      <c r="C37" s="44" t="s">
        <v>632</v>
      </c>
      <c r="D37" s="42"/>
      <c r="E37" s="52">
        <v>200</v>
      </c>
      <c r="F37" s="42" t="b">
        <v>1</v>
      </c>
      <c r="G37" s="42">
        <v>0</v>
      </c>
      <c r="H37" s="52">
        <v>0</v>
      </c>
      <c r="I37" s="42">
        <v>0</v>
      </c>
      <c r="J37" s="42">
        <v>0</v>
      </c>
      <c r="K37" s="42">
        <v>0</v>
      </c>
      <c r="L37" s="46" t="b">
        <v>0</v>
      </c>
      <c r="M37" s="42">
        <v>0</v>
      </c>
      <c r="N37" s="42">
        <v>0</v>
      </c>
      <c r="O37" s="52">
        <v>0</v>
      </c>
      <c r="P37" s="42">
        <v>0</v>
      </c>
      <c r="Q37" s="42">
        <v>0</v>
      </c>
      <c r="R37" s="42"/>
      <c r="S37" s="42"/>
      <c r="T37" s="42" t="s">
        <v>616</v>
      </c>
      <c r="U37" t="str">
        <f>IFERROR(HYPERLINK("#'Main'!B"&amp;MATCH(TRIM(A37),Main!B:B,0),"Open"),HYPERLINK("#'Main'!B1","Open"))</f>
        <v>Open</v>
      </c>
    </row>
    <row r="38" spans="1:22" ht="30" customHeight="1" x14ac:dyDescent="0.25">
      <c r="A38" s="50" t="s">
        <v>146</v>
      </c>
      <c r="B38" s="33" t="s">
        <v>614</v>
      </c>
      <c r="C38" s="37" t="s">
        <v>633</v>
      </c>
      <c r="D38" s="33"/>
      <c r="E38" s="34">
        <v>403</v>
      </c>
      <c r="F38" s="33" t="b">
        <v>0</v>
      </c>
      <c r="G38" s="33">
        <v>0</v>
      </c>
      <c r="H38" s="52">
        <v>0</v>
      </c>
      <c r="I38" s="33">
        <v>0</v>
      </c>
      <c r="J38" s="33">
        <v>0</v>
      </c>
      <c r="K38" s="33">
        <v>0</v>
      </c>
      <c r="L38" s="40" t="b">
        <v>0</v>
      </c>
      <c r="M38" s="33">
        <v>0</v>
      </c>
      <c r="N38" s="33">
        <v>0</v>
      </c>
      <c r="O38" s="52">
        <v>0</v>
      </c>
      <c r="P38" s="33">
        <v>0</v>
      </c>
      <c r="Q38" s="33">
        <v>0</v>
      </c>
      <c r="R38" s="33"/>
      <c r="S38" s="33"/>
      <c r="T38" s="33" t="s">
        <v>616</v>
      </c>
      <c r="U38" s="41" t="str">
        <f>IFERROR(HYPERLINK("#'Main'!B"&amp;MATCH(TRIM(A38),Main!B:B,0),"Open"),HYPERLINK("#'Main'!B1","Open"))</f>
        <v>Open</v>
      </c>
      <c r="V38" s="41"/>
    </row>
    <row r="39" spans="1:22" ht="30" customHeight="1" x14ac:dyDescent="0.25">
      <c r="A39" s="51" t="s">
        <v>146</v>
      </c>
      <c r="B39" s="42" t="s">
        <v>614</v>
      </c>
      <c r="C39" s="44" t="s">
        <v>634</v>
      </c>
      <c r="D39" s="42" t="s">
        <v>635</v>
      </c>
      <c r="E39" s="52">
        <v>200</v>
      </c>
      <c r="F39" s="42" t="b">
        <v>1</v>
      </c>
      <c r="G39" s="42">
        <v>0</v>
      </c>
      <c r="H39" s="52">
        <v>0</v>
      </c>
      <c r="I39" s="42">
        <v>0</v>
      </c>
      <c r="J39" s="42">
        <v>0</v>
      </c>
      <c r="K39" s="42">
        <v>0</v>
      </c>
      <c r="L39" s="46" t="b">
        <v>0</v>
      </c>
      <c r="M39" s="42">
        <v>0</v>
      </c>
      <c r="N39" s="42">
        <v>0</v>
      </c>
      <c r="O39" s="52">
        <v>0</v>
      </c>
      <c r="P39" s="42">
        <v>0</v>
      </c>
      <c r="Q39" s="42">
        <v>0</v>
      </c>
      <c r="R39" s="42"/>
      <c r="S39" s="42"/>
      <c r="T39" s="42" t="s">
        <v>616</v>
      </c>
      <c r="U39" t="str">
        <f>IFERROR(HYPERLINK("#'Main'!B"&amp;MATCH(TRIM(A39),Main!B:B,0),"Open"),HYPERLINK("#'Main'!B1","Open"))</f>
        <v>Open</v>
      </c>
    </row>
    <row r="40" spans="1:22" ht="30" customHeight="1" x14ac:dyDescent="0.25">
      <c r="A40" s="50" t="s">
        <v>146</v>
      </c>
      <c r="B40" s="33" t="s">
        <v>614</v>
      </c>
      <c r="C40" s="37" t="s">
        <v>636</v>
      </c>
      <c r="D40" s="33" t="s">
        <v>637</v>
      </c>
      <c r="E40" s="34">
        <v>404</v>
      </c>
      <c r="F40" s="33" t="b">
        <v>0</v>
      </c>
      <c r="G40" s="33">
        <v>0</v>
      </c>
      <c r="H40" s="52">
        <v>0</v>
      </c>
      <c r="I40" s="33">
        <v>0</v>
      </c>
      <c r="J40" s="33">
        <v>0</v>
      </c>
      <c r="K40" s="33">
        <v>0</v>
      </c>
      <c r="L40" s="40" t="b">
        <v>0</v>
      </c>
      <c r="M40" s="33">
        <v>0</v>
      </c>
      <c r="N40" s="33">
        <v>0</v>
      </c>
      <c r="O40" s="52">
        <v>0</v>
      </c>
      <c r="P40" s="33">
        <v>0</v>
      </c>
      <c r="Q40" s="33">
        <v>0</v>
      </c>
      <c r="R40" s="33"/>
      <c r="S40" s="33"/>
      <c r="T40" s="33" t="s">
        <v>616</v>
      </c>
      <c r="U40" s="41" t="str">
        <f>IFERROR(HYPERLINK("#'Main'!B"&amp;MATCH(TRIM(A40),Main!B:B,0),"Open"),HYPERLINK("#'Main'!B1","Open"))</f>
        <v>Open</v>
      </c>
      <c r="V40" s="41"/>
    </row>
    <row r="41" spans="1:22" ht="30" customHeight="1" x14ac:dyDescent="0.25">
      <c r="A41" s="51" t="s">
        <v>146</v>
      </c>
      <c r="B41" s="42" t="s">
        <v>614</v>
      </c>
      <c r="C41" s="44" t="s">
        <v>636</v>
      </c>
      <c r="D41" s="42" t="s">
        <v>638</v>
      </c>
      <c r="E41" s="34">
        <v>404</v>
      </c>
      <c r="F41" s="42" t="b">
        <v>0</v>
      </c>
      <c r="G41" s="42">
        <v>0</v>
      </c>
      <c r="H41" s="52">
        <v>0</v>
      </c>
      <c r="I41" s="42">
        <v>0</v>
      </c>
      <c r="J41" s="42">
        <v>0</v>
      </c>
      <c r="K41" s="42">
        <v>0</v>
      </c>
      <c r="L41" s="46" t="b">
        <v>0</v>
      </c>
      <c r="M41" s="42">
        <v>0</v>
      </c>
      <c r="N41" s="42">
        <v>0</v>
      </c>
      <c r="O41" s="52">
        <v>0</v>
      </c>
      <c r="P41" s="42">
        <v>0</v>
      </c>
      <c r="Q41" s="42">
        <v>0</v>
      </c>
      <c r="R41" s="42"/>
      <c r="S41" s="42"/>
      <c r="T41" s="42" t="s">
        <v>616</v>
      </c>
      <c r="U41" t="str">
        <f>IFERROR(HYPERLINK("#'Main'!B"&amp;MATCH(TRIM(A41),Main!B:B,0),"Open"),HYPERLINK("#'Main'!B1","Open"))</f>
        <v>Open</v>
      </c>
    </row>
    <row r="42" spans="1:22" ht="30" customHeight="1" x14ac:dyDescent="0.25">
      <c r="A42" s="50" t="s">
        <v>178</v>
      </c>
      <c r="B42" s="33" t="s">
        <v>614</v>
      </c>
      <c r="C42" s="37" t="s">
        <v>176</v>
      </c>
      <c r="D42" s="33"/>
      <c r="E42" s="52">
        <v>200</v>
      </c>
      <c r="F42" s="33" t="b">
        <v>1</v>
      </c>
      <c r="G42" s="33">
        <v>0</v>
      </c>
      <c r="H42" s="52">
        <v>0</v>
      </c>
      <c r="I42" s="33">
        <v>0</v>
      </c>
      <c r="J42" s="33">
        <v>0</v>
      </c>
      <c r="K42" s="33">
        <v>0</v>
      </c>
      <c r="L42" s="40" t="b">
        <v>0</v>
      </c>
      <c r="M42" s="33">
        <v>0</v>
      </c>
      <c r="N42" s="33">
        <v>0</v>
      </c>
      <c r="O42" s="52">
        <v>0</v>
      </c>
      <c r="P42" s="33">
        <v>0</v>
      </c>
      <c r="Q42" s="33">
        <v>0</v>
      </c>
      <c r="R42" s="33"/>
      <c r="S42" s="33"/>
      <c r="T42" s="33" t="s">
        <v>616</v>
      </c>
      <c r="U42" s="41" t="str">
        <f>IFERROR(HYPERLINK("#'Main'!B"&amp;MATCH(TRIM(A42),Main!B:B,0),"Open"),HYPERLINK("#'Main'!B1","Open"))</f>
        <v>Open</v>
      </c>
      <c r="V42" s="41"/>
    </row>
    <row r="43" spans="1:22" ht="30" customHeight="1" x14ac:dyDescent="0.25">
      <c r="A43" s="51" t="s">
        <v>178</v>
      </c>
      <c r="B43" s="42" t="s">
        <v>614</v>
      </c>
      <c r="C43" s="44" t="s">
        <v>176</v>
      </c>
      <c r="D43" s="42" t="s">
        <v>639</v>
      </c>
      <c r="E43" s="52">
        <v>200</v>
      </c>
      <c r="F43" s="42" t="b">
        <v>1</v>
      </c>
      <c r="G43" s="42">
        <v>0</v>
      </c>
      <c r="H43" s="52">
        <v>0</v>
      </c>
      <c r="I43" s="42">
        <v>0</v>
      </c>
      <c r="J43" s="42">
        <v>0</v>
      </c>
      <c r="K43" s="42">
        <v>0</v>
      </c>
      <c r="L43" s="46" t="b">
        <v>0</v>
      </c>
      <c r="M43" s="42">
        <v>0</v>
      </c>
      <c r="N43" s="42">
        <v>0</v>
      </c>
      <c r="O43" s="52">
        <v>0</v>
      </c>
      <c r="P43" s="42">
        <v>0</v>
      </c>
      <c r="Q43" s="42">
        <v>0</v>
      </c>
      <c r="R43" s="42"/>
      <c r="S43" s="42"/>
      <c r="T43" s="42" t="s">
        <v>616</v>
      </c>
      <c r="U43" t="str">
        <f>IFERROR(HYPERLINK("#'Main'!B"&amp;MATCH(TRIM(A43),Main!B:B,0),"Open"),HYPERLINK("#'Main'!B1","Open"))</f>
        <v>Open</v>
      </c>
    </row>
    <row r="44" spans="1:22" ht="30" customHeight="1" x14ac:dyDescent="0.25">
      <c r="A44" s="50" t="s">
        <v>178</v>
      </c>
      <c r="B44" s="33" t="s">
        <v>614</v>
      </c>
      <c r="C44" s="37" t="s">
        <v>178</v>
      </c>
      <c r="D44" s="33" t="s">
        <v>640</v>
      </c>
      <c r="E44" s="52">
        <v>200</v>
      </c>
      <c r="F44" s="33" t="b">
        <v>1</v>
      </c>
      <c r="G44" s="33">
        <v>0</v>
      </c>
      <c r="H44" s="52">
        <v>0</v>
      </c>
      <c r="I44" s="33">
        <v>0</v>
      </c>
      <c r="J44" s="33">
        <v>0</v>
      </c>
      <c r="K44" s="33">
        <v>0</v>
      </c>
      <c r="L44" s="40" t="b">
        <v>0</v>
      </c>
      <c r="M44" s="33">
        <v>0</v>
      </c>
      <c r="N44" s="33">
        <v>0</v>
      </c>
      <c r="O44" s="52">
        <v>0</v>
      </c>
      <c r="P44" s="33">
        <v>0</v>
      </c>
      <c r="Q44" s="33">
        <v>0</v>
      </c>
      <c r="R44" s="33"/>
      <c r="S44" s="33"/>
      <c r="T44" s="33" t="s">
        <v>616</v>
      </c>
      <c r="U44" s="41" t="str">
        <f>IFERROR(HYPERLINK("#'Main'!B"&amp;MATCH(TRIM(A44),Main!B:B,0),"Open"),HYPERLINK("#'Main'!B1","Open"))</f>
        <v>Open</v>
      </c>
      <c r="V44" s="41"/>
    </row>
    <row r="45" spans="1:22" ht="30" customHeight="1" x14ac:dyDescent="0.25">
      <c r="A45" s="51" t="s">
        <v>178</v>
      </c>
      <c r="B45" s="42" t="s">
        <v>614</v>
      </c>
      <c r="C45" s="44" t="s">
        <v>641</v>
      </c>
      <c r="D45" s="42" t="s">
        <v>642</v>
      </c>
      <c r="E45" s="52">
        <v>200</v>
      </c>
      <c r="F45" s="42" t="b">
        <v>1</v>
      </c>
      <c r="G45" s="42">
        <v>0</v>
      </c>
      <c r="H45" s="52">
        <v>0</v>
      </c>
      <c r="I45" s="42">
        <v>0</v>
      </c>
      <c r="J45" s="42">
        <v>0</v>
      </c>
      <c r="K45" s="42">
        <v>0</v>
      </c>
      <c r="L45" s="46" t="b">
        <v>0</v>
      </c>
      <c r="M45" s="42">
        <v>0</v>
      </c>
      <c r="N45" s="42">
        <v>0</v>
      </c>
      <c r="O45" s="52">
        <v>0</v>
      </c>
      <c r="P45" s="42">
        <v>0</v>
      </c>
      <c r="Q45" s="42">
        <v>0</v>
      </c>
      <c r="R45" s="42"/>
      <c r="S45" s="42"/>
      <c r="T45" s="42" t="s">
        <v>616</v>
      </c>
      <c r="U45" t="str">
        <f>IFERROR(HYPERLINK("#'Main'!B"&amp;MATCH(TRIM(A45),Main!B:B,0),"Open"),HYPERLINK("#'Main'!B1","Open"))</f>
        <v>Open</v>
      </c>
    </row>
    <row r="46" spans="1:22" ht="30" customHeight="1" x14ac:dyDescent="0.25">
      <c r="A46" s="50" t="s">
        <v>178</v>
      </c>
      <c r="B46" s="33" t="s">
        <v>614</v>
      </c>
      <c r="C46" s="37" t="s">
        <v>643</v>
      </c>
      <c r="D46" s="33" t="s">
        <v>644</v>
      </c>
      <c r="E46" s="52">
        <v>200</v>
      </c>
      <c r="F46" s="33" t="b">
        <v>1</v>
      </c>
      <c r="G46" s="33">
        <v>0</v>
      </c>
      <c r="H46" s="52">
        <v>0</v>
      </c>
      <c r="I46" s="33">
        <v>0</v>
      </c>
      <c r="J46" s="33">
        <v>0</v>
      </c>
      <c r="K46" s="33">
        <v>0</v>
      </c>
      <c r="L46" s="40" t="b">
        <v>0</v>
      </c>
      <c r="M46" s="33">
        <v>0</v>
      </c>
      <c r="N46" s="33">
        <v>0</v>
      </c>
      <c r="O46" s="52">
        <v>0</v>
      </c>
      <c r="P46" s="33">
        <v>0</v>
      </c>
      <c r="Q46" s="33">
        <v>0</v>
      </c>
      <c r="R46" s="33"/>
      <c r="S46" s="33"/>
      <c r="T46" s="33" t="s">
        <v>616</v>
      </c>
      <c r="U46" s="41" t="str">
        <f>IFERROR(HYPERLINK("#'Main'!B"&amp;MATCH(TRIM(A46),Main!B:B,0),"Open"),HYPERLINK("#'Main'!B1","Open"))</f>
        <v>Open</v>
      </c>
      <c r="V46" s="41"/>
    </row>
    <row r="47" spans="1:22" ht="30" customHeight="1" x14ac:dyDescent="0.25">
      <c r="A47" s="51" t="s">
        <v>178</v>
      </c>
      <c r="B47" s="42" t="s">
        <v>614</v>
      </c>
      <c r="C47" s="44" t="s">
        <v>208</v>
      </c>
      <c r="D47" s="42" t="s">
        <v>645</v>
      </c>
      <c r="E47" s="52">
        <v>200</v>
      </c>
      <c r="F47" s="42" t="b">
        <v>1</v>
      </c>
      <c r="G47" s="42">
        <v>0</v>
      </c>
      <c r="H47" s="52">
        <v>0</v>
      </c>
      <c r="I47" s="42">
        <v>0</v>
      </c>
      <c r="J47" s="42">
        <v>0</v>
      </c>
      <c r="K47" s="42">
        <v>0</v>
      </c>
      <c r="L47" s="46" t="b">
        <v>0</v>
      </c>
      <c r="M47" s="42">
        <v>0</v>
      </c>
      <c r="N47" s="42">
        <v>0</v>
      </c>
      <c r="O47" s="52">
        <v>0</v>
      </c>
      <c r="P47" s="42">
        <v>0</v>
      </c>
      <c r="Q47" s="42">
        <v>0</v>
      </c>
      <c r="R47" s="42"/>
      <c r="S47" s="42"/>
      <c r="T47" s="42" t="s">
        <v>616</v>
      </c>
      <c r="U47" t="str">
        <f>IFERROR(HYPERLINK("#'Main'!B"&amp;MATCH(TRIM(A47),Main!B:B,0),"Open"),HYPERLINK("#'Main'!B1","Open"))</f>
        <v>Open</v>
      </c>
    </row>
    <row r="48" spans="1:22" ht="30" customHeight="1" x14ac:dyDescent="0.25">
      <c r="A48" s="50" t="s">
        <v>178</v>
      </c>
      <c r="B48" s="33" t="s">
        <v>614</v>
      </c>
      <c r="C48" s="37" t="s">
        <v>646</v>
      </c>
      <c r="D48" s="33" t="s">
        <v>647</v>
      </c>
      <c r="E48" s="52">
        <v>200</v>
      </c>
      <c r="F48" s="33" t="b">
        <v>1</v>
      </c>
      <c r="G48" s="33">
        <v>0</v>
      </c>
      <c r="H48" s="52">
        <v>0</v>
      </c>
      <c r="I48" s="33">
        <v>0</v>
      </c>
      <c r="J48" s="33">
        <v>0</v>
      </c>
      <c r="K48" s="33">
        <v>0</v>
      </c>
      <c r="L48" s="40" t="b">
        <v>0</v>
      </c>
      <c r="M48" s="33">
        <v>0</v>
      </c>
      <c r="N48" s="33">
        <v>0</v>
      </c>
      <c r="O48" s="52">
        <v>0</v>
      </c>
      <c r="P48" s="33">
        <v>0</v>
      </c>
      <c r="Q48" s="33">
        <v>0</v>
      </c>
      <c r="R48" s="33"/>
      <c r="S48" s="33"/>
      <c r="T48" s="33" t="s">
        <v>616</v>
      </c>
      <c r="U48" s="41" t="str">
        <f>IFERROR(HYPERLINK("#'Main'!B"&amp;MATCH(TRIM(A48),Main!B:B,0),"Open"),HYPERLINK("#'Main'!B1","Open"))</f>
        <v>Open</v>
      </c>
      <c r="V48" s="41"/>
    </row>
    <row r="49" spans="1:22" ht="30" customHeight="1" x14ac:dyDescent="0.25">
      <c r="A49" s="51" t="s">
        <v>178</v>
      </c>
      <c r="B49" s="42" t="s">
        <v>614</v>
      </c>
      <c r="C49" s="44" t="s">
        <v>648</v>
      </c>
      <c r="D49" s="42" t="s">
        <v>649</v>
      </c>
      <c r="E49" s="52">
        <v>200</v>
      </c>
      <c r="F49" s="42" t="b">
        <v>1</v>
      </c>
      <c r="G49" s="42">
        <v>0</v>
      </c>
      <c r="H49" s="52">
        <v>0</v>
      </c>
      <c r="I49" s="42">
        <v>0</v>
      </c>
      <c r="J49" s="42">
        <v>0</v>
      </c>
      <c r="K49" s="42">
        <v>0</v>
      </c>
      <c r="L49" s="46" t="b">
        <v>0</v>
      </c>
      <c r="M49" s="42">
        <v>0</v>
      </c>
      <c r="N49" s="42">
        <v>0</v>
      </c>
      <c r="O49" s="52">
        <v>0</v>
      </c>
      <c r="P49" s="42">
        <v>0</v>
      </c>
      <c r="Q49" s="42">
        <v>0</v>
      </c>
      <c r="R49" s="42"/>
      <c r="S49" s="42"/>
      <c r="T49" s="42" t="s">
        <v>616</v>
      </c>
      <c r="U49" t="str">
        <f>IFERROR(HYPERLINK("#'Main'!B"&amp;MATCH(TRIM(A49),Main!B:B,0),"Open"),HYPERLINK("#'Main'!B1","Open"))</f>
        <v>Open</v>
      </c>
    </row>
    <row r="50" spans="1:22" ht="30" customHeight="1" x14ac:dyDescent="0.25">
      <c r="A50" s="50" t="s">
        <v>178</v>
      </c>
      <c r="B50" s="33" t="s">
        <v>614</v>
      </c>
      <c r="C50" s="37" t="s">
        <v>650</v>
      </c>
      <c r="D50" s="33" t="s">
        <v>651</v>
      </c>
      <c r="E50" s="52">
        <v>200</v>
      </c>
      <c r="F50" s="33" t="b">
        <v>1</v>
      </c>
      <c r="G50" s="33">
        <v>0</v>
      </c>
      <c r="H50" s="52">
        <v>0</v>
      </c>
      <c r="I50" s="33">
        <v>0</v>
      </c>
      <c r="J50" s="33">
        <v>0</v>
      </c>
      <c r="K50" s="33">
        <v>0</v>
      </c>
      <c r="L50" s="40" t="b">
        <v>0</v>
      </c>
      <c r="M50" s="33">
        <v>0</v>
      </c>
      <c r="N50" s="33">
        <v>0</v>
      </c>
      <c r="O50" s="52">
        <v>0</v>
      </c>
      <c r="P50" s="33">
        <v>0</v>
      </c>
      <c r="Q50" s="33">
        <v>0</v>
      </c>
      <c r="R50" s="33"/>
      <c r="S50" s="33"/>
      <c r="T50" s="33" t="s">
        <v>616</v>
      </c>
      <c r="U50" s="41" t="str">
        <f>IFERROR(HYPERLINK("#'Main'!B"&amp;MATCH(TRIM(A50),Main!B:B,0),"Open"),HYPERLINK("#'Main'!B1","Open"))</f>
        <v>Open</v>
      </c>
      <c r="V50" s="41"/>
    </row>
    <row r="51" spans="1:22" ht="30" customHeight="1" x14ac:dyDescent="0.25">
      <c r="A51" s="51" t="s">
        <v>178</v>
      </c>
      <c r="B51" s="42" t="s">
        <v>614</v>
      </c>
      <c r="C51" s="44" t="s">
        <v>652</v>
      </c>
      <c r="D51" s="42" t="s">
        <v>653</v>
      </c>
      <c r="E51" s="52">
        <v>200</v>
      </c>
      <c r="F51" s="42" t="b">
        <v>1</v>
      </c>
      <c r="G51" s="42">
        <v>0</v>
      </c>
      <c r="H51" s="52">
        <v>0</v>
      </c>
      <c r="I51" s="42">
        <v>0</v>
      </c>
      <c r="J51" s="42">
        <v>0</v>
      </c>
      <c r="K51" s="42">
        <v>0</v>
      </c>
      <c r="L51" s="46" t="b">
        <v>0</v>
      </c>
      <c r="M51" s="42">
        <v>0</v>
      </c>
      <c r="N51" s="42">
        <v>0</v>
      </c>
      <c r="O51" s="52">
        <v>0</v>
      </c>
      <c r="P51" s="42">
        <v>0</v>
      </c>
      <c r="Q51" s="42">
        <v>0</v>
      </c>
      <c r="R51" s="42"/>
      <c r="S51" s="42"/>
      <c r="T51" s="42" t="s">
        <v>616</v>
      </c>
      <c r="U51" t="str">
        <f>IFERROR(HYPERLINK("#'Main'!B"&amp;MATCH(TRIM(A51),Main!B:B,0),"Open"),HYPERLINK("#'Main'!B1","Open"))</f>
        <v>Open</v>
      </c>
    </row>
    <row r="52" spans="1:22" ht="30" customHeight="1" x14ac:dyDescent="0.25">
      <c r="A52" s="50" t="s">
        <v>178</v>
      </c>
      <c r="B52" s="33" t="s">
        <v>614</v>
      </c>
      <c r="C52" s="37" t="s">
        <v>652</v>
      </c>
      <c r="D52" s="33" t="s">
        <v>654</v>
      </c>
      <c r="E52" s="52">
        <v>200</v>
      </c>
      <c r="F52" s="33" t="b">
        <v>1</v>
      </c>
      <c r="G52" s="33">
        <v>0</v>
      </c>
      <c r="H52" s="52">
        <v>0</v>
      </c>
      <c r="I52" s="33">
        <v>0</v>
      </c>
      <c r="J52" s="33">
        <v>0</v>
      </c>
      <c r="K52" s="33">
        <v>0</v>
      </c>
      <c r="L52" s="40" t="b">
        <v>0</v>
      </c>
      <c r="M52" s="33">
        <v>0</v>
      </c>
      <c r="N52" s="33">
        <v>0</v>
      </c>
      <c r="O52" s="52">
        <v>0</v>
      </c>
      <c r="P52" s="33">
        <v>0</v>
      </c>
      <c r="Q52" s="33">
        <v>0</v>
      </c>
      <c r="R52" s="33"/>
      <c r="S52" s="33"/>
      <c r="T52" s="33" t="s">
        <v>616</v>
      </c>
      <c r="U52" s="41" t="str">
        <f>IFERROR(HYPERLINK("#'Main'!B"&amp;MATCH(TRIM(A52),Main!B:B,0),"Open"),HYPERLINK("#'Main'!B1","Open"))</f>
        <v>Open</v>
      </c>
      <c r="V52" s="41"/>
    </row>
    <row r="53" spans="1:22" ht="30" customHeight="1" x14ac:dyDescent="0.25">
      <c r="A53" s="51" t="s">
        <v>178</v>
      </c>
      <c r="B53" s="42" t="s">
        <v>614</v>
      </c>
      <c r="C53" s="44" t="s">
        <v>629</v>
      </c>
      <c r="D53" s="42" t="s">
        <v>655</v>
      </c>
      <c r="E53" s="52">
        <v>200</v>
      </c>
      <c r="F53" s="42" t="b">
        <v>1</v>
      </c>
      <c r="G53" s="42">
        <v>0</v>
      </c>
      <c r="H53" s="52">
        <v>0</v>
      </c>
      <c r="I53" s="42">
        <v>0</v>
      </c>
      <c r="J53" s="42">
        <v>0</v>
      </c>
      <c r="K53" s="42">
        <v>0</v>
      </c>
      <c r="L53" s="46" t="b">
        <v>0</v>
      </c>
      <c r="M53" s="42">
        <v>0</v>
      </c>
      <c r="N53" s="42">
        <v>0</v>
      </c>
      <c r="O53" s="52">
        <v>0</v>
      </c>
      <c r="P53" s="42">
        <v>0</v>
      </c>
      <c r="Q53" s="42">
        <v>0</v>
      </c>
      <c r="R53" s="42"/>
      <c r="S53" s="42"/>
      <c r="T53" s="42" t="s">
        <v>616</v>
      </c>
      <c r="U53" t="str">
        <f>IFERROR(HYPERLINK("#'Main'!B"&amp;MATCH(TRIM(A53),Main!B:B,0),"Open"),HYPERLINK("#'Main'!B1","Open"))</f>
        <v>Open</v>
      </c>
    </row>
    <row r="54" spans="1:22" ht="30" customHeight="1" x14ac:dyDescent="0.25">
      <c r="A54" s="50" t="s">
        <v>178</v>
      </c>
      <c r="B54" s="33" t="s">
        <v>614</v>
      </c>
      <c r="C54" s="37" t="s">
        <v>656</v>
      </c>
      <c r="D54" s="33" t="s">
        <v>286</v>
      </c>
      <c r="E54" s="52">
        <v>200</v>
      </c>
      <c r="F54" s="33" t="b">
        <v>1</v>
      </c>
      <c r="G54" s="33">
        <v>0</v>
      </c>
      <c r="H54" s="52">
        <v>0</v>
      </c>
      <c r="I54" s="33">
        <v>0</v>
      </c>
      <c r="J54" s="33">
        <v>0</v>
      </c>
      <c r="K54" s="33">
        <v>0</v>
      </c>
      <c r="L54" s="40" t="b">
        <v>0</v>
      </c>
      <c r="M54" s="33">
        <v>0</v>
      </c>
      <c r="N54" s="33">
        <v>0</v>
      </c>
      <c r="O54" s="52">
        <v>0</v>
      </c>
      <c r="P54" s="33">
        <v>0</v>
      </c>
      <c r="Q54" s="33">
        <v>0</v>
      </c>
      <c r="R54" s="33"/>
      <c r="S54" s="33"/>
      <c r="T54" s="33" t="s">
        <v>616</v>
      </c>
      <c r="U54" s="41" t="str">
        <f>IFERROR(HYPERLINK("#'Main'!B"&amp;MATCH(TRIM(A54),Main!B:B,0),"Open"),HYPERLINK("#'Main'!B1","Open"))</f>
        <v>Open</v>
      </c>
      <c r="V54" s="41"/>
    </row>
    <row r="55" spans="1:22" ht="30" customHeight="1" x14ac:dyDescent="0.25">
      <c r="A55" s="51" t="s">
        <v>178</v>
      </c>
      <c r="B55" s="42" t="s">
        <v>614</v>
      </c>
      <c r="C55" s="44" t="s">
        <v>657</v>
      </c>
      <c r="D55" s="42" t="s">
        <v>658</v>
      </c>
      <c r="E55" s="52">
        <v>200</v>
      </c>
      <c r="F55" s="42" t="b">
        <v>1</v>
      </c>
      <c r="G55" s="42">
        <v>0</v>
      </c>
      <c r="H55" s="52">
        <v>0</v>
      </c>
      <c r="I55" s="42">
        <v>0</v>
      </c>
      <c r="J55" s="42">
        <v>0</v>
      </c>
      <c r="K55" s="42">
        <v>0</v>
      </c>
      <c r="L55" s="46" t="b">
        <v>0</v>
      </c>
      <c r="M55" s="42">
        <v>0</v>
      </c>
      <c r="N55" s="42">
        <v>0</v>
      </c>
      <c r="O55" s="52">
        <v>0</v>
      </c>
      <c r="P55" s="42">
        <v>0</v>
      </c>
      <c r="Q55" s="42">
        <v>0</v>
      </c>
      <c r="R55" s="42"/>
      <c r="S55" s="42"/>
      <c r="T55" s="42" t="s">
        <v>616</v>
      </c>
      <c r="U55" t="str">
        <f>IFERROR(HYPERLINK("#'Main'!B"&amp;MATCH(TRIM(A55),Main!B:B,0),"Open"),HYPERLINK("#'Main'!B1","Open"))</f>
        <v>Open</v>
      </c>
    </row>
    <row r="56" spans="1:22" ht="30" customHeight="1" x14ac:dyDescent="0.25">
      <c r="A56" s="50" t="s">
        <v>178</v>
      </c>
      <c r="B56" s="33" t="s">
        <v>614</v>
      </c>
      <c r="C56" s="37" t="s">
        <v>176</v>
      </c>
      <c r="D56" s="33" t="s">
        <v>639</v>
      </c>
      <c r="E56" s="52">
        <v>200</v>
      </c>
      <c r="F56" s="33" t="b">
        <v>1</v>
      </c>
      <c r="G56" s="33">
        <v>0</v>
      </c>
      <c r="H56" s="52">
        <v>0</v>
      </c>
      <c r="I56" s="33">
        <v>0</v>
      </c>
      <c r="J56" s="33">
        <v>0</v>
      </c>
      <c r="K56" s="33">
        <v>0</v>
      </c>
      <c r="L56" s="40" t="b">
        <v>0</v>
      </c>
      <c r="M56" s="33">
        <v>0</v>
      </c>
      <c r="N56" s="33">
        <v>0</v>
      </c>
      <c r="O56" s="52">
        <v>0</v>
      </c>
      <c r="P56" s="33">
        <v>0</v>
      </c>
      <c r="Q56" s="33">
        <v>0</v>
      </c>
      <c r="R56" s="33"/>
      <c r="S56" s="33"/>
      <c r="T56" s="33" t="s">
        <v>616</v>
      </c>
      <c r="U56" s="41" t="str">
        <f>IFERROR(HYPERLINK("#'Main'!B"&amp;MATCH(TRIM(A56),Main!B:B,0),"Open"),HYPERLINK("#'Main'!B1","Open"))</f>
        <v>Open</v>
      </c>
      <c r="V56" s="41"/>
    </row>
    <row r="57" spans="1:22" ht="30" customHeight="1" x14ac:dyDescent="0.25">
      <c r="A57" s="51" t="s">
        <v>178</v>
      </c>
      <c r="B57" s="42" t="s">
        <v>614</v>
      </c>
      <c r="C57" s="44" t="s">
        <v>178</v>
      </c>
      <c r="D57" s="42" t="s">
        <v>640</v>
      </c>
      <c r="E57" s="52">
        <v>200</v>
      </c>
      <c r="F57" s="42" t="b">
        <v>1</v>
      </c>
      <c r="G57" s="42">
        <v>0</v>
      </c>
      <c r="H57" s="52">
        <v>0</v>
      </c>
      <c r="I57" s="42">
        <v>0</v>
      </c>
      <c r="J57" s="42">
        <v>0</v>
      </c>
      <c r="K57" s="42">
        <v>0</v>
      </c>
      <c r="L57" s="46" t="b">
        <v>0</v>
      </c>
      <c r="M57" s="42">
        <v>0</v>
      </c>
      <c r="N57" s="42">
        <v>0</v>
      </c>
      <c r="O57" s="52">
        <v>0</v>
      </c>
      <c r="P57" s="42">
        <v>0</v>
      </c>
      <c r="Q57" s="42">
        <v>0</v>
      </c>
      <c r="R57" s="42"/>
      <c r="S57" s="42"/>
      <c r="T57" s="42" t="s">
        <v>616</v>
      </c>
      <c r="U57" t="str">
        <f>IFERROR(HYPERLINK("#'Main'!B"&amp;MATCH(TRIM(A57),Main!B:B,0),"Open"),HYPERLINK("#'Main'!B1","Open"))</f>
        <v>Open</v>
      </c>
    </row>
    <row r="58" spans="1:22" ht="30" customHeight="1" x14ac:dyDescent="0.25">
      <c r="A58" s="50" t="s">
        <v>178</v>
      </c>
      <c r="B58" s="33" t="s">
        <v>614</v>
      </c>
      <c r="C58" s="37" t="s">
        <v>641</v>
      </c>
      <c r="D58" s="33" t="s">
        <v>642</v>
      </c>
      <c r="E58" s="52">
        <v>200</v>
      </c>
      <c r="F58" s="33" t="b">
        <v>1</v>
      </c>
      <c r="G58" s="33">
        <v>0</v>
      </c>
      <c r="H58" s="52">
        <v>0</v>
      </c>
      <c r="I58" s="33">
        <v>0</v>
      </c>
      <c r="J58" s="33">
        <v>0</v>
      </c>
      <c r="K58" s="33">
        <v>0</v>
      </c>
      <c r="L58" s="40" t="b">
        <v>0</v>
      </c>
      <c r="M58" s="33">
        <v>0</v>
      </c>
      <c r="N58" s="33">
        <v>0</v>
      </c>
      <c r="O58" s="52">
        <v>0</v>
      </c>
      <c r="P58" s="33">
        <v>0</v>
      </c>
      <c r="Q58" s="33">
        <v>0</v>
      </c>
      <c r="R58" s="33"/>
      <c r="S58" s="33"/>
      <c r="T58" s="33" t="s">
        <v>616</v>
      </c>
      <c r="U58" s="41" t="str">
        <f>IFERROR(HYPERLINK("#'Main'!B"&amp;MATCH(TRIM(A58),Main!B:B,0),"Open"),HYPERLINK("#'Main'!B1","Open"))</f>
        <v>Open</v>
      </c>
      <c r="V58" s="41"/>
    </row>
    <row r="59" spans="1:22" ht="30" customHeight="1" x14ac:dyDescent="0.25">
      <c r="A59" s="51" t="s">
        <v>178</v>
      </c>
      <c r="B59" s="42" t="s">
        <v>614</v>
      </c>
      <c r="C59" s="44" t="s">
        <v>643</v>
      </c>
      <c r="D59" s="42" t="s">
        <v>644</v>
      </c>
      <c r="E59" s="52">
        <v>200</v>
      </c>
      <c r="F59" s="42" t="b">
        <v>1</v>
      </c>
      <c r="G59" s="42">
        <v>0</v>
      </c>
      <c r="H59" s="52">
        <v>0</v>
      </c>
      <c r="I59" s="42">
        <v>0</v>
      </c>
      <c r="J59" s="42">
        <v>0</v>
      </c>
      <c r="K59" s="42">
        <v>0</v>
      </c>
      <c r="L59" s="46" t="b">
        <v>0</v>
      </c>
      <c r="M59" s="42">
        <v>0</v>
      </c>
      <c r="N59" s="42">
        <v>0</v>
      </c>
      <c r="O59" s="52">
        <v>0</v>
      </c>
      <c r="P59" s="42">
        <v>0</v>
      </c>
      <c r="Q59" s="42">
        <v>0</v>
      </c>
      <c r="R59" s="42"/>
      <c r="S59" s="42"/>
      <c r="T59" s="42" t="s">
        <v>616</v>
      </c>
      <c r="U59" t="str">
        <f>IFERROR(HYPERLINK("#'Main'!B"&amp;MATCH(TRIM(A59),Main!B:B,0),"Open"),HYPERLINK("#'Main'!B1","Open"))</f>
        <v>Open</v>
      </c>
    </row>
    <row r="60" spans="1:22" ht="30" customHeight="1" x14ac:dyDescent="0.25">
      <c r="A60" s="50" t="s">
        <v>178</v>
      </c>
      <c r="B60" s="33" t="s">
        <v>614</v>
      </c>
      <c r="C60" s="37" t="s">
        <v>208</v>
      </c>
      <c r="D60" s="33" t="s">
        <v>645</v>
      </c>
      <c r="E60" s="52">
        <v>200</v>
      </c>
      <c r="F60" s="33" t="b">
        <v>1</v>
      </c>
      <c r="G60" s="33">
        <v>0</v>
      </c>
      <c r="H60" s="52">
        <v>0</v>
      </c>
      <c r="I60" s="33">
        <v>0</v>
      </c>
      <c r="J60" s="33">
        <v>0</v>
      </c>
      <c r="K60" s="33">
        <v>0</v>
      </c>
      <c r="L60" s="40" t="b">
        <v>0</v>
      </c>
      <c r="M60" s="33">
        <v>0</v>
      </c>
      <c r="N60" s="33">
        <v>0</v>
      </c>
      <c r="O60" s="52">
        <v>0</v>
      </c>
      <c r="P60" s="33">
        <v>0</v>
      </c>
      <c r="Q60" s="33">
        <v>0</v>
      </c>
      <c r="R60" s="33"/>
      <c r="S60" s="33"/>
      <c r="T60" s="33" t="s">
        <v>616</v>
      </c>
      <c r="U60" s="41" t="str">
        <f>IFERROR(HYPERLINK("#'Main'!B"&amp;MATCH(TRIM(A60),Main!B:B,0),"Open"),HYPERLINK("#'Main'!B1","Open"))</f>
        <v>Open</v>
      </c>
      <c r="V60" s="41"/>
    </row>
    <row r="61" spans="1:22" ht="30" customHeight="1" x14ac:dyDescent="0.25">
      <c r="A61" s="51" t="s">
        <v>178</v>
      </c>
      <c r="B61" s="42" t="s">
        <v>614</v>
      </c>
      <c r="C61" s="44" t="s">
        <v>646</v>
      </c>
      <c r="D61" s="42" t="s">
        <v>647</v>
      </c>
      <c r="E61" s="52">
        <v>200</v>
      </c>
      <c r="F61" s="42" t="b">
        <v>1</v>
      </c>
      <c r="G61" s="42">
        <v>0</v>
      </c>
      <c r="H61" s="52">
        <v>0</v>
      </c>
      <c r="I61" s="42">
        <v>0</v>
      </c>
      <c r="J61" s="42">
        <v>0</v>
      </c>
      <c r="K61" s="42">
        <v>0</v>
      </c>
      <c r="L61" s="46" t="b">
        <v>0</v>
      </c>
      <c r="M61" s="42">
        <v>0</v>
      </c>
      <c r="N61" s="42">
        <v>0</v>
      </c>
      <c r="O61" s="52">
        <v>0</v>
      </c>
      <c r="P61" s="42">
        <v>0</v>
      </c>
      <c r="Q61" s="42">
        <v>0</v>
      </c>
      <c r="R61" s="42"/>
      <c r="S61" s="42"/>
      <c r="T61" s="42" t="s">
        <v>616</v>
      </c>
      <c r="U61" t="str">
        <f>IFERROR(HYPERLINK("#'Main'!B"&amp;MATCH(TRIM(A61),Main!B:B,0),"Open"),HYPERLINK("#'Main'!B1","Open"))</f>
        <v>Open</v>
      </c>
    </row>
    <row r="62" spans="1:22" ht="30" customHeight="1" x14ac:dyDescent="0.25">
      <c r="A62" s="50" t="s">
        <v>178</v>
      </c>
      <c r="B62" s="33" t="s">
        <v>614</v>
      </c>
      <c r="C62" s="37" t="s">
        <v>648</v>
      </c>
      <c r="D62" s="33" t="s">
        <v>649</v>
      </c>
      <c r="E62" s="52">
        <v>200</v>
      </c>
      <c r="F62" s="33" t="b">
        <v>1</v>
      </c>
      <c r="G62" s="33">
        <v>0</v>
      </c>
      <c r="H62" s="52">
        <v>0</v>
      </c>
      <c r="I62" s="33">
        <v>0</v>
      </c>
      <c r="J62" s="33">
        <v>0</v>
      </c>
      <c r="K62" s="33">
        <v>0</v>
      </c>
      <c r="L62" s="40" t="b">
        <v>0</v>
      </c>
      <c r="M62" s="33">
        <v>0</v>
      </c>
      <c r="N62" s="33">
        <v>0</v>
      </c>
      <c r="O62" s="52">
        <v>0</v>
      </c>
      <c r="P62" s="33">
        <v>0</v>
      </c>
      <c r="Q62" s="33">
        <v>0</v>
      </c>
      <c r="R62" s="33"/>
      <c r="S62" s="33"/>
      <c r="T62" s="33" t="s">
        <v>616</v>
      </c>
      <c r="U62" s="41" t="str">
        <f>IFERROR(HYPERLINK("#'Main'!B"&amp;MATCH(TRIM(A62),Main!B:B,0),"Open"),HYPERLINK("#'Main'!B1","Open"))</f>
        <v>Open</v>
      </c>
      <c r="V62" s="41"/>
    </row>
    <row r="63" spans="1:22" ht="30" customHeight="1" x14ac:dyDescent="0.25">
      <c r="A63" s="51" t="s">
        <v>178</v>
      </c>
      <c r="B63" s="42" t="s">
        <v>614</v>
      </c>
      <c r="C63" s="44" t="s">
        <v>650</v>
      </c>
      <c r="D63" s="42" t="s">
        <v>651</v>
      </c>
      <c r="E63" s="52">
        <v>200</v>
      </c>
      <c r="F63" s="42" t="b">
        <v>1</v>
      </c>
      <c r="G63" s="42">
        <v>0</v>
      </c>
      <c r="H63" s="52">
        <v>0</v>
      </c>
      <c r="I63" s="42">
        <v>0</v>
      </c>
      <c r="J63" s="42">
        <v>0</v>
      </c>
      <c r="K63" s="42">
        <v>0</v>
      </c>
      <c r="L63" s="46" t="b">
        <v>0</v>
      </c>
      <c r="M63" s="42">
        <v>0</v>
      </c>
      <c r="N63" s="42">
        <v>0</v>
      </c>
      <c r="O63" s="52">
        <v>0</v>
      </c>
      <c r="P63" s="42">
        <v>0</v>
      </c>
      <c r="Q63" s="42">
        <v>0</v>
      </c>
      <c r="R63" s="42"/>
      <c r="S63" s="42"/>
      <c r="T63" s="42" t="s">
        <v>616</v>
      </c>
      <c r="U63" t="str">
        <f>IFERROR(HYPERLINK("#'Main'!B"&amp;MATCH(TRIM(A63),Main!B:B,0),"Open"),HYPERLINK("#'Main'!B1","Open"))</f>
        <v>Open</v>
      </c>
    </row>
    <row r="64" spans="1:22" ht="30" customHeight="1" x14ac:dyDescent="0.25">
      <c r="A64" s="50" t="s">
        <v>178</v>
      </c>
      <c r="B64" s="33" t="s">
        <v>614</v>
      </c>
      <c r="C64" s="37" t="s">
        <v>652</v>
      </c>
      <c r="D64" s="33" t="s">
        <v>653</v>
      </c>
      <c r="E64" s="52">
        <v>200</v>
      </c>
      <c r="F64" s="33" t="b">
        <v>1</v>
      </c>
      <c r="G64" s="33">
        <v>0</v>
      </c>
      <c r="H64" s="52">
        <v>0</v>
      </c>
      <c r="I64" s="33">
        <v>0</v>
      </c>
      <c r="J64" s="33">
        <v>0</v>
      </c>
      <c r="K64" s="33">
        <v>0</v>
      </c>
      <c r="L64" s="40" t="b">
        <v>0</v>
      </c>
      <c r="M64" s="33">
        <v>0</v>
      </c>
      <c r="N64" s="33">
        <v>0</v>
      </c>
      <c r="O64" s="52">
        <v>0</v>
      </c>
      <c r="P64" s="33">
        <v>0</v>
      </c>
      <c r="Q64" s="33">
        <v>0</v>
      </c>
      <c r="R64" s="33"/>
      <c r="S64" s="33"/>
      <c r="T64" s="33" t="s">
        <v>616</v>
      </c>
      <c r="U64" s="41" t="str">
        <f>IFERROR(HYPERLINK("#'Main'!B"&amp;MATCH(TRIM(A64),Main!B:B,0),"Open"),HYPERLINK("#'Main'!B1","Open"))</f>
        <v>Open</v>
      </c>
      <c r="V64" s="41"/>
    </row>
    <row r="65" spans="1:22" ht="30" customHeight="1" x14ac:dyDescent="0.25">
      <c r="A65" s="51" t="s">
        <v>178</v>
      </c>
      <c r="B65" s="42" t="s">
        <v>614</v>
      </c>
      <c r="C65" s="44" t="s">
        <v>652</v>
      </c>
      <c r="D65" s="42" t="s">
        <v>654</v>
      </c>
      <c r="E65" s="52">
        <v>200</v>
      </c>
      <c r="F65" s="42" t="b">
        <v>1</v>
      </c>
      <c r="G65" s="42">
        <v>0</v>
      </c>
      <c r="H65" s="52">
        <v>0</v>
      </c>
      <c r="I65" s="42">
        <v>0</v>
      </c>
      <c r="J65" s="42">
        <v>0</v>
      </c>
      <c r="K65" s="42">
        <v>0</v>
      </c>
      <c r="L65" s="46" t="b">
        <v>0</v>
      </c>
      <c r="M65" s="42">
        <v>0</v>
      </c>
      <c r="N65" s="42">
        <v>0</v>
      </c>
      <c r="O65" s="52">
        <v>0</v>
      </c>
      <c r="P65" s="42">
        <v>0</v>
      </c>
      <c r="Q65" s="42">
        <v>0</v>
      </c>
      <c r="R65" s="42"/>
      <c r="S65" s="42"/>
      <c r="T65" s="42" t="s">
        <v>616</v>
      </c>
      <c r="U65" t="str">
        <f>IFERROR(HYPERLINK("#'Main'!B"&amp;MATCH(TRIM(A65),Main!B:B,0),"Open"),HYPERLINK("#'Main'!B1","Open"))</f>
        <v>Open</v>
      </c>
    </row>
    <row r="66" spans="1:22" ht="30" customHeight="1" x14ac:dyDescent="0.25">
      <c r="A66" s="50" t="s">
        <v>178</v>
      </c>
      <c r="B66" s="33" t="s">
        <v>614</v>
      </c>
      <c r="C66" s="37" t="s">
        <v>629</v>
      </c>
      <c r="D66" s="33" t="s">
        <v>655</v>
      </c>
      <c r="E66" s="52">
        <v>200</v>
      </c>
      <c r="F66" s="33" t="b">
        <v>1</v>
      </c>
      <c r="G66" s="33">
        <v>0</v>
      </c>
      <c r="H66" s="52">
        <v>0</v>
      </c>
      <c r="I66" s="33">
        <v>0</v>
      </c>
      <c r="J66" s="33">
        <v>0</v>
      </c>
      <c r="K66" s="33">
        <v>0</v>
      </c>
      <c r="L66" s="40" t="b">
        <v>0</v>
      </c>
      <c r="M66" s="33">
        <v>0</v>
      </c>
      <c r="N66" s="33">
        <v>0</v>
      </c>
      <c r="O66" s="52">
        <v>0</v>
      </c>
      <c r="P66" s="33">
        <v>0</v>
      </c>
      <c r="Q66" s="33">
        <v>0</v>
      </c>
      <c r="R66" s="33"/>
      <c r="S66" s="33"/>
      <c r="T66" s="33" t="s">
        <v>616</v>
      </c>
      <c r="U66" s="41" t="str">
        <f>IFERROR(HYPERLINK("#'Main'!B"&amp;MATCH(TRIM(A66),Main!B:B,0),"Open"),HYPERLINK("#'Main'!B1","Open"))</f>
        <v>Open</v>
      </c>
      <c r="V66" s="41"/>
    </row>
    <row r="67" spans="1:22" ht="30" customHeight="1" x14ac:dyDescent="0.25">
      <c r="A67" s="51" t="s">
        <v>178</v>
      </c>
      <c r="B67" s="42" t="s">
        <v>614</v>
      </c>
      <c r="C67" s="44" t="s">
        <v>656</v>
      </c>
      <c r="D67" s="42" t="s">
        <v>286</v>
      </c>
      <c r="E67" s="52">
        <v>200</v>
      </c>
      <c r="F67" s="42" t="b">
        <v>1</v>
      </c>
      <c r="G67" s="42">
        <v>0</v>
      </c>
      <c r="H67" s="52">
        <v>0</v>
      </c>
      <c r="I67" s="42">
        <v>0</v>
      </c>
      <c r="J67" s="42">
        <v>0</v>
      </c>
      <c r="K67" s="42">
        <v>0</v>
      </c>
      <c r="L67" s="46" t="b">
        <v>0</v>
      </c>
      <c r="M67" s="42">
        <v>0</v>
      </c>
      <c r="N67" s="42">
        <v>0</v>
      </c>
      <c r="O67" s="52">
        <v>0</v>
      </c>
      <c r="P67" s="42">
        <v>0</v>
      </c>
      <c r="Q67" s="42">
        <v>0</v>
      </c>
      <c r="R67" s="42"/>
      <c r="S67" s="42"/>
      <c r="T67" s="42" t="s">
        <v>616</v>
      </c>
      <c r="U67" t="str">
        <f>IFERROR(HYPERLINK("#'Main'!B"&amp;MATCH(TRIM(A67),Main!B:B,0),"Open"),HYPERLINK("#'Main'!B1","Open"))</f>
        <v>Open</v>
      </c>
    </row>
    <row r="68" spans="1:22" ht="30" customHeight="1" x14ac:dyDescent="0.25">
      <c r="A68" s="50" t="s">
        <v>178</v>
      </c>
      <c r="B68" s="33" t="s">
        <v>614</v>
      </c>
      <c r="C68" s="37" t="s">
        <v>657</v>
      </c>
      <c r="D68" s="33" t="s">
        <v>658</v>
      </c>
      <c r="E68" s="52">
        <v>200</v>
      </c>
      <c r="F68" s="33" t="b">
        <v>1</v>
      </c>
      <c r="G68" s="33">
        <v>0</v>
      </c>
      <c r="H68" s="52">
        <v>0</v>
      </c>
      <c r="I68" s="33">
        <v>0</v>
      </c>
      <c r="J68" s="33">
        <v>0</v>
      </c>
      <c r="K68" s="33">
        <v>0</v>
      </c>
      <c r="L68" s="40" t="b">
        <v>0</v>
      </c>
      <c r="M68" s="33">
        <v>0</v>
      </c>
      <c r="N68" s="33">
        <v>0</v>
      </c>
      <c r="O68" s="52">
        <v>0</v>
      </c>
      <c r="P68" s="33">
        <v>0</v>
      </c>
      <c r="Q68" s="33">
        <v>0</v>
      </c>
      <c r="R68" s="33"/>
      <c r="S68" s="33"/>
      <c r="T68" s="33" t="s">
        <v>616</v>
      </c>
      <c r="U68" s="41" t="str">
        <f>IFERROR(HYPERLINK("#'Main'!B"&amp;MATCH(TRIM(A68),Main!B:B,0),"Open"),HYPERLINK("#'Main'!B1","Open"))</f>
        <v>Open</v>
      </c>
      <c r="V68" s="41"/>
    </row>
    <row r="69" spans="1:22" ht="30" customHeight="1" x14ac:dyDescent="0.25">
      <c r="A69" s="51" t="s">
        <v>178</v>
      </c>
      <c r="B69" s="42" t="s">
        <v>614</v>
      </c>
      <c r="C69" s="44" t="s">
        <v>659</v>
      </c>
      <c r="D69" s="42" t="s">
        <v>660</v>
      </c>
      <c r="E69" s="52">
        <v>200</v>
      </c>
      <c r="F69" s="42" t="b">
        <v>1</v>
      </c>
      <c r="G69" s="42">
        <v>0</v>
      </c>
      <c r="H69" s="52">
        <v>0</v>
      </c>
      <c r="I69" s="42">
        <v>0</v>
      </c>
      <c r="J69" s="42">
        <v>0</v>
      </c>
      <c r="K69" s="42">
        <v>0</v>
      </c>
      <c r="L69" s="46" t="b">
        <v>0</v>
      </c>
      <c r="M69" s="42">
        <v>0</v>
      </c>
      <c r="N69" s="42">
        <v>0</v>
      </c>
      <c r="O69" s="52">
        <v>0</v>
      </c>
      <c r="P69" s="42">
        <v>0</v>
      </c>
      <c r="Q69" s="42">
        <v>0</v>
      </c>
      <c r="R69" s="42"/>
      <c r="S69" s="42"/>
      <c r="T69" s="42" t="s">
        <v>616</v>
      </c>
      <c r="U69" t="str">
        <f>IFERROR(HYPERLINK("#'Main'!B"&amp;MATCH(TRIM(A69),Main!B:B,0),"Open"),HYPERLINK("#'Main'!B1","Open"))</f>
        <v>Open</v>
      </c>
    </row>
    <row r="70" spans="1:22" ht="30" customHeight="1" x14ac:dyDescent="0.25">
      <c r="A70" s="50" t="s">
        <v>178</v>
      </c>
      <c r="B70" s="33" t="s">
        <v>614</v>
      </c>
      <c r="C70" s="37" t="s">
        <v>661</v>
      </c>
      <c r="D70" s="33" t="s">
        <v>660</v>
      </c>
      <c r="E70" s="52">
        <v>200</v>
      </c>
      <c r="F70" s="33" t="b">
        <v>1</v>
      </c>
      <c r="G70" s="33">
        <v>0</v>
      </c>
      <c r="H70" s="52">
        <v>0</v>
      </c>
      <c r="I70" s="33">
        <v>0</v>
      </c>
      <c r="J70" s="33">
        <v>0</v>
      </c>
      <c r="K70" s="33">
        <v>0</v>
      </c>
      <c r="L70" s="40" t="b">
        <v>0</v>
      </c>
      <c r="M70" s="33">
        <v>0</v>
      </c>
      <c r="N70" s="33">
        <v>0</v>
      </c>
      <c r="O70" s="52">
        <v>0</v>
      </c>
      <c r="P70" s="33">
        <v>0</v>
      </c>
      <c r="Q70" s="33">
        <v>0</v>
      </c>
      <c r="R70" s="33"/>
      <c r="S70" s="33"/>
      <c r="T70" s="33" t="s">
        <v>616</v>
      </c>
      <c r="U70" s="41" t="str">
        <f>IFERROR(HYPERLINK("#'Main'!B"&amp;MATCH(TRIM(A70),Main!B:B,0),"Open"),HYPERLINK("#'Main'!B1","Open"))</f>
        <v>Open</v>
      </c>
      <c r="V70" s="41"/>
    </row>
    <row r="71" spans="1:22" ht="30" customHeight="1" x14ac:dyDescent="0.25">
      <c r="A71" s="51" t="s">
        <v>178</v>
      </c>
      <c r="B71" s="42" t="s">
        <v>614</v>
      </c>
      <c r="C71" s="44" t="s">
        <v>662</v>
      </c>
      <c r="D71" s="42" t="s">
        <v>660</v>
      </c>
      <c r="E71" s="52">
        <v>200</v>
      </c>
      <c r="F71" s="42" t="b">
        <v>1</v>
      </c>
      <c r="G71" s="42">
        <v>0</v>
      </c>
      <c r="H71" s="52">
        <v>0</v>
      </c>
      <c r="I71" s="42">
        <v>0</v>
      </c>
      <c r="J71" s="42">
        <v>0</v>
      </c>
      <c r="K71" s="42">
        <v>0</v>
      </c>
      <c r="L71" s="46" t="b">
        <v>0</v>
      </c>
      <c r="M71" s="42">
        <v>0</v>
      </c>
      <c r="N71" s="42">
        <v>0</v>
      </c>
      <c r="O71" s="52">
        <v>0</v>
      </c>
      <c r="P71" s="42">
        <v>0</v>
      </c>
      <c r="Q71" s="42">
        <v>0</v>
      </c>
      <c r="R71" s="42"/>
      <c r="S71" s="42"/>
      <c r="T71" s="42" t="s">
        <v>616</v>
      </c>
      <c r="U71" t="str">
        <f>IFERROR(HYPERLINK("#'Main'!B"&amp;MATCH(TRIM(A71),Main!B:B,0),"Open"),HYPERLINK("#'Main'!B1","Open"))</f>
        <v>Open</v>
      </c>
    </row>
    <row r="72" spans="1:22" ht="30" customHeight="1" x14ac:dyDescent="0.25">
      <c r="A72" s="50" t="s">
        <v>178</v>
      </c>
      <c r="B72" s="33" t="s">
        <v>614</v>
      </c>
      <c r="C72" s="37" t="s">
        <v>663</v>
      </c>
      <c r="D72" s="33" t="s">
        <v>660</v>
      </c>
      <c r="E72" s="52">
        <v>200</v>
      </c>
      <c r="F72" s="33" t="b">
        <v>1</v>
      </c>
      <c r="G72" s="33">
        <v>0</v>
      </c>
      <c r="H72" s="52">
        <v>0</v>
      </c>
      <c r="I72" s="33">
        <v>0</v>
      </c>
      <c r="J72" s="33">
        <v>0</v>
      </c>
      <c r="K72" s="33">
        <v>0</v>
      </c>
      <c r="L72" s="40" t="b">
        <v>0</v>
      </c>
      <c r="M72" s="33">
        <v>0</v>
      </c>
      <c r="N72" s="33">
        <v>0</v>
      </c>
      <c r="O72" s="52">
        <v>0</v>
      </c>
      <c r="P72" s="33">
        <v>0</v>
      </c>
      <c r="Q72" s="33">
        <v>0</v>
      </c>
      <c r="R72" s="33"/>
      <c r="S72" s="33"/>
      <c r="T72" s="33" t="s">
        <v>616</v>
      </c>
      <c r="U72" s="41" t="str">
        <f>IFERROR(HYPERLINK("#'Main'!B"&amp;MATCH(TRIM(A72),Main!B:B,0),"Open"),HYPERLINK("#'Main'!B1","Open"))</f>
        <v>Open</v>
      </c>
      <c r="V72" s="41"/>
    </row>
    <row r="73" spans="1:22" ht="30" customHeight="1" x14ac:dyDescent="0.25">
      <c r="A73" s="51" t="s">
        <v>178</v>
      </c>
      <c r="B73" s="42" t="s">
        <v>614</v>
      </c>
      <c r="C73" s="44" t="s">
        <v>664</v>
      </c>
      <c r="D73" s="42" t="s">
        <v>660</v>
      </c>
      <c r="E73" s="52">
        <v>200</v>
      </c>
      <c r="F73" s="42" t="b">
        <v>1</v>
      </c>
      <c r="G73" s="42">
        <v>0</v>
      </c>
      <c r="H73" s="52">
        <v>0</v>
      </c>
      <c r="I73" s="42">
        <v>0</v>
      </c>
      <c r="J73" s="42">
        <v>0</v>
      </c>
      <c r="K73" s="42">
        <v>0</v>
      </c>
      <c r="L73" s="46" t="b">
        <v>0</v>
      </c>
      <c r="M73" s="42">
        <v>0</v>
      </c>
      <c r="N73" s="42">
        <v>0</v>
      </c>
      <c r="O73" s="52">
        <v>0</v>
      </c>
      <c r="P73" s="42">
        <v>0</v>
      </c>
      <c r="Q73" s="42">
        <v>0</v>
      </c>
      <c r="R73" s="42"/>
      <c r="S73" s="42"/>
      <c r="T73" s="42" t="s">
        <v>616</v>
      </c>
      <c r="U73" t="str">
        <f>IFERROR(HYPERLINK("#'Main'!B"&amp;MATCH(TRIM(A73),Main!B:B,0),"Open"),HYPERLINK("#'Main'!B1","Open"))</f>
        <v>Open</v>
      </c>
    </row>
    <row r="74" spans="1:22" ht="30" customHeight="1" x14ac:dyDescent="0.25">
      <c r="A74" s="50" t="s">
        <v>178</v>
      </c>
      <c r="B74" s="33" t="s">
        <v>614</v>
      </c>
      <c r="C74" s="37" t="s">
        <v>643</v>
      </c>
      <c r="D74" s="33" t="s">
        <v>665</v>
      </c>
      <c r="E74" s="52">
        <v>200</v>
      </c>
      <c r="F74" s="33" t="b">
        <v>1</v>
      </c>
      <c r="G74" s="33">
        <v>0</v>
      </c>
      <c r="H74" s="52">
        <v>0</v>
      </c>
      <c r="I74" s="33">
        <v>0</v>
      </c>
      <c r="J74" s="33">
        <v>0</v>
      </c>
      <c r="K74" s="33">
        <v>0</v>
      </c>
      <c r="L74" s="40" t="b">
        <v>0</v>
      </c>
      <c r="M74" s="33">
        <v>0</v>
      </c>
      <c r="N74" s="33">
        <v>0</v>
      </c>
      <c r="O74" s="52">
        <v>0</v>
      </c>
      <c r="P74" s="33">
        <v>0</v>
      </c>
      <c r="Q74" s="33">
        <v>0</v>
      </c>
      <c r="R74" s="33"/>
      <c r="S74" s="33"/>
      <c r="T74" s="33" t="s">
        <v>616</v>
      </c>
      <c r="U74" s="41" t="str">
        <f>IFERROR(HYPERLINK("#'Main'!B"&amp;MATCH(TRIM(A74),Main!B:B,0),"Open"),HYPERLINK("#'Main'!B1","Open"))</f>
        <v>Open</v>
      </c>
      <c r="V74" s="41"/>
    </row>
    <row r="75" spans="1:22" ht="30" customHeight="1" x14ac:dyDescent="0.25">
      <c r="A75" s="51" t="s">
        <v>178</v>
      </c>
      <c r="B75" s="42" t="s">
        <v>614</v>
      </c>
      <c r="C75" s="44" t="s">
        <v>629</v>
      </c>
      <c r="D75" s="42" t="s">
        <v>630</v>
      </c>
      <c r="E75" s="52">
        <v>200</v>
      </c>
      <c r="F75" s="42" t="b">
        <v>1</v>
      </c>
      <c r="G75" s="42">
        <v>0</v>
      </c>
      <c r="H75" s="52">
        <v>0</v>
      </c>
      <c r="I75" s="42">
        <v>0</v>
      </c>
      <c r="J75" s="42">
        <v>0</v>
      </c>
      <c r="K75" s="42">
        <v>0</v>
      </c>
      <c r="L75" s="46" t="b">
        <v>0</v>
      </c>
      <c r="M75" s="42">
        <v>0</v>
      </c>
      <c r="N75" s="42">
        <v>0</v>
      </c>
      <c r="O75" s="52">
        <v>0</v>
      </c>
      <c r="P75" s="42">
        <v>0</v>
      </c>
      <c r="Q75" s="42">
        <v>0</v>
      </c>
      <c r="R75" s="42"/>
      <c r="S75" s="42"/>
      <c r="T75" s="42" t="s">
        <v>616</v>
      </c>
      <c r="U75" t="str">
        <f>IFERROR(HYPERLINK("#'Main'!B"&amp;MATCH(TRIM(A75),Main!B:B,0),"Open"),HYPERLINK("#'Main'!B1","Open"))</f>
        <v>Open</v>
      </c>
    </row>
    <row r="76" spans="1:22" ht="30" customHeight="1" x14ac:dyDescent="0.25">
      <c r="A76" s="50" t="s">
        <v>178</v>
      </c>
      <c r="B76" s="33" t="s">
        <v>614</v>
      </c>
      <c r="C76" s="37" t="s">
        <v>631</v>
      </c>
      <c r="D76" s="33"/>
      <c r="E76" s="52">
        <v>200</v>
      </c>
      <c r="F76" s="33" t="b">
        <v>1</v>
      </c>
      <c r="G76" s="33">
        <v>0</v>
      </c>
      <c r="H76" s="52">
        <v>0</v>
      </c>
      <c r="I76" s="33">
        <v>0</v>
      </c>
      <c r="J76" s="33">
        <v>0</v>
      </c>
      <c r="K76" s="33">
        <v>0</v>
      </c>
      <c r="L76" s="40" t="b">
        <v>0</v>
      </c>
      <c r="M76" s="33">
        <v>0</v>
      </c>
      <c r="N76" s="33">
        <v>0</v>
      </c>
      <c r="O76" s="52">
        <v>0</v>
      </c>
      <c r="P76" s="33">
        <v>0</v>
      </c>
      <c r="Q76" s="33">
        <v>0</v>
      </c>
      <c r="R76" s="33"/>
      <c r="S76" s="33"/>
      <c r="T76" s="33" t="s">
        <v>616</v>
      </c>
      <c r="U76" s="41" t="str">
        <f>IFERROR(HYPERLINK("#'Main'!B"&amp;MATCH(TRIM(A76),Main!B:B,0),"Open"),HYPERLINK("#'Main'!B1","Open"))</f>
        <v>Open</v>
      </c>
      <c r="V76" s="41"/>
    </row>
    <row r="77" spans="1:22" ht="30" customHeight="1" x14ac:dyDescent="0.25">
      <c r="A77" s="51" t="s">
        <v>178</v>
      </c>
      <c r="B77" s="42" t="s">
        <v>614</v>
      </c>
      <c r="C77" s="44" t="s">
        <v>632</v>
      </c>
      <c r="D77" s="42"/>
      <c r="E77" s="52">
        <v>200</v>
      </c>
      <c r="F77" s="42" t="b">
        <v>1</v>
      </c>
      <c r="G77" s="42">
        <v>0</v>
      </c>
      <c r="H77" s="52">
        <v>0</v>
      </c>
      <c r="I77" s="42">
        <v>0</v>
      </c>
      <c r="J77" s="42">
        <v>0</v>
      </c>
      <c r="K77" s="42">
        <v>0</v>
      </c>
      <c r="L77" s="46" t="b">
        <v>0</v>
      </c>
      <c r="M77" s="42">
        <v>0</v>
      </c>
      <c r="N77" s="42">
        <v>0</v>
      </c>
      <c r="O77" s="52">
        <v>0</v>
      </c>
      <c r="P77" s="42">
        <v>0</v>
      </c>
      <c r="Q77" s="42">
        <v>0</v>
      </c>
      <c r="R77" s="42"/>
      <c r="S77" s="42"/>
      <c r="T77" s="42" t="s">
        <v>616</v>
      </c>
      <c r="U77" t="str">
        <f>IFERROR(HYPERLINK("#'Main'!B"&amp;MATCH(TRIM(A77),Main!B:B,0),"Open"),HYPERLINK("#'Main'!B1","Open"))</f>
        <v>Open</v>
      </c>
    </row>
    <row r="78" spans="1:22" ht="30" customHeight="1" x14ac:dyDescent="0.25">
      <c r="A78" s="50" t="s">
        <v>178</v>
      </c>
      <c r="B78" s="33" t="s">
        <v>614</v>
      </c>
      <c r="C78" s="37" t="s">
        <v>634</v>
      </c>
      <c r="D78" s="33" t="s">
        <v>666</v>
      </c>
      <c r="E78" s="52">
        <v>200</v>
      </c>
      <c r="F78" s="33" t="b">
        <v>1</v>
      </c>
      <c r="G78" s="33">
        <v>0</v>
      </c>
      <c r="H78" s="52">
        <v>0</v>
      </c>
      <c r="I78" s="33">
        <v>0</v>
      </c>
      <c r="J78" s="33">
        <v>0</v>
      </c>
      <c r="K78" s="33">
        <v>0</v>
      </c>
      <c r="L78" s="40" t="b">
        <v>0</v>
      </c>
      <c r="M78" s="33">
        <v>0</v>
      </c>
      <c r="N78" s="33">
        <v>0</v>
      </c>
      <c r="O78" s="52">
        <v>0</v>
      </c>
      <c r="P78" s="33">
        <v>0</v>
      </c>
      <c r="Q78" s="33">
        <v>0</v>
      </c>
      <c r="R78" s="33"/>
      <c r="S78" s="33"/>
      <c r="T78" s="33" t="s">
        <v>616</v>
      </c>
      <c r="U78" s="41" t="str">
        <f>IFERROR(HYPERLINK("#'Main'!B"&amp;MATCH(TRIM(A78),Main!B:B,0),"Open"),HYPERLINK("#'Main'!B1","Open"))</f>
        <v>Open</v>
      </c>
      <c r="V78" s="41"/>
    </row>
    <row r="79" spans="1:22" ht="30" customHeight="1" x14ac:dyDescent="0.25">
      <c r="A79" s="51" t="s">
        <v>178</v>
      </c>
      <c r="B79" s="42" t="s">
        <v>614</v>
      </c>
      <c r="C79" s="44" t="s">
        <v>636</v>
      </c>
      <c r="D79" s="42" t="s">
        <v>637</v>
      </c>
      <c r="E79" s="34">
        <v>404</v>
      </c>
      <c r="F79" s="42" t="b">
        <v>0</v>
      </c>
      <c r="G79" s="42">
        <v>0</v>
      </c>
      <c r="H79" s="52">
        <v>0</v>
      </c>
      <c r="I79" s="42">
        <v>0</v>
      </c>
      <c r="J79" s="42">
        <v>0</v>
      </c>
      <c r="K79" s="42">
        <v>0</v>
      </c>
      <c r="L79" s="46" t="b">
        <v>0</v>
      </c>
      <c r="M79" s="42">
        <v>0</v>
      </c>
      <c r="N79" s="42">
        <v>0</v>
      </c>
      <c r="O79" s="52">
        <v>0</v>
      </c>
      <c r="P79" s="42">
        <v>0</v>
      </c>
      <c r="Q79" s="42">
        <v>0</v>
      </c>
      <c r="R79" s="42"/>
      <c r="S79" s="42"/>
      <c r="T79" s="42" t="s">
        <v>616</v>
      </c>
      <c r="U79" t="str">
        <f>IFERROR(HYPERLINK("#'Main'!B"&amp;MATCH(TRIM(A79),Main!B:B,0),"Open"),HYPERLINK("#'Main'!B1","Open"))</f>
        <v>Open</v>
      </c>
    </row>
    <row r="80" spans="1:22" ht="30" customHeight="1" x14ac:dyDescent="0.25">
      <c r="A80" s="50" t="s">
        <v>178</v>
      </c>
      <c r="B80" s="33" t="s">
        <v>614</v>
      </c>
      <c r="C80" s="37" t="s">
        <v>636</v>
      </c>
      <c r="D80" s="33" t="s">
        <v>638</v>
      </c>
      <c r="E80" s="34">
        <v>404</v>
      </c>
      <c r="F80" s="33" t="b">
        <v>0</v>
      </c>
      <c r="G80" s="33">
        <v>0</v>
      </c>
      <c r="H80" s="52">
        <v>0</v>
      </c>
      <c r="I80" s="33">
        <v>0</v>
      </c>
      <c r="J80" s="33">
        <v>0</v>
      </c>
      <c r="K80" s="33">
        <v>0</v>
      </c>
      <c r="L80" s="40" t="b">
        <v>0</v>
      </c>
      <c r="M80" s="33">
        <v>0</v>
      </c>
      <c r="N80" s="33">
        <v>0</v>
      </c>
      <c r="O80" s="52">
        <v>0</v>
      </c>
      <c r="P80" s="33">
        <v>0</v>
      </c>
      <c r="Q80" s="33">
        <v>0</v>
      </c>
      <c r="R80" s="33"/>
      <c r="S80" s="33"/>
      <c r="T80" s="33" t="s">
        <v>616</v>
      </c>
      <c r="U80" s="41" t="str">
        <f>IFERROR(HYPERLINK("#'Main'!B"&amp;MATCH(TRIM(A80),Main!B:B,0),"Open"),HYPERLINK("#'Main'!B1","Open"))</f>
        <v>Open</v>
      </c>
      <c r="V80" s="41"/>
    </row>
    <row r="81" spans="1:22" ht="15.75" x14ac:dyDescent="0.25">
      <c r="A81" s="51" t="s">
        <v>176</v>
      </c>
      <c r="B81" s="42" t="s">
        <v>614</v>
      </c>
      <c r="C81" s="44" t="s">
        <v>176</v>
      </c>
      <c r="D81" s="42"/>
      <c r="E81" s="52">
        <v>200</v>
      </c>
      <c r="F81" s="42" t="b">
        <v>1</v>
      </c>
      <c r="G81" s="42">
        <v>0</v>
      </c>
      <c r="H81" s="52">
        <v>0</v>
      </c>
      <c r="I81" s="42">
        <v>0</v>
      </c>
      <c r="J81" s="42">
        <v>0</v>
      </c>
      <c r="K81" s="42">
        <v>0</v>
      </c>
      <c r="L81" s="46" t="b">
        <v>0</v>
      </c>
      <c r="M81" s="42">
        <v>0</v>
      </c>
      <c r="N81" s="42">
        <v>0</v>
      </c>
      <c r="O81" s="52">
        <v>0</v>
      </c>
      <c r="P81" s="42">
        <v>0</v>
      </c>
      <c r="Q81" s="42">
        <v>0</v>
      </c>
      <c r="R81" s="42"/>
      <c r="S81" s="42"/>
      <c r="T81" s="42" t="s">
        <v>616</v>
      </c>
      <c r="U81" t="str">
        <f>IFERROR(HYPERLINK("#'Main'!B"&amp;MATCH(TRIM(A81),Main!B:B,0),"Open"),HYPERLINK("#'Main'!B1","Open"))</f>
        <v>Open</v>
      </c>
    </row>
    <row r="82" spans="1:22" ht="15.75" x14ac:dyDescent="0.25">
      <c r="A82" s="50" t="s">
        <v>176</v>
      </c>
      <c r="B82" s="33" t="s">
        <v>614</v>
      </c>
      <c r="C82" s="37" t="s">
        <v>176</v>
      </c>
      <c r="D82" s="33" t="s">
        <v>639</v>
      </c>
      <c r="E82" s="52">
        <v>200</v>
      </c>
      <c r="F82" s="33" t="b">
        <v>1</v>
      </c>
      <c r="G82" s="33">
        <v>0</v>
      </c>
      <c r="H82" s="52">
        <v>0</v>
      </c>
      <c r="I82" s="33">
        <v>0</v>
      </c>
      <c r="J82" s="33">
        <v>0</v>
      </c>
      <c r="K82" s="33">
        <v>0</v>
      </c>
      <c r="L82" s="40" t="b">
        <v>0</v>
      </c>
      <c r="M82" s="33">
        <v>0</v>
      </c>
      <c r="N82" s="33">
        <v>0</v>
      </c>
      <c r="O82" s="52">
        <v>0</v>
      </c>
      <c r="P82" s="33">
        <v>0</v>
      </c>
      <c r="Q82" s="33">
        <v>0</v>
      </c>
      <c r="R82" s="33"/>
      <c r="S82" s="33"/>
      <c r="T82" s="33" t="s">
        <v>616</v>
      </c>
      <c r="U82" s="41" t="str">
        <f>IFERROR(HYPERLINK("#'Main'!B"&amp;MATCH(TRIM(A82),Main!B:B,0),"Open"),HYPERLINK("#'Main'!B1","Open"))</f>
        <v>Open</v>
      </c>
      <c r="V82" s="41"/>
    </row>
    <row r="83" spans="1:22" ht="15.75" x14ac:dyDescent="0.25">
      <c r="A83" s="51" t="s">
        <v>176</v>
      </c>
      <c r="B83" s="42" t="s">
        <v>614</v>
      </c>
      <c r="C83" s="44" t="s">
        <v>178</v>
      </c>
      <c r="D83" s="42" t="s">
        <v>640</v>
      </c>
      <c r="E83" s="52">
        <v>200</v>
      </c>
      <c r="F83" s="42" t="b">
        <v>1</v>
      </c>
      <c r="G83" s="42">
        <v>0</v>
      </c>
      <c r="H83" s="52">
        <v>0</v>
      </c>
      <c r="I83" s="42">
        <v>0</v>
      </c>
      <c r="J83" s="42">
        <v>0</v>
      </c>
      <c r="K83" s="42">
        <v>0</v>
      </c>
      <c r="L83" s="46" t="b">
        <v>0</v>
      </c>
      <c r="M83" s="42">
        <v>0</v>
      </c>
      <c r="N83" s="42">
        <v>0</v>
      </c>
      <c r="O83" s="52">
        <v>0</v>
      </c>
      <c r="P83" s="42">
        <v>0</v>
      </c>
      <c r="Q83" s="42">
        <v>0</v>
      </c>
      <c r="R83" s="42"/>
      <c r="S83" s="42"/>
      <c r="T83" s="42" t="s">
        <v>616</v>
      </c>
      <c r="U83" t="str">
        <f>IFERROR(HYPERLINK("#'Main'!B"&amp;MATCH(TRIM(A83),Main!B:B,0),"Open"),HYPERLINK("#'Main'!B1","Open"))</f>
        <v>Open</v>
      </c>
    </row>
    <row r="84" spans="1:22" ht="15.75" x14ac:dyDescent="0.25">
      <c r="A84" s="50" t="s">
        <v>176</v>
      </c>
      <c r="B84" s="33" t="s">
        <v>614</v>
      </c>
      <c r="C84" s="37" t="s">
        <v>641</v>
      </c>
      <c r="D84" s="33" t="s">
        <v>642</v>
      </c>
      <c r="E84" s="52">
        <v>200</v>
      </c>
      <c r="F84" s="33" t="b">
        <v>1</v>
      </c>
      <c r="G84" s="33">
        <v>0</v>
      </c>
      <c r="H84" s="52">
        <v>0</v>
      </c>
      <c r="I84" s="33">
        <v>0</v>
      </c>
      <c r="J84" s="33">
        <v>0</v>
      </c>
      <c r="K84" s="33">
        <v>0</v>
      </c>
      <c r="L84" s="40" t="b">
        <v>0</v>
      </c>
      <c r="M84" s="33">
        <v>0</v>
      </c>
      <c r="N84" s="33">
        <v>0</v>
      </c>
      <c r="O84" s="52">
        <v>0</v>
      </c>
      <c r="P84" s="33">
        <v>0</v>
      </c>
      <c r="Q84" s="33">
        <v>0</v>
      </c>
      <c r="R84" s="33"/>
      <c r="S84" s="33"/>
      <c r="T84" s="33" t="s">
        <v>616</v>
      </c>
      <c r="U84" s="41" t="str">
        <f>IFERROR(HYPERLINK("#'Main'!B"&amp;MATCH(TRIM(A84),Main!B:B,0),"Open"),HYPERLINK("#'Main'!B1","Open"))</f>
        <v>Open</v>
      </c>
      <c r="V84" s="41"/>
    </row>
    <row r="85" spans="1:22" ht="15.75" x14ac:dyDescent="0.25">
      <c r="A85" s="51" t="s">
        <v>176</v>
      </c>
      <c r="B85" s="42" t="s">
        <v>614</v>
      </c>
      <c r="C85" s="44" t="s">
        <v>643</v>
      </c>
      <c r="D85" s="42" t="s">
        <v>644</v>
      </c>
      <c r="E85" s="52">
        <v>200</v>
      </c>
      <c r="F85" s="42" t="b">
        <v>1</v>
      </c>
      <c r="G85" s="42">
        <v>0</v>
      </c>
      <c r="H85" s="52">
        <v>0</v>
      </c>
      <c r="I85" s="42">
        <v>0</v>
      </c>
      <c r="J85" s="42">
        <v>0</v>
      </c>
      <c r="K85" s="42">
        <v>0</v>
      </c>
      <c r="L85" s="46" t="b">
        <v>0</v>
      </c>
      <c r="M85" s="42">
        <v>0</v>
      </c>
      <c r="N85" s="42">
        <v>0</v>
      </c>
      <c r="O85" s="52">
        <v>0</v>
      </c>
      <c r="P85" s="42">
        <v>0</v>
      </c>
      <c r="Q85" s="42">
        <v>0</v>
      </c>
      <c r="R85" s="42"/>
      <c r="S85" s="42"/>
      <c r="T85" s="42" t="s">
        <v>616</v>
      </c>
      <c r="U85" t="str">
        <f>IFERROR(HYPERLINK("#'Main'!B"&amp;MATCH(TRIM(A85),Main!B:B,0),"Open"),HYPERLINK("#'Main'!B1","Open"))</f>
        <v>Open</v>
      </c>
    </row>
    <row r="86" spans="1:22" ht="30" x14ac:dyDescent="0.25">
      <c r="A86" s="50" t="s">
        <v>176</v>
      </c>
      <c r="B86" s="33" t="s">
        <v>614</v>
      </c>
      <c r="C86" s="37" t="s">
        <v>208</v>
      </c>
      <c r="D86" s="33" t="s">
        <v>645</v>
      </c>
      <c r="E86" s="52">
        <v>200</v>
      </c>
      <c r="F86" s="33" t="b">
        <v>1</v>
      </c>
      <c r="G86" s="33">
        <v>0</v>
      </c>
      <c r="H86" s="52">
        <v>0</v>
      </c>
      <c r="I86" s="33">
        <v>0</v>
      </c>
      <c r="J86" s="33">
        <v>0</v>
      </c>
      <c r="K86" s="33">
        <v>0</v>
      </c>
      <c r="L86" s="40" t="b">
        <v>0</v>
      </c>
      <c r="M86" s="33">
        <v>0</v>
      </c>
      <c r="N86" s="33">
        <v>0</v>
      </c>
      <c r="O86" s="52">
        <v>0</v>
      </c>
      <c r="P86" s="33">
        <v>0</v>
      </c>
      <c r="Q86" s="33">
        <v>0</v>
      </c>
      <c r="R86" s="33"/>
      <c r="S86" s="33"/>
      <c r="T86" s="33" t="s">
        <v>616</v>
      </c>
      <c r="U86" s="41" t="str">
        <f>IFERROR(HYPERLINK("#'Main'!B"&amp;MATCH(TRIM(A86),Main!B:B,0),"Open"),HYPERLINK("#'Main'!B1","Open"))</f>
        <v>Open</v>
      </c>
      <c r="V86" s="41"/>
    </row>
    <row r="87" spans="1:22" ht="15.75" x14ac:dyDescent="0.25">
      <c r="A87" s="51" t="s">
        <v>176</v>
      </c>
      <c r="B87" s="42" t="s">
        <v>614</v>
      </c>
      <c r="C87" s="44" t="s">
        <v>646</v>
      </c>
      <c r="D87" s="42" t="s">
        <v>647</v>
      </c>
      <c r="E87" s="52">
        <v>200</v>
      </c>
      <c r="F87" s="42" t="b">
        <v>1</v>
      </c>
      <c r="G87" s="42">
        <v>0</v>
      </c>
      <c r="H87" s="52">
        <v>0</v>
      </c>
      <c r="I87" s="42">
        <v>0</v>
      </c>
      <c r="J87" s="42">
        <v>0</v>
      </c>
      <c r="K87" s="42">
        <v>0</v>
      </c>
      <c r="L87" s="46" t="b">
        <v>0</v>
      </c>
      <c r="M87" s="42">
        <v>0</v>
      </c>
      <c r="N87" s="42">
        <v>0</v>
      </c>
      <c r="O87" s="52">
        <v>0</v>
      </c>
      <c r="P87" s="42">
        <v>0</v>
      </c>
      <c r="Q87" s="42">
        <v>0</v>
      </c>
      <c r="R87" s="42"/>
      <c r="S87" s="42"/>
      <c r="T87" s="42" t="s">
        <v>616</v>
      </c>
      <c r="U87" t="str">
        <f>IFERROR(HYPERLINK("#'Main'!B"&amp;MATCH(TRIM(A87),Main!B:B,0),"Open"),HYPERLINK("#'Main'!B1","Open"))</f>
        <v>Open</v>
      </c>
    </row>
    <row r="88" spans="1:22" ht="30" x14ac:dyDescent="0.25">
      <c r="A88" s="50" t="s">
        <v>176</v>
      </c>
      <c r="B88" s="33" t="s">
        <v>614</v>
      </c>
      <c r="C88" s="37" t="s">
        <v>648</v>
      </c>
      <c r="D88" s="33" t="s">
        <v>649</v>
      </c>
      <c r="E88" s="52">
        <v>200</v>
      </c>
      <c r="F88" s="33" t="b">
        <v>1</v>
      </c>
      <c r="G88" s="33">
        <v>0</v>
      </c>
      <c r="H88" s="52">
        <v>0</v>
      </c>
      <c r="I88" s="33">
        <v>0</v>
      </c>
      <c r="J88" s="33">
        <v>0</v>
      </c>
      <c r="K88" s="33">
        <v>0</v>
      </c>
      <c r="L88" s="40" t="b">
        <v>0</v>
      </c>
      <c r="M88" s="33">
        <v>0</v>
      </c>
      <c r="N88" s="33">
        <v>0</v>
      </c>
      <c r="O88" s="52">
        <v>0</v>
      </c>
      <c r="P88" s="33">
        <v>0</v>
      </c>
      <c r="Q88" s="33">
        <v>0</v>
      </c>
      <c r="R88" s="33"/>
      <c r="S88" s="33"/>
      <c r="T88" s="33" t="s">
        <v>616</v>
      </c>
      <c r="U88" s="41" t="str">
        <f>IFERROR(HYPERLINK("#'Main'!B"&amp;MATCH(TRIM(A88),Main!B:B,0),"Open"),HYPERLINK("#'Main'!B1","Open"))</f>
        <v>Open</v>
      </c>
      <c r="V88" s="41"/>
    </row>
    <row r="89" spans="1:22" ht="30" x14ac:dyDescent="0.25">
      <c r="A89" s="51" t="s">
        <v>176</v>
      </c>
      <c r="B89" s="42" t="s">
        <v>614</v>
      </c>
      <c r="C89" s="44" t="s">
        <v>650</v>
      </c>
      <c r="D89" s="42" t="s">
        <v>651</v>
      </c>
      <c r="E89" s="52">
        <v>200</v>
      </c>
      <c r="F89" s="42" t="b">
        <v>1</v>
      </c>
      <c r="G89" s="42">
        <v>0</v>
      </c>
      <c r="H89" s="52">
        <v>0</v>
      </c>
      <c r="I89" s="42">
        <v>0</v>
      </c>
      <c r="J89" s="42">
        <v>0</v>
      </c>
      <c r="K89" s="42">
        <v>0</v>
      </c>
      <c r="L89" s="46" t="b">
        <v>0</v>
      </c>
      <c r="M89" s="42">
        <v>0</v>
      </c>
      <c r="N89" s="42">
        <v>0</v>
      </c>
      <c r="O89" s="52">
        <v>0</v>
      </c>
      <c r="P89" s="42">
        <v>0</v>
      </c>
      <c r="Q89" s="42">
        <v>0</v>
      </c>
      <c r="R89" s="42"/>
      <c r="S89" s="42"/>
      <c r="T89" s="42" t="s">
        <v>616</v>
      </c>
      <c r="U89" t="str">
        <f>IFERROR(HYPERLINK("#'Main'!B"&amp;MATCH(TRIM(A89),Main!B:B,0),"Open"),HYPERLINK("#'Main'!B1","Open"))</f>
        <v>Open</v>
      </c>
    </row>
    <row r="90" spans="1:22" ht="15.75" x14ac:dyDescent="0.25">
      <c r="A90" s="50" t="s">
        <v>176</v>
      </c>
      <c r="B90" s="33" t="s">
        <v>614</v>
      </c>
      <c r="C90" s="37" t="s">
        <v>652</v>
      </c>
      <c r="D90" s="33" t="s">
        <v>653</v>
      </c>
      <c r="E90" s="52">
        <v>200</v>
      </c>
      <c r="F90" s="33" t="b">
        <v>1</v>
      </c>
      <c r="G90" s="33">
        <v>0</v>
      </c>
      <c r="H90" s="52">
        <v>0</v>
      </c>
      <c r="I90" s="33">
        <v>0</v>
      </c>
      <c r="J90" s="33">
        <v>0</v>
      </c>
      <c r="K90" s="33">
        <v>0</v>
      </c>
      <c r="L90" s="40" t="b">
        <v>0</v>
      </c>
      <c r="M90" s="33">
        <v>0</v>
      </c>
      <c r="N90" s="33">
        <v>0</v>
      </c>
      <c r="O90" s="52">
        <v>0</v>
      </c>
      <c r="P90" s="33">
        <v>0</v>
      </c>
      <c r="Q90" s="33">
        <v>0</v>
      </c>
      <c r="R90" s="33"/>
      <c r="S90" s="33"/>
      <c r="T90" s="33" t="s">
        <v>616</v>
      </c>
      <c r="U90" s="41" t="str">
        <f>IFERROR(HYPERLINK("#'Main'!B"&amp;MATCH(TRIM(A90),Main!B:B,0),"Open"),HYPERLINK("#'Main'!B1","Open"))</f>
        <v>Open</v>
      </c>
      <c r="V90" s="41"/>
    </row>
    <row r="91" spans="1:22" ht="15.75" x14ac:dyDescent="0.25">
      <c r="A91" s="51" t="s">
        <v>176</v>
      </c>
      <c r="B91" s="42" t="s">
        <v>614</v>
      </c>
      <c r="C91" s="44" t="s">
        <v>652</v>
      </c>
      <c r="D91" s="42" t="s">
        <v>654</v>
      </c>
      <c r="E91" s="52">
        <v>200</v>
      </c>
      <c r="F91" s="42" t="b">
        <v>1</v>
      </c>
      <c r="G91" s="42">
        <v>0</v>
      </c>
      <c r="H91" s="52">
        <v>0</v>
      </c>
      <c r="I91" s="42">
        <v>0</v>
      </c>
      <c r="J91" s="42">
        <v>0</v>
      </c>
      <c r="K91" s="42">
        <v>0</v>
      </c>
      <c r="L91" s="46" t="b">
        <v>0</v>
      </c>
      <c r="M91" s="42">
        <v>0</v>
      </c>
      <c r="N91" s="42">
        <v>0</v>
      </c>
      <c r="O91" s="52">
        <v>0</v>
      </c>
      <c r="P91" s="42">
        <v>0</v>
      </c>
      <c r="Q91" s="42">
        <v>0</v>
      </c>
      <c r="R91" s="42"/>
      <c r="S91" s="42"/>
      <c r="T91" s="42" t="s">
        <v>616</v>
      </c>
      <c r="U91" t="str">
        <f>IFERROR(HYPERLINK("#'Main'!B"&amp;MATCH(TRIM(A91),Main!B:B,0),"Open"),HYPERLINK("#'Main'!B1","Open"))</f>
        <v>Open</v>
      </c>
    </row>
    <row r="92" spans="1:22" ht="15.75" x14ac:dyDescent="0.25">
      <c r="A92" s="50" t="s">
        <v>176</v>
      </c>
      <c r="B92" s="33" t="s">
        <v>614</v>
      </c>
      <c r="C92" s="37" t="s">
        <v>629</v>
      </c>
      <c r="D92" s="33" t="s">
        <v>655</v>
      </c>
      <c r="E92" s="52">
        <v>200</v>
      </c>
      <c r="F92" s="33" t="b">
        <v>1</v>
      </c>
      <c r="G92" s="33">
        <v>0</v>
      </c>
      <c r="H92" s="52">
        <v>0</v>
      </c>
      <c r="I92" s="33">
        <v>0</v>
      </c>
      <c r="J92" s="33">
        <v>0</v>
      </c>
      <c r="K92" s="33">
        <v>0</v>
      </c>
      <c r="L92" s="40" t="b">
        <v>0</v>
      </c>
      <c r="M92" s="33">
        <v>0</v>
      </c>
      <c r="N92" s="33">
        <v>0</v>
      </c>
      <c r="O92" s="52">
        <v>0</v>
      </c>
      <c r="P92" s="33">
        <v>0</v>
      </c>
      <c r="Q92" s="33">
        <v>0</v>
      </c>
      <c r="R92" s="33"/>
      <c r="S92" s="33"/>
      <c r="T92" s="33" t="s">
        <v>616</v>
      </c>
      <c r="U92" s="41" t="str">
        <f>IFERROR(HYPERLINK("#'Main'!B"&amp;MATCH(TRIM(A92),Main!B:B,0),"Open"),HYPERLINK("#'Main'!B1","Open"))</f>
        <v>Open</v>
      </c>
      <c r="V92" s="41"/>
    </row>
    <row r="93" spans="1:22" ht="30" x14ac:dyDescent="0.25">
      <c r="A93" s="51" t="s">
        <v>176</v>
      </c>
      <c r="B93" s="42" t="s">
        <v>614</v>
      </c>
      <c r="C93" s="44" t="s">
        <v>656</v>
      </c>
      <c r="D93" s="42" t="s">
        <v>286</v>
      </c>
      <c r="E93" s="52">
        <v>200</v>
      </c>
      <c r="F93" s="42" t="b">
        <v>1</v>
      </c>
      <c r="G93" s="42">
        <v>0</v>
      </c>
      <c r="H93" s="52">
        <v>0</v>
      </c>
      <c r="I93" s="42">
        <v>0</v>
      </c>
      <c r="J93" s="42">
        <v>0</v>
      </c>
      <c r="K93" s="42">
        <v>0</v>
      </c>
      <c r="L93" s="46" t="b">
        <v>0</v>
      </c>
      <c r="M93" s="42">
        <v>0</v>
      </c>
      <c r="N93" s="42">
        <v>0</v>
      </c>
      <c r="O93" s="52">
        <v>0</v>
      </c>
      <c r="P93" s="42">
        <v>0</v>
      </c>
      <c r="Q93" s="42">
        <v>0</v>
      </c>
      <c r="R93" s="42"/>
      <c r="S93" s="42"/>
      <c r="T93" s="42" t="s">
        <v>616</v>
      </c>
      <c r="U93" t="str">
        <f>IFERROR(HYPERLINK("#'Main'!B"&amp;MATCH(TRIM(A93),Main!B:B,0),"Open"),HYPERLINK("#'Main'!B1","Open"))</f>
        <v>Open</v>
      </c>
    </row>
    <row r="94" spans="1:22" ht="15.75" x14ac:dyDescent="0.25">
      <c r="A94" s="50" t="s">
        <v>176</v>
      </c>
      <c r="B94" s="33" t="s">
        <v>614</v>
      </c>
      <c r="C94" s="37" t="s">
        <v>657</v>
      </c>
      <c r="D94" s="33" t="s">
        <v>658</v>
      </c>
      <c r="E94" s="52">
        <v>200</v>
      </c>
      <c r="F94" s="33" t="b">
        <v>1</v>
      </c>
      <c r="G94" s="33">
        <v>0</v>
      </c>
      <c r="H94" s="52">
        <v>0</v>
      </c>
      <c r="I94" s="33">
        <v>0</v>
      </c>
      <c r="J94" s="33">
        <v>0</v>
      </c>
      <c r="K94" s="33">
        <v>0</v>
      </c>
      <c r="L94" s="40" t="b">
        <v>0</v>
      </c>
      <c r="M94" s="33">
        <v>0</v>
      </c>
      <c r="N94" s="33">
        <v>0</v>
      </c>
      <c r="O94" s="52">
        <v>0</v>
      </c>
      <c r="P94" s="33">
        <v>0</v>
      </c>
      <c r="Q94" s="33">
        <v>0</v>
      </c>
      <c r="R94" s="33"/>
      <c r="S94" s="33"/>
      <c r="T94" s="33" t="s">
        <v>616</v>
      </c>
      <c r="U94" s="41" t="str">
        <f>IFERROR(HYPERLINK("#'Main'!B"&amp;MATCH(TRIM(A94),Main!B:B,0),"Open"),HYPERLINK("#'Main'!B1","Open"))</f>
        <v>Open</v>
      </c>
      <c r="V94" s="41"/>
    </row>
    <row r="95" spans="1:22" ht="15.75" x14ac:dyDescent="0.25">
      <c r="A95" s="51" t="s">
        <v>176</v>
      </c>
      <c r="B95" s="42" t="s">
        <v>614</v>
      </c>
      <c r="C95" s="44" t="s">
        <v>176</v>
      </c>
      <c r="D95" s="42" t="s">
        <v>639</v>
      </c>
      <c r="E95" s="52">
        <v>200</v>
      </c>
      <c r="F95" s="42" t="b">
        <v>1</v>
      </c>
      <c r="G95" s="42">
        <v>0</v>
      </c>
      <c r="H95" s="52">
        <v>0</v>
      </c>
      <c r="I95" s="42">
        <v>0</v>
      </c>
      <c r="J95" s="42">
        <v>0</v>
      </c>
      <c r="K95" s="42">
        <v>0</v>
      </c>
      <c r="L95" s="46" t="b">
        <v>0</v>
      </c>
      <c r="M95" s="42">
        <v>0</v>
      </c>
      <c r="N95" s="42">
        <v>0</v>
      </c>
      <c r="O95" s="52">
        <v>0</v>
      </c>
      <c r="P95" s="42">
        <v>0</v>
      </c>
      <c r="Q95" s="42">
        <v>0</v>
      </c>
      <c r="R95" s="42"/>
      <c r="S95" s="42"/>
      <c r="T95" s="42" t="s">
        <v>616</v>
      </c>
      <c r="U95" t="str">
        <f>IFERROR(HYPERLINK("#'Main'!B"&amp;MATCH(TRIM(A95),Main!B:B,0),"Open"),HYPERLINK("#'Main'!B1","Open"))</f>
        <v>Open</v>
      </c>
    </row>
    <row r="96" spans="1:22" ht="15.75" x14ac:dyDescent="0.25">
      <c r="A96" s="50" t="s">
        <v>176</v>
      </c>
      <c r="B96" s="33" t="s">
        <v>614</v>
      </c>
      <c r="C96" s="37" t="s">
        <v>178</v>
      </c>
      <c r="D96" s="33" t="s">
        <v>640</v>
      </c>
      <c r="E96" s="52">
        <v>200</v>
      </c>
      <c r="F96" s="33" t="b">
        <v>1</v>
      </c>
      <c r="G96" s="33">
        <v>0</v>
      </c>
      <c r="H96" s="52">
        <v>0</v>
      </c>
      <c r="I96" s="33">
        <v>0</v>
      </c>
      <c r="J96" s="33">
        <v>0</v>
      </c>
      <c r="K96" s="33">
        <v>0</v>
      </c>
      <c r="L96" s="40" t="b">
        <v>0</v>
      </c>
      <c r="M96" s="33">
        <v>0</v>
      </c>
      <c r="N96" s="33">
        <v>0</v>
      </c>
      <c r="O96" s="52">
        <v>0</v>
      </c>
      <c r="P96" s="33">
        <v>0</v>
      </c>
      <c r="Q96" s="33">
        <v>0</v>
      </c>
      <c r="R96" s="33"/>
      <c r="S96" s="33"/>
      <c r="T96" s="33" t="s">
        <v>616</v>
      </c>
      <c r="U96" s="41" t="str">
        <f>IFERROR(HYPERLINK("#'Main'!B"&amp;MATCH(TRIM(A96),Main!B:B,0),"Open"),HYPERLINK("#'Main'!B1","Open"))</f>
        <v>Open</v>
      </c>
      <c r="V96" s="41"/>
    </row>
    <row r="97" spans="1:22" ht="15.75" x14ac:dyDescent="0.25">
      <c r="A97" s="51" t="s">
        <v>176</v>
      </c>
      <c r="B97" s="42" t="s">
        <v>614</v>
      </c>
      <c r="C97" s="44" t="s">
        <v>641</v>
      </c>
      <c r="D97" s="42" t="s">
        <v>642</v>
      </c>
      <c r="E97" s="52">
        <v>200</v>
      </c>
      <c r="F97" s="42" t="b">
        <v>1</v>
      </c>
      <c r="G97" s="42">
        <v>0</v>
      </c>
      <c r="H97" s="52">
        <v>0</v>
      </c>
      <c r="I97" s="42">
        <v>0</v>
      </c>
      <c r="J97" s="42">
        <v>0</v>
      </c>
      <c r="K97" s="42">
        <v>0</v>
      </c>
      <c r="L97" s="46" t="b">
        <v>0</v>
      </c>
      <c r="M97" s="42">
        <v>0</v>
      </c>
      <c r="N97" s="42">
        <v>0</v>
      </c>
      <c r="O97" s="52">
        <v>0</v>
      </c>
      <c r="P97" s="42">
        <v>0</v>
      </c>
      <c r="Q97" s="42">
        <v>0</v>
      </c>
      <c r="R97" s="42"/>
      <c r="S97" s="42"/>
      <c r="T97" s="42" t="s">
        <v>616</v>
      </c>
      <c r="U97" t="str">
        <f>IFERROR(HYPERLINK("#'Main'!B"&amp;MATCH(TRIM(A97),Main!B:B,0),"Open"),HYPERLINK("#'Main'!B1","Open"))</f>
        <v>Open</v>
      </c>
    </row>
    <row r="98" spans="1:22" ht="15.75" x14ac:dyDescent="0.25">
      <c r="A98" s="50" t="s">
        <v>176</v>
      </c>
      <c r="B98" s="33" t="s">
        <v>614</v>
      </c>
      <c r="C98" s="37" t="s">
        <v>643</v>
      </c>
      <c r="D98" s="33" t="s">
        <v>644</v>
      </c>
      <c r="E98" s="52">
        <v>200</v>
      </c>
      <c r="F98" s="33" t="b">
        <v>1</v>
      </c>
      <c r="G98" s="33">
        <v>0</v>
      </c>
      <c r="H98" s="52">
        <v>0</v>
      </c>
      <c r="I98" s="33">
        <v>0</v>
      </c>
      <c r="J98" s="33">
        <v>0</v>
      </c>
      <c r="K98" s="33">
        <v>0</v>
      </c>
      <c r="L98" s="40" t="b">
        <v>0</v>
      </c>
      <c r="M98" s="33">
        <v>0</v>
      </c>
      <c r="N98" s="33">
        <v>0</v>
      </c>
      <c r="O98" s="52">
        <v>0</v>
      </c>
      <c r="P98" s="33">
        <v>0</v>
      </c>
      <c r="Q98" s="33">
        <v>0</v>
      </c>
      <c r="R98" s="33"/>
      <c r="S98" s="33"/>
      <c r="T98" s="33" t="s">
        <v>616</v>
      </c>
      <c r="U98" s="41" t="str">
        <f>IFERROR(HYPERLINK("#'Main'!B"&amp;MATCH(TRIM(A98),Main!B:B,0),"Open"),HYPERLINK("#'Main'!B1","Open"))</f>
        <v>Open</v>
      </c>
      <c r="V98" s="41"/>
    </row>
    <row r="99" spans="1:22" ht="30" x14ac:dyDescent="0.25">
      <c r="A99" s="51" t="s">
        <v>176</v>
      </c>
      <c r="B99" s="42" t="s">
        <v>614</v>
      </c>
      <c r="C99" s="44" t="s">
        <v>208</v>
      </c>
      <c r="D99" s="42" t="s">
        <v>645</v>
      </c>
      <c r="E99" s="52">
        <v>200</v>
      </c>
      <c r="F99" s="42" t="b">
        <v>1</v>
      </c>
      <c r="G99" s="42">
        <v>0</v>
      </c>
      <c r="H99" s="52">
        <v>0</v>
      </c>
      <c r="I99" s="42">
        <v>0</v>
      </c>
      <c r="J99" s="42">
        <v>0</v>
      </c>
      <c r="K99" s="42">
        <v>0</v>
      </c>
      <c r="L99" s="46" t="b">
        <v>0</v>
      </c>
      <c r="M99" s="42">
        <v>0</v>
      </c>
      <c r="N99" s="42">
        <v>0</v>
      </c>
      <c r="O99" s="52">
        <v>0</v>
      </c>
      <c r="P99" s="42">
        <v>0</v>
      </c>
      <c r="Q99" s="42">
        <v>0</v>
      </c>
      <c r="R99" s="42"/>
      <c r="S99" s="42"/>
      <c r="T99" s="42" t="s">
        <v>616</v>
      </c>
      <c r="U99" t="str">
        <f>IFERROR(HYPERLINK("#'Main'!B"&amp;MATCH(TRIM(A99),Main!B:B,0),"Open"),HYPERLINK("#'Main'!B1","Open"))</f>
        <v>Open</v>
      </c>
    </row>
    <row r="100" spans="1:22" ht="15.75" x14ac:dyDescent="0.25">
      <c r="A100" s="50" t="s">
        <v>176</v>
      </c>
      <c r="B100" s="33" t="s">
        <v>614</v>
      </c>
      <c r="C100" s="37" t="s">
        <v>646</v>
      </c>
      <c r="D100" s="33" t="s">
        <v>647</v>
      </c>
      <c r="E100" s="52">
        <v>200</v>
      </c>
      <c r="F100" s="33" t="b">
        <v>1</v>
      </c>
      <c r="G100" s="33">
        <v>0</v>
      </c>
      <c r="H100" s="52">
        <v>0</v>
      </c>
      <c r="I100" s="33">
        <v>0</v>
      </c>
      <c r="J100" s="33">
        <v>0</v>
      </c>
      <c r="K100" s="33">
        <v>0</v>
      </c>
      <c r="L100" s="40" t="b">
        <v>0</v>
      </c>
      <c r="M100" s="33">
        <v>0</v>
      </c>
      <c r="N100" s="33">
        <v>0</v>
      </c>
      <c r="O100" s="52">
        <v>0</v>
      </c>
      <c r="P100" s="33">
        <v>0</v>
      </c>
      <c r="Q100" s="33">
        <v>0</v>
      </c>
      <c r="R100" s="33"/>
      <c r="S100" s="33"/>
      <c r="T100" s="33" t="s">
        <v>616</v>
      </c>
      <c r="U100" s="41" t="str">
        <f>IFERROR(HYPERLINK("#'Main'!B"&amp;MATCH(TRIM(A100),Main!B:B,0),"Open"),HYPERLINK("#'Main'!B1","Open"))</f>
        <v>Open</v>
      </c>
      <c r="V100" s="41"/>
    </row>
    <row r="101" spans="1:22" ht="30" x14ac:dyDescent="0.25">
      <c r="A101" s="51" t="s">
        <v>176</v>
      </c>
      <c r="B101" s="42" t="s">
        <v>614</v>
      </c>
      <c r="C101" s="44" t="s">
        <v>648</v>
      </c>
      <c r="D101" s="42" t="s">
        <v>649</v>
      </c>
      <c r="E101" s="52">
        <v>200</v>
      </c>
      <c r="F101" s="42" t="b">
        <v>1</v>
      </c>
      <c r="G101" s="42">
        <v>0</v>
      </c>
      <c r="H101" s="52">
        <v>0</v>
      </c>
      <c r="I101" s="42">
        <v>0</v>
      </c>
      <c r="J101" s="42">
        <v>0</v>
      </c>
      <c r="K101" s="42">
        <v>0</v>
      </c>
      <c r="L101" s="46" t="b">
        <v>0</v>
      </c>
      <c r="M101" s="42">
        <v>0</v>
      </c>
      <c r="N101" s="42">
        <v>0</v>
      </c>
      <c r="O101" s="52">
        <v>0</v>
      </c>
      <c r="P101" s="42">
        <v>0</v>
      </c>
      <c r="Q101" s="42">
        <v>0</v>
      </c>
      <c r="R101" s="42"/>
      <c r="S101" s="42"/>
      <c r="T101" s="42" t="s">
        <v>616</v>
      </c>
      <c r="U101" t="str">
        <f>IFERROR(HYPERLINK("#'Main'!B"&amp;MATCH(TRIM(A101),Main!B:B,0),"Open"),HYPERLINK("#'Main'!B1","Open"))</f>
        <v>Open</v>
      </c>
    </row>
    <row r="102" spans="1:22" ht="30" x14ac:dyDescent="0.25">
      <c r="A102" s="50" t="s">
        <v>176</v>
      </c>
      <c r="B102" s="33" t="s">
        <v>614</v>
      </c>
      <c r="C102" s="37" t="s">
        <v>650</v>
      </c>
      <c r="D102" s="33" t="s">
        <v>651</v>
      </c>
      <c r="E102" s="52">
        <v>200</v>
      </c>
      <c r="F102" s="33" t="b">
        <v>1</v>
      </c>
      <c r="G102" s="33">
        <v>0</v>
      </c>
      <c r="H102" s="52">
        <v>0</v>
      </c>
      <c r="I102" s="33">
        <v>0</v>
      </c>
      <c r="J102" s="33">
        <v>0</v>
      </c>
      <c r="K102" s="33">
        <v>0</v>
      </c>
      <c r="L102" s="40" t="b">
        <v>0</v>
      </c>
      <c r="M102" s="33">
        <v>0</v>
      </c>
      <c r="N102" s="33">
        <v>0</v>
      </c>
      <c r="O102" s="52">
        <v>0</v>
      </c>
      <c r="P102" s="33">
        <v>0</v>
      </c>
      <c r="Q102" s="33">
        <v>0</v>
      </c>
      <c r="R102" s="33"/>
      <c r="S102" s="33"/>
      <c r="T102" s="33" t="s">
        <v>616</v>
      </c>
      <c r="U102" s="41" t="str">
        <f>IFERROR(HYPERLINK("#'Main'!B"&amp;MATCH(TRIM(A102),Main!B:B,0),"Open"),HYPERLINK("#'Main'!B1","Open"))</f>
        <v>Open</v>
      </c>
      <c r="V102" s="41"/>
    </row>
    <row r="103" spans="1:22" ht="15.75" x14ac:dyDescent="0.25">
      <c r="A103" s="51" t="s">
        <v>176</v>
      </c>
      <c r="B103" s="42" t="s">
        <v>614</v>
      </c>
      <c r="C103" s="44" t="s">
        <v>652</v>
      </c>
      <c r="D103" s="42" t="s">
        <v>653</v>
      </c>
      <c r="E103" s="52">
        <v>200</v>
      </c>
      <c r="F103" s="42" t="b">
        <v>1</v>
      </c>
      <c r="G103" s="42">
        <v>0</v>
      </c>
      <c r="H103" s="52">
        <v>0</v>
      </c>
      <c r="I103" s="42">
        <v>0</v>
      </c>
      <c r="J103" s="42">
        <v>0</v>
      </c>
      <c r="K103" s="42">
        <v>0</v>
      </c>
      <c r="L103" s="46" t="b">
        <v>0</v>
      </c>
      <c r="M103" s="42">
        <v>0</v>
      </c>
      <c r="N103" s="42">
        <v>0</v>
      </c>
      <c r="O103" s="52">
        <v>0</v>
      </c>
      <c r="P103" s="42">
        <v>0</v>
      </c>
      <c r="Q103" s="42">
        <v>0</v>
      </c>
      <c r="R103" s="42"/>
      <c r="S103" s="42"/>
      <c r="T103" s="42" t="s">
        <v>616</v>
      </c>
      <c r="U103" t="str">
        <f>IFERROR(HYPERLINK("#'Main'!B"&amp;MATCH(TRIM(A103),Main!B:B,0),"Open"),HYPERLINK("#'Main'!B1","Open"))</f>
        <v>Open</v>
      </c>
    </row>
    <row r="104" spans="1:22" ht="15.75" x14ac:dyDescent="0.25">
      <c r="A104" s="50" t="s">
        <v>176</v>
      </c>
      <c r="B104" s="33" t="s">
        <v>614</v>
      </c>
      <c r="C104" s="37" t="s">
        <v>652</v>
      </c>
      <c r="D104" s="33" t="s">
        <v>654</v>
      </c>
      <c r="E104" s="52">
        <v>200</v>
      </c>
      <c r="F104" s="33" t="b">
        <v>1</v>
      </c>
      <c r="G104" s="33">
        <v>0</v>
      </c>
      <c r="H104" s="52">
        <v>0</v>
      </c>
      <c r="I104" s="33">
        <v>0</v>
      </c>
      <c r="J104" s="33">
        <v>0</v>
      </c>
      <c r="K104" s="33">
        <v>0</v>
      </c>
      <c r="L104" s="40" t="b">
        <v>0</v>
      </c>
      <c r="M104" s="33">
        <v>0</v>
      </c>
      <c r="N104" s="33">
        <v>0</v>
      </c>
      <c r="O104" s="52">
        <v>0</v>
      </c>
      <c r="P104" s="33">
        <v>0</v>
      </c>
      <c r="Q104" s="33">
        <v>0</v>
      </c>
      <c r="R104" s="33"/>
      <c r="S104" s="33"/>
      <c r="T104" s="33" t="s">
        <v>616</v>
      </c>
      <c r="U104" s="41" t="str">
        <f>IFERROR(HYPERLINK("#'Main'!B"&amp;MATCH(TRIM(A104),Main!B:B,0),"Open"),HYPERLINK("#'Main'!B1","Open"))</f>
        <v>Open</v>
      </c>
      <c r="V104" s="41"/>
    </row>
    <row r="105" spans="1:22" ht="15.75" x14ac:dyDescent="0.25">
      <c r="A105" s="51" t="s">
        <v>176</v>
      </c>
      <c r="B105" s="42" t="s">
        <v>614</v>
      </c>
      <c r="C105" s="44" t="s">
        <v>629</v>
      </c>
      <c r="D105" s="42" t="s">
        <v>655</v>
      </c>
      <c r="E105" s="52">
        <v>200</v>
      </c>
      <c r="F105" s="42" t="b">
        <v>1</v>
      </c>
      <c r="G105" s="42">
        <v>0</v>
      </c>
      <c r="H105" s="52">
        <v>0</v>
      </c>
      <c r="I105" s="42">
        <v>0</v>
      </c>
      <c r="J105" s="42">
        <v>0</v>
      </c>
      <c r="K105" s="42">
        <v>0</v>
      </c>
      <c r="L105" s="46" t="b">
        <v>0</v>
      </c>
      <c r="M105" s="42">
        <v>0</v>
      </c>
      <c r="N105" s="42">
        <v>0</v>
      </c>
      <c r="O105" s="52">
        <v>0</v>
      </c>
      <c r="P105" s="42">
        <v>0</v>
      </c>
      <c r="Q105" s="42">
        <v>0</v>
      </c>
      <c r="R105" s="42"/>
      <c r="S105" s="42"/>
      <c r="T105" s="42" t="s">
        <v>616</v>
      </c>
      <c r="U105" t="str">
        <f>IFERROR(HYPERLINK("#'Main'!B"&amp;MATCH(TRIM(A105),Main!B:B,0),"Open"),HYPERLINK("#'Main'!B1","Open"))</f>
        <v>Open</v>
      </c>
    </row>
    <row r="106" spans="1:22" ht="30" x14ac:dyDescent="0.25">
      <c r="A106" s="50" t="s">
        <v>176</v>
      </c>
      <c r="B106" s="33" t="s">
        <v>614</v>
      </c>
      <c r="C106" s="37" t="s">
        <v>656</v>
      </c>
      <c r="D106" s="33" t="s">
        <v>286</v>
      </c>
      <c r="E106" s="52">
        <v>200</v>
      </c>
      <c r="F106" s="33" t="b">
        <v>1</v>
      </c>
      <c r="G106" s="33">
        <v>0</v>
      </c>
      <c r="H106" s="52">
        <v>0</v>
      </c>
      <c r="I106" s="33">
        <v>0</v>
      </c>
      <c r="J106" s="33">
        <v>0</v>
      </c>
      <c r="K106" s="33">
        <v>0</v>
      </c>
      <c r="L106" s="40" t="b">
        <v>0</v>
      </c>
      <c r="M106" s="33">
        <v>0</v>
      </c>
      <c r="N106" s="33">
        <v>0</v>
      </c>
      <c r="O106" s="52">
        <v>0</v>
      </c>
      <c r="P106" s="33">
        <v>0</v>
      </c>
      <c r="Q106" s="33">
        <v>0</v>
      </c>
      <c r="R106" s="33"/>
      <c r="S106" s="33"/>
      <c r="T106" s="33" t="s">
        <v>616</v>
      </c>
      <c r="U106" s="41" t="str">
        <f>IFERROR(HYPERLINK("#'Main'!B"&amp;MATCH(TRIM(A106),Main!B:B,0),"Open"),HYPERLINK("#'Main'!B1","Open"))</f>
        <v>Open</v>
      </c>
      <c r="V106" s="41"/>
    </row>
    <row r="107" spans="1:22" ht="15.75" x14ac:dyDescent="0.25">
      <c r="A107" s="51" t="s">
        <v>176</v>
      </c>
      <c r="B107" s="42" t="s">
        <v>614</v>
      </c>
      <c r="C107" s="44" t="s">
        <v>657</v>
      </c>
      <c r="D107" s="42" t="s">
        <v>658</v>
      </c>
      <c r="E107" s="52">
        <v>200</v>
      </c>
      <c r="F107" s="42" t="b">
        <v>1</v>
      </c>
      <c r="G107" s="42">
        <v>0</v>
      </c>
      <c r="H107" s="52">
        <v>0</v>
      </c>
      <c r="I107" s="42">
        <v>0</v>
      </c>
      <c r="J107" s="42">
        <v>0</v>
      </c>
      <c r="K107" s="42">
        <v>0</v>
      </c>
      <c r="L107" s="46" t="b">
        <v>0</v>
      </c>
      <c r="M107" s="42">
        <v>0</v>
      </c>
      <c r="N107" s="42">
        <v>0</v>
      </c>
      <c r="O107" s="52">
        <v>0</v>
      </c>
      <c r="P107" s="42">
        <v>0</v>
      </c>
      <c r="Q107" s="42">
        <v>0</v>
      </c>
      <c r="R107" s="42"/>
      <c r="S107" s="42"/>
      <c r="T107" s="42" t="s">
        <v>616</v>
      </c>
      <c r="U107" t="str">
        <f>IFERROR(HYPERLINK("#'Main'!B"&amp;MATCH(TRIM(A107),Main!B:B,0),"Open"),HYPERLINK("#'Main'!B1","Open"))</f>
        <v>Open</v>
      </c>
    </row>
    <row r="108" spans="1:22" ht="30" x14ac:dyDescent="0.25">
      <c r="A108" s="50" t="s">
        <v>176</v>
      </c>
      <c r="B108" s="33" t="s">
        <v>614</v>
      </c>
      <c r="C108" s="37" t="s">
        <v>656</v>
      </c>
      <c r="D108" s="33" t="s">
        <v>667</v>
      </c>
      <c r="E108" s="52">
        <v>200</v>
      </c>
      <c r="F108" s="33" t="b">
        <v>1</v>
      </c>
      <c r="G108" s="33">
        <v>0</v>
      </c>
      <c r="H108" s="52">
        <v>0</v>
      </c>
      <c r="I108" s="33">
        <v>0</v>
      </c>
      <c r="J108" s="33">
        <v>0</v>
      </c>
      <c r="K108" s="33">
        <v>0</v>
      </c>
      <c r="L108" s="40" t="b">
        <v>0</v>
      </c>
      <c r="M108" s="33">
        <v>0</v>
      </c>
      <c r="N108" s="33">
        <v>0</v>
      </c>
      <c r="O108" s="52">
        <v>0</v>
      </c>
      <c r="P108" s="33">
        <v>0</v>
      </c>
      <c r="Q108" s="33">
        <v>0</v>
      </c>
      <c r="R108" s="33"/>
      <c r="S108" s="33"/>
      <c r="T108" s="33" t="s">
        <v>616</v>
      </c>
      <c r="U108" s="41" t="str">
        <f>IFERROR(HYPERLINK("#'Main'!B"&amp;MATCH(TRIM(A108),Main!B:B,0),"Open"),HYPERLINK("#'Main'!B1","Open"))</f>
        <v>Open</v>
      </c>
      <c r="V108" s="41"/>
    </row>
    <row r="109" spans="1:22" ht="30" x14ac:dyDescent="0.25">
      <c r="A109" s="51" t="s">
        <v>176</v>
      </c>
      <c r="B109" s="42" t="s">
        <v>614</v>
      </c>
      <c r="C109" s="44" t="s">
        <v>650</v>
      </c>
      <c r="D109" s="42" t="s">
        <v>668</v>
      </c>
      <c r="E109" s="52">
        <v>200</v>
      </c>
      <c r="F109" s="42" t="b">
        <v>1</v>
      </c>
      <c r="G109" s="42">
        <v>0</v>
      </c>
      <c r="H109" s="52">
        <v>0</v>
      </c>
      <c r="I109" s="42">
        <v>0</v>
      </c>
      <c r="J109" s="42">
        <v>0</v>
      </c>
      <c r="K109" s="42">
        <v>0</v>
      </c>
      <c r="L109" s="46" t="b">
        <v>0</v>
      </c>
      <c r="M109" s="42">
        <v>0</v>
      </c>
      <c r="N109" s="42">
        <v>0</v>
      </c>
      <c r="O109" s="52">
        <v>0</v>
      </c>
      <c r="P109" s="42">
        <v>0</v>
      </c>
      <c r="Q109" s="42">
        <v>0</v>
      </c>
      <c r="R109" s="42"/>
      <c r="S109" s="42"/>
      <c r="T109" s="42" t="s">
        <v>616</v>
      </c>
      <c r="U109" t="str">
        <f>IFERROR(HYPERLINK("#'Main'!B"&amp;MATCH(TRIM(A109),Main!B:B,0),"Open"),HYPERLINK("#'Main'!B1","Open"))</f>
        <v>Open</v>
      </c>
    </row>
    <row r="110" spans="1:22" ht="15.75" x14ac:dyDescent="0.25">
      <c r="A110" s="50" t="s">
        <v>176</v>
      </c>
      <c r="B110" s="33" t="s">
        <v>614</v>
      </c>
      <c r="C110" s="37" t="s">
        <v>178</v>
      </c>
      <c r="D110" s="33" t="s">
        <v>669</v>
      </c>
      <c r="E110" s="52">
        <v>200</v>
      </c>
      <c r="F110" s="33" t="b">
        <v>1</v>
      </c>
      <c r="G110" s="33">
        <v>0</v>
      </c>
      <c r="H110" s="52">
        <v>0</v>
      </c>
      <c r="I110" s="33">
        <v>0</v>
      </c>
      <c r="J110" s="33">
        <v>0</v>
      </c>
      <c r="K110" s="33">
        <v>0</v>
      </c>
      <c r="L110" s="40" t="b">
        <v>0</v>
      </c>
      <c r="M110" s="33">
        <v>0</v>
      </c>
      <c r="N110" s="33">
        <v>0</v>
      </c>
      <c r="O110" s="52">
        <v>0</v>
      </c>
      <c r="P110" s="33">
        <v>0</v>
      </c>
      <c r="Q110" s="33">
        <v>0</v>
      </c>
      <c r="R110" s="33"/>
      <c r="S110" s="33"/>
      <c r="T110" s="33" t="s">
        <v>616</v>
      </c>
      <c r="U110" s="41" t="str">
        <f>IFERROR(HYPERLINK("#'Main'!B"&amp;MATCH(TRIM(A110),Main!B:B,0),"Open"),HYPERLINK("#'Main'!B1","Open"))</f>
        <v>Open</v>
      </c>
      <c r="V110" s="41"/>
    </row>
    <row r="111" spans="1:22" ht="30" x14ac:dyDescent="0.25">
      <c r="A111" s="51" t="s">
        <v>176</v>
      </c>
      <c r="B111" s="42" t="s">
        <v>614</v>
      </c>
      <c r="C111" s="44" t="s">
        <v>656</v>
      </c>
      <c r="D111" s="42" t="s">
        <v>670</v>
      </c>
      <c r="E111" s="52">
        <v>200</v>
      </c>
      <c r="F111" s="42" t="b">
        <v>1</v>
      </c>
      <c r="G111" s="42">
        <v>0</v>
      </c>
      <c r="H111" s="52">
        <v>0</v>
      </c>
      <c r="I111" s="42">
        <v>0</v>
      </c>
      <c r="J111" s="42">
        <v>0</v>
      </c>
      <c r="K111" s="42">
        <v>0</v>
      </c>
      <c r="L111" s="46" t="b">
        <v>0</v>
      </c>
      <c r="M111" s="42">
        <v>0</v>
      </c>
      <c r="N111" s="42">
        <v>0</v>
      </c>
      <c r="O111" s="52">
        <v>0</v>
      </c>
      <c r="P111" s="42">
        <v>0</v>
      </c>
      <c r="Q111" s="42">
        <v>0</v>
      </c>
      <c r="R111" s="42"/>
      <c r="S111" s="42"/>
      <c r="T111" s="42" t="s">
        <v>616</v>
      </c>
      <c r="U111" t="str">
        <f>IFERROR(HYPERLINK("#'Main'!B"&amp;MATCH(TRIM(A111),Main!B:B,0),"Open"),HYPERLINK("#'Main'!B1","Open"))</f>
        <v>Open</v>
      </c>
    </row>
    <row r="112" spans="1:22" ht="30" x14ac:dyDescent="0.25">
      <c r="A112" s="50" t="s">
        <v>176</v>
      </c>
      <c r="B112" s="33" t="s">
        <v>614</v>
      </c>
      <c r="C112" s="37" t="s">
        <v>617</v>
      </c>
      <c r="D112" s="33" t="s">
        <v>671</v>
      </c>
      <c r="E112" s="52">
        <v>200</v>
      </c>
      <c r="F112" s="33" t="b">
        <v>1</v>
      </c>
      <c r="G112" s="33">
        <v>0</v>
      </c>
      <c r="H112" s="52">
        <v>0</v>
      </c>
      <c r="I112" s="33">
        <v>0</v>
      </c>
      <c r="J112" s="33">
        <v>0</v>
      </c>
      <c r="K112" s="33">
        <v>0</v>
      </c>
      <c r="L112" s="40" t="b">
        <v>0</v>
      </c>
      <c r="M112" s="33">
        <v>0</v>
      </c>
      <c r="N112" s="33">
        <v>0</v>
      </c>
      <c r="O112" s="52">
        <v>0</v>
      </c>
      <c r="P112" s="33">
        <v>0</v>
      </c>
      <c r="Q112" s="33">
        <v>0</v>
      </c>
      <c r="R112" s="33"/>
      <c r="S112" s="33"/>
      <c r="T112" s="33" t="s">
        <v>616</v>
      </c>
      <c r="U112" s="41" t="str">
        <f>IFERROR(HYPERLINK("#'Main'!B"&amp;MATCH(TRIM(A112),Main!B:B,0),"Open"),HYPERLINK("#'Main'!B1","Open"))</f>
        <v>Open</v>
      </c>
      <c r="V112" s="41"/>
    </row>
    <row r="113" spans="1:22" ht="15.75" x14ac:dyDescent="0.25">
      <c r="A113" s="51" t="s">
        <v>176</v>
      </c>
      <c r="B113" s="42" t="s">
        <v>614</v>
      </c>
      <c r="C113" s="44" t="s">
        <v>646</v>
      </c>
      <c r="D113" s="42" t="s">
        <v>672</v>
      </c>
      <c r="E113" s="52">
        <v>200</v>
      </c>
      <c r="F113" s="42" t="b">
        <v>1</v>
      </c>
      <c r="G113" s="42">
        <v>0</v>
      </c>
      <c r="H113" s="52">
        <v>0</v>
      </c>
      <c r="I113" s="42">
        <v>0</v>
      </c>
      <c r="J113" s="42">
        <v>0</v>
      </c>
      <c r="K113" s="42">
        <v>0</v>
      </c>
      <c r="L113" s="46" t="b">
        <v>0</v>
      </c>
      <c r="M113" s="42">
        <v>0</v>
      </c>
      <c r="N113" s="42">
        <v>0</v>
      </c>
      <c r="O113" s="52">
        <v>0</v>
      </c>
      <c r="P113" s="42">
        <v>0</v>
      </c>
      <c r="Q113" s="42">
        <v>0</v>
      </c>
      <c r="R113" s="42"/>
      <c r="S113" s="42"/>
      <c r="T113" s="42" t="s">
        <v>616</v>
      </c>
      <c r="U113" t="str">
        <f>IFERROR(HYPERLINK("#'Main'!B"&amp;MATCH(TRIM(A113),Main!B:B,0),"Open"),HYPERLINK("#'Main'!B1","Open"))</f>
        <v>Open</v>
      </c>
    </row>
    <row r="114" spans="1:22" ht="15.75" x14ac:dyDescent="0.25">
      <c r="A114" s="50" t="s">
        <v>176</v>
      </c>
      <c r="B114" s="33" t="s">
        <v>614</v>
      </c>
      <c r="C114" s="37" t="s">
        <v>629</v>
      </c>
      <c r="D114" s="33" t="s">
        <v>673</v>
      </c>
      <c r="E114" s="52">
        <v>200</v>
      </c>
      <c r="F114" s="33" t="b">
        <v>1</v>
      </c>
      <c r="G114" s="33">
        <v>0</v>
      </c>
      <c r="H114" s="52">
        <v>0</v>
      </c>
      <c r="I114" s="33">
        <v>0</v>
      </c>
      <c r="J114" s="33">
        <v>0</v>
      </c>
      <c r="K114" s="33">
        <v>0</v>
      </c>
      <c r="L114" s="40" t="b">
        <v>0</v>
      </c>
      <c r="M114" s="33">
        <v>0</v>
      </c>
      <c r="N114" s="33">
        <v>0</v>
      </c>
      <c r="O114" s="52">
        <v>0</v>
      </c>
      <c r="P114" s="33">
        <v>0</v>
      </c>
      <c r="Q114" s="33">
        <v>0</v>
      </c>
      <c r="R114" s="33"/>
      <c r="S114" s="33"/>
      <c r="T114" s="33" t="s">
        <v>616</v>
      </c>
      <c r="U114" s="41" t="str">
        <f>IFERROR(HYPERLINK("#'Main'!B"&amp;MATCH(TRIM(A114),Main!B:B,0),"Open"),HYPERLINK("#'Main'!B1","Open"))</f>
        <v>Open</v>
      </c>
      <c r="V114" s="41"/>
    </row>
    <row r="115" spans="1:22" ht="15.75" x14ac:dyDescent="0.25">
      <c r="A115" s="51" t="s">
        <v>176</v>
      </c>
      <c r="B115" s="42" t="s">
        <v>614</v>
      </c>
      <c r="C115" s="44" t="s">
        <v>652</v>
      </c>
      <c r="D115" s="42" t="s">
        <v>673</v>
      </c>
      <c r="E115" s="52">
        <v>200</v>
      </c>
      <c r="F115" s="42" t="b">
        <v>1</v>
      </c>
      <c r="G115" s="42">
        <v>0</v>
      </c>
      <c r="H115" s="52">
        <v>0</v>
      </c>
      <c r="I115" s="42">
        <v>0</v>
      </c>
      <c r="J115" s="42">
        <v>0</v>
      </c>
      <c r="K115" s="42">
        <v>0</v>
      </c>
      <c r="L115" s="46" t="b">
        <v>0</v>
      </c>
      <c r="M115" s="42">
        <v>0</v>
      </c>
      <c r="N115" s="42">
        <v>0</v>
      </c>
      <c r="O115" s="52">
        <v>0</v>
      </c>
      <c r="P115" s="42">
        <v>0</v>
      </c>
      <c r="Q115" s="42">
        <v>0</v>
      </c>
      <c r="R115" s="42"/>
      <c r="S115" s="42"/>
      <c r="T115" s="42" t="s">
        <v>616</v>
      </c>
      <c r="U115" t="str">
        <f>IFERROR(HYPERLINK("#'Main'!B"&amp;MATCH(TRIM(A115),Main!B:B,0),"Open"),HYPERLINK("#'Main'!B1","Open"))</f>
        <v>Open</v>
      </c>
    </row>
    <row r="116" spans="1:22" ht="15.75" x14ac:dyDescent="0.25">
      <c r="A116" s="50" t="s">
        <v>176</v>
      </c>
      <c r="B116" s="33" t="s">
        <v>614</v>
      </c>
      <c r="C116" s="37" t="s">
        <v>629</v>
      </c>
      <c r="D116" s="33" t="s">
        <v>669</v>
      </c>
      <c r="E116" s="52">
        <v>200</v>
      </c>
      <c r="F116" s="33" t="b">
        <v>1</v>
      </c>
      <c r="G116" s="33">
        <v>0</v>
      </c>
      <c r="H116" s="52">
        <v>0</v>
      </c>
      <c r="I116" s="33">
        <v>0</v>
      </c>
      <c r="J116" s="33">
        <v>0</v>
      </c>
      <c r="K116" s="33">
        <v>0</v>
      </c>
      <c r="L116" s="40" t="b">
        <v>0</v>
      </c>
      <c r="M116" s="33">
        <v>0</v>
      </c>
      <c r="N116" s="33">
        <v>0</v>
      </c>
      <c r="O116" s="52">
        <v>0</v>
      </c>
      <c r="P116" s="33">
        <v>0</v>
      </c>
      <c r="Q116" s="33">
        <v>0</v>
      </c>
      <c r="R116" s="33"/>
      <c r="S116" s="33"/>
      <c r="T116" s="33" t="s">
        <v>616</v>
      </c>
      <c r="U116" s="41" t="str">
        <f>IFERROR(HYPERLINK("#'Main'!B"&amp;MATCH(TRIM(A116),Main!B:B,0),"Open"),HYPERLINK("#'Main'!B1","Open"))</f>
        <v>Open</v>
      </c>
      <c r="V116" s="41"/>
    </row>
    <row r="117" spans="1:22" ht="15.75" x14ac:dyDescent="0.25">
      <c r="A117" s="51" t="s">
        <v>176</v>
      </c>
      <c r="B117" s="42" t="s">
        <v>614</v>
      </c>
      <c r="C117" s="44" t="s">
        <v>629</v>
      </c>
      <c r="D117" s="42" t="s">
        <v>669</v>
      </c>
      <c r="E117" s="52">
        <v>200</v>
      </c>
      <c r="F117" s="42" t="b">
        <v>1</v>
      </c>
      <c r="G117" s="42">
        <v>0</v>
      </c>
      <c r="H117" s="52">
        <v>0</v>
      </c>
      <c r="I117" s="42">
        <v>0</v>
      </c>
      <c r="J117" s="42">
        <v>0</v>
      </c>
      <c r="K117" s="42">
        <v>0</v>
      </c>
      <c r="L117" s="46" t="b">
        <v>0</v>
      </c>
      <c r="M117" s="42">
        <v>0</v>
      </c>
      <c r="N117" s="42">
        <v>0</v>
      </c>
      <c r="O117" s="52">
        <v>0</v>
      </c>
      <c r="P117" s="42">
        <v>0</v>
      </c>
      <c r="Q117" s="42">
        <v>0</v>
      </c>
      <c r="R117" s="42"/>
      <c r="S117" s="42"/>
      <c r="T117" s="42" t="s">
        <v>616</v>
      </c>
      <c r="U117" t="str">
        <f>IFERROR(HYPERLINK("#'Main'!B"&amp;MATCH(TRIM(A117),Main!B:B,0),"Open"),HYPERLINK("#'Main'!B1","Open"))</f>
        <v>Open</v>
      </c>
    </row>
    <row r="118" spans="1:22" ht="15.75" x14ac:dyDescent="0.25">
      <c r="A118" s="50" t="s">
        <v>176</v>
      </c>
      <c r="B118" s="33" t="s">
        <v>614</v>
      </c>
      <c r="C118" s="37" t="s">
        <v>629</v>
      </c>
      <c r="D118" s="33" t="s">
        <v>669</v>
      </c>
      <c r="E118" s="52">
        <v>200</v>
      </c>
      <c r="F118" s="33" t="b">
        <v>1</v>
      </c>
      <c r="G118" s="33">
        <v>0</v>
      </c>
      <c r="H118" s="52">
        <v>0</v>
      </c>
      <c r="I118" s="33">
        <v>0</v>
      </c>
      <c r="J118" s="33">
        <v>0</v>
      </c>
      <c r="K118" s="33">
        <v>0</v>
      </c>
      <c r="L118" s="40" t="b">
        <v>0</v>
      </c>
      <c r="M118" s="33">
        <v>0</v>
      </c>
      <c r="N118" s="33">
        <v>0</v>
      </c>
      <c r="O118" s="52">
        <v>0</v>
      </c>
      <c r="P118" s="33">
        <v>0</v>
      </c>
      <c r="Q118" s="33">
        <v>0</v>
      </c>
      <c r="R118" s="33"/>
      <c r="S118" s="33"/>
      <c r="T118" s="33" t="s">
        <v>616</v>
      </c>
      <c r="U118" s="41" t="str">
        <f>IFERROR(HYPERLINK("#'Main'!B"&amp;MATCH(TRIM(A118),Main!B:B,0),"Open"),HYPERLINK("#'Main'!B1","Open"))</f>
        <v>Open</v>
      </c>
      <c r="V118" s="41"/>
    </row>
    <row r="119" spans="1:22" ht="15.75" x14ac:dyDescent="0.25">
      <c r="A119" s="51" t="s">
        <v>176</v>
      </c>
      <c r="B119" s="42" t="s">
        <v>614</v>
      </c>
      <c r="C119" s="44" t="s">
        <v>674</v>
      </c>
      <c r="D119" s="42" t="s">
        <v>675</v>
      </c>
      <c r="E119" s="52">
        <v>200</v>
      </c>
      <c r="F119" s="42" t="b">
        <v>1</v>
      </c>
      <c r="G119" s="42">
        <v>0</v>
      </c>
      <c r="H119" s="52">
        <v>0</v>
      </c>
      <c r="I119" s="42">
        <v>0</v>
      </c>
      <c r="J119" s="42">
        <v>0</v>
      </c>
      <c r="K119" s="42">
        <v>0</v>
      </c>
      <c r="L119" s="46" t="b">
        <v>0</v>
      </c>
      <c r="M119" s="42">
        <v>0</v>
      </c>
      <c r="N119" s="42">
        <v>0</v>
      </c>
      <c r="O119" s="52">
        <v>0</v>
      </c>
      <c r="P119" s="42">
        <v>0</v>
      </c>
      <c r="Q119" s="42">
        <v>0</v>
      </c>
      <c r="R119" s="42"/>
      <c r="S119" s="42"/>
      <c r="T119" s="42" t="s">
        <v>616</v>
      </c>
      <c r="U119" t="str">
        <f>IFERROR(HYPERLINK("#'Main'!B"&amp;MATCH(TRIM(A119),Main!B:B,0),"Open"),HYPERLINK("#'Main'!B1","Open"))</f>
        <v>Open</v>
      </c>
    </row>
    <row r="120" spans="1:22" ht="30" x14ac:dyDescent="0.25">
      <c r="A120" s="50" t="s">
        <v>176</v>
      </c>
      <c r="B120" s="33" t="s">
        <v>614</v>
      </c>
      <c r="C120" s="37" t="s">
        <v>676</v>
      </c>
      <c r="D120" s="33"/>
      <c r="E120" s="52">
        <v>200</v>
      </c>
      <c r="F120" s="33" t="b">
        <v>1</v>
      </c>
      <c r="G120" s="33">
        <v>0</v>
      </c>
      <c r="H120" s="52">
        <v>0</v>
      </c>
      <c r="I120" s="33">
        <v>0</v>
      </c>
      <c r="J120" s="33">
        <v>0</v>
      </c>
      <c r="K120" s="33">
        <v>0</v>
      </c>
      <c r="L120" s="40" t="b">
        <v>0</v>
      </c>
      <c r="M120" s="33">
        <v>0</v>
      </c>
      <c r="N120" s="33">
        <v>0</v>
      </c>
      <c r="O120" s="52">
        <v>0</v>
      </c>
      <c r="P120" s="33">
        <v>0</v>
      </c>
      <c r="Q120" s="33">
        <v>0</v>
      </c>
      <c r="R120" s="33"/>
      <c r="S120" s="33"/>
      <c r="T120" s="33" t="s">
        <v>616</v>
      </c>
      <c r="U120" s="41" t="str">
        <f>IFERROR(HYPERLINK("#'Main'!B"&amp;MATCH(TRIM(A120),Main!B:B,0),"Open"),HYPERLINK("#'Main'!B1","Open"))</f>
        <v>Open</v>
      </c>
      <c r="V120" s="41"/>
    </row>
    <row r="121" spans="1:22" ht="30" x14ac:dyDescent="0.25">
      <c r="A121" s="51" t="s">
        <v>176</v>
      </c>
      <c r="B121" s="42" t="s">
        <v>614</v>
      </c>
      <c r="C121" s="44" t="s">
        <v>676</v>
      </c>
      <c r="D121" s="42" t="s">
        <v>677</v>
      </c>
      <c r="E121" s="52">
        <v>200</v>
      </c>
      <c r="F121" s="42" t="b">
        <v>1</v>
      </c>
      <c r="G121" s="42">
        <v>0</v>
      </c>
      <c r="H121" s="52">
        <v>0</v>
      </c>
      <c r="I121" s="42">
        <v>0</v>
      </c>
      <c r="J121" s="42">
        <v>0</v>
      </c>
      <c r="K121" s="42">
        <v>0</v>
      </c>
      <c r="L121" s="46" t="b">
        <v>0</v>
      </c>
      <c r="M121" s="42">
        <v>0</v>
      </c>
      <c r="N121" s="42">
        <v>0</v>
      </c>
      <c r="O121" s="52">
        <v>0</v>
      </c>
      <c r="P121" s="42">
        <v>0</v>
      </c>
      <c r="Q121" s="42">
        <v>0</v>
      </c>
      <c r="R121" s="42"/>
      <c r="S121" s="42"/>
      <c r="T121" s="42" t="s">
        <v>616</v>
      </c>
      <c r="U121" t="str">
        <f>IFERROR(HYPERLINK("#'Main'!B"&amp;MATCH(TRIM(A121),Main!B:B,0),"Open"),HYPERLINK("#'Main'!B1","Open"))</f>
        <v>Open</v>
      </c>
    </row>
    <row r="122" spans="1:22" ht="30" x14ac:dyDescent="0.25">
      <c r="A122" s="50" t="s">
        <v>176</v>
      </c>
      <c r="B122" s="33" t="s">
        <v>614</v>
      </c>
      <c r="C122" s="37" t="s">
        <v>676</v>
      </c>
      <c r="D122" s="33" t="s">
        <v>678</v>
      </c>
      <c r="E122" s="52">
        <v>200</v>
      </c>
      <c r="F122" s="33" t="b">
        <v>1</v>
      </c>
      <c r="G122" s="33">
        <v>0</v>
      </c>
      <c r="H122" s="52">
        <v>0</v>
      </c>
      <c r="I122" s="33">
        <v>0</v>
      </c>
      <c r="J122" s="33">
        <v>0</v>
      </c>
      <c r="K122" s="33">
        <v>0</v>
      </c>
      <c r="L122" s="40" t="b">
        <v>0</v>
      </c>
      <c r="M122" s="33">
        <v>0</v>
      </c>
      <c r="N122" s="33">
        <v>0</v>
      </c>
      <c r="O122" s="52">
        <v>0</v>
      </c>
      <c r="P122" s="33">
        <v>0</v>
      </c>
      <c r="Q122" s="33">
        <v>0</v>
      </c>
      <c r="R122" s="33"/>
      <c r="S122" s="33"/>
      <c r="T122" s="33" t="s">
        <v>616</v>
      </c>
      <c r="U122" s="41" t="str">
        <f>IFERROR(HYPERLINK("#'Main'!B"&amp;MATCH(TRIM(A122),Main!B:B,0),"Open"),HYPERLINK("#'Main'!B1","Open"))</f>
        <v>Open</v>
      </c>
      <c r="V122" s="41"/>
    </row>
    <row r="123" spans="1:22" ht="30" x14ac:dyDescent="0.25">
      <c r="A123" s="51" t="s">
        <v>176</v>
      </c>
      <c r="B123" s="42" t="s">
        <v>614</v>
      </c>
      <c r="C123" s="44" t="s">
        <v>679</v>
      </c>
      <c r="D123" s="42"/>
      <c r="E123" s="52">
        <v>200</v>
      </c>
      <c r="F123" s="42" t="b">
        <v>1</v>
      </c>
      <c r="G123" s="42">
        <v>0</v>
      </c>
      <c r="H123" s="52">
        <v>0</v>
      </c>
      <c r="I123" s="42">
        <v>0</v>
      </c>
      <c r="J123" s="42">
        <v>0</v>
      </c>
      <c r="K123" s="42">
        <v>0</v>
      </c>
      <c r="L123" s="46" t="b">
        <v>0</v>
      </c>
      <c r="M123" s="42">
        <v>0</v>
      </c>
      <c r="N123" s="42">
        <v>0</v>
      </c>
      <c r="O123" s="52">
        <v>0</v>
      </c>
      <c r="P123" s="42">
        <v>0</v>
      </c>
      <c r="Q123" s="42">
        <v>0</v>
      </c>
      <c r="R123" s="42"/>
      <c r="S123" s="42"/>
      <c r="T123" s="42" t="s">
        <v>616</v>
      </c>
      <c r="U123" t="str">
        <f>IFERROR(HYPERLINK("#'Main'!B"&amp;MATCH(TRIM(A123),Main!B:B,0),"Open"),HYPERLINK("#'Main'!B1","Open"))</f>
        <v>Open</v>
      </c>
    </row>
    <row r="124" spans="1:22" ht="30" x14ac:dyDescent="0.25">
      <c r="A124" s="50" t="s">
        <v>176</v>
      </c>
      <c r="B124" s="33" t="s">
        <v>614</v>
      </c>
      <c r="C124" s="37" t="s">
        <v>679</v>
      </c>
      <c r="D124" s="33" t="s">
        <v>680</v>
      </c>
      <c r="E124" s="52">
        <v>200</v>
      </c>
      <c r="F124" s="33" t="b">
        <v>1</v>
      </c>
      <c r="G124" s="33">
        <v>0</v>
      </c>
      <c r="H124" s="52">
        <v>0</v>
      </c>
      <c r="I124" s="33">
        <v>0</v>
      </c>
      <c r="J124" s="33">
        <v>0</v>
      </c>
      <c r="K124" s="33">
        <v>0</v>
      </c>
      <c r="L124" s="40" t="b">
        <v>0</v>
      </c>
      <c r="M124" s="33">
        <v>0</v>
      </c>
      <c r="N124" s="33">
        <v>0</v>
      </c>
      <c r="O124" s="52">
        <v>0</v>
      </c>
      <c r="P124" s="33">
        <v>0</v>
      </c>
      <c r="Q124" s="33">
        <v>0</v>
      </c>
      <c r="R124" s="33"/>
      <c r="S124" s="33"/>
      <c r="T124" s="33" t="s">
        <v>616</v>
      </c>
      <c r="U124" s="41" t="str">
        <f>IFERROR(HYPERLINK("#'Main'!B"&amp;MATCH(TRIM(A124),Main!B:B,0),"Open"),HYPERLINK("#'Main'!B1","Open"))</f>
        <v>Open</v>
      </c>
      <c r="V124" s="41"/>
    </row>
    <row r="125" spans="1:22" ht="30" x14ac:dyDescent="0.25">
      <c r="A125" s="51" t="s">
        <v>176</v>
      </c>
      <c r="B125" s="42" t="s">
        <v>614</v>
      </c>
      <c r="C125" s="44" t="s">
        <v>679</v>
      </c>
      <c r="D125" s="42" t="s">
        <v>678</v>
      </c>
      <c r="E125" s="52">
        <v>200</v>
      </c>
      <c r="F125" s="42" t="b">
        <v>1</v>
      </c>
      <c r="G125" s="42">
        <v>0</v>
      </c>
      <c r="H125" s="52">
        <v>0</v>
      </c>
      <c r="I125" s="42">
        <v>0</v>
      </c>
      <c r="J125" s="42">
        <v>0</v>
      </c>
      <c r="K125" s="42">
        <v>0</v>
      </c>
      <c r="L125" s="46" t="b">
        <v>0</v>
      </c>
      <c r="M125" s="42">
        <v>0</v>
      </c>
      <c r="N125" s="42">
        <v>0</v>
      </c>
      <c r="O125" s="52">
        <v>0</v>
      </c>
      <c r="P125" s="42">
        <v>0</v>
      </c>
      <c r="Q125" s="42">
        <v>0</v>
      </c>
      <c r="R125" s="42"/>
      <c r="S125" s="42"/>
      <c r="T125" s="42" t="s">
        <v>616</v>
      </c>
      <c r="U125" t="str">
        <f>IFERROR(HYPERLINK("#'Main'!B"&amp;MATCH(TRIM(A125),Main!B:B,0),"Open"),HYPERLINK("#'Main'!B1","Open"))</f>
        <v>Open</v>
      </c>
    </row>
    <row r="126" spans="1:22" ht="30" x14ac:dyDescent="0.25">
      <c r="A126" s="50" t="s">
        <v>176</v>
      </c>
      <c r="B126" s="33" t="s">
        <v>614</v>
      </c>
      <c r="C126" s="37" t="s">
        <v>681</v>
      </c>
      <c r="D126" s="33"/>
      <c r="E126" s="52">
        <v>200</v>
      </c>
      <c r="F126" s="33" t="b">
        <v>1</v>
      </c>
      <c r="G126" s="33">
        <v>0</v>
      </c>
      <c r="H126" s="52">
        <v>0</v>
      </c>
      <c r="I126" s="33">
        <v>0</v>
      </c>
      <c r="J126" s="33">
        <v>0</v>
      </c>
      <c r="K126" s="33">
        <v>0</v>
      </c>
      <c r="L126" s="40" t="b">
        <v>0</v>
      </c>
      <c r="M126" s="33">
        <v>0</v>
      </c>
      <c r="N126" s="33">
        <v>0</v>
      </c>
      <c r="O126" s="52">
        <v>0</v>
      </c>
      <c r="P126" s="33">
        <v>0</v>
      </c>
      <c r="Q126" s="33">
        <v>0</v>
      </c>
      <c r="R126" s="33"/>
      <c r="S126" s="33"/>
      <c r="T126" s="33" t="s">
        <v>616</v>
      </c>
      <c r="U126" s="41" t="str">
        <f>IFERROR(HYPERLINK("#'Main'!B"&amp;MATCH(TRIM(A126),Main!B:B,0),"Open"),HYPERLINK("#'Main'!B1","Open"))</f>
        <v>Open</v>
      </c>
      <c r="V126" s="41"/>
    </row>
    <row r="127" spans="1:22" ht="30" x14ac:dyDescent="0.25">
      <c r="A127" s="51" t="s">
        <v>176</v>
      </c>
      <c r="B127" s="42" t="s">
        <v>614</v>
      </c>
      <c r="C127" s="44" t="s">
        <v>681</v>
      </c>
      <c r="D127" s="42" t="s">
        <v>682</v>
      </c>
      <c r="E127" s="52">
        <v>200</v>
      </c>
      <c r="F127" s="42" t="b">
        <v>1</v>
      </c>
      <c r="G127" s="42">
        <v>0</v>
      </c>
      <c r="H127" s="52">
        <v>0</v>
      </c>
      <c r="I127" s="42">
        <v>0</v>
      </c>
      <c r="J127" s="42">
        <v>0</v>
      </c>
      <c r="K127" s="42">
        <v>0</v>
      </c>
      <c r="L127" s="46" t="b">
        <v>0</v>
      </c>
      <c r="M127" s="42">
        <v>0</v>
      </c>
      <c r="N127" s="42">
        <v>0</v>
      </c>
      <c r="O127" s="52">
        <v>0</v>
      </c>
      <c r="P127" s="42">
        <v>0</v>
      </c>
      <c r="Q127" s="42">
        <v>0</v>
      </c>
      <c r="R127" s="42"/>
      <c r="S127" s="42"/>
      <c r="T127" s="42" t="s">
        <v>616</v>
      </c>
      <c r="U127" t="str">
        <f>IFERROR(HYPERLINK("#'Main'!B"&amp;MATCH(TRIM(A127),Main!B:B,0),"Open"),HYPERLINK("#'Main'!B1","Open"))</f>
        <v>Open</v>
      </c>
    </row>
    <row r="128" spans="1:22" ht="30" x14ac:dyDescent="0.25">
      <c r="A128" s="50" t="s">
        <v>176</v>
      </c>
      <c r="B128" s="33" t="s">
        <v>614</v>
      </c>
      <c r="C128" s="37" t="s">
        <v>681</v>
      </c>
      <c r="D128" s="33" t="s">
        <v>678</v>
      </c>
      <c r="E128" s="52">
        <v>200</v>
      </c>
      <c r="F128" s="33" t="b">
        <v>1</v>
      </c>
      <c r="G128" s="33">
        <v>0</v>
      </c>
      <c r="H128" s="52">
        <v>0</v>
      </c>
      <c r="I128" s="33">
        <v>0</v>
      </c>
      <c r="J128" s="33">
        <v>0</v>
      </c>
      <c r="K128" s="33">
        <v>0</v>
      </c>
      <c r="L128" s="40" t="b">
        <v>0</v>
      </c>
      <c r="M128" s="33">
        <v>0</v>
      </c>
      <c r="N128" s="33">
        <v>0</v>
      </c>
      <c r="O128" s="52">
        <v>0</v>
      </c>
      <c r="P128" s="33">
        <v>0</v>
      </c>
      <c r="Q128" s="33">
        <v>0</v>
      </c>
      <c r="R128" s="33"/>
      <c r="S128" s="33"/>
      <c r="T128" s="33" t="s">
        <v>616</v>
      </c>
      <c r="U128" s="41" t="str">
        <f>IFERROR(HYPERLINK("#'Main'!B"&amp;MATCH(TRIM(A128),Main!B:B,0),"Open"),HYPERLINK("#'Main'!B1","Open"))</f>
        <v>Open</v>
      </c>
      <c r="V128" s="41"/>
    </row>
    <row r="129" spans="1:22" ht="30" x14ac:dyDescent="0.25">
      <c r="A129" s="51" t="s">
        <v>176</v>
      </c>
      <c r="B129" s="42" t="s">
        <v>614</v>
      </c>
      <c r="C129" s="44" t="s">
        <v>683</v>
      </c>
      <c r="D129" s="42"/>
      <c r="E129" s="52">
        <v>200</v>
      </c>
      <c r="F129" s="42" t="b">
        <v>1</v>
      </c>
      <c r="G129" s="42">
        <v>0</v>
      </c>
      <c r="H129" s="52">
        <v>0</v>
      </c>
      <c r="I129" s="42">
        <v>0</v>
      </c>
      <c r="J129" s="42">
        <v>0</v>
      </c>
      <c r="K129" s="42">
        <v>0</v>
      </c>
      <c r="L129" s="46" t="b">
        <v>0</v>
      </c>
      <c r="M129" s="42">
        <v>0</v>
      </c>
      <c r="N129" s="42">
        <v>0</v>
      </c>
      <c r="O129" s="52">
        <v>0</v>
      </c>
      <c r="P129" s="42">
        <v>0</v>
      </c>
      <c r="Q129" s="42">
        <v>0</v>
      </c>
      <c r="R129" s="42"/>
      <c r="S129" s="42"/>
      <c r="T129" s="42" t="s">
        <v>616</v>
      </c>
      <c r="U129" t="str">
        <f>IFERROR(HYPERLINK("#'Main'!B"&amp;MATCH(TRIM(A129),Main!B:B,0),"Open"),HYPERLINK("#'Main'!B1","Open"))</f>
        <v>Open</v>
      </c>
    </row>
    <row r="130" spans="1:22" ht="30" x14ac:dyDescent="0.25">
      <c r="A130" s="50" t="s">
        <v>176</v>
      </c>
      <c r="B130" s="33" t="s">
        <v>614</v>
      </c>
      <c r="C130" s="37" t="s">
        <v>683</v>
      </c>
      <c r="D130" s="33" t="s">
        <v>684</v>
      </c>
      <c r="E130" s="52">
        <v>200</v>
      </c>
      <c r="F130" s="33" t="b">
        <v>1</v>
      </c>
      <c r="G130" s="33">
        <v>0</v>
      </c>
      <c r="H130" s="52">
        <v>0</v>
      </c>
      <c r="I130" s="33">
        <v>0</v>
      </c>
      <c r="J130" s="33">
        <v>0</v>
      </c>
      <c r="K130" s="33">
        <v>0</v>
      </c>
      <c r="L130" s="40" t="b">
        <v>0</v>
      </c>
      <c r="M130" s="33">
        <v>0</v>
      </c>
      <c r="N130" s="33">
        <v>0</v>
      </c>
      <c r="O130" s="52">
        <v>0</v>
      </c>
      <c r="P130" s="33">
        <v>0</v>
      </c>
      <c r="Q130" s="33">
        <v>0</v>
      </c>
      <c r="R130" s="33"/>
      <c r="S130" s="33"/>
      <c r="T130" s="33" t="s">
        <v>616</v>
      </c>
      <c r="U130" s="41" t="str">
        <f>IFERROR(HYPERLINK("#'Main'!B"&amp;MATCH(TRIM(A130),Main!B:B,0),"Open"),HYPERLINK("#'Main'!B1","Open"))</f>
        <v>Open</v>
      </c>
      <c r="V130" s="41"/>
    </row>
    <row r="131" spans="1:22" ht="30" x14ac:dyDescent="0.25">
      <c r="A131" s="51" t="s">
        <v>176</v>
      </c>
      <c r="B131" s="42" t="s">
        <v>614</v>
      </c>
      <c r="C131" s="44" t="s">
        <v>683</v>
      </c>
      <c r="D131" s="42" t="s">
        <v>678</v>
      </c>
      <c r="E131" s="52">
        <v>200</v>
      </c>
      <c r="F131" s="42" t="b">
        <v>1</v>
      </c>
      <c r="G131" s="42">
        <v>0</v>
      </c>
      <c r="H131" s="52">
        <v>0</v>
      </c>
      <c r="I131" s="42">
        <v>0</v>
      </c>
      <c r="J131" s="42">
        <v>0</v>
      </c>
      <c r="K131" s="42">
        <v>0</v>
      </c>
      <c r="L131" s="46" t="b">
        <v>0</v>
      </c>
      <c r="M131" s="42">
        <v>0</v>
      </c>
      <c r="N131" s="42">
        <v>0</v>
      </c>
      <c r="O131" s="52">
        <v>0</v>
      </c>
      <c r="P131" s="42">
        <v>0</v>
      </c>
      <c r="Q131" s="42">
        <v>0</v>
      </c>
      <c r="R131" s="42"/>
      <c r="S131" s="42"/>
      <c r="T131" s="42" t="s">
        <v>616</v>
      </c>
      <c r="U131" t="str">
        <f>IFERROR(HYPERLINK("#'Main'!B"&amp;MATCH(TRIM(A131),Main!B:B,0),"Open"),HYPERLINK("#'Main'!B1","Open"))</f>
        <v>Open</v>
      </c>
    </row>
    <row r="132" spans="1:22" ht="30" x14ac:dyDescent="0.25">
      <c r="A132" s="50" t="s">
        <v>176</v>
      </c>
      <c r="B132" s="33" t="s">
        <v>614</v>
      </c>
      <c r="C132" s="37" t="s">
        <v>685</v>
      </c>
      <c r="D132" s="33"/>
      <c r="E132" s="52">
        <v>200</v>
      </c>
      <c r="F132" s="33" t="b">
        <v>1</v>
      </c>
      <c r="G132" s="33">
        <v>0</v>
      </c>
      <c r="H132" s="52">
        <v>0</v>
      </c>
      <c r="I132" s="33">
        <v>0</v>
      </c>
      <c r="J132" s="33">
        <v>0</v>
      </c>
      <c r="K132" s="33">
        <v>0</v>
      </c>
      <c r="L132" s="40" t="b">
        <v>0</v>
      </c>
      <c r="M132" s="33">
        <v>0</v>
      </c>
      <c r="N132" s="33">
        <v>0</v>
      </c>
      <c r="O132" s="52">
        <v>0</v>
      </c>
      <c r="P132" s="33">
        <v>0</v>
      </c>
      <c r="Q132" s="33">
        <v>0</v>
      </c>
      <c r="R132" s="33"/>
      <c r="S132" s="33"/>
      <c r="T132" s="33" t="s">
        <v>616</v>
      </c>
      <c r="U132" s="41" t="str">
        <f>IFERROR(HYPERLINK("#'Main'!B"&amp;MATCH(TRIM(A132),Main!B:B,0),"Open"),HYPERLINK("#'Main'!B1","Open"))</f>
        <v>Open</v>
      </c>
      <c r="V132" s="41"/>
    </row>
    <row r="133" spans="1:22" ht="30" x14ac:dyDescent="0.25">
      <c r="A133" s="51" t="s">
        <v>176</v>
      </c>
      <c r="B133" s="42" t="s">
        <v>614</v>
      </c>
      <c r="C133" s="44" t="s">
        <v>685</v>
      </c>
      <c r="D133" s="42" t="s">
        <v>686</v>
      </c>
      <c r="E133" s="52">
        <v>200</v>
      </c>
      <c r="F133" s="42" t="b">
        <v>1</v>
      </c>
      <c r="G133" s="42">
        <v>0</v>
      </c>
      <c r="H133" s="52">
        <v>0</v>
      </c>
      <c r="I133" s="42">
        <v>0</v>
      </c>
      <c r="J133" s="42">
        <v>0</v>
      </c>
      <c r="K133" s="42">
        <v>0</v>
      </c>
      <c r="L133" s="46" t="b">
        <v>0</v>
      </c>
      <c r="M133" s="42">
        <v>0</v>
      </c>
      <c r="N133" s="42">
        <v>0</v>
      </c>
      <c r="O133" s="52">
        <v>0</v>
      </c>
      <c r="P133" s="42">
        <v>0</v>
      </c>
      <c r="Q133" s="42">
        <v>0</v>
      </c>
      <c r="R133" s="42"/>
      <c r="S133" s="42"/>
      <c r="T133" s="42" t="s">
        <v>616</v>
      </c>
      <c r="U133" t="str">
        <f>IFERROR(HYPERLINK("#'Main'!B"&amp;MATCH(TRIM(A133),Main!B:B,0),"Open"),HYPERLINK("#'Main'!B1","Open"))</f>
        <v>Open</v>
      </c>
    </row>
    <row r="134" spans="1:22" ht="30" x14ac:dyDescent="0.25">
      <c r="A134" s="50" t="s">
        <v>176</v>
      </c>
      <c r="B134" s="33" t="s">
        <v>614</v>
      </c>
      <c r="C134" s="37" t="s">
        <v>685</v>
      </c>
      <c r="D134" s="33" t="s">
        <v>678</v>
      </c>
      <c r="E134" s="52">
        <v>200</v>
      </c>
      <c r="F134" s="33" t="b">
        <v>1</v>
      </c>
      <c r="G134" s="33">
        <v>0</v>
      </c>
      <c r="H134" s="52">
        <v>0</v>
      </c>
      <c r="I134" s="33">
        <v>0</v>
      </c>
      <c r="J134" s="33">
        <v>0</v>
      </c>
      <c r="K134" s="33">
        <v>0</v>
      </c>
      <c r="L134" s="40" t="b">
        <v>0</v>
      </c>
      <c r="M134" s="33">
        <v>0</v>
      </c>
      <c r="N134" s="33">
        <v>0</v>
      </c>
      <c r="O134" s="52">
        <v>0</v>
      </c>
      <c r="P134" s="33">
        <v>0</v>
      </c>
      <c r="Q134" s="33">
        <v>0</v>
      </c>
      <c r="R134" s="33"/>
      <c r="S134" s="33"/>
      <c r="T134" s="33" t="s">
        <v>616</v>
      </c>
      <c r="U134" s="41" t="str">
        <f>IFERROR(HYPERLINK("#'Main'!B"&amp;MATCH(TRIM(A134),Main!B:B,0),"Open"),HYPERLINK("#'Main'!B1","Open"))</f>
        <v>Open</v>
      </c>
      <c r="V134" s="41"/>
    </row>
    <row r="135" spans="1:22" ht="30" x14ac:dyDescent="0.25">
      <c r="A135" s="51" t="s">
        <v>176</v>
      </c>
      <c r="B135" s="42" t="s">
        <v>614</v>
      </c>
      <c r="C135" s="44" t="s">
        <v>687</v>
      </c>
      <c r="D135" s="42"/>
      <c r="E135" s="52">
        <v>200</v>
      </c>
      <c r="F135" s="42" t="b">
        <v>1</v>
      </c>
      <c r="G135" s="42">
        <v>0</v>
      </c>
      <c r="H135" s="52">
        <v>0</v>
      </c>
      <c r="I135" s="42">
        <v>0</v>
      </c>
      <c r="J135" s="42">
        <v>0</v>
      </c>
      <c r="K135" s="42">
        <v>0</v>
      </c>
      <c r="L135" s="46" t="b">
        <v>0</v>
      </c>
      <c r="M135" s="42">
        <v>0</v>
      </c>
      <c r="N135" s="42">
        <v>0</v>
      </c>
      <c r="O135" s="52">
        <v>0</v>
      </c>
      <c r="P135" s="42">
        <v>0</v>
      </c>
      <c r="Q135" s="42">
        <v>0</v>
      </c>
      <c r="R135" s="42"/>
      <c r="S135" s="42"/>
      <c r="T135" s="42" t="s">
        <v>616</v>
      </c>
      <c r="U135" t="str">
        <f>IFERROR(HYPERLINK("#'Main'!B"&amp;MATCH(TRIM(A135),Main!B:B,0),"Open"),HYPERLINK("#'Main'!B1","Open"))</f>
        <v>Open</v>
      </c>
    </row>
    <row r="136" spans="1:22" ht="30" x14ac:dyDescent="0.25">
      <c r="A136" s="50" t="s">
        <v>176</v>
      </c>
      <c r="B136" s="33" t="s">
        <v>614</v>
      </c>
      <c r="C136" s="37" t="s">
        <v>687</v>
      </c>
      <c r="D136" s="33" t="s">
        <v>688</v>
      </c>
      <c r="E136" s="52">
        <v>200</v>
      </c>
      <c r="F136" s="33" t="b">
        <v>1</v>
      </c>
      <c r="G136" s="33">
        <v>0</v>
      </c>
      <c r="H136" s="52">
        <v>0</v>
      </c>
      <c r="I136" s="33">
        <v>0</v>
      </c>
      <c r="J136" s="33">
        <v>0</v>
      </c>
      <c r="K136" s="33">
        <v>0</v>
      </c>
      <c r="L136" s="40" t="b">
        <v>0</v>
      </c>
      <c r="M136" s="33">
        <v>0</v>
      </c>
      <c r="N136" s="33">
        <v>0</v>
      </c>
      <c r="O136" s="52">
        <v>0</v>
      </c>
      <c r="P136" s="33">
        <v>0</v>
      </c>
      <c r="Q136" s="33">
        <v>0</v>
      </c>
      <c r="R136" s="33"/>
      <c r="S136" s="33"/>
      <c r="T136" s="33" t="s">
        <v>616</v>
      </c>
      <c r="U136" s="41" t="str">
        <f>IFERROR(HYPERLINK("#'Main'!B"&amp;MATCH(TRIM(A136),Main!B:B,0),"Open"),HYPERLINK("#'Main'!B1","Open"))</f>
        <v>Open</v>
      </c>
      <c r="V136" s="41"/>
    </row>
    <row r="137" spans="1:22" ht="30" x14ac:dyDescent="0.25">
      <c r="A137" s="51" t="s">
        <v>176</v>
      </c>
      <c r="B137" s="42" t="s">
        <v>614</v>
      </c>
      <c r="C137" s="44" t="s">
        <v>687</v>
      </c>
      <c r="D137" s="42" t="s">
        <v>678</v>
      </c>
      <c r="E137" s="52">
        <v>200</v>
      </c>
      <c r="F137" s="42" t="b">
        <v>1</v>
      </c>
      <c r="G137" s="42">
        <v>0</v>
      </c>
      <c r="H137" s="52">
        <v>0</v>
      </c>
      <c r="I137" s="42">
        <v>0</v>
      </c>
      <c r="J137" s="42">
        <v>0</v>
      </c>
      <c r="K137" s="42">
        <v>0</v>
      </c>
      <c r="L137" s="46" t="b">
        <v>0</v>
      </c>
      <c r="M137" s="42">
        <v>0</v>
      </c>
      <c r="N137" s="42">
        <v>0</v>
      </c>
      <c r="O137" s="52">
        <v>0</v>
      </c>
      <c r="P137" s="42">
        <v>0</v>
      </c>
      <c r="Q137" s="42">
        <v>0</v>
      </c>
      <c r="R137" s="42"/>
      <c r="S137" s="42"/>
      <c r="T137" s="42" t="s">
        <v>616</v>
      </c>
      <c r="U137" t="str">
        <f>IFERROR(HYPERLINK("#'Main'!B"&amp;MATCH(TRIM(A137),Main!B:B,0),"Open"),HYPERLINK("#'Main'!B1","Open"))</f>
        <v>Open</v>
      </c>
    </row>
    <row r="138" spans="1:22" ht="15.75" x14ac:dyDescent="0.25">
      <c r="A138" s="50" t="s">
        <v>176</v>
      </c>
      <c r="B138" s="33" t="s">
        <v>614</v>
      </c>
      <c r="C138" s="37" t="s">
        <v>652</v>
      </c>
      <c r="D138" s="33" t="s">
        <v>689</v>
      </c>
      <c r="E138" s="52">
        <v>200</v>
      </c>
      <c r="F138" s="33" t="b">
        <v>1</v>
      </c>
      <c r="G138" s="33">
        <v>0</v>
      </c>
      <c r="H138" s="52">
        <v>0</v>
      </c>
      <c r="I138" s="33">
        <v>0</v>
      </c>
      <c r="J138" s="33">
        <v>0</v>
      </c>
      <c r="K138" s="33">
        <v>0</v>
      </c>
      <c r="L138" s="40" t="b">
        <v>0</v>
      </c>
      <c r="M138" s="33">
        <v>0</v>
      </c>
      <c r="N138" s="33">
        <v>0</v>
      </c>
      <c r="O138" s="52">
        <v>0</v>
      </c>
      <c r="P138" s="33">
        <v>0</v>
      </c>
      <c r="Q138" s="33">
        <v>0</v>
      </c>
      <c r="R138" s="33"/>
      <c r="S138" s="33"/>
      <c r="T138" s="33" t="s">
        <v>616</v>
      </c>
      <c r="U138" s="41" t="str">
        <f>IFERROR(HYPERLINK("#'Main'!B"&amp;MATCH(TRIM(A138),Main!B:B,0),"Open"),HYPERLINK("#'Main'!B1","Open"))</f>
        <v>Open</v>
      </c>
      <c r="V138" s="41"/>
    </row>
    <row r="139" spans="1:22" ht="15.75" x14ac:dyDescent="0.25">
      <c r="A139" s="51" t="s">
        <v>176</v>
      </c>
      <c r="B139" s="42" t="s">
        <v>614</v>
      </c>
      <c r="C139" s="44" t="s">
        <v>629</v>
      </c>
      <c r="D139" s="42" t="s">
        <v>630</v>
      </c>
      <c r="E139" s="52">
        <v>200</v>
      </c>
      <c r="F139" s="42" t="b">
        <v>1</v>
      </c>
      <c r="G139" s="42">
        <v>0</v>
      </c>
      <c r="H139" s="52">
        <v>0</v>
      </c>
      <c r="I139" s="42">
        <v>0</v>
      </c>
      <c r="J139" s="42">
        <v>0</v>
      </c>
      <c r="K139" s="42">
        <v>0</v>
      </c>
      <c r="L139" s="46" t="b">
        <v>0</v>
      </c>
      <c r="M139" s="42">
        <v>0</v>
      </c>
      <c r="N139" s="42">
        <v>0</v>
      </c>
      <c r="O139" s="52">
        <v>0</v>
      </c>
      <c r="P139" s="42">
        <v>0</v>
      </c>
      <c r="Q139" s="42">
        <v>0</v>
      </c>
      <c r="R139" s="42"/>
      <c r="S139" s="42"/>
      <c r="T139" s="42" t="s">
        <v>616</v>
      </c>
      <c r="U139" t="str">
        <f>IFERROR(HYPERLINK("#'Main'!B"&amp;MATCH(TRIM(A139),Main!B:B,0),"Open"),HYPERLINK("#'Main'!B1","Open"))</f>
        <v>Open</v>
      </c>
    </row>
    <row r="140" spans="1:22" ht="30" x14ac:dyDescent="0.25">
      <c r="A140" s="50" t="s">
        <v>176</v>
      </c>
      <c r="B140" s="33" t="s">
        <v>614</v>
      </c>
      <c r="C140" s="37" t="s">
        <v>631</v>
      </c>
      <c r="D140" s="33"/>
      <c r="E140" s="52">
        <v>200</v>
      </c>
      <c r="F140" s="33" t="b">
        <v>1</v>
      </c>
      <c r="G140" s="33">
        <v>0</v>
      </c>
      <c r="H140" s="52">
        <v>0</v>
      </c>
      <c r="I140" s="33">
        <v>0</v>
      </c>
      <c r="J140" s="33">
        <v>0</v>
      </c>
      <c r="K140" s="33">
        <v>0</v>
      </c>
      <c r="L140" s="40" t="b">
        <v>0</v>
      </c>
      <c r="M140" s="33">
        <v>0</v>
      </c>
      <c r="N140" s="33">
        <v>0</v>
      </c>
      <c r="O140" s="52">
        <v>0</v>
      </c>
      <c r="P140" s="33">
        <v>0</v>
      </c>
      <c r="Q140" s="33">
        <v>0</v>
      </c>
      <c r="R140" s="33"/>
      <c r="S140" s="33"/>
      <c r="T140" s="33" t="s">
        <v>616</v>
      </c>
      <c r="U140" s="41" t="str">
        <f>IFERROR(HYPERLINK("#'Main'!B"&amp;MATCH(TRIM(A140),Main!B:B,0),"Open"),HYPERLINK("#'Main'!B1","Open"))</f>
        <v>Open</v>
      </c>
      <c r="V140" s="41"/>
    </row>
    <row r="141" spans="1:22" ht="30" x14ac:dyDescent="0.25">
      <c r="A141" s="51" t="s">
        <v>176</v>
      </c>
      <c r="B141" s="42" t="s">
        <v>614</v>
      </c>
      <c r="C141" s="44" t="s">
        <v>632</v>
      </c>
      <c r="D141" s="42"/>
      <c r="E141" s="52">
        <v>200</v>
      </c>
      <c r="F141" s="42" t="b">
        <v>1</v>
      </c>
      <c r="G141" s="42">
        <v>0</v>
      </c>
      <c r="H141" s="52">
        <v>0</v>
      </c>
      <c r="I141" s="42">
        <v>0</v>
      </c>
      <c r="J141" s="42">
        <v>0</v>
      </c>
      <c r="K141" s="42">
        <v>0</v>
      </c>
      <c r="L141" s="46" t="b">
        <v>0</v>
      </c>
      <c r="M141" s="42">
        <v>0</v>
      </c>
      <c r="N141" s="42">
        <v>0</v>
      </c>
      <c r="O141" s="52">
        <v>0</v>
      </c>
      <c r="P141" s="42">
        <v>0</v>
      </c>
      <c r="Q141" s="42">
        <v>0</v>
      </c>
      <c r="R141" s="42"/>
      <c r="S141" s="42"/>
      <c r="T141" s="42" t="s">
        <v>616</v>
      </c>
      <c r="U141" t="str">
        <f>IFERROR(HYPERLINK("#'Main'!B"&amp;MATCH(TRIM(A141),Main!B:B,0),"Open"),HYPERLINK("#'Main'!B1","Open"))</f>
        <v>Open</v>
      </c>
    </row>
    <row r="142" spans="1:22" ht="15.75" x14ac:dyDescent="0.25">
      <c r="A142" s="50" t="s">
        <v>176</v>
      </c>
      <c r="B142" s="33" t="s">
        <v>614</v>
      </c>
      <c r="C142" s="37" t="s">
        <v>634</v>
      </c>
      <c r="D142" s="33" t="s">
        <v>666</v>
      </c>
      <c r="E142" s="52">
        <v>200</v>
      </c>
      <c r="F142" s="33" t="b">
        <v>1</v>
      </c>
      <c r="G142" s="33">
        <v>0</v>
      </c>
      <c r="H142" s="52">
        <v>0</v>
      </c>
      <c r="I142" s="33">
        <v>0</v>
      </c>
      <c r="J142" s="33">
        <v>0</v>
      </c>
      <c r="K142" s="33">
        <v>0</v>
      </c>
      <c r="L142" s="40" t="b">
        <v>0</v>
      </c>
      <c r="M142" s="33">
        <v>0</v>
      </c>
      <c r="N142" s="33">
        <v>0</v>
      </c>
      <c r="O142" s="52">
        <v>0</v>
      </c>
      <c r="P142" s="33">
        <v>0</v>
      </c>
      <c r="Q142" s="33">
        <v>0</v>
      </c>
      <c r="R142" s="33"/>
      <c r="S142" s="33"/>
      <c r="T142" s="33" t="s">
        <v>616</v>
      </c>
      <c r="U142" s="41" t="str">
        <f>IFERROR(HYPERLINK("#'Main'!B"&amp;MATCH(TRIM(A142),Main!B:B,0),"Open"),HYPERLINK("#'Main'!B1","Open"))</f>
        <v>Open</v>
      </c>
      <c r="V142" s="41"/>
    </row>
    <row r="143" spans="1:22" ht="30" x14ac:dyDescent="0.25">
      <c r="A143" s="51" t="s">
        <v>176</v>
      </c>
      <c r="B143" s="42" t="s">
        <v>614</v>
      </c>
      <c r="C143" s="44" t="s">
        <v>636</v>
      </c>
      <c r="D143" s="42" t="s">
        <v>637</v>
      </c>
      <c r="E143" s="34">
        <v>404</v>
      </c>
      <c r="F143" s="42" t="b">
        <v>0</v>
      </c>
      <c r="G143" s="42">
        <v>0</v>
      </c>
      <c r="H143" s="52">
        <v>0</v>
      </c>
      <c r="I143" s="42">
        <v>0</v>
      </c>
      <c r="J143" s="42">
        <v>0</v>
      </c>
      <c r="K143" s="42">
        <v>0</v>
      </c>
      <c r="L143" s="46" t="b">
        <v>0</v>
      </c>
      <c r="M143" s="42">
        <v>0</v>
      </c>
      <c r="N143" s="42">
        <v>0</v>
      </c>
      <c r="O143" s="52">
        <v>0</v>
      </c>
      <c r="P143" s="42">
        <v>0</v>
      </c>
      <c r="Q143" s="42">
        <v>0</v>
      </c>
      <c r="R143" s="42"/>
      <c r="S143" s="42"/>
      <c r="T143" s="42" t="s">
        <v>616</v>
      </c>
      <c r="U143" t="str">
        <f>IFERROR(HYPERLINK("#'Main'!B"&amp;MATCH(TRIM(A143),Main!B:B,0),"Open"),HYPERLINK("#'Main'!B1","Open"))</f>
        <v>Open</v>
      </c>
    </row>
    <row r="144" spans="1:22" ht="30" x14ac:dyDescent="0.25">
      <c r="A144" s="50" t="s">
        <v>176</v>
      </c>
      <c r="B144" s="33" t="s">
        <v>614</v>
      </c>
      <c r="C144" s="37" t="s">
        <v>636</v>
      </c>
      <c r="D144" s="33" t="s">
        <v>638</v>
      </c>
      <c r="E144" s="34">
        <v>404</v>
      </c>
      <c r="F144" s="33" t="b">
        <v>0</v>
      </c>
      <c r="G144" s="33">
        <v>0</v>
      </c>
      <c r="H144" s="52">
        <v>0</v>
      </c>
      <c r="I144" s="33">
        <v>0</v>
      </c>
      <c r="J144" s="33">
        <v>0</v>
      </c>
      <c r="K144" s="33">
        <v>0</v>
      </c>
      <c r="L144" s="40" t="b">
        <v>0</v>
      </c>
      <c r="M144" s="33">
        <v>0</v>
      </c>
      <c r="N144" s="33">
        <v>0</v>
      </c>
      <c r="O144" s="52">
        <v>0</v>
      </c>
      <c r="P144" s="33">
        <v>0</v>
      </c>
      <c r="Q144" s="33">
        <v>0</v>
      </c>
      <c r="R144" s="33"/>
      <c r="S144" s="33"/>
      <c r="T144" s="33" t="s">
        <v>616</v>
      </c>
      <c r="U144" s="41" t="str">
        <f>IFERROR(HYPERLINK("#'Main'!B"&amp;MATCH(TRIM(A144),Main!B:B,0),"Open"),HYPERLINK("#'Main'!B1","Open"))</f>
        <v>Open</v>
      </c>
      <c r="V144" s="41"/>
    </row>
    <row r="145" spans="1:22" ht="30" customHeight="1" x14ac:dyDescent="0.25">
      <c r="A145" s="51" t="s">
        <v>208</v>
      </c>
      <c r="B145" s="42" t="s">
        <v>614</v>
      </c>
      <c r="C145" s="44" t="s">
        <v>176</v>
      </c>
      <c r="D145" s="42"/>
      <c r="E145" s="52">
        <v>200</v>
      </c>
      <c r="F145" s="42" t="b">
        <v>1</v>
      </c>
      <c r="G145" s="42">
        <v>0</v>
      </c>
      <c r="H145" s="52">
        <v>0</v>
      </c>
      <c r="I145" s="42">
        <v>0</v>
      </c>
      <c r="J145" s="42">
        <v>0</v>
      </c>
      <c r="K145" s="42">
        <v>0</v>
      </c>
      <c r="L145" s="46" t="b">
        <v>0</v>
      </c>
      <c r="M145" s="42">
        <v>0</v>
      </c>
      <c r="N145" s="42">
        <v>0</v>
      </c>
      <c r="O145" s="52">
        <v>0</v>
      </c>
      <c r="P145" s="42">
        <v>0</v>
      </c>
      <c r="Q145" s="42">
        <v>0</v>
      </c>
      <c r="R145" s="42"/>
      <c r="S145" s="42"/>
      <c r="T145" s="42" t="s">
        <v>616</v>
      </c>
      <c r="U145" t="str">
        <f>IFERROR(HYPERLINK("#'Main'!B"&amp;MATCH(TRIM(A145),Main!B:B,0),"Open"),HYPERLINK("#'Main'!B1","Open"))</f>
        <v>Open</v>
      </c>
    </row>
    <row r="146" spans="1:22" ht="30" customHeight="1" x14ac:dyDescent="0.25">
      <c r="A146" s="50" t="s">
        <v>208</v>
      </c>
      <c r="B146" s="33" t="s">
        <v>614</v>
      </c>
      <c r="C146" s="37" t="s">
        <v>176</v>
      </c>
      <c r="D146" s="33" t="s">
        <v>639</v>
      </c>
      <c r="E146" s="52">
        <v>200</v>
      </c>
      <c r="F146" s="33" t="b">
        <v>1</v>
      </c>
      <c r="G146" s="33">
        <v>0</v>
      </c>
      <c r="H146" s="52">
        <v>0</v>
      </c>
      <c r="I146" s="33">
        <v>0</v>
      </c>
      <c r="J146" s="33">
        <v>0</v>
      </c>
      <c r="K146" s="33">
        <v>0</v>
      </c>
      <c r="L146" s="40" t="b">
        <v>0</v>
      </c>
      <c r="M146" s="33">
        <v>0</v>
      </c>
      <c r="N146" s="33">
        <v>0</v>
      </c>
      <c r="O146" s="52">
        <v>0</v>
      </c>
      <c r="P146" s="33">
        <v>0</v>
      </c>
      <c r="Q146" s="33">
        <v>0</v>
      </c>
      <c r="R146" s="33"/>
      <c r="S146" s="33"/>
      <c r="T146" s="33" t="s">
        <v>616</v>
      </c>
      <c r="U146" s="41" t="str">
        <f>IFERROR(HYPERLINK("#'Main'!B"&amp;MATCH(TRIM(A146),Main!B:B,0),"Open"),HYPERLINK("#'Main'!B1","Open"))</f>
        <v>Open</v>
      </c>
      <c r="V146" s="41"/>
    </row>
    <row r="147" spans="1:22" ht="30" customHeight="1" x14ac:dyDescent="0.25">
      <c r="A147" s="51" t="s">
        <v>208</v>
      </c>
      <c r="B147" s="42" t="s">
        <v>614</v>
      </c>
      <c r="C147" s="44" t="s">
        <v>178</v>
      </c>
      <c r="D147" s="42" t="s">
        <v>640</v>
      </c>
      <c r="E147" s="52">
        <v>200</v>
      </c>
      <c r="F147" s="42" t="b">
        <v>1</v>
      </c>
      <c r="G147" s="42">
        <v>0</v>
      </c>
      <c r="H147" s="52">
        <v>0</v>
      </c>
      <c r="I147" s="42">
        <v>0</v>
      </c>
      <c r="J147" s="42">
        <v>0</v>
      </c>
      <c r="K147" s="42">
        <v>0</v>
      </c>
      <c r="L147" s="46" t="b">
        <v>0</v>
      </c>
      <c r="M147" s="42">
        <v>0</v>
      </c>
      <c r="N147" s="42">
        <v>0</v>
      </c>
      <c r="O147" s="52">
        <v>0</v>
      </c>
      <c r="P147" s="42">
        <v>0</v>
      </c>
      <c r="Q147" s="42">
        <v>0</v>
      </c>
      <c r="R147" s="42"/>
      <c r="S147" s="42"/>
      <c r="T147" s="42" t="s">
        <v>616</v>
      </c>
      <c r="U147" t="str">
        <f>IFERROR(HYPERLINK("#'Main'!B"&amp;MATCH(TRIM(A147),Main!B:B,0),"Open"),HYPERLINK("#'Main'!B1","Open"))</f>
        <v>Open</v>
      </c>
    </row>
    <row r="148" spans="1:22" ht="30" customHeight="1" x14ac:dyDescent="0.25">
      <c r="A148" s="50" t="s">
        <v>208</v>
      </c>
      <c r="B148" s="33" t="s">
        <v>614</v>
      </c>
      <c r="C148" s="37" t="s">
        <v>641</v>
      </c>
      <c r="D148" s="33" t="s">
        <v>642</v>
      </c>
      <c r="E148" s="52">
        <v>200</v>
      </c>
      <c r="F148" s="33" t="b">
        <v>1</v>
      </c>
      <c r="G148" s="33">
        <v>0</v>
      </c>
      <c r="H148" s="52">
        <v>0</v>
      </c>
      <c r="I148" s="33">
        <v>0</v>
      </c>
      <c r="J148" s="33">
        <v>0</v>
      </c>
      <c r="K148" s="33">
        <v>0</v>
      </c>
      <c r="L148" s="40" t="b">
        <v>0</v>
      </c>
      <c r="M148" s="33">
        <v>0</v>
      </c>
      <c r="N148" s="33">
        <v>0</v>
      </c>
      <c r="O148" s="52">
        <v>0</v>
      </c>
      <c r="P148" s="33">
        <v>0</v>
      </c>
      <c r="Q148" s="33">
        <v>0</v>
      </c>
      <c r="R148" s="33"/>
      <c r="S148" s="33"/>
      <c r="T148" s="33" t="s">
        <v>616</v>
      </c>
      <c r="U148" s="41" t="str">
        <f>IFERROR(HYPERLINK("#'Main'!B"&amp;MATCH(TRIM(A148),Main!B:B,0),"Open"),HYPERLINK("#'Main'!B1","Open"))</f>
        <v>Open</v>
      </c>
      <c r="V148" s="41"/>
    </row>
    <row r="149" spans="1:22" ht="30" customHeight="1" x14ac:dyDescent="0.25">
      <c r="A149" s="51" t="s">
        <v>208</v>
      </c>
      <c r="B149" s="42" t="s">
        <v>614</v>
      </c>
      <c r="C149" s="44" t="s">
        <v>643</v>
      </c>
      <c r="D149" s="42" t="s">
        <v>644</v>
      </c>
      <c r="E149" s="52">
        <v>200</v>
      </c>
      <c r="F149" s="42" t="b">
        <v>1</v>
      </c>
      <c r="G149" s="42">
        <v>0</v>
      </c>
      <c r="H149" s="52">
        <v>0</v>
      </c>
      <c r="I149" s="42">
        <v>0</v>
      </c>
      <c r="J149" s="42">
        <v>0</v>
      </c>
      <c r="K149" s="42">
        <v>0</v>
      </c>
      <c r="L149" s="46" t="b">
        <v>0</v>
      </c>
      <c r="M149" s="42">
        <v>0</v>
      </c>
      <c r="N149" s="42">
        <v>0</v>
      </c>
      <c r="O149" s="52">
        <v>0</v>
      </c>
      <c r="P149" s="42">
        <v>0</v>
      </c>
      <c r="Q149" s="42">
        <v>0</v>
      </c>
      <c r="R149" s="42"/>
      <c r="S149" s="42"/>
      <c r="T149" s="42" t="s">
        <v>616</v>
      </c>
      <c r="U149" t="str">
        <f>IFERROR(HYPERLINK("#'Main'!B"&amp;MATCH(TRIM(A149),Main!B:B,0),"Open"),HYPERLINK("#'Main'!B1","Open"))</f>
        <v>Open</v>
      </c>
    </row>
    <row r="150" spans="1:22" ht="30" customHeight="1" x14ac:dyDescent="0.25">
      <c r="A150" s="50" t="s">
        <v>208</v>
      </c>
      <c r="B150" s="33" t="s">
        <v>614</v>
      </c>
      <c r="C150" s="37" t="s">
        <v>208</v>
      </c>
      <c r="D150" s="33" t="s">
        <v>645</v>
      </c>
      <c r="E150" s="52">
        <v>200</v>
      </c>
      <c r="F150" s="33" t="b">
        <v>1</v>
      </c>
      <c r="G150" s="33">
        <v>0</v>
      </c>
      <c r="H150" s="52">
        <v>0</v>
      </c>
      <c r="I150" s="33">
        <v>0</v>
      </c>
      <c r="J150" s="33">
        <v>0</v>
      </c>
      <c r="K150" s="33">
        <v>0</v>
      </c>
      <c r="L150" s="40" t="b">
        <v>0</v>
      </c>
      <c r="M150" s="33">
        <v>0</v>
      </c>
      <c r="N150" s="33">
        <v>0</v>
      </c>
      <c r="O150" s="52">
        <v>0</v>
      </c>
      <c r="P150" s="33">
        <v>0</v>
      </c>
      <c r="Q150" s="33">
        <v>0</v>
      </c>
      <c r="R150" s="33"/>
      <c r="S150" s="33"/>
      <c r="T150" s="33" t="s">
        <v>616</v>
      </c>
      <c r="U150" s="41" t="str">
        <f>IFERROR(HYPERLINK("#'Main'!B"&amp;MATCH(TRIM(A150),Main!B:B,0),"Open"),HYPERLINK("#'Main'!B1","Open"))</f>
        <v>Open</v>
      </c>
      <c r="V150" s="41"/>
    </row>
    <row r="151" spans="1:22" ht="30" customHeight="1" x14ac:dyDescent="0.25">
      <c r="A151" s="51" t="s">
        <v>208</v>
      </c>
      <c r="B151" s="42" t="s">
        <v>614</v>
      </c>
      <c r="C151" s="44" t="s">
        <v>646</v>
      </c>
      <c r="D151" s="42" t="s">
        <v>647</v>
      </c>
      <c r="E151" s="52">
        <v>200</v>
      </c>
      <c r="F151" s="42" t="b">
        <v>1</v>
      </c>
      <c r="G151" s="42">
        <v>0</v>
      </c>
      <c r="H151" s="52">
        <v>0</v>
      </c>
      <c r="I151" s="42">
        <v>0</v>
      </c>
      <c r="J151" s="42">
        <v>0</v>
      </c>
      <c r="K151" s="42">
        <v>0</v>
      </c>
      <c r="L151" s="46" t="b">
        <v>0</v>
      </c>
      <c r="M151" s="42">
        <v>0</v>
      </c>
      <c r="N151" s="42">
        <v>0</v>
      </c>
      <c r="O151" s="52">
        <v>0</v>
      </c>
      <c r="P151" s="42">
        <v>0</v>
      </c>
      <c r="Q151" s="42">
        <v>0</v>
      </c>
      <c r="R151" s="42"/>
      <c r="S151" s="42"/>
      <c r="T151" s="42" t="s">
        <v>616</v>
      </c>
      <c r="U151" t="str">
        <f>IFERROR(HYPERLINK("#'Main'!B"&amp;MATCH(TRIM(A151),Main!B:B,0),"Open"),HYPERLINK("#'Main'!B1","Open"))</f>
        <v>Open</v>
      </c>
    </row>
    <row r="152" spans="1:22" ht="30" customHeight="1" x14ac:dyDescent="0.25">
      <c r="A152" s="50" t="s">
        <v>208</v>
      </c>
      <c r="B152" s="33" t="s">
        <v>614</v>
      </c>
      <c r="C152" s="37" t="s">
        <v>648</v>
      </c>
      <c r="D152" s="33" t="s">
        <v>649</v>
      </c>
      <c r="E152" s="52">
        <v>200</v>
      </c>
      <c r="F152" s="33" t="b">
        <v>1</v>
      </c>
      <c r="G152" s="33">
        <v>0</v>
      </c>
      <c r="H152" s="52">
        <v>0</v>
      </c>
      <c r="I152" s="33">
        <v>0</v>
      </c>
      <c r="J152" s="33">
        <v>0</v>
      </c>
      <c r="K152" s="33">
        <v>0</v>
      </c>
      <c r="L152" s="40" t="b">
        <v>0</v>
      </c>
      <c r="M152" s="33">
        <v>0</v>
      </c>
      <c r="N152" s="33">
        <v>0</v>
      </c>
      <c r="O152" s="52">
        <v>0</v>
      </c>
      <c r="P152" s="33">
        <v>0</v>
      </c>
      <c r="Q152" s="33">
        <v>0</v>
      </c>
      <c r="R152" s="33"/>
      <c r="S152" s="33"/>
      <c r="T152" s="33" t="s">
        <v>616</v>
      </c>
      <c r="U152" s="41" t="str">
        <f>IFERROR(HYPERLINK("#'Main'!B"&amp;MATCH(TRIM(A152),Main!B:B,0),"Open"),HYPERLINK("#'Main'!B1","Open"))</f>
        <v>Open</v>
      </c>
      <c r="V152" s="41"/>
    </row>
    <row r="153" spans="1:22" ht="30" customHeight="1" x14ac:dyDescent="0.25">
      <c r="A153" s="51" t="s">
        <v>208</v>
      </c>
      <c r="B153" s="42" t="s">
        <v>614</v>
      </c>
      <c r="C153" s="44" t="s">
        <v>650</v>
      </c>
      <c r="D153" s="42" t="s">
        <v>651</v>
      </c>
      <c r="E153" s="52">
        <v>200</v>
      </c>
      <c r="F153" s="42" t="b">
        <v>1</v>
      </c>
      <c r="G153" s="42">
        <v>0</v>
      </c>
      <c r="H153" s="52">
        <v>0</v>
      </c>
      <c r="I153" s="42">
        <v>0</v>
      </c>
      <c r="J153" s="42">
        <v>0</v>
      </c>
      <c r="K153" s="42">
        <v>0</v>
      </c>
      <c r="L153" s="46" t="b">
        <v>0</v>
      </c>
      <c r="M153" s="42">
        <v>0</v>
      </c>
      <c r="N153" s="42">
        <v>0</v>
      </c>
      <c r="O153" s="52">
        <v>0</v>
      </c>
      <c r="P153" s="42">
        <v>0</v>
      </c>
      <c r="Q153" s="42">
        <v>0</v>
      </c>
      <c r="R153" s="42"/>
      <c r="S153" s="42"/>
      <c r="T153" s="42" t="s">
        <v>616</v>
      </c>
      <c r="U153" t="str">
        <f>IFERROR(HYPERLINK("#'Main'!B"&amp;MATCH(TRIM(A153),Main!B:B,0),"Open"),HYPERLINK("#'Main'!B1","Open"))</f>
        <v>Open</v>
      </c>
    </row>
    <row r="154" spans="1:22" ht="30" customHeight="1" x14ac:dyDescent="0.25">
      <c r="A154" s="50" t="s">
        <v>208</v>
      </c>
      <c r="B154" s="33" t="s">
        <v>614</v>
      </c>
      <c r="C154" s="37" t="s">
        <v>652</v>
      </c>
      <c r="D154" s="33" t="s">
        <v>653</v>
      </c>
      <c r="E154" s="52">
        <v>200</v>
      </c>
      <c r="F154" s="33" t="b">
        <v>1</v>
      </c>
      <c r="G154" s="33">
        <v>0</v>
      </c>
      <c r="H154" s="52">
        <v>0</v>
      </c>
      <c r="I154" s="33">
        <v>0</v>
      </c>
      <c r="J154" s="33">
        <v>0</v>
      </c>
      <c r="K154" s="33">
        <v>0</v>
      </c>
      <c r="L154" s="40" t="b">
        <v>0</v>
      </c>
      <c r="M154" s="33">
        <v>0</v>
      </c>
      <c r="N154" s="33">
        <v>0</v>
      </c>
      <c r="O154" s="52">
        <v>0</v>
      </c>
      <c r="P154" s="33">
        <v>0</v>
      </c>
      <c r="Q154" s="33">
        <v>0</v>
      </c>
      <c r="R154" s="33"/>
      <c r="S154" s="33"/>
      <c r="T154" s="33" t="s">
        <v>616</v>
      </c>
      <c r="U154" s="41" t="str">
        <f>IFERROR(HYPERLINK("#'Main'!B"&amp;MATCH(TRIM(A154),Main!B:B,0),"Open"),HYPERLINK("#'Main'!B1","Open"))</f>
        <v>Open</v>
      </c>
      <c r="V154" s="41"/>
    </row>
    <row r="155" spans="1:22" ht="30" customHeight="1" x14ac:dyDescent="0.25">
      <c r="A155" s="51" t="s">
        <v>208</v>
      </c>
      <c r="B155" s="42" t="s">
        <v>614</v>
      </c>
      <c r="C155" s="44" t="s">
        <v>652</v>
      </c>
      <c r="D155" s="42" t="s">
        <v>654</v>
      </c>
      <c r="E155" s="52">
        <v>200</v>
      </c>
      <c r="F155" s="42" t="b">
        <v>1</v>
      </c>
      <c r="G155" s="42">
        <v>0</v>
      </c>
      <c r="H155" s="52">
        <v>0</v>
      </c>
      <c r="I155" s="42">
        <v>0</v>
      </c>
      <c r="J155" s="42">
        <v>0</v>
      </c>
      <c r="K155" s="42">
        <v>0</v>
      </c>
      <c r="L155" s="46" t="b">
        <v>0</v>
      </c>
      <c r="M155" s="42">
        <v>0</v>
      </c>
      <c r="N155" s="42">
        <v>0</v>
      </c>
      <c r="O155" s="52">
        <v>0</v>
      </c>
      <c r="P155" s="42">
        <v>0</v>
      </c>
      <c r="Q155" s="42">
        <v>0</v>
      </c>
      <c r="R155" s="42"/>
      <c r="S155" s="42"/>
      <c r="T155" s="42" t="s">
        <v>616</v>
      </c>
      <c r="U155" t="str">
        <f>IFERROR(HYPERLINK("#'Main'!B"&amp;MATCH(TRIM(A155),Main!B:B,0),"Open"),HYPERLINK("#'Main'!B1","Open"))</f>
        <v>Open</v>
      </c>
    </row>
    <row r="156" spans="1:22" ht="30" customHeight="1" x14ac:dyDescent="0.25">
      <c r="A156" s="50" t="s">
        <v>208</v>
      </c>
      <c r="B156" s="33" t="s">
        <v>614</v>
      </c>
      <c r="C156" s="37" t="s">
        <v>629</v>
      </c>
      <c r="D156" s="33" t="s">
        <v>655</v>
      </c>
      <c r="E156" s="52">
        <v>200</v>
      </c>
      <c r="F156" s="33" t="b">
        <v>1</v>
      </c>
      <c r="G156" s="33">
        <v>0</v>
      </c>
      <c r="H156" s="52">
        <v>0</v>
      </c>
      <c r="I156" s="33">
        <v>0</v>
      </c>
      <c r="J156" s="33">
        <v>0</v>
      </c>
      <c r="K156" s="33">
        <v>0</v>
      </c>
      <c r="L156" s="40" t="b">
        <v>0</v>
      </c>
      <c r="M156" s="33">
        <v>0</v>
      </c>
      <c r="N156" s="33">
        <v>0</v>
      </c>
      <c r="O156" s="52">
        <v>0</v>
      </c>
      <c r="P156" s="33">
        <v>0</v>
      </c>
      <c r="Q156" s="33">
        <v>0</v>
      </c>
      <c r="R156" s="33"/>
      <c r="S156" s="33"/>
      <c r="T156" s="33" t="s">
        <v>616</v>
      </c>
      <c r="U156" s="41" t="str">
        <f>IFERROR(HYPERLINK("#'Main'!B"&amp;MATCH(TRIM(A156),Main!B:B,0),"Open"),HYPERLINK("#'Main'!B1","Open"))</f>
        <v>Open</v>
      </c>
      <c r="V156" s="41"/>
    </row>
    <row r="157" spans="1:22" ht="30" customHeight="1" x14ac:dyDescent="0.25">
      <c r="A157" s="51" t="s">
        <v>208</v>
      </c>
      <c r="B157" s="42" t="s">
        <v>614</v>
      </c>
      <c r="C157" s="44" t="s">
        <v>656</v>
      </c>
      <c r="D157" s="42" t="s">
        <v>286</v>
      </c>
      <c r="E157" s="52">
        <v>200</v>
      </c>
      <c r="F157" s="42" t="b">
        <v>1</v>
      </c>
      <c r="G157" s="42">
        <v>0</v>
      </c>
      <c r="H157" s="52">
        <v>0</v>
      </c>
      <c r="I157" s="42">
        <v>0</v>
      </c>
      <c r="J157" s="42">
        <v>0</v>
      </c>
      <c r="K157" s="42">
        <v>0</v>
      </c>
      <c r="L157" s="46" t="b">
        <v>0</v>
      </c>
      <c r="M157" s="42">
        <v>0</v>
      </c>
      <c r="N157" s="42">
        <v>0</v>
      </c>
      <c r="O157" s="52">
        <v>0</v>
      </c>
      <c r="P157" s="42">
        <v>0</v>
      </c>
      <c r="Q157" s="42">
        <v>0</v>
      </c>
      <c r="R157" s="42"/>
      <c r="S157" s="42"/>
      <c r="T157" s="42" t="s">
        <v>616</v>
      </c>
      <c r="U157" t="str">
        <f>IFERROR(HYPERLINK("#'Main'!B"&amp;MATCH(TRIM(A157),Main!B:B,0),"Open"),HYPERLINK("#'Main'!B1","Open"))</f>
        <v>Open</v>
      </c>
    </row>
    <row r="158" spans="1:22" ht="30" customHeight="1" x14ac:dyDescent="0.25">
      <c r="A158" s="50" t="s">
        <v>208</v>
      </c>
      <c r="B158" s="33" t="s">
        <v>614</v>
      </c>
      <c r="C158" s="37" t="s">
        <v>657</v>
      </c>
      <c r="D158" s="33" t="s">
        <v>658</v>
      </c>
      <c r="E158" s="52">
        <v>200</v>
      </c>
      <c r="F158" s="33" t="b">
        <v>1</v>
      </c>
      <c r="G158" s="33">
        <v>0</v>
      </c>
      <c r="H158" s="52">
        <v>0</v>
      </c>
      <c r="I158" s="33">
        <v>0</v>
      </c>
      <c r="J158" s="33">
        <v>0</v>
      </c>
      <c r="K158" s="33">
        <v>0</v>
      </c>
      <c r="L158" s="40" t="b">
        <v>0</v>
      </c>
      <c r="M158" s="33">
        <v>0</v>
      </c>
      <c r="N158" s="33">
        <v>0</v>
      </c>
      <c r="O158" s="52">
        <v>0</v>
      </c>
      <c r="P158" s="33">
        <v>0</v>
      </c>
      <c r="Q158" s="33">
        <v>0</v>
      </c>
      <c r="R158" s="33"/>
      <c r="S158" s="33"/>
      <c r="T158" s="33" t="s">
        <v>616</v>
      </c>
      <c r="U158" s="41" t="str">
        <f>IFERROR(HYPERLINK("#'Main'!B"&amp;MATCH(TRIM(A158),Main!B:B,0),"Open"),HYPERLINK("#'Main'!B1","Open"))</f>
        <v>Open</v>
      </c>
      <c r="V158" s="41"/>
    </row>
    <row r="159" spans="1:22" ht="30" customHeight="1" x14ac:dyDescent="0.25">
      <c r="A159" s="51" t="s">
        <v>208</v>
      </c>
      <c r="B159" s="42" t="s">
        <v>614</v>
      </c>
      <c r="C159" s="44" t="s">
        <v>176</v>
      </c>
      <c r="D159" s="42" t="s">
        <v>639</v>
      </c>
      <c r="E159" s="52">
        <v>200</v>
      </c>
      <c r="F159" s="42" t="b">
        <v>1</v>
      </c>
      <c r="G159" s="42">
        <v>0</v>
      </c>
      <c r="H159" s="52">
        <v>0</v>
      </c>
      <c r="I159" s="42">
        <v>0</v>
      </c>
      <c r="J159" s="42">
        <v>0</v>
      </c>
      <c r="K159" s="42">
        <v>0</v>
      </c>
      <c r="L159" s="46" t="b">
        <v>0</v>
      </c>
      <c r="M159" s="42">
        <v>0</v>
      </c>
      <c r="N159" s="42">
        <v>0</v>
      </c>
      <c r="O159" s="52">
        <v>0</v>
      </c>
      <c r="P159" s="42">
        <v>0</v>
      </c>
      <c r="Q159" s="42">
        <v>0</v>
      </c>
      <c r="R159" s="42"/>
      <c r="S159" s="42"/>
      <c r="T159" s="42" t="s">
        <v>616</v>
      </c>
      <c r="U159" t="str">
        <f>IFERROR(HYPERLINK("#'Main'!B"&amp;MATCH(TRIM(A159),Main!B:B,0),"Open"),HYPERLINK("#'Main'!B1","Open"))</f>
        <v>Open</v>
      </c>
    </row>
    <row r="160" spans="1:22" ht="30" customHeight="1" x14ac:dyDescent="0.25">
      <c r="A160" s="50" t="s">
        <v>208</v>
      </c>
      <c r="B160" s="33" t="s">
        <v>614</v>
      </c>
      <c r="C160" s="37" t="s">
        <v>178</v>
      </c>
      <c r="D160" s="33" t="s">
        <v>640</v>
      </c>
      <c r="E160" s="52">
        <v>200</v>
      </c>
      <c r="F160" s="33" t="b">
        <v>1</v>
      </c>
      <c r="G160" s="33">
        <v>0</v>
      </c>
      <c r="H160" s="52">
        <v>0</v>
      </c>
      <c r="I160" s="33">
        <v>0</v>
      </c>
      <c r="J160" s="33">
        <v>0</v>
      </c>
      <c r="K160" s="33">
        <v>0</v>
      </c>
      <c r="L160" s="40" t="b">
        <v>0</v>
      </c>
      <c r="M160" s="33">
        <v>0</v>
      </c>
      <c r="N160" s="33">
        <v>0</v>
      </c>
      <c r="O160" s="52">
        <v>0</v>
      </c>
      <c r="P160" s="33">
        <v>0</v>
      </c>
      <c r="Q160" s="33">
        <v>0</v>
      </c>
      <c r="R160" s="33"/>
      <c r="S160" s="33"/>
      <c r="T160" s="33" t="s">
        <v>616</v>
      </c>
      <c r="U160" s="41" t="str">
        <f>IFERROR(HYPERLINK("#'Main'!B"&amp;MATCH(TRIM(A160),Main!B:B,0),"Open"),HYPERLINK("#'Main'!B1","Open"))</f>
        <v>Open</v>
      </c>
      <c r="V160" s="41"/>
    </row>
    <row r="161" spans="1:22" ht="30" customHeight="1" x14ac:dyDescent="0.25">
      <c r="A161" s="51" t="s">
        <v>208</v>
      </c>
      <c r="B161" s="42" t="s">
        <v>614</v>
      </c>
      <c r="C161" s="44" t="s">
        <v>641</v>
      </c>
      <c r="D161" s="42" t="s">
        <v>642</v>
      </c>
      <c r="E161" s="52">
        <v>200</v>
      </c>
      <c r="F161" s="42" t="b">
        <v>1</v>
      </c>
      <c r="G161" s="42">
        <v>0</v>
      </c>
      <c r="H161" s="52">
        <v>0</v>
      </c>
      <c r="I161" s="42">
        <v>0</v>
      </c>
      <c r="J161" s="42">
        <v>0</v>
      </c>
      <c r="K161" s="42">
        <v>0</v>
      </c>
      <c r="L161" s="46" t="b">
        <v>0</v>
      </c>
      <c r="M161" s="42">
        <v>0</v>
      </c>
      <c r="N161" s="42">
        <v>0</v>
      </c>
      <c r="O161" s="52">
        <v>0</v>
      </c>
      <c r="P161" s="42">
        <v>0</v>
      </c>
      <c r="Q161" s="42">
        <v>0</v>
      </c>
      <c r="R161" s="42"/>
      <c r="S161" s="42"/>
      <c r="T161" s="42" t="s">
        <v>616</v>
      </c>
      <c r="U161" t="str">
        <f>IFERROR(HYPERLINK("#'Main'!B"&amp;MATCH(TRIM(A161),Main!B:B,0),"Open"),HYPERLINK("#'Main'!B1","Open"))</f>
        <v>Open</v>
      </c>
    </row>
    <row r="162" spans="1:22" ht="30" customHeight="1" x14ac:dyDescent="0.25">
      <c r="A162" s="50" t="s">
        <v>208</v>
      </c>
      <c r="B162" s="33" t="s">
        <v>614</v>
      </c>
      <c r="C162" s="37" t="s">
        <v>643</v>
      </c>
      <c r="D162" s="33" t="s">
        <v>644</v>
      </c>
      <c r="E162" s="52">
        <v>200</v>
      </c>
      <c r="F162" s="33" t="b">
        <v>1</v>
      </c>
      <c r="G162" s="33">
        <v>0</v>
      </c>
      <c r="H162" s="52">
        <v>0</v>
      </c>
      <c r="I162" s="33">
        <v>0</v>
      </c>
      <c r="J162" s="33">
        <v>0</v>
      </c>
      <c r="K162" s="33">
        <v>0</v>
      </c>
      <c r="L162" s="40" t="b">
        <v>0</v>
      </c>
      <c r="M162" s="33">
        <v>0</v>
      </c>
      <c r="N162" s="33">
        <v>0</v>
      </c>
      <c r="O162" s="52">
        <v>0</v>
      </c>
      <c r="P162" s="33">
        <v>0</v>
      </c>
      <c r="Q162" s="33">
        <v>0</v>
      </c>
      <c r="R162" s="33"/>
      <c r="S162" s="33"/>
      <c r="T162" s="33" t="s">
        <v>616</v>
      </c>
      <c r="U162" s="41" t="str">
        <f>IFERROR(HYPERLINK("#'Main'!B"&amp;MATCH(TRIM(A162),Main!B:B,0),"Open"),HYPERLINK("#'Main'!B1","Open"))</f>
        <v>Open</v>
      </c>
      <c r="V162" s="41"/>
    </row>
    <row r="163" spans="1:22" ht="30" customHeight="1" x14ac:dyDescent="0.25">
      <c r="A163" s="51" t="s">
        <v>208</v>
      </c>
      <c r="B163" s="42" t="s">
        <v>614</v>
      </c>
      <c r="C163" s="44" t="s">
        <v>208</v>
      </c>
      <c r="D163" s="42" t="s">
        <v>645</v>
      </c>
      <c r="E163" s="52">
        <v>200</v>
      </c>
      <c r="F163" s="42" t="b">
        <v>1</v>
      </c>
      <c r="G163" s="42">
        <v>0</v>
      </c>
      <c r="H163" s="52">
        <v>0</v>
      </c>
      <c r="I163" s="42">
        <v>0</v>
      </c>
      <c r="J163" s="42">
        <v>0</v>
      </c>
      <c r="K163" s="42">
        <v>0</v>
      </c>
      <c r="L163" s="46" t="b">
        <v>0</v>
      </c>
      <c r="M163" s="42">
        <v>0</v>
      </c>
      <c r="N163" s="42">
        <v>0</v>
      </c>
      <c r="O163" s="52">
        <v>0</v>
      </c>
      <c r="P163" s="42">
        <v>0</v>
      </c>
      <c r="Q163" s="42">
        <v>0</v>
      </c>
      <c r="R163" s="42"/>
      <c r="S163" s="42"/>
      <c r="T163" s="42" t="s">
        <v>616</v>
      </c>
      <c r="U163" t="str">
        <f>IFERROR(HYPERLINK("#'Main'!B"&amp;MATCH(TRIM(A163),Main!B:B,0),"Open"),HYPERLINK("#'Main'!B1","Open"))</f>
        <v>Open</v>
      </c>
    </row>
    <row r="164" spans="1:22" ht="30" customHeight="1" x14ac:dyDescent="0.25">
      <c r="A164" s="50" t="s">
        <v>208</v>
      </c>
      <c r="B164" s="33" t="s">
        <v>614</v>
      </c>
      <c r="C164" s="37" t="s">
        <v>646</v>
      </c>
      <c r="D164" s="33" t="s">
        <v>647</v>
      </c>
      <c r="E164" s="52">
        <v>200</v>
      </c>
      <c r="F164" s="33" t="b">
        <v>1</v>
      </c>
      <c r="G164" s="33">
        <v>0</v>
      </c>
      <c r="H164" s="52">
        <v>0</v>
      </c>
      <c r="I164" s="33">
        <v>0</v>
      </c>
      <c r="J164" s="33">
        <v>0</v>
      </c>
      <c r="K164" s="33">
        <v>0</v>
      </c>
      <c r="L164" s="40" t="b">
        <v>0</v>
      </c>
      <c r="M164" s="33">
        <v>0</v>
      </c>
      <c r="N164" s="33">
        <v>0</v>
      </c>
      <c r="O164" s="52">
        <v>0</v>
      </c>
      <c r="P164" s="33">
        <v>0</v>
      </c>
      <c r="Q164" s="33">
        <v>0</v>
      </c>
      <c r="R164" s="33"/>
      <c r="S164" s="33"/>
      <c r="T164" s="33" t="s">
        <v>616</v>
      </c>
      <c r="U164" s="41" t="str">
        <f>IFERROR(HYPERLINK("#'Main'!B"&amp;MATCH(TRIM(A164),Main!B:B,0),"Open"),HYPERLINK("#'Main'!B1","Open"))</f>
        <v>Open</v>
      </c>
      <c r="V164" s="41"/>
    </row>
    <row r="165" spans="1:22" ht="30" customHeight="1" x14ac:dyDescent="0.25">
      <c r="A165" s="51" t="s">
        <v>208</v>
      </c>
      <c r="B165" s="42" t="s">
        <v>614</v>
      </c>
      <c r="C165" s="44" t="s">
        <v>648</v>
      </c>
      <c r="D165" s="42" t="s">
        <v>649</v>
      </c>
      <c r="E165" s="52">
        <v>200</v>
      </c>
      <c r="F165" s="42" t="b">
        <v>1</v>
      </c>
      <c r="G165" s="42">
        <v>0</v>
      </c>
      <c r="H165" s="52">
        <v>0</v>
      </c>
      <c r="I165" s="42">
        <v>0</v>
      </c>
      <c r="J165" s="42">
        <v>0</v>
      </c>
      <c r="K165" s="42">
        <v>0</v>
      </c>
      <c r="L165" s="46" t="b">
        <v>0</v>
      </c>
      <c r="M165" s="42">
        <v>0</v>
      </c>
      <c r="N165" s="42">
        <v>0</v>
      </c>
      <c r="O165" s="52">
        <v>0</v>
      </c>
      <c r="P165" s="42">
        <v>0</v>
      </c>
      <c r="Q165" s="42">
        <v>0</v>
      </c>
      <c r="R165" s="42"/>
      <c r="S165" s="42"/>
      <c r="T165" s="42" t="s">
        <v>616</v>
      </c>
      <c r="U165" t="str">
        <f>IFERROR(HYPERLINK("#'Main'!B"&amp;MATCH(TRIM(A165),Main!B:B,0),"Open"),HYPERLINK("#'Main'!B1","Open"))</f>
        <v>Open</v>
      </c>
    </row>
    <row r="166" spans="1:22" ht="30" customHeight="1" x14ac:dyDescent="0.25">
      <c r="A166" s="50" t="s">
        <v>208</v>
      </c>
      <c r="B166" s="33" t="s">
        <v>614</v>
      </c>
      <c r="C166" s="37" t="s">
        <v>650</v>
      </c>
      <c r="D166" s="33" t="s">
        <v>651</v>
      </c>
      <c r="E166" s="52">
        <v>200</v>
      </c>
      <c r="F166" s="33" t="b">
        <v>1</v>
      </c>
      <c r="G166" s="33">
        <v>0</v>
      </c>
      <c r="H166" s="52">
        <v>0</v>
      </c>
      <c r="I166" s="33">
        <v>0</v>
      </c>
      <c r="J166" s="33">
        <v>0</v>
      </c>
      <c r="K166" s="33">
        <v>0</v>
      </c>
      <c r="L166" s="40" t="b">
        <v>0</v>
      </c>
      <c r="M166" s="33">
        <v>0</v>
      </c>
      <c r="N166" s="33">
        <v>0</v>
      </c>
      <c r="O166" s="52">
        <v>0</v>
      </c>
      <c r="P166" s="33">
        <v>0</v>
      </c>
      <c r="Q166" s="33">
        <v>0</v>
      </c>
      <c r="R166" s="33"/>
      <c r="S166" s="33"/>
      <c r="T166" s="33" t="s">
        <v>616</v>
      </c>
      <c r="U166" s="41" t="str">
        <f>IFERROR(HYPERLINK("#'Main'!B"&amp;MATCH(TRIM(A166),Main!B:B,0),"Open"),HYPERLINK("#'Main'!B1","Open"))</f>
        <v>Open</v>
      </c>
      <c r="V166" s="41"/>
    </row>
    <row r="167" spans="1:22" ht="30" customHeight="1" x14ac:dyDescent="0.25">
      <c r="A167" s="51" t="s">
        <v>208</v>
      </c>
      <c r="B167" s="42" t="s">
        <v>614</v>
      </c>
      <c r="C167" s="44" t="s">
        <v>652</v>
      </c>
      <c r="D167" s="42" t="s">
        <v>653</v>
      </c>
      <c r="E167" s="52">
        <v>200</v>
      </c>
      <c r="F167" s="42" t="b">
        <v>1</v>
      </c>
      <c r="G167" s="42">
        <v>0</v>
      </c>
      <c r="H167" s="52">
        <v>0</v>
      </c>
      <c r="I167" s="42">
        <v>0</v>
      </c>
      <c r="J167" s="42">
        <v>0</v>
      </c>
      <c r="K167" s="42">
        <v>0</v>
      </c>
      <c r="L167" s="46" t="b">
        <v>0</v>
      </c>
      <c r="M167" s="42">
        <v>0</v>
      </c>
      <c r="N167" s="42">
        <v>0</v>
      </c>
      <c r="O167" s="52">
        <v>0</v>
      </c>
      <c r="P167" s="42">
        <v>0</v>
      </c>
      <c r="Q167" s="42">
        <v>0</v>
      </c>
      <c r="R167" s="42"/>
      <c r="S167" s="42"/>
      <c r="T167" s="42" t="s">
        <v>616</v>
      </c>
      <c r="U167" t="str">
        <f>IFERROR(HYPERLINK("#'Main'!B"&amp;MATCH(TRIM(A167),Main!B:B,0),"Open"),HYPERLINK("#'Main'!B1","Open"))</f>
        <v>Open</v>
      </c>
    </row>
    <row r="168" spans="1:22" ht="30" customHeight="1" x14ac:dyDescent="0.25">
      <c r="A168" s="50" t="s">
        <v>208</v>
      </c>
      <c r="B168" s="33" t="s">
        <v>614</v>
      </c>
      <c r="C168" s="37" t="s">
        <v>652</v>
      </c>
      <c r="D168" s="33" t="s">
        <v>654</v>
      </c>
      <c r="E168" s="52">
        <v>200</v>
      </c>
      <c r="F168" s="33" t="b">
        <v>1</v>
      </c>
      <c r="G168" s="33">
        <v>0</v>
      </c>
      <c r="H168" s="52">
        <v>0</v>
      </c>
      <c r="I168" s="33">
        <v>0</v>
      </c>
      <c r="J168" s="33">
        <v>0</v>
      </c>
      <c r="K168" s="33">
        <v>0</v>
      </c>
      <c r="L168" s="40" t="b">
        <v>0</v>
      </c>
      <c r="M168" s="33">
        <v>0</v>
      </c>
      <c r="N168" s="33">
        <v>0</v>
      </c>
      <c r="O168" s="52">
        <v>0</v>
      </c>
      <c r="P168" s="33">
        <v>0</v>
      </c>
      <c r="Q168" s="33">
        <v>0</v>
      </c>
      <c r="R168" s="33"/>
      <c r="S168" s="33"/>
      <c r="T168" s="33" t="s">
        <v>616</v>
      </c>
      <c r="U168" s="41" t="str">
        <f>IFERROR(HYPERLINK("#'Main'!B"&amp;MATCH(TRIM(A168),Main!B:B,0),"Open"),HYPERLINK("#'Main'!B1","Open"))</f>
        <v>Open</v>
      </c>
      <c r="V168" s="41"/>
    </row>
    <row r="169" spans="1:22" ht="30" customHeight="1" x14ac:dyDescent="0.25">
      <c r="A169" s="51" t="s">
        <v>208</v>
      </c>
      <c r="B169" s="42" t="s">
        <v>614</v>
      </c>
      <c r="C169" s="44" t="s">
        <v>629</v>
      </c>
      <c r="D169" s="42" t="s">
        <v>655</v>
      </c>
      <c r="E169" s="52">
        <v>200</v>
      </c>
      <c r="F169" s="42" t="b">
        <v>1</v>
      </c>
      <c r="G169" s="42">
        <v>0</v>
      </c>
      <c r="H169" s="52">
        <v>0</v>
      </c>
      <c r="I169" s="42">
        <v>0</v>
      </c>
      <c r="J169" s="42">
        <v>0</v>
      </c>
      <c r="K169" s="42">
        <v>0</v>
      </c>
      <c r="L169" s="46" t="b">
        <v>0</v>
      </c>
      <c r="M169" s="42">
        <v>0</v>
      </c>
      <c r="N169" s="42">
        <v>0</v>
      </c>
      <c r="O169" s="52">
        <v>0</v>
      </c>
      <c r="P169" s="42">
        <v>0</v>
      </c>
      <c r="Q169" s="42">
        <v>0</v>
      </c>
      <c r="R169" s="42"/>
      <c r="S169" s="42"/>
      <c r="T169" s="42" t="s">
        <v>616</v>
      </c>
      <c r="U169" t="str">
        <f>IFERROR(HYPERLINK("#'Main'!B"&amp;MATCH(TRIM(A169),Main!B:B,0),"Open"),HYPERLINK("#'Main'!B1","Open"))</f>
        <v>Open</v>
      </c>
    </row>
    <row r="170" spans="1:22" ht="30" customHeight="1" x14ac:dyDescent="0.25">
      <c r="A170" s="50" t="s">
        <v>208</v>
      </c>
      <c r="B170" s="33" t="s">
        <v>614</v>
      </c>
      <c r="C170" s="37" t="s">
        <v>656</v>
      </c>
      <c r="D170" s="33" t="s">
        <v>286</v>
      </c>
      <c r="E170" s="52">
        <v>200</v>
      </c>
      <c r="F170" s="33" t="b">
        <v>1</v>
      </c>
      <c r="G170" s="33">
        <v>0</v>
      </c>
      <c r="H170" s="52">
        <v>0</v>
      </c>
      <c r="I170" s="33">
        <v>0</v>
      </c>
      <c r="J170" s="33">
        <v>0</v>
      </c>
      <c r="K170" s="33">
        <v>0</v>
      </c>
      <c r="L170" s="40" t="b">
        <v>0</v>
      </c>
      <c r="M170" s="33">
        <v>0</v>
      </c>
      <c r="N170" s="33">
        <v>0</v>
      </c>
      <c r="O170" s="52">
        <v>0</v>
      </c>
      <c r="P170" s="33">
        <v>0</v>
      </c>
      <c r="Q170" s="33">
        <v>0</v>
      </c>
      <c r="R170" s="33"/>
      <c r="S170" s="33"/>
      <c r="T170" s="33" t="s">
        <v>616</v>
      </c>
      <c r="U170" s="41" t="str">
        <f>IFERROR(HYPERLINK("#'Main'!B"&amp;MATCH(TRIM(A170),Main!B:B,0),"Open"),HYPERLINK("#'Main'!B1","Open"))</f>
        <v>Open</v>
      </c>
      <c r="V170" s="41"/>
    </row>
    <row r="171" spans="1:22" ht="30" customHeight="1" x14ac:dyDescent="0.25">
      <c r="A171" s="51" t="s">
        <v>208</v>
      </c>
      <c r="B171" s="42" t="s">
        <v>614</v>
      </c>
      <c r="C171" s="44" t="s">
        <v>657</v>
      </c>
      <c r="D171" s="42" t="s">
        <v>658</v>
      </c>
      <c r="E171" s="52">
        <v>200</v>
      </c>
      <c r="F171" s="42" t="b">
        <v>1</v>
      </c>
      <c r="G171" s="42">
        <v>0</v>
      </c>
      <c r="H171" s="52">
        <v>0</v>
      </c>
      <c r="I171" s="42">
        <v>0</v>
      </c>
      <c r="J171" s="42">
        <v>0</v>
      </c>
      <c r="K171" s="42">
        <v>0</v>
      </c>
      <c r="L171" s="46" t="b">
        <v>0</v>
      </c>
      <c r="M171" s="42">
        <v>0</v>
      </c>
      <c r="N171" s="42">
        <v>0</v>
      </c>
      <c r="O171" s="52">
        <v>0</v>
      </c>
      <c r="P171" s="42">
        <v>0</v>
      </c>
      <c r="Q171" s="42">
        <v>0</v>
      </c>
      <c r="R171" s="42"/>
      <c r="S171" s="42"/>
      <c r="T171" s="42" t="s">
        <v>616</v>
      </c>
      <c r="U171" t="str">
        <f>IFERROR(HYPERLINK("#'Main'!B"&amp;MATCH(TRIM(A171),Main!B:B,0),"Open"),HYPERLINK("#'Main'!B1","Open"))</f>
        <v>Open</v>
      </c>
    </row>
    <row r="172" spans="1:22" ht="30" customHeight="1" x14ac:dyDescent="0.25">
      <c r="A172" s="50" t="s">
        <v>208</v>
      </c>
      <c r="B172" s="33" t="s">
        <v>614</v>
      </c>
      <c r="C172" s="37" t="s">
        <v>615</v>
      </c>
      <c r="D172" s="33"/>
      <c r="E172" s="52">
        <v>200</v>
      </c>
      <c r="F172" s="33" t="b">
        <v>1</v>
      </c>
      <c r="G172" s="33">
        <v>0</v>
      </c>
      <c r="H172" s="52">
        <v>0</v>
      </c>
      <c r="I172" s="33">
        <v>0</v>
      </c>
      <c r="J172" s="33">
        <v>0</v>
      </c>
      <c r="K172" s="33">
        <v>0</v>
      </c>
      <c r="L172" s="40" t="b">
        <v>0</v>
      </c>
      <c r="M172" s="33">
        <v>0</v>
      </c>
      <c r="N172" s="33">
        <v>0</v>
      </c>
      <c r="O172" s="52">
        <v>0</v>
      </c>
      <c r="P172" s="33">
        <v>0</v>
      </c>
      <c r="Q172" s="33">
        <v>0</v>
      </c>
      <c r="R172" s="33"/>
      <c r="S172" s="33"/>
      <c r="T172" s="33" t="s">
        <v>616</v>
      </c>
      <c r="U172" s="41" t="str">
        <f>IFERROR(HYPERLINK("#'Main'!B"&amp;MATCH(TRIM(A172),Main!B:B,0),"Open"),HYPERLINK("#'Main'!B1","Open"))</f>
        <v>Open</v>
      </c>
      <c r="V172" s="41"/>
    </row>
    <row r="173" spans="1:22" ht="30" customHeight="1" x14ac:dyDescent="0.25">
      <c r="A173" s="51" t="s">
        <v>208</v>
      </c>
      <c r="B173" s="42" t="s">
        <v>614</v>
      </c>
      <c r="C173" s="44" t="s">
        <v>176</v>
      </c>
      <c r="D173" s="42" t="s">
        <v>639</v>
      </c>
      <c r="E173" s="52">
        <v>200</v>
      </c>
      <c r="F173" s="42" t="b">
        <v>1</v>
      </c>
      <c r="G173" s="42">
        <v>0</v>
      </c>
      <c r="H173" s="52">
        <v>0</v>
      </c>
      <c r="I173" s="42">
        <v>0</v>
      </c>
      <c r="J173" s="42">
        <v>0</v>
      </c>
      <c r="K173" s="42">
        <v>0</v>
      </c>
      <c r="L173" s="46" t="b">
        <v>0</v>
      </c>
      <c r="M173" s="42">
        <v>0</v>
      </c>
      <c r="N173" s="42">
        <v>0</v>
      </c>
      <c r="O173" s="52">
        <v>0</v>
      </c>
      <c r="P173" s="42">
        <v>0</v>
      </c>
      <c r="Q173" s="42">
        <v>0</v>
      </c>
      <c r="R173" s="42"/>
      <c r="S173" s="42"/>
      <c r="T173" s="42" t="s">
        <v>616</v>
      </c>
      <c r="U173" t="str">
        <f>IFERROR(HYPERLINK("#'Main'!B"&amp;MATCH(TRIM(A173),Main!B:B,0),"Open"),HYPERLINK("#'Main'!B1","Open"))</f>
        <v>Open</v>
      </c>
    </row>
    <row r="174" spans="1:22" ht="30" customHeight="1" x14ac:dyDescent="0.25">
      <c r="A174" s="50" t="s">
        <v>208</v>
      </c>
      <c r="B174" s="33" t="s">
        <v>614</v>
      </c>
      <c r="C174" s="37" t="s">
        <v>178</v>
      </c>
      <c r="D174" s="33" t="s">
        <v>640</v>
      </c>
      <c r="E174" s="52">
        <v>200</v>
      </c>
      <c r="F174" s="33" t="b">
        <v>1</v>
      </c>
      <c r="G174" s="33">
        <v>0</v>
      </c>
      <c r="H174" s="52">
        <v>0</v>
      </c>
      <c r="I174" s="33">
        <v>0</v>
      </c>
      <c r="J174" s="33">
        <v>0</v>
      </c>
      <c r="K174" s="33">
        <v>0</v>
      </c>
      <c r="L174" s="40" t="b">
        <v>0</v>
      </c>
      <c r="M174" s="33">
        <v>0</v>
      </c>
      <c r="N174" s="33">
        <v>0</v>
      </c>
      <c r="O174" s="52">
        <v>0</v>
      </c>
      <c r="P174" s="33">
        <v>0</v>
      </c>
      <c r="Q174" s="33">
        <v>0</v>
      </c>
      <c r="R174" s="33"/>
      <c r="S174" s="33"/>
      <c r="T174" s="33" t="s">
        <v>616</v>
      </c>
      <c r="U174" s="41" t="str">
        <f>IFERROR(HYPERLINK("#'Main'!B"&amp;MATCH(TRIM(A174),Main!B:B,0),"Open"),HYPERLINK("#'Main'!B1","Open"))</f>
        <v>Open</v>
      </c>
      <c r="V174" s="41"/>
    </row>
    <row r="175" spans="1:22" ht="30" customHeight="1" x14ac:dyDescent="0.25">
      <c r="A175" s="51" t="s">
        <v>208</v>
      </c>
      <c r="B175" s="42" t="s">
        <v>614</v>
      </c>
      <c r="C175" s="44" t="s">
        <v>641</v>
      </c>
      <c r="D175" s="42" t="s">
        <v>642</v>
      </c>
      <c r="E175" s="52">
        <v>200</v>
      </c>
      <c r="F175" s="42" t="b">
        <v>1</v>
      </c>
      <c r="G175" s="42">
        <v>0</v>
      </c>
      <c r="H175" s="52">
        <v>0</v>
      </c>
      <c r="I175" s="42">
        <v>0</v>
      </c>
      <c r="J175" s="42">
        <v>0</v>
      </c>
      <c r="K175" s="42">
        <v>0</v>
      </c>
      <c r="L175" s="46" t="b">
        <v>0</v>
      </c>
      <c r="M175" s="42">
        <v>0</v>
      </c>
      <c r="N175" s="42">
        <v>0</v>
      </c>
      <c r="O175" s="52">
        <v>0</v>
      </c>
      <c r="P175" s="42">
        <v>0</v>
      </c>
      <c r="Q175" s="42">
        <v>0</v>
      </c>
      <c r="R175" s="42"/>
      <c r="S175" s="42"/>
      <c r="T175" s="42" t="s">
        <v>616</v>
      </c>
      <c r="U175" t="str">
        <f>IFERROR(HYPERLINK("#'Main'!B"&amp;MATCH(TRIM(A175),Main!B:B,0),"Open"),HYPERLINK("#'Main'!B1","Open"))</f>
        <v>Open</v>
      </c>
    </row>
    <row r="176" spans="1:22" ht="30" customHeight="1" x14ac:dyDescent="0.25">
      <c r="A176" s="50" t="s">
        <v>208</v>
      </c>
      <c r="B176" s="33" t="s">
        <v>614</v>
      </c>
      <c r="C176" s="37" t="s">
        <v>643</v>
      </c>
      <c r="D176" s="33" t="s">
        <v>644</v>
      </c>
      <c r="E176" s="52">
        <v>200</v>
      </c>
      <c r="F176" s="33" t="b">
        <v>1</v>
      </c>
      <c r="G176" s="33">
        <v>0</v>
      </c>
      <c r="H176" s="52">
        <v>0</v>
      </c>
      <c r="I176" s="33">
        <v>0</v>
      </c>
      <c r="J176" s="33">
        <v>0</v>
      </c>
      <c r="K176" s="33">
        <v>0</v>
      </c>
      <c r="L176" s="40" t="b">
        <v>0</v>
      </c>
      <c r="M176" s="33">
        <v>0</v>
      </c>
      <c r="N176" s="33">
        <v>0</v>
      </c>
      <c r="O176" s="52">
        <v>0</v>
      </c>
      <c r="P176" s="33">
        <v>0</v>
      </c>
      <c r="Q176" s="33">
        <v>0</v>
      </c>
      <c r="R176" s="33"/>
      <c r="S176" s="33"/>
      <c r="T176" s="33" t="s">
        <v>616</v>
      </c>
      <c r="U176" s="41" t="str">
        <f>IFERROR(HYPERLINK("#'Main'!B"&amp;MATCH(TRIM(A176),Main!B:B,0),"Open"),HYPERLINK("#'Main'!B1","Open"))</f>
        <v>Open</v>
      </c>
      <c r="V176" s="41"/>
    </row>
    <row r="177" spans="1:22" ht="30" customHeight="1" x14ac:dyDescent="0.25">
      <c r="A177" s="51" t="s">
        <v>208</v>
      </c>
      <c r="B177" s="42" t="s">
        <v>614</v>
      </c>
      <c r="C177" s="44" t="s">
        <v>208</v>
      </c>
      <c r="D177" s="42" t="s">
        <v>645</v>
      </c>
      <c r="E177" s="52">
        <v>200</v>
      </c>
      <c r="F177" s="42" t="b">
        <v>1</v>
      </c>
      <c r="G177" s="42">
        <v>0</v>
      </c>
      <c r="H177" s="52">
        <v>0</v>
      </c>
      <c r="I177" s="42">
        <v>0</v>
      </c>
      <c r="J177" s="42">
        <v>0</v>
      </c>
      <c r="K177" s="42">
        <v>0</v>
      </c>
      <c r="L177" s="46" t="b">
        <v>0</v>
      </c>
      <c r="M177" s="42">
        <v>0</v>
      </c>
      <c r="N177" s="42">
        <v>0</v>
      </c>
      <c r="O177" s="52">
        <v>0</v>
      </c>
      <c r="P177" s="42">
        <v>0</v>
      </c>
      <c r="Q177" s="42">
        <v>0</v>
      </c>
      <c r="R177" s="42"/>
      <c r="S177" s="42"/>
      <c r="T177" s="42" t="s">
        <v>616</v>
      </c>
      <c r="U177" t="str">
        <f>IFERROR(HYPERLINK("#'Main'!B"&amp;MATCH(TRIM(A177),Main!B:B,0),"Open"),HYPERLINK("#'Main'!B1","Open"))</f>
        <v>Open</v>
      </c>
    </row>
    <row r="178" spans="1:22" ht="30" customHeight="1" x14ac:dyDescent="0.25">
      <c r="A178" s="50" t="s">
        <v>208</v>
      </c>
      <c r="B178" s="33" t="s">
        <v>614</v>
      </c>
      <c r="C178" s="37" t="s">
        <v>646</v>
      </c>
      <c r="D178" s="33" t="s">
        <v>647</v>
      </c>
      <c r="E178" s="52">
        <v>200</v>
      </c>
      <c r="F178" s="33" t="b">
        <v>1</v>
      </c>
      <c r="G178" s="33">
        <v>0</v>
      </c>
      <c r="H178" s="52">
        <v>0</v>
      </c>
      <c r="I178" s="33">
        <v>0</v>
      </c>
      <c r="J178" s="33">
        <v>0</v>
      </c>
      <c r="K178" s="33">
        <v>0</v>
      </c>
      <c r="L178" s="40" t="b">
        <v>0</v>
      </c>
      <c r="M178" s="33">
        <v>0</v>
      </c>
      <c r="N178" s="33">
        <v>0</v>
      </c>
      <c r="O178" s="52">
        <v>0</v>
      </c>
      <c r="P178" s="33">
        <v>0</v>
      </c>
      <c r="Q178" s="33">
        <v>0</v>
      </c>
      <c r="R178" s="33"/>
      <c r="S178" s="33"/>
      <c r="T178" s="33" t="s">
        <v>616</v>
      </c>
      <c r="U178" s="41" t="str">
        <f>IFERROR(HYPERLINK("#'Main'!B"&amp;MATCH(TRIM(A178),Main!B:B,0),"Open"),HYPERLINK("#'Main'!B1","Open"))</f>
        <v>Open</v>
      </c>
      <c r="V178" s="41"/>
    </row>
    <row r="179" spans="1:22" ht="30" customHeight="1" x14ac:dyDescent="0.25">
      <c r="A179" s="51" t="s">
        <v>208</v>
      </c>
      <c r="B179" s="42" t="s">
        <v>614</v>
      </c>
      <c r="C179" s="44" t="s">
        <v>648</v>
      </c>
      <c r="D179" s="42" t="s">
        <v>649</v>
      </c>
      <c r="E179" s="52">
        <v>200</v>
      </c>
      <c r="F179" s="42" t="b">
        <v>1</v>
      </c>
      <c r="G179" s="42">
        <v>0</v>
      </c>
      <c r="H179" s="52">
        <v>0</v>
      </c>
      <c r="I179" s="42">
        <v>0</v>
      </c>
      <c r="J179" s="42">
        <v>0</v>
      </c>
      <c r="K179" s="42">
        <v>0</v>
      </c>
      <c r="L179" s="46" t="b">
        <v>0</v>
      </c>
      <c r="M179" s="42">
        <v>0</v>
      </c>
      <c r="N179" s="42">
        <v>0</v>
      </c>
      <c r="O179" s="52">
        <v>0</v>
      </c>
      <c r="P179" s="42">
        <v>0</v>
      </c>
      <c r="Q179" s="42">
        <v>0</v>
      </c>
      <c r="R179" s="42"/>
      <c r="S179" s="42"/>
      <c r="T179" s="42" t="s">
        <v>616</v>
      </c>
      <c r="U179" t="str">
        <f>IFERROR(HYPERLINK("#'Main'!B"&amp;MATCH(TRIM(A179),Main!B:B,0),"Open"),HYPERLINK("#'Main'!B1","Open"))</f>
        <v>Open</v>
      </c>
    </row>
    <row r="180" spans="1:22" ht="30" customHeight="1" x14ac:dyDescent="0.25">
      <c r="A180" s="50" t="s">
        <v>208</v>
      </c>
      <c r="B180" s="33" t="s">
        <v>614</v>
      </c>
      <c r="C180" s="37" t="s">
        <v>650</v>
      </c>
      <c r="D180" s="33" t="s">
        <v>651</v>
      </c>
      <c r="E180" s="52">
        <v>200</v>
      </c>
      <c r="F180" s="33" t="b">
        <v>1</v>
      </c>
      <c r="G180" s="33">
        <v>0</v>
      </c>
      <c r="H180" s="52">
        <v>0</v>
      </c>
      <c r="I180" s="33">
        <v>0</v>
      </c>
      <c r="J180" s="33">
        <v>0</v>
      </c>
      <c r="K180" s="33">
        <v>0</v>
      </c>
      <c r="L180" s="40" t="b">
        <v>0</v>
      </c>
      <c r="M180" s="33">
        <v>0</v>
      </c>
      <c r="N180" s="33">
        <v>0</v>
      </c>
      <c r="O180" s="52">
        <v>0</v>
      </c>
      <c r="P180" s="33">
        <v>0</v>
      </c>
      <c r="Q180" s="33">
        <v>0</v>
      </c>
      <c r="R180" s="33"/>
      <c r="S180" s="33"/>
      <c r="T180" s="33" t="s">
        <v>616</v>
      </c>
      <c r="U180" s="41" t="str">
        <f>IFERROR(HYPERLINK("#'Main'!B"&amp;MATCH(TRIM(A180),Main!B:B,0),"Open"),HYPERLINK("#'Main'!B1","Open"))</f>
        <v>Open</v>
      </c>
      <c r="V180" s="41"/>
    </row>
    <row r="181" spans="1:22" ht="30" customHeight="1" x14ac:dyDescent="0.25">
      <c r="A181" s="51" t="s">
        <v>208</v>
      </c>
      <c r="B181" s="42" t="s">
        <v>614</v>
      </c>
      <c r="C181" s="44" t="s">
        <v>652</v>
      </c>
      <c r="D181" s="42" t="s">
        <v>653</v>
      </c>
      <c r="E181" s="52">
        <v>200</v>
      </c>
      <c r="F181" s="42" t="b">
        <v>1</v>
      </c>
      <c r="G181" s="42">
        <v>0</v>
      </c>
      <c r="H181" s="52">
        <v>0</v>
      </c>
      <c r="I181" s="42">
        <v>0</v>
      </c>
      <c r="J181" s="42">
        <v>0</v>
      </c>
      <c r="K181" s="42">
        <v>0</v>
      </c>
      <c r="L181" s="46" t="b">
        <v>0</v>
      </c>
      <c r="M181" s="42">
        <v>0</v>
      </c>
      <c r="N181" s="42">
        <v>0</v>
      </c>
      <c r="O181" s="52">
        <v>0</v>
      </c>
      <c r="P181" s="42">
        <v>0</v>
      </c>
      <c r="Q181" s="42">
        <v>0</v>
      </c>
      <c r="R181" s="42"/>
      <c r="S181" s="42"/>
      <c r="T181" s="42" t="s">
        <v>616</v>
      </c>
      <c r="U181" t="str">
        <f>IFERROR(HYPERLINK("#'Main'!B"&amp;MATCH(TRIM(A181),Main!B:B,0),"Open"),HYPERLINK("#'Main'!B1","Open"))</f>
        <v>Open</v>
      </c>
    </row>
    <row r="182" spans="1:22" ht="30" customHeight="1" x14ac:dyDescent="0.25">
      <c r="A182" s="50" t="s">
        <v>208</v>
      </c>
      <c r="B182" s="33" t="s">
        <v>614</v>
      </c>
      <c r="C182" s="37" t="s">
        <v>652</v>
      </c>
      <c r="D182" s="33" t="s">
        <v>654</v>
      </c>
      <c r="E182" s="52">
        <v>200</v>
      </c>
      <c r="F182" s="33" t="b">
        <v>1</v>
      </c>
      <c r="G182" s="33">
        <v>0</v>
      </c>
      <c r="H182" s="52">
        <v>0</v>
      </c>
      <c r="I182" s="33">
        <v>0</v>
      </c>
      <c r="J182" s="33">
        <v>0</v>
      </c>
      <c r="K182" s="33">
        <v>0</v>
      </c>
      <c r="L182" s="40" t="b">
        <v>0</v>
      </c>
      <c r="M182" s="33">
        <v>0</v>
      </c>
      <c r="N182" s="33">
        <v>0</v>
      </c>
      <c r="O182" s="52">
        <v>0</v>
      </c>
      <c r="P182" s="33">
        <v>0</v>
      </c>
      <c r="Q182" s="33">
        <v>0</v>
      </c>
      <c r="R182" s="33"/>
      <c r="S182" s="33"/>
      <c r="T182" s="33" t="s">
        <v>616</v>
      </c>
      <c r="U182" s="41" t="str">
        <f>IFERROR(HYPERLINK("#'Main'!B"&amp;MATCH(TRIM(A182),Main!B:B,0),"Open"),HYPERLINK("#'Main'!B1","Open"))</f>
        <v>Open</v>
      </c>
      <c r="V182" s="41"/>
    </row>
    <row r="183" spans="1:22" ht="30" customHeight="1" x14ac:dyDescent="0.25">
      <c r="A183" s="51" t="s">
        <v>208</v>
      </c>
      <c r="B183" s="42" t="s">
        <v>614</v>
      </c>
      <c r="C183" s="44" t="s">
        <v>629</v>
      </c>
      <c r="D183" s="42" t="s">
        <v>655</v>
      </c>
      <c r="E183" s="52">
        <v>200</v>
      </c>
      <c r="F183" s="42" t="b">
        <v>1</v>
      </c>
      <c r="G183" s="42">
        <v>0</v>
      </c>
      <c r="H183" s="52">
        <v>0</v>
      </c>
      <c r="I183" s="42">
        <v>0</v>
      </c>
      <c r="J183" s="42">
        <v>0</v>
      </c>
      <c r="K183" s="42">
        <v>0</v>
      </c>
      <c r="L183" s="46" t="b">
        <v>0</v>
      </c>
      <c r="M183" s="42">
        <v>0</v>
      </c>
      <c r="N183" s="42">
        <v>0</v>
      </c>
      <c r="O183" s="52">
        <v>0</v>
      </c>
      <c r="P183" s="42">
        <v>0</v>
      </c>
      <c r="Q183" s="42">
        <v>0</v>
      </c>
      <c r="R183" s="42"/>
      <c r="S183" s="42"/>
      <c r="T183" s="42" t="s">
        <v>616</v>
      </c>
      <c r="U183" t="str">
        <f>IFERROR(HYPERLINK("#'Main'!B"&amp;MATCH(TRIM(A183),Main!B:B,0),"Open"),HYPERLINK("#'Main'!B1","Open"))</f>
        <v>Open</v>
      </c>
    </row>
    <row r="184" spans="1:22" ht="30" customHeight="1" x14ac:dyDescent="0.25">
      <c r="A184" s="50" t="s">
        <v>208</v>
      </c>
      <c r="B184" s="33" t="s">
        <v>614</v>
      </c>
      <c r="C184" s="37" t="s">
        <v>656</v>
      </c>
      <c r="D184" s="33" t="s">
        <v>286</v>
      </c>
      <c r="E184" s="52">
        <v>200</v>
      </c>
      <c r="F184" s="33" t="b">
        <v>1</v>
      </c>
      <c r="G184" s="33">
        <v>0</v>
      </c>
      <c r="H184" s="52">
        <v>0</v>
      </c>
      <c r="I184" s="33">
        <v>0</v>
      </c>
      <c r="J184" s="33">
        <v>0</v>
      </c>
      <c r="K184" s="33">
        <v>0</v>
      </c>
      <c r="L184" s="40" t="b">
        <v>0</v>
      </c>
      <c r="M184" s="33">
        <v>0</v>
      </c>
      <c r="N184" s="33">
        <v>0</v>
      </c>
      <c r="O184" s="52">
        <v>0</v>
      </c>
      <c r="P184" s="33">
        <v>0</v>
      </c>
      <c r="Q184" s="33">
        <v>0</v>
      </c>
      <c r="R184" s="33"/>
      <c r="S184" s="33"/>
      <c r="T184" s="33" t="s">
        <v>616</v>
      </c>
      <c r="U184" s="41" t="str">
        <f>IFERROR(HYPERLINK("#'Main'!B"&amp;MATCH(TRIM(A184),Main!B:B,0),"Open"),HYPERLINK("#'Main'!B1","Open"))</f>
        <v>Open</v>
      </c>
      <c r="V184" s="41"/>
    </row>
    <row r="185" spans="1:22" ht="30" customHeight="1" x14ac:dyDescent="0.25">
      <c r="A185" s="51" t="s">
        <v>208</v>
      </c>
      <c r="B185" s="42" t="s">
        <v>614</v>
      </c>
      <c r="C185" s="44" t="s">
        <v>657</v>
      </c>
      <c r="D185" s="42" t="s">
        <v>658</v>
      </c>
      <c r="E185" s="52">
        <v>200</v>
      </c>
      <c r="F185" s="42" t="b">
        <v>1</v>
      </c>
      <c r="G185" s="42">
        <v>0</v>
      </c>
      <c r="H185" s="52">
        <v>0</v>
      </c>
      <c r="I185" s="42">
        <v>0</v>
      </c>
      <c r="J185" s="42">
        <v>0</v>
      </c>
      <c r="K185" s="42">
        <v>0</v>
      </c>
      <c r="L185" s="46" t="b">
        <v>0</v>
      </c>
      <c r="M185" s="42">
        <v>0</v>
      </c>
      <c r="N185" s="42">
        <v>0</v>
      </c>
      <c r="O185" s="52">
        <v>0</v>
      </c>
      <c r="P185" s="42">
        <v>0</v>
      </c>
      <c r="Q185" s="42">
        <v>0</v>
      </c>
      <c r="R185" s="42"/>
      <c r="S185" s="42"/>
      <c r="T185" s="42" t="s">
        <v>616</v>
      </c>
      <c r="U185" t="str">
        <f>IFERROR(HYPERLINK("#'Main'!B"&amp;MATCH(TRIM(A185),Main!B:B,0),"Open"),HYPERLINK("#'Main'!B1","Open"))</f>
        <v>Open</v>
      </c>
    </row>
    <row r="186" spans="1:22" ht="30" customHeight="1" x14ac:dyDescent="0.25">
      <c r="A186" s="50" t="s">
        <v>208</v>
      </c>
      <c r="B186" s="33" t="s">
        <v>614</v>
      </c>
      <c r="C186" s="37" t="s">
        <v>176</v>
      </c>
      <c r="D186" s="33" t="s">
        <v>639</v>
      </c>
      <c r="E186" s="52">
        <v>200</v>
      </c>
      <c r="F186" s="33" t="b">
        <v>1</v>
      </c>
      <c r="G186" s="33">
        <v>0</v>
      </c>
      <c r="H186" s="52">
        <v>0</v>
      </c>
      <c r="I186" s="33">
        <v>0</v>
      </c>
      <c r="J186" s="33">
        <v>0</v>
      </c>
      <c r="K186" s="33">
        <v>0</v>
      </c>
      <c r="L186" s="40" t="b">
        <v>0</v>
      </c>
      <c r="M186" s="33">
        <v>0</v>
      </c>
      <c r="N186" s="33">
        <v>0</v>
      </c>
      <c r="O186" s="52">
        <v>0</v>
      </c>
      <c r="P186" s="33">
        <v>0</v>
      </c>
      <c r="Q186" s="33">
        <v>0</v>
      </c>
      <c r="R186" s="33"/>
      <c r="S186" s="33"/>
      <c r="T186" s="33" t="s">
        <v>616</v>
      </c>
      <c r="U186" s="41" t="str">
        <f>IFERROR(HYPERLINK("#'Main'!B"&amp;MATCH(TRIM(A186),Main!B:B,0),"Open"),HYPERLINK("#'Main'!B1","Open"))</f>
        <v>Open</v>
      </c>
      <c r="V186" s="41"/>
    </row>
    <row r="187" spans="1:22" ht="30" customHeight="1" x14ac:dyDescent="0.25">
      <c r="A187" s="51" t="s">
        <v>208</v>
      </c>
      <c r="B187" s="42" t="s">
        <v>614</v>
      </c>
      <c r="C187" s="44" t="s">
        <v>178</v>
      </c>
      <c r="D187" s="42" t="s">
        <v>640</v>
      </c>
      <c r="E187" s="52">
        <v>200</v>
      </c>
      <c r="F187" s="42" t="b">
        <v>1</v>
      </c>
      <c r="G187" s="42">
        <v>0</v>
      </c>
      <c r="H187" s="52">
        <v>0</v>
      </c>
      <c r="I187" s="42">
        <v>0</v>
      </c>
      <c r="J187" s="42">
        <v>0</v>
      </c>
      <c r="K187" s="42">
        <v>0</v>
      </c>
      <c r="L187" s="46" t="b">
        <v>0</v>
      </c>
      <c r="M187" s="42">
        <v>0</v>
      </c>
      <c r="N187" s="42">
        <v>0</v>
      </c>
      <c r="O187" s="52">
        <v>0</v>
      </c>
      <c r="P187" s="42">
        <v>0</v>
      </c>
      <c r="Q187" s="42">
        <v>0</v>
      </c>
      <c r="R187" s="42"/>
      <c r="S187" s="42"/>
      <c r="T187" s="42" t="s">
        <v>616</v>
      </c>
      <c r="U187" t="str">
        <f>IFERROR(HYPERLINK("#'Main'!B"&amp;MATCH(TRIM(A187),Main!B:B,0),"Open"),HYPERLINK("#'Main'!B1","Open"))</f>
        <v>Open</v>
      </c>
    </row>
    <row r="188" spans="1:22" ht="30" customHeight="1" x14ac:dyDescent="0.25">
      <c r="A188" s="50" t="s">
        <v>208</v>
      </c>
      <c r="B188" s="33" t="s">
        <v>614</v>
      </c>
      <c r="C188" s="37" t="s">
        <v>641</v>
      </c>
      <c r="D188" s="33" t="s">
        <v>642</v>
      </c>
      <c r="E188" s="52">
        <v>200</v>
      </c>
      <c r="F188" s="33" t="b">
        <v>1</v>
      </c>
      <c r="G188" s="33">
        <v>0</v>
      </c>
      <c r="H188" s="52">
        <v>0</v>
      </c>
      <c r="I188" s="33">
        <v>0</v>
      </c>
      <c r="J188" s="33">
        <v>0</v>
      </c>
      <c r="K188" s="33">
        <v>0</v>
      </c>
      <c r="L188" s="40" t="b">
        <v>0</v>
      </c>
      <c r="M188" s="33">
        <v>0</v>
      </c>
      <c r="N188" s="33">
        <v>0</v>
      </c>
      <c r="O188" s="52">
        <v>0</v>
      </c>
      <c r="P188" s="33">
        <v>0</v>
      </c>
      <c r="Q188" s="33">
        <v>0</v>
      </c>
      <c r="R188" s="33"/>
      <c r="S188" s="33"/>
      <c r="T188" s="33" t="s">
        <v>616</v>
      </c>
      <c r="U188" s="41" t="str">
        <f>IFERROR(HYPERLINK("#'Main'!B"&amp;MATCH(TRIM(A188),Main!B:B,0),"Open"),HYPERLINK("#'Main'!B1","Open"))</f>
        <v>Open</v>
      </c>
      <c r="V188" s="41"/>
    </row>
    <row r="189" spans="1:22" ht="30" customHeight="1" x14ac:dyDescent="0.25">
      <c r="A189" s="51" t="s">
        <v>208</v>
      </c>
      <c r="B189" s="42" t="s">
        <v>614</v>
      </c>
      <c r="C189" s="44" t="s">
        <v>643</v>
      </c>
      <c r="D189" s="42" t="s">
        <v>644</v>
      </c>
      <c r="E189" s="52">
        <v>200</v>
      </c>
      <c r="F189" s="42" t="b">
        <v>1</v>
      </c>
      <c r="G189" s="42">
        <v>0</v>
      </c>
      <c r="H189" s="52">
        <v>0</v>
      </c>
      <c r="I189" s="42">
        <v>0</v>
      </c>
      <c r="J189" s="42">
        <v>0</v>
      </c>
      <c r="K189" s="42">
        <v>0</v>
      </c>
      <c r="L189" s="46" t="b">
        <v>0</v>
      </c>
      <c r="M189" s="42">
        <v>0</v>
      </c>
      <c r="N189" s="42">
        <v>0</v>
      </c>
      <c r="O189" s="52">
        <v>0</v>
      </c>
      <c r="P189" s="42">
        <v>0</v>
      </c>
      <c r="Q189" s="42">
        <v>0</v>
      </c>
      <c r="R189" s="42"/>
      <c r="S189" s="42"/>
      <c r="T189" s="42" t="s">
        <v>616</v>
      </c>
      <c r="U189" t="str">
        <f>IFERROR(HYPERLINK("#'Main'!B"&amp;MATCH(TRIM(A189),Main!B:B,0),"Open"),HYPERLINK("#'Main'!B1","Open"))</f>
        <v>Open</v>
      </c>
    </row>
    <row r="190" spans="1:22" ht="30" customHeight="1" x14ac:dyDescent="0.25">
      <c r="A190" s="50" t="s">
        <v>208</v>
      </c>
      <c r="B190" s="33" t="s">
        <v>614</v>
      </c>
      <c r="C190" s="37" t="s">
        <v>208</v>
      </c>
      <c r="D190" s="33" t="s">
        <v>645</v>
      </c>
      <c r="E190" s="52">
        <v>200</v>
      </c>
      <c r="F190" s="33" t="b">
        <v>1</v>
      </c>
      <c r="G190" s="33">
        <v>0</v>
      </c>
      <c r="H190" s="52">
        <v>0</v>
      </c>
      <c r="I190" s="33">
        <v>0</v>
      </c>
      <c r="J190" s="33">
        <v>0</v>
      </c>
      <c r="K190" s="33">
        <v>0</v>
      </c>
      <c r="L190" s="40" t="b">
        <v>0</v>
      </c>
      <c r="M190" s="33">
        <v>0</v>
      </c>
      <c r="N190" s="33">
        <v>0</v>
      </c>
      <c r="O190" s="52">
        <v>0</v>
      </c>
      <c r="P190" s="33">
        <v>0</v>
      </c>
      <c r="Q190" s="33">
        <v>0</v>
      </c>
      <c r="R190" s="33"/>
      <c r="S190" s="33"/>
      <c r="T190" s="33" t="s">
        <v>616</v>
      </c>
      <c r="U190" s="41" t="str">
        <f>IFERROR(HYPERLINK("#'Main'!B"&amp;MATCH(TRIM(A190),Main!B:B,0),"Open"),HYPERLINK("#'Main'!B1","Open"))</f>
        <v>Open</v>
      </c>
      <c r="V190" s="41"/>
    </row>
    <row r="191" spans="1:22" ht="30" customHeight="1" x14ac:dyDescent="0.25">
      <c r="A191" s="51" t="s">
        <v>208</v>
      </c>
      <c r="B191" s="42" t="s">
        <v>614</v>
      </c>
      <c r="C191" s="44" t="s">
        <v>646</v>
      </c>
      <c r="D191" s="42" t="s">
        <v>647</v>
      </c>
      <c r="E191" s="52">
        <v>200</v>
      </c>
      <c r="F191" s="42" t="b">
        <v>1</v>
      </c>
      <c r="G191" s="42">
        <v>0</v>
      </c>
      <c r="H191" s="52">
        <v>0</v>
      </c>
      <c r="I191" s="42">
        <v>0</v>
      </c>
      <c r="J191" s="42">
        <v>0</v>
      </c>
      <c r="K191" s="42">
        <v>0</v>
      </c>
      <c r="L191" s="46" t="b">
        <v>0</v>
      </c>
      <c r="M191" s="42">
        <v>0</v>
      </c>
      <c r="N191" s="42">
        <v>0</v>
      </c>
      <c r="O191" s="52">
        <v>0</v>
      </c>
      <c r="P191" s="42">
        <v>0</v>
      </c>
      <c r="Q191" s="42">
        <v>0</v>
      </c>
      <c r="R191" s="42"/>
      <c r="S191" s="42"/>
      <c r="T191" s="42" t="s">
        <v>616</v>
      </c>
      <c r="U191" t="str">
        <f>IFERROR(HYPERLINK("#'Main'!B"&amp;MATCH(TRIM(A191),Main!B:B,0),"Open"),HYPERLINK("#'Main'!B1","Open"))</f>
        <v>Open</v>
      </c>
    </row>
    <row r="192" spans="1:22" ht="30" customHeight="1" x14ac:dyDescent="0.25">
      <c r="A192" s="50" t="s">
        <v>208</v>
      </c>
      <c r="B192" s="33" t="s">
        <v>614</v>
      </c>
      <c r="C192" s="37" t="s">
        <v>648</v>
      </c>
      <c r="D192" s="33" t="s">
        <v>649</v>
      </c>
      <c r="E192" s="52">
        <v>200</v>
      </c>
      <c r="F192" s="33" t="b">
        <v>1</v>
      </c>
      <c r="G192" s="33">
        <v>0</v>
      </c>
      <c r="H192" s="52">
        <v>0</v>
      </c>
      <c r="I192" s="33">
        <v>0</v>
      </c>
      <c r="J192" s="33">
        <v>0</v>
      </c>
      <c r="K192" s="33">
        <v>0</v>
      </c>
      <c r="L192" s="40" t="b">
        <v>0</v>
      </c>
      <c r="M192" s="33">
        <v>0</v>
      </c>
      <c r="N192" s="33">
        <v>0</v>
      </c>
      <c r="O192" s="52">
        <v>0</v>
      </c>
      <c r="P192" s="33">
        <v>0</v>
      </c>
      <c r="Q192" s="33">
        <v>0</v>
      </c>
      <c r="R192" s="33"/>
      <c r="S192" s="33"/>
      <c r="T192" s="33" t="s">
        <v>616</v>
      </c>
      <c r="U192" s="41" t="str">
        <f>IFERROR(HYPERLINK("#'Main'!B"&amp;MATCH(TRIM(A192),Main!B:B,0),"Open"),HYPERLINK("#'Main'!B1","Open"))</f>
        <v>Open</v>
      </c>
      <c r="V192" s="41"/>
    </row>
    <row r="193" spans="1:22" ht="30" customHeight="1" x14ac:dyDescent="0.25">
      <c r="A193" s="51" t="s">
        <v>208</v>
      </c>
      <c r="B193" s="42" t="s">
        <v>614</v>
      </c>
      <c r="C193" s="44" t="s">
        <v>650</v>
      </c>
      <c r="D193" s="42" t="s">
        <v>651</v>
      </c>
      <c r="E193" s="52">
        <v>200</v>
      </c>
      <c r="F193" s="42" t="b">
        <v>1</v>
      </c>
      <c r="G193" s="42">
        <v>0</v>
      </c>
      <c r="H193" s="52">
        <v>0</v>
      </c>
      <c r="I193" s="42">
        <v>0</v>
      </c>
      <c r="J193" s="42">
        <v>0</v>
      </c>
      <c r="K193" s="42">
        <v>0</v>
      </c>
      <c r="L193" s="46" t="b">
        <v>0</v>
      </c>
      <c r="M193" s="42">
        <v>0</v>
      </c>
      <c r="N193" s="42">
        <v>0</v>
      </c>
      <c r="O193" s="52">
        <v>0</v>
      </c>
      <c r="P193" s="42">
        <v>0</v>
      </c>
      <c r="Q193" s="42">
        <v>0</v>
      </c>
      <c r="R193" s="42"/>
      <c r="S193" s="42"/>
      <c r="T193" s="42" t="s">
        <v>616</v>
      </c>
      <c r="U193" t="str">
        <f>IFERROR(HYPERLINK("#'Main'!B"&amp;MATCH(TRIM(A193),Main!B:B,0),"Open"),HYPERLINK("#'Main'!B1","Open"))</f>
        <v>Open</v>
      </c>
    </row>
    <row r="194" spans="1:22" ht="30" customHeight="1" x14ac:dyDescent="0.25">
      <c r="A194" s="50" t="s">
        <v>208</v>
      </c>
      <c r="B194" s="33" t="s">
        <v>614</v>
      </c>
      <c r="C194" s="37" t="s">
        <v>652</v>
      </c>
      <c r="D194" s="33" t="s">
        <v>653</v>
      </c>
      <c r="E194" s="52">
        <v>200</v>
      </c>
      <c r="F194" s="33" t="b">
        <v>1</v>
      </c>
      <c r="G194" s="33">
        <v>0</v>
      </c>
      <c r="H194" s="52">
        <v>0</v>
      </c>
      <c r="I194" s="33">
        <v>0</v>
      </c>
      <c r="J194" s="33">
        <v>0</v>
      </c>
      <c r="K194" s="33">
        <v>0</v>
      </c>
      <c r="L194" s="40" t="b">
        <v>0</v>
      </c>
      <c r="M194" s="33">
        <v>0</v>
      </c>
      <c r="N194" s="33">
        <v>0</v>
      </c>
      <c r="O194" s="52">
        <v>0</v>
      </c>
      <c r="P194" s="33">
        <v>0</v>
      </c>
      <c r="Q194" s="33">
        <v>0</v>
      </c>
      <c r="R194" s="33"/>
      <c r="S194" s="33"/>
      <c r="T194" s="33" t="s">
        <v>616</v>
      </c>
      <c r="U194" s="41" t="str">
        <f>IFERROR(HYPERLINK("#'Main'!B"&amp;MATCH(TRIM(A194),Main!B:B,0),"Open"),HYPERLINK("#'Main'!B1","Open"))</f>
        <v>Open</v>
      </c>
      <c r="V194" s="41"/>
    </row>
    <row r="195" spans="1:22" ht="30" customHeight="1" x14ac:dyDescent="0.25">
      <c r="A195" s="51" t="s">
        <v>208</v>
      </c>
      <c r="B195" s="42" t="s">
        <v>614</v>
      </c>
      <c r="C195" s="44" t="s">
        <v>652</v>
      </c>
      <c r="D195" s="42" t="s">
        <v>654</v>
      </c>
      <c r="E195" s="52">
        <v>200</v>
      </c>
      <c r="F195" s="42" t="b">
        <v>1</v>
      </c>
      <c r="G195" s="42">
        <v>0</v>
      </c>
      <c r="H195" s="52">
        <v>0</v>
      </c>
      <c r="I195" s="42">
        <v>0</v>
      </c>
      <c r="J195" s="42">
        <v>0</v>
      </c>
      <c r="K195" s="42">
        <v>0</v>
      </c>
      <c r="L195" s="46" t="b">
        <v>0</v>
      </c>
      <c r="M195" s="42">
        <v>0</v>
      </c>
      <c r="N195" s="42">
        <v>0</v>
      </c>
      <c r="O195" s="52">
        <v>0</v>
      </c>
      <c r="P195" s="42">
        <v>0</v>
      </c>
      <c r="Q195" s="42">
        <v>0</v>
      </c>
      <c r="R195" s="42"/>
      <c r="S195" s="42"/>
      <c r="T195" s="42" t="s">
        <v>616</v>
      </c>
      <c r="U195" t="str">
        <f>IFERROR(HYPERLINK("#'Main'!B"&amp;MATCH(TRIM(A195),Main!B:B,0),"Open"),HYPERLINK("#'Main'!B1","Open"))</f>
        <v>Open</v>
      </c>
    </row>
    <row r="196" spans="1:22" ht="30" customHeight="1" x14ac:dyDescent="0.25">
      <c r="A196" s="50" t="s">
        <v>208</v>
      </c>
      <c r="B196" s="33" t="s">
        <v>614</v>
      </c>
      <c r="C196" s="37" t="s">
        <v>629</v>
      </c>
      <c r="D196" s="33" t="s">
        <v>655</v>
      </c>
      <c r="E196" s="52">
        <v>200</v>
      </c>
      <c r="F196" s="33" t="b">
        <v>1</v>
      </c>
      <c r="G196" s="33">
        <v>0</v>
      </c>
      <c r="H196" s="52">
        <v>0</v>
      </c>
      <c r="I196" s="33">
        <v>0</v>
      </c>
      <c r="J196" s="33">
        <v>0</v>
      </c>
      <c r="K196" s="33">
        <v>0</v>
      </c>
      <c r="L196" s="40" t="b">
        <v>0</v>
      </c>
      <c r="M196" s="33">
        <v>0</v>
      </c>
      <c r="N196" s="33">
        <v>0</v>
      </c>
      <c r="O196" s="52">
        <v>0</v>
      </c>
      <c r="P196" s="33">
        <v>0</v>
      </c>
      <c r="Q196" s="33">
        <v>0</v>
      </c>
      <c r="R196" s="33"/>
      <c r="S196" s="33"/>
      <c r="T196" s="33" t="s">
        <v>616</v>
      </c>
      <c r="U196" s="41" t="str">
        <f>IFERROR(HYPERLINK("#'Main'!B"&amp;MATCH(TRIM(A196),Main!B:B,0),"Open"),HYPERLINK("#'Main'!B1","Open"))</f>
        <v>Open</v>
      </c>
      <c r="V196" s="41"/>
    </row>
    <row r="197" spans="1:22" ht="30" customHeight="1" x14ac:dyDescent="0.25">
      <c r="A197" s="51" t="s">
        <v>208</v>
      </c>
      <c r="B197" s="42" t="s">
        <v>614</v>
      </c>
      <c r="C197" s="44" t="s">
        <v>656</v>
      </c>
      <c r="D197" s="42" t="s">
        <v>286</v>
      </c>
      <c r="E197" s="52">
        <v>200</v>
      </c>
      <c r="F197" s="42" t="b">
        <v>1</v>
      </c>
      <c r="G197" s="42">
        <v>0</v>
      </c>
      <c r="H197" s="52">
        <v>0</v>
      </c>
      <c r="I197" s="42">
        <v>0</v>
      </c>
      <c r="J197" s="42">
        <v>0</v>
      </c>
      <c r="K197" s="42">
        <v>0</v>
      </c>
      <c r="L197" s="46" t="b">
        <v>0</v>
      </c>
      <c r="M197" s="42">
        <v>0</v>
      </c>
      <c r="N197" s="42">
        <v>0</v>
      </c>
      <c r="O197" s="52">
        <v>0</v>
      </c>
      <c r="P197" s="42">
        <v>0</v>
      </c>
      <c r="Q197" s="42">
        <v>0</v>
      </c>
      <c r="R197" s="42"/>
      <c r="S197" s="42"/>
      <c r="T197" s="42" t="s">
        <v>616</v>
      </c>
      <c r="U197" t="str">
        <f>IFERROR(HYPERLINK("#'Main'!B"&amp;MATCH(TRIM(A197),Main!B:B,0),"Open"),HYPERLINK("#'Main'!B1","Open"))</f>
        <v>Open</v>
      </c>
    </row>
    <row r="198" spans="1:22" ht="30" customHeight="1" x14ac:dyDescent="0.25">
      <c r="A198" s="50" t="s">
        <v>208</v>
      </c>
      <c r="B198" s="33" t="s">
        <v>614</v>
      </c>
      <c r="C198" s="37" t="s">
        <v>657</v>
      </c>
      <c r="D198" s="33" t="s">
        <v>658</v>
      </c>
      <c r="E198" s="52">
        <v>200</v>
      </c>
      <c r="F198" s="33" t="b">
        <v>1</v>
      </c>
      <c r="G198" s="33">
        <v>0</v>
      </c>
      <c r="H198" s="52">
        <v>0</v>
      </c>
      <c r="I198" s="33">
        <v>0</v>
      </c>
      <c r="J198" s="33">
        <v>0</v>
      </c>
      <c r="K198" s="33">
        <v>0</v>
      </c>
      <c r="L198" s="40" t="b">
        <v>0</v>
      </c>
      <c r="M198" s="33">
        <v>0</v>
      </c>
      <c r="N198" s="33">
        <v>0</v>
      </c>
      <c r="O198" s="52">
        <v>0</v>
      </c>
      <c r="P198" s="33">
        <v>0</v>
      </c>
      <c r="Q198" s="33">
        <v>0</v>
      </c>
      <c r="R198" s="33"/>
      <c r="S198" s="33"/>
      <c r="T198" s="33" t="s">
        <v>616</v>
      </c>
      <c r="U198" s="41" t="str">
        <f>IFERROR(HYPERLINK("#'Main'!B"&amp;MATCH(TRIM(A198),Main!B:B,0),"Open"),HYPERLINK("#'Main'!B1","Open"))</f>
        <v>Open</v>
      </c>
      <c r="V198" s="41"/>
    </row>
    <row r="199" spans="1:22" ht="30" customHeight="1" x14ac:dyDescent="0.25">
      <c r="A199" s="51" t="s">
        <v>208</v>
      </c>
      <c r="B199" s="42" t="s">
        <v>614</v>
      </c>
      <c r="C199" s="44" t="s">
        <v>189</v>
      </c>
      <c r="D199" s="42" t="s">
        <v>690</v>
      </c>
      <c r="E199" s="52">
        <v>200</v>
      </c>
      <c r="F199" s="42" t="b">
        <v>1</v>
      </c>
      <c r="G199" s="42">
        <v>0</v>
      </c>
      <c r="H199" s="52">
        <v>0</v>
      </c>
      <c r="I199" s="42">
        <v>0</v>
      </c>
      <c r="J199" s="42">
        <v>0</v>
      </c>
      <c r="K199" s="42">
        <v>0</v>
      </c>
      <c r="L199" s="46" t="b">
        <v>0</v>
      </c>
      <c r="M199" s="42">
        <v>0</v>
      </c>
      <c r="N199" s="42">
        <v>0</v>
      </c>
      <c r="O199" s="52">
        <v>0</v>
      </c>
      <c r="P199" s="42">
        <v>0</v>
      </c>
      <c r="Q199" s="42">
        <v>0</v>
      </c>
      <c r="R199" s="42"/>
      <c r="S199" s="42"/>
      <c r="T199" s="42" t="s">
        <v>616</v>
      </c>
      <c r="U199" t="str">
        <f>IFERROR(HYPERLINK("#'Main'!B"&amp;MATCH(TRIM(A199),Main!B:B,0),"Open"),HYPERLINK("#'Main'!B1","Open"))</f>
        <v>Open</v>
      </c>
    </row>
    <row r="200" spans="1:22" ht="30" customHeight="1" x14ac:dyDescent="0.25">
      <c r="A200" s="50" t="s">
        <v>208</v>
      </c>
      <c r="B200" s="33" t="s">
        <v>614</v>
      </c>
      <c r="C200" s="37" t="s">
        <v>629</v>
      </c>
      <c r="D200" s="33" t="s">
        <v>630</v>
      </c>
      <c r="E200" s="52">
        <v>200</v>
      </c>
      <c r="F200" s="33" t="b">
        <v>1</v>
      </c>
      <c r="G200" s="33">
        <v>0</v>
      </c>
      <c r="H200" s="52">
        <v>0</v>
      </c>
      <c r="I200" s="33">
        <v>0</v>
      </c>
      <c r="J200" s="33">
        <v>0</v>
      </c>
      <c r="K200" s="33">
        <v>0</v>
      </c>
      <c r="L200" s="40" t="b">
        <v>0</v>
      </c>
      <c r="M200" s="33">
        <v>0</v>
      </c>
      <c r="N200" s="33">
        <v>0</v>
      </c>
      <c r="O200" s="52">
        <v>0</v>
      </c>
      <c r="P200" s="33">
        <v>0</v>
      </c>
      <c r="Q200" s="33">
        <v>0</v>
      </c>
      <c r="R200" s="33"/>
      <c r="S200" s="33"/>
      <c r="T200" s="33" t="s">
        <v>616</v>
      </c>
      <c r="U200" s="41" t="str">
        <f>IFERROR(HYPERLINK("#'Main'!B"&amp;MATCH(TRIM(A200),Main!B:B,0),"Open"),HYPERLINK("#'Main'!B1","Open"))</f>
        <v>Open</v>
      </c>
      <c r="V200" s="41"/>
    </row>
    <row r="201" spans="1:22" ht="30" customHeight="1" x14ac:dyDescent="0.25">
      <c r="A201" s="51" t="s">
        <v>208</v>
      </c>
      <c r="B201" s="42" t="s">
        <v>614</v>
      </c>
      <c r="C201" s="44" t="s">
        <v>631</v>
      </c>
      <c r="D201" s="42"/>
      <c r="E201" s="52">
        <v>200</v>
      </c>
      <c r="F201" s="42" t="b">
        <v>1</v>
      </c>
      <c r="G201" s="42">
        <v>0</v>
      </c>
      <c r="H201" s="52">
        <v>0</v>
      </c>
      <c r="I201" s="42">
        <v>0</v>
      </c>
      <c r="J201" s="42">
        <v>0</v>
      </c>
      <c r="K201" s="42">
        <v>0</v>
      </c>
      <c r="L201" s="46" t="b">
        <v>0</v>
      </c>
      <c r="M201" s="42">
        <v>0</v>
      </c>
      <c r="N201" s="42">
        <v>0</v>
      </c>
      <c r="O201" s="52">
        <v>0</v>
      </c>
      <c r="P201" s="42">
        <v>0</v>
      </c>
      <c r="Q201" s="42">
        <v>0</v>
      </c>
      <c r="R201" s="42"/>
      <c r="S201" s="42"/>
      <c r="T201" s="42" t="s">
        <v>616</v>
      </c>
      <c r="U201" t="str">
        <f>IFERROR(HYPERLINK("#'Main'!B"&amp;MATCH(TRIM(A201),Main!B:B,0),"Open"),HYPERLINK("#'Main'!B1","Open"))</f>
        <v>Open</v>
      </c>
    </row>
    <row r="202" spans="1:22" ht="30" customHeight="1" x14ac:dyDescent="0.25">
      <c r="A202" s="50" t="s">
        <v>208</v>
      </c>
      <c r="B202" s="33" t="s">
        <v>614</v>
      </c>
      <c r="C202" s="37" t="s">
        <v>632</v>
      </c>
      <c r="D202" s="33"/>
      <c r="E202" s="52">
        <v>200</v>
      </c>
      <c r="F202" s="33" t="b">
        <v>1</v>
      </c>
      <c r="G202" s="33">
        <v>0</v>
      </c>
      <c r="H202" s="52">
        <v>0</v>
      </c>
      <c r="I202" s="33">
        <v>0</v>
      </c>
      <c r="J202" s="33">
        <v>0</v>
      </c>
      <c r="K202" s="33">
        <v>0</v>
      </c>
      <c r="L202" s="40" t="b">
        <v>0</v>
      </c>
      <c r="M202" s="33">
        <v>0</v>
      </c>
      <c r="N202" s="33">
        <v>0</v>
      </c>
      <c r="O202" s="52">
        <v>0</v>
      </c>
      <c r="P202" s="33">
        <v>0</v>
      </c>
      <c r="Q202" s="33">
        <v>0</v>
      </c>
      <c r="R202" s="33"/>
      <c r="S202" s="33"/>
      <c r="T202" s="33" t="s">
        <v>616</v>
      </c>
      <c r="U202" s="41" t="str">
        <f>IFERROR(HYPERLINK("#'Main'!B"&amp;MATCH(TRIM(A202),Main!B:B,0),"Open"),HYPERLINK("#'Main'!B1","Open"))</f>
        <v>Open</v>
      </c>
      <c r="V202" s="41"/>
    </row>
    <row r="203" spans="1:22" ht="30" customHeight="1" x14ac:dyDescent="0.25">
      <c r="A203" s="51" t="s">
        <v>208</v>
      </c>
      <c r="B203" s="42" t="s">
        <v>614</v>
      </c>
      <c r="C203" s="44" t="s">
        <v>634</v>
      </c>
      <c r="D203" s="42" t="s">
        <v>666</v>
      </c>
      <c r="E203" s="52">
        <v>200</v>
      </c>
      <c r="F203" s="42" t="b">
        <v>1</v>
      </c>
      <c r="G203" s="42">
        <v>0</v>
      </c>
      <c r="H203" s="52">
        <v>0</v>
      </c>
      <c r="I203" s="42">
        <v>0</v>
      </c>
      <c r="J203" s="42">
        <v>0</v>
      </c>
      <c r="K203" s="42">
        <v>0</v>
      </c>
      <c r="L203" s="46" t="b">
        <v>0</v>
      </c>
      <c r="M203" s="42">
        <v>0</v>
      </c>
      <c r="N203" s="42">
        <v>0</v>
      </c>
      <c r="O203" s="52">
        <v>0</v>
      </c>
      <c r="P203" s="42">
        <v>0</v>
      </c>
      <c r="Q203" s="42">
        <v>0</v>
      </c>
      <c r="R203" s="42"/>
      <c r="S203" s="42"/>
      <c r="T203" s="42" t="s">
        <v>616</v>
      </c>
      <c r="U203" t="str">
        <f>IFERROR(HYPERLINK("#'Main'!B"&amp;MATCH(TRIM(A203),Main!B:B,0),"Open"),HYPERLINK("#'Main'!B1","Open"))</f>
        <v>Open</v>
      </c>
    </row>
    <row r="204" spans="1:22" ht="30" customHeight="1" x14ac:dyDescent="0.25">
      <c r="A204" s="50" t="s">
        <v>208</v>
      </c>
      <c r="B204" s="33" t="s">
        <v>614</v>
      </c>
      <c r="C204" s="37" t="s">
        <v>636</v>
      </c>
      <c r="D204" s="33" t="s">
        <v>637</v>
      </c>
      <c r="E204" s="34">
        <v>404</v>
      </c>
      <c r="F204" s="33" t="b">
        <v>0</v>
      </c>
      <c r="G204" s="33">
        <v>0</v>
      </c>
      <c r="H204" s="52">
        <v>0</v>
      </c>
      <c r="I204" s="33">
        <v>0</v>
      </c>
      <c r="J204" s="33">
        <v>0</v>
      </c>
      <c r="K204" s="33">
        <v>0</v>
      </c>
      <c r="L204" s="40" t="b">
        <v>0</v>
      </c>
      <c r="M204" s="33">
        <v>0</v>
      </c>
      <c r="N204" s="33">
        <v>0</v>
      </c>
      <c r="O204" s="52">
        <v>0</v>
      </c>
      <c r="P204" s="33">
        <v>0</v>
      </c>
      <c r="Q204" s="33">
        <v>0</v>
      </c>
      <c r="R204" s="33"/>
      <c r="S204" s="33"/>
      <c r="T204" s="33" t="s">
        <v>616</v>
      </c>
      <c r="U204" s="41" t="str">
        <f>IFERROR(HYPERLINK("#'Main'!B"&amp;MATCH(TRIM(A204),Main!B:B,0),"Open"),HYPERLINK("#'Main'!B1","Open"))</f>
        <v>Open</v>
      </c>
      <c r="V204" s="41"/>
    </row>
    <row r="205" spans="1:22" ht="30" customHeight="1" x14ac:dyDescent="0.25">
      <c r="A205" s="51" t="s">
        <v>208</v>
      </c>
      <c r="B205" s="42" t="s">
        <v>614</v>
      </c>
      <c r="C205" s="44" t="s">
        <v>636</v>
      </c>
      <c r="D205" s="42" t="s">
        <v>638</v>
      </c>
      <c r="E205" s="34">
        <v>404</v>
      </c>
      <c r="F205" s="42" t="b">
        <v>0</v>
      </c>
      <c r="G205" s="42">
        <v>0</v>
      </c>
      <c r="H205" s="52">
        <v>0</v>
      </c>
      <c r="I205" s="42">
        <v>0</v>
      </c>
      <c r="J205" s="42">
        <v>0</v>
      </c>
      <c r="K205" s="42">
        <v>0</v>
      </c>
      <c r="L205" s="46" t="b">
        <v>0</v>
      </c>
      <c r="M205" s="42">
        <v>0</v>
      </c>
      <c r="N205" s="42">
        <v>0</v>
      </c>
      <c r="O205" s="52">
        <v>0</v>
      </c>
      <c r="P205" s="42">
        <v>0</v>
      </c>
      <c r="Q205" s="42">
        <v>0</v>
      </c>
      <c r="R205" s="42"/>
      <c r="S205" s="42"/>
      <c r="T205" s="42" t="s">
        <v>616</v>
      </c>
      <c r="U205" t="str">
        <f>IFERROR(HYPERLINK("#'Main'!B"&amp;MATCH(TRIM(A205),Main!B:B,0),"Open"),HYPERLINK("#'Main'!B1","Open"))</f>
        <v>Open</v>
      </c>
    </row>
    <row r="206" spans="1:22" ht="30" customHeight="1" x14ac:dyDescent="0.25">
      <c r="A206" s="50" t="s">
        <v>155</v>
      </c>
      <c r="B206" s="33" t="s">
        <v>614</v>
      </c>
      <c r="C206" s="37" t="s">
        <v>176</v>
      </c>
      <c r="D206" s="33"/>
      <c r="E206" s="52">
        <v>200</v>
      </c>
      <c r="F206" s="33" t="b">
        <v>1</v>
      </c>
      <c r="G206" s="33">
        <v>0</v>
      </c>
      <c r="H206" s="52">
        <v>0</v>
      </c>
      <c r="I206" s="33">
        <v>0</v>
      </c>
      <c r="J206" s="33">
        <v>0</v>
      </c>
      <c r="K206" s="33">
        <v>0</v>
      </c>
      <c r="L206" s="40" t="b">
        <v>0</v>
      </c>
      <c r="M206" s="33">
        <v>0</v>
      </c>
      <c r="N206" s="33">
        <v>0</v>
      </c>
      <c r="O206" s="52">
        <v>0</v>
      </c>
      <c r="P206" s="33">
        <v>0</v>
      </c>
      <c r="Q206" s="33">
        <v>0</v>
      </c>
      <c r="R206" s="33"/>
      <c r="S206" s="33"/>
      <c r="T206" s="33" t="s">
        <v>616</v>
      </c>
      <c r="U206" s="41" t="str">
        <f>IFERROR(HYPERLINK("#'Main'!B"&amp;MATCH(TRIM(A206),Main!B:B,0),"Open"),HYPERLINK("#'Main'!B1","Open"))</f>
        <v>Open</v>
      </c>
      <c r="V206" s="41"/>
    </row>
    <row r="207" spans="1:22" ht="30" customHeight="1" x14ac:dyDescent="0.25">
      <c r="A207" s="51" t="s">
        <v>155</v>
      </c>
      <c r="B207" s="42" t="s">
        <v>614</v>
      </c>
      <c r="C207" s="44" t="s">
        <v>176</v>
      </c>
      <c r="D207" s="42" t="s">
        <v>639</v>
      </c>
      <c r="E207" s="52">
        <v>200</v>
      </c>
      <c r="F207" s="42" t="b">
        <v>1</v>
      </c>
      <c r="G207" s="42">
        <v>0</v>
      </c>
      <c r="H207" s="52">
        <v>0</v>
      </c>
      <c r="I207" s="42">
        <v>0</v>
      </c>
      <c r="J207" s="42">
        <v>0</v>
      </c>
      <c r="K207" s="42">
        <v>0</v>
      </c>
      <c r="L207" s="46" t="b">
        <v>0</v>
      </c>
      <c r="M207" s="42">
        <v>0</v>
      </c>
      <c r="N207" s="42">
        <v>0</v>
      </c>
      <c r="O207" s="52">
        <v>0</v>
      </c>
      <c r="P207" s="42">
        <v>0</v>
      </c>
      <c r="Q207" s="42">
        <v>0</v>
      </c>
      <c r="R207" s="42"/>
      <c r="S207" s="42"/>
      <c r="T207" s="42" t="s">
        <v>616</v>
      </c>
      <c r="U207" t="str">
        <f>IFERROR(HYPERLINK("#'Main'!B"&amp;MATCH(TRIM(A207),Main!B:B,0),"Open"),HYPERLINK("#'Main'!B1","Open"))</f>
        <v>Open</v>
      </c>
    </row>
    <row r="208" spans="1:22" ht="30" customHeight="1" x14ac:dyDescent="0.25">
      <c r="A208" s="50" t="s">
        <v>155</v>
      </c>
      <c r="B208" s="33" t="s">
        <v>614</v>
      </c>
      <c r="C208" s="37" t="s">
        <v>178</v>
      </c>
      <c r="D208" s="33" t="s">
        <v>640</v>
      </c>
      <c r="E208" s="52">
        <v>200</v>
      </c>
      <c r="F208" s="33" t="b">
        <v>1</v>
      </c>
      <c r="G208" s="33">
        <v>0</v>
      </c>
      <c r="H208" s="52">
        <v>0</v>
      </c>
      <c r="I208" s="33">
        <v>0</v>
      </c>
      <c r="J208" s="33">
        <v>0</v>
      </c>
      <c r="K208" s="33">
        <v>0</v>
      </c>
      <c r="L208" s="40" t="b">
        <v>0</v>
      </c>
      <c r="M208" s="33">
        <v>0</v>
      </c>
      <c r="N208" s="33">
        <v>0</v>
      </c>
      <c r="O208" s="52">
        <v>0</v>
      </c>
      <c r="P208" s="33">
        <v>0</v>
      </c>
      <c r="Q208" s="33">
        <v>0</v>
      </c>
      <c r="R208" s="33"/>
      <c r="S208" s="33"/>
      <c r="T208" s="33" t="s">
        <v>616</v>
      </c>
      <c r="U208" s="41" t="str">
        <f>IFERROR(HYPERLINK("#'Main'!B"&amp;MATCH(TRIM(A208),Main!B:B,0),"Open"),HYPERLINK("#'Main'!B1","Open"))</f>
        <v>Open</v>
      </c>
      <c r="V208" s="41"/>
    </row>
    <row r="209" spans="1:22" ht="30" customHeight="1" x14ac:dyDescent="0.25">
      <c r="A209" s="51" t="s">
        <v>155</v>
      </c>
      <c r="B209" s="42" t="s">
        <v>614</v>
      </c>
      <c r="C209" s="44" t="s">
        <v>641</v>
      </c>
      <c r="D209" s="42" t="s">
        <v>642</v>
      </c>
      <c r="E209" s="52">
        <v>200</v>
      </c>
      <c r="F209" s="42" t="b">
        <v>1</v>
      </c>
      <c r="G209" s="42">
        <v>0</v>
      </c>
      <c r="H209" s="52">
        <v>0</v>
      </c>
      <c r="I209" s="42">
        <v>0</v>
      </c>
      <c r="J209" s="42">
        <v>0</v>
      </c>
      <c r="K209" s="42">
        <v>0</v>
      </c>
      <c r="L209" s="46" t="b">
        <v>0</v>
      </c>
      <c r="M209" s="42">
        <v>0</v>
      </c>
      <c r="N209" s="42">
        <v>0</v>
      </c>
      <c r="O209" s="52">
        <v>0</v>
      </c>
      <c r="P209" s="42">
        <v>0</v>
      </c>
      <c r="Q209" s="42">
        <v>0</v>
      </c>
      <c r="R209" s="42"/>
      <c r="S209" s="42"/>
      <c r="T209" s="42" t="s">
        <v>616</v>
      </c>
      <c r="U209" t="str">
        <f>IFERROR(HYPERLINK("#'Main'!B"&amp;MATCH(TRIM(A209),Main!B:B,0),"Open"),HYPERLINK("#'Main'!B1","Open"))</f>
        <v>Open</v>
      </c>
    </row>
    <row r="210" spans="1:22" ht="30" customHeight="1" x14ac:dyDescent="0.25">
      <c r="A210" s="50" t="s">
        <v>155</v>
      </c>
      <c r="B210" s="33" t="s">
        <v>614</v>
      </c>
      <c r="C210" s="37" t="s">
        <v>643</v>
      </c>
      <c r="D210" s="33" t="s">
        <v>644</v>
      </c>
      <c r="E210" s="52">
        <v>200</v>
      </c>
      <c r="F210" s="33" t="b">
        <v>1</v>
      </c>
      <c r="G210" s="33">
        <v>0</v>
      </c>
      <c r="H210" s="52">
        <v>0</v>
      </c>
      <c r="I210" s="33">
        <v>0</v>
      </c>
      <c r="J210" s="33">
        <v>0</v>
      </c>
      <c r="K210" s="33">
        <v>0</v>
      </c>
      <c r="L210" s="40" t="b">
        <v>0</v>
      </c>
      <c r="M210" s="33">
        <v>0</v>
      </c>
      <c r="N210" s="33">
        <v>0</v>
      </c>
      <c r="O210" s="52">
        <v>0</v>
      </c>
      <c r="P210" s="33">
        <v>0</v>
      </c>
      <c r="Q210" s="33">
        <v>0</v>
      </c>
      <c r="R210" s="33"/>
      <c r="S210" s="33"/>
      <c r="T210" s="33" t="s">
        <v>616</v>
      </c>
      <c r="U210" s="41" t="str">
        <f>IFERROR(HYPERLINK("#'Main'!B"&amp;MATCH(TRIM(A210),Main!B:B,0),"Open"),HYPERLINK("#'Main'!B1","Open"))</f>
        <v>Open</v>
      </c>
      <c r="V210" s="41"/>
    </row>
    <row r="211" spans="1:22" ht="30" customHeight="1" x14ac:dyDescent="0.25">
      <c r="A211" s="51" t="s">
        <v>155</v>
      </c>
      <c r="B211" s="42" t="s">
        <v>614</v>
      </c>
      <c r="C211" s="44" t="s">
        <v>208</v>
      </c>
      <c r="D211" s="42" t="s">
        <v>645</v>
      </c>
      <c r="E211" s="52">
        <v>200</v>
      </c>
      <c r="F211" s="42" t="b">
        <v>1</v>
      </c>
      <c r="G211" s="42">
        <v>0</v>
      </c>
      <c r="H211" s="52">
        <v>0</v>
      </c>
      <c r="I211" s="42">
        <v>0</v>
      </c>
      <c r="J211" s="42">
        <v>0</v>
      </c>
      <c r="K211" s="42">
        <v>0</v>
      </c>
      <c r="L211" s="46" t="b">
        <v>0</v>
      </c>
      <c r="M211" s="42">
        <v>0</v>
      </c>
      <c r="N211" s="42">
        <v>0</v>
      </c>
      <c r="O211" s="52">
        <v>0</v>
      </c>
      <c r="P211" s="42">
        <v>0</v>
      </c>
      <c r="Q211" s="42">
        <v>0</v>
      </c>
      <c r="R211" s="42"/>
      <c r="S211" s="42"/>
      <c r="T211" s="42" t="s">
        <v>616</v>
      </c>
      <c r="U211" t="str">
        <f>IFERROR(HYPERLINK("#'Main'!B"&amp;MATCH(TRIM(A211),Main!B:B,0),"Open"),HYPERLINK("#'Main'!B1","Open"))</f>
        <v>Open</v>
      </c>
    </row>
    <row r="212" spans="1:22" ht="30" customHeight="1" x14ac:dyDescent="0.25">
      <c r="A212" s="50" t="s">
        <v>155</v>
      </c>
      <c r="B212" s="33" t="s">
        <v>614</v>
      </c>
      <c r="C212" s="37" t="s">
        <v>646</v>
      </c>
      <c r="D212" s="33" t="s">
        <v>647</v>
      </c>
      <c r="E212" s="52">
        <v>200</v>
      </c>
      <c r="F212" s="33" t="b">
        <v>1</v>
      </c>
      <c r="G212" s="33">
        <v>0</v>
      </c>
      <c r="H212" s="52">
        <v>0</v>
      </c>
      <c r="I212" s="33">
        <v>0</v>
      </c>
      <c r="J212" s="33">
        <v>0</v>
      </c>
      <c r="K212" s="33">
        <v>0</v>
      </c>
      <c r="L212" s="40" t="b">
        <v>0</v>
      </c>
      <c r="M212" s="33">
        <v>0</v>
      </c>
      <c r="N212" s="33">
        <v>0</v>
      </c>
      <c r="O212" s="52">
        <v>0</v>
      </c>
      <c r="P212" s="33">
        <v>0</v>
      </c>
      <c r="Q212" s="33">
        <v>0</v>
      </c>
      <c r="R212" s="33"/>
      <c r="S212" s="33"/>
      <c r="T212" s="33" t="s">
        <v>616</v>
      </c>
      <c r="U212" s="41" t="str">
        <f>IFERROR(HYPERLINK("#'Main'!B"&amp;MATCH(TRIM(A212),Main!B:B,0),"Open"),HYPERLINK("#'Main'!B1","Open"))</f>
        <v>Open</v>
      </c>
      <c r="V212" s="41"/>
    </row>
    <row r="213" spans="1:22" ht="30" customHeight="1" x14ac:dyDescent="0.25">
      <c r="A213" s="51" t="s">
        <v>155</v>
      </c>
      <c r="B213" s="42" t="s">
        <v>614</v>
      </c>
      <c r="C213" s="44" t="s">
        <v>648</v>
      </c>
      <c r="D213" s="42" t="s">
        <v>649</v>
      </c>
      <c r="E213" s="52">
        <v>200</v>
      </c>
      <c r="F213" s="42" t="b">
        <v>1</v>
      </c>
      <c r="G213" s="42">
        <v>0</v>
      </c>
      <c r="H213" s="52">
        <v>0</v>
      </c>
      <c r="I213" s="42">
        <v>0</v>
      </c>
      <c r="J213" s="42">
        <v>0</v>
      </c>
      <c r="K213" s="42">
        <v>0</v>
      </c>
      <c r="L213" s="46" t="b">
        <v>0</v>
      </c>
      <c r="M213" s="42">
        <v>0</v>
      </c>
      <c r="N213" s="42">
        <v>0</v>
      </c>
      <c r="O213" s="52">
        <v>0</v>
      </c>
      <c r="P213" s="42">
        <v>0</v>
      </c>
      <c r="Q213" s="42">
        <v>0</v>
      </c>
      <c r="R213" s="42"/>
      <c r="S213" s="42"/>
      <c r="T213" s="42" t="s">
        <v>616</v>
      </c>
      <c r="U213" t="str">
        <f>IFERROR(HYPERLINK("#'Main'!B"&amp;MATCH(TRIM(A213),Main!B:B,0),"Open"),HYPERLINK("#'Main'!B1","Open"))</f>
        <v>Open</v>
      </c>
    </row>
    <row r="214" spans="1:22" ht="30" customHeight="1" x14ac:dyDescent="0.25">
      <c r="A214" s="50" t="s">
        <v>155</v>
      </c>
      <c r="B214" s="33" t="s">
        <v>614</v>
      </c>
      <c r="C214" s="37" t="s">
        <v>650</v>
      </c>
      <c r="D214" s="33" t="s">
        <v>651</v>
      </c>
      <c r="E214" s="52">
        <v>200</v>
      </c>
      <c r="F214" s="33" t="b">
        <v>1</v>
      </c>
      <c r="G214" s="33">
        <v>0</v>
      </c>
      <c r="H214" s="52">
        <v>0</v>
      </c>
      <c r="I214" s="33">
        <v>0</v>
      </c>
      <c r="J214" s="33">
        <v>0</v>
      </c>
      <c r="K214" s="33">
        <v>0</v>
      </c>
      <c r="L214" s="40" t="b">
        <v>0</v>
      </c>
      <c r="M214" s="33">
        <v>0</v>
      </c>
      <c r="N214" s="33">
        <v>0</v>
      </c>
      <c r="O214" s="52">
        <v>0</v>
      </c>
      <c r="P214" s="33">
        <v>0</v>
      </c>
      <c r="Q214" s="33">
        <v>0</v>
      </c>
      <c r="R214" s="33"/>
      <c r="S214" s="33"/>
      <c r="T214" s="33" t="s">
        <v>616</v>
      </c>
      <c r="U214" s="41" t="str">
        <f>IFERROR(HYPERLINK("#'Main'!B"&amp;MATCH(TRIM(A214),Main!B:B,0),"Open"),HYPERLINK("#'Main'!B1","Open"))</f>
        <v>Open</v>
      </c>
      <c r="V214" s="41"/>
    </row>
    <row r="215" spans="1:22" ht="30" customHeight="1" x14ac:dyDescent="0.25">
      <c r="A215" s="51" t="s">
        <v>155</v>
      </c>
      <c r="B215" s="42" t="s">
        <v>614</v>
      </c>
      <c r="C215" s="44" t="s">
        <v>652</v>
      </c>
      <c r="D215" s="42" t="s">
        <v>653</v>
      </c>
      <c r="E215" s="52">
        <v>200</v>
      </c>
      <c r="F215" s="42" t="b">
        <v>1</v>
      </c>
      <c r="G215" s="42">
        <v>0</v>
      </c>
      <c r="H215" s="52">
        <v>0</v>
      </c>
      <c r="I215" s="42">
        <v>0</v>
      </c>
      <c r="J215" s="42">
        <v>0</v>
      </c>
      <c r="K215" s="42">
        <v>0</v>
      </c>
      <c r="L215" s="46" t="b">
        <v>0</v>
      </c>
      <c r="M215" s="42">
        <v>0</v>
      </c>
      <c r="N215" s="42">
        <v>0</v>
      </c>
      <c r="O215" s="52">
        <v>0</v>
      </c>
      <c r="P215" s="42">
        <v>0</v>
      </c>
      <c r="Q215" s="42">
        <v>0</v>
      </c>
      <c r="R215" s="42"/>
      <c r="S215" s="42"/>
      <c r="T215" s="42" t="s">
        <v>616</v>
      </c>
      <c r="U215" t="str">
        <f>IFERROR(HYPERLINK("#'Main'!B"&amp;MATCH(TRIM(A215),Main!B:B,0),"Open"),HYPERLINK("#'Main'!B1","Open"))</f>
        <v>Open</v>
      </c>
    </row>
    <row r="216" spans="1:22" ht="30" customHeight="1" x14ac:dyDescent="0.25">
      <c r="A216" s="50" t="s">
        <v>155</v>
      </c>
      <c r="B216" s="33" t="s">
        <v>614</v>
      </c>
      <c r="C216" s="37" t="s">
        <v>652</v>
      </c>
      <c r="D216" s="33" t="s">
        <v>654</v>
      </c>
      <c r="E216" s="52">
        <v>200</v>
      </c>
      <c r="F216" s="33" t="b">
        <v>1</v>
      </c>
      <c r="G216" s="33">
        <v>0</v>
      </c>
      <c r="H216" s="52">
        <v>0</v>
      </c>
      <c r="I216" s="33">
        <v>0</v>
      </c>
      <c r="J216" s="33">
        <v>0</v>
      </c>
      <c r="K216" s="33">
        <v>0</v>
      </c>
      <c r="L216" s="40" t="b">
        <v>0</v>
      </c>
      <c r="M216" s="33">
        <v>0</v>
      </c>
      <c r="N216" s="33">
        <v>0</v>
      </c>
      <c r="O216" s="52">
        <v>0</v>
      </c>
      <c r="P216" s="33">
        <v>0</v>
      </c>
      <c r="Q216" s="33">
        <v>0</v>
      </c>
      <c r="R216" s="33"/>
      <c r="S216" s="33"/>
      <c r="T216" s="33" t="s">
        <v>616</v>
      </c>
      <c r="U216" s="41" t="str">
        <f>IFERROR(HYPERLINK("#'Main'!B"&amp;MATCH(TRIM(A216),Main!B:B,0),"Open"),HYPERLINK("#'Main'!B1","Open"))</f>
        <v>Open</v>
      </c>
      <c r="V216" s="41"/>
    </row>
    <row r="217" spans="1:22" ht="30" customHeight="1" x14ac:dyDescent="0.25">
      <c r="A217" s="51" t="s">
        <v>155</v>
      </c>
      <c r="B217" s="42" t="s">
        <v>614</v>
      </c>
      <c r="C217" s="44" t="s">
        <v>629</v>
      </c>
      <c r="D217" s="42" t="s">
        <v>655</v>
      </c>
      <c r="E217" s="52">
        <v>200</v>
      </c>
      <c r="F217" s="42" t="b">
        <v>1</v>
      </c>
      <c r="G217" s="42">
        <v>0</v>
      </c>
      <c r="H217" s="52">
        <v>0</v>
      </c>
      <c r="I217" s="42">
        <v>0</v>
      </c>
      <c r="J217" s="42">
        <v>0</v>
      </c>
      <c r="K217" s="42">
        <v>0</v>
      </c>
      <c r="L217" s="46" t="b">
        <v>0</v>
      </c>
      <c r="M217" s="42">
        <v>0</v>
      </c>
      <c r="N217" s="42">
        <v>0</v>
      </c>
      <c r="O217" s="52">
        <v>0</v>
      </c>
      <c r="P217" s="42">
        <v>0</v>
      </c>
      <c r="Q217" s="42">
        <v>0</v>
      </c>
      <c r="R217" s="42"/>
      <c r="S217" s="42"/>
      <c r="T217" s="42" t="s">
        <v>616</v>
      </c>
      <c r="U217" t="str">
        <f>IFERROR(HYPERLINK("#'Main'!B"&amp;MATCH(TRIM(A217),Main!B:B,0),"Open"),HYPERLINK("#'Main'!B1","Open"))</f>
        <v>Open</v>
      </c>
    </row>
    <row r="218" spans="1:22" ht="30" customHeight="1" x14ac:dyDescent="0.25">
      <c r="A218" s="50" t="s">
        <v>155</v>
      </c>
      <c r="B218" s="33" t="s">
        <v>614</v>
      </c>
      <c r="C218" s="37" t="s">
        <v>656</v>
      </c>
      <c r="D218" s="33" t="s">
        <v>286</v>
      </c>
      <c r="E218" s="52">
        <v>200</v>
      </c>
      <c r="F218" s="33" t="b">
        <v>1</v>
      </c>
      <c r="G218" s="33">
        <v>0</v>
      </c>
      <c r="H218" s="52">
        <v>0</v>
      </c>
      <c r="I218" s="33">
        <v>0</v>
      </c>
      <c r="J218" s="33">
        <v>0</v>
      </c>
      <c r="K218" s="33">
        <v>0</v>
      </c>
      <c r="L218" s="40" t="b">
        <v>0</v>
      </c>
      <c r="M218" s="33">
        <v>0</v>
      </c>
      <c r="N218" s="33">
        <v>0</v>
      </c>
      <c r="O218" s="52">
        <v>0</v>
      </c>
      <c r="P218" s="33">
        <v>0</v>
      </c>
      <c r="Q218" s="33">
        <v>0</v>
      </c>
      <c r="R218" s="33"/>
      <c r="S218" s="33"/>
      <c r="T218" s="33" t="s">
        <v>616</v>
      </c>
      <c r="U218" s="41" t="str">
        <f>IFERROR(HYPERLINK("#'Main'!B"&amp;MATCH(TRIM(A218),Main!B:B,0),"Open"),HYPERLINK("#'Main'!B1","Open"))</f>
        <v>Open</v>
      </c>
      <c r="V218" s="41"/>
    </row>
    <row r="219" spans="1:22" ht="30" customHeight="1" x14ac:dyDescent="0.25">
      <c r="A219" s="51" t="s">
        <v>155</v>
      </c>
      <c r="B219" s="42" t="s">
        <v>614</v>
      </c>
      <c r="C219" s="44" t="s">
        <v>657</v>
      </c>
      <c r="D219" s="42" t="s">
        <v>658</v>
      </c>
      <c r="E219" s="52">
        <v>200</v>
      </c>
      <c r="F219" s="42" t="b">
        <v>1</v>
      </c>
      <c r="G219" s="42">
        <v>0</v>
      </c>
      <c r="H219" s="52">
        <v>0</v>
      </c>
      <c r="I219" s="42">
        <v>0</v>
      </c>
      <c r="J219" s="42">
        <v>0</v>
      </c>
      <c r="K219" s="42">
        <v>0</v>
      </c>
      <c r="L219" s="46" t="b">
        <v>0</v>
      </c>
      <c r="M219" s="42">
        <v>0</v>
      </c>
      <c r="N219" s="42">
        <v>0</v>
      </c>
      <c r="O219" s="52">
        <v>0</v>
      </c>
      <c r="P219" s="42">
        <v>0</v>
      </c>
      <c r="Q219" s="42">
        <v>0</v>
      </c>
      <c r="R219" s="42"/>
      <c r="S219" s="42"/>
      <c r="T219" s="42" t="s">
        <v>616</v>
      </c>
      <c r="U219" t="str">
        <f>IFERROR(HYPERLINK("#'Main'!B"&amp;MATCH(TRIM(A219),Main!B:B,0),"Open"),HYPERLINK("#'Main'!B1","Open"))</f>
        <v>Open</v>
      </c>
    </row>
    <row r="220" spans="1:22" ht="30" customHeight="1" x14ac:dyDescent="0.25">
      <c r="A220" s="50" t="s">
        <v>155</v>
      </c>
      <c r="B220" s="33" t="s">
        <v>614</v>
      </c>
      <c r="C220" s="37" t="s">
        <v>176</v>
      </c>
      <c r="D220" s="33" t="s">
        <v>639</v>
      </c>
      <c r="E220" s="52">
        <v>200</v>
      </c>
      <c r="F220" s="33" t="b">
        <v>1</v>
      </c>
      <c r="G220" s="33">
        <v>0</v>
      </c>
      <c r="H220" s="52">
        <v>0</v>
      </c>
      <c r="I220" s="33">
        <v>0</v>
      </c>
      <c r="J220" s="33">
        <v>0</v>
      </c>
      <c r="K220" s="33">
        <v>0</v>
      </c>
      <c r="L220" s="40" t="b">
        <v>0</v>
      </c>
      <c r="M220" s="33">
        <v>0</v>
      </c>
      <c r="N220" s="33">
        <v>0</v>
      </c>
      <c r="O220" s="52">
        <v>0</v>
      </c>
      <c r="P220" s="33">
        <v>0</v>
      </c>
      <c r="Q220" s="33">
        <v>0</v>
      </c>
      <c r="R220" s="33"/>
      <c r="S220" s="33"/>
      <c r="T220" s="33" t="s">
        <v>616</v>
      </c>
      <c r="U220" s="41" t="str">
        <f>IFERROR(HYPERLINK("#'Main'!B"&amp;MATCH(TRIM(A220),Main!B:B,0),"Open"),HYPERLINK("#'Main'!B1","Open"))</f>
        <v>Open</v>
      </c>
      <c r="V220" s="41"/>
    </row>
    <row r="221" spans="1:22" ht="30" customHeight="1" x14ac:dyDescent="0.25">
      <c r="A221" s="51" t="s">
        <v>155</v>
      </c>
      <c r="B221" s="42" t="s">
        <v>614</v>
      </c>
      <c r="C221" s="44" t="s">
        <v>178</v>
      </c>
      <c r="D221" s="42" t="s">
        <v>640</v>
      </c>
      <c r="E221" s="52">
        <v>200</v>
      </c>
      <c r="F221" s="42" t="b">
        <v>1</v>
      </c>
      <c r="G221" s="42">
        <v>0</v>
      </c>
      <c r="H221" s="52">
        <v>0</v>
      </c>
      <c r="I221" s="42">
        <v>0</v>
      </c>
      <c r="J221" s="42">
        <v>0</v>
      </c>
      <c r="K221" s="42">
        <v>0</v>
      </c>
      <c r="L221" s="46" t="b">
        <v>0</v>
      </c>
      <c r="M221" s="42">
        <v>0</v>
      </c>
      <c r="N221" s="42">
        <v>0</v>
      </c>
      <c r="O221" s="52">
        <v>0</v>
      </c>
      <c r="P221" s="42">
        <v>0</v>
      </c>
      <c r="Q221" s="42">
        <v>0</v>
      </c>
      <c r="R221" s="42"/>
      <c r="S221" s="42"/>
      <c r="T221" s="42" t="s">
        <v>616</v>
      </c>
      <c r="U221" t="str">
        <f>IFERROR(HYPERLINK("#'Main'!B"&amp;MATCH(TRIM(A221),Main!B:B,0),"Open"),HYPERLINK("#'Main'!B1","Open"))</f>
        <v>Open</v>
      </c>
    </row>
    <row r="222" spans="1:22" ht="30" customHeight="1" x14ac:dyDescent="0.25">
      <c r="A222" s="50" t="s">
        <v>155</v>
      </c>
      <c r="B222" s="33" t="s">
        <v>614</v>
      </c>
      <c r="C222" s="37" t="s">
        <v>641</v>
      </c>
      <c r="D222" s="33" t="s">
        <v>642</v>
      </c>
      <c r="E222" s="52">
        <v>200</v>
      </c>
      <c r="F222" s="33" t="b">
        <v>1</v>
      </c>
      <c r="G222" s="33">
        <v>0</v>
      </c>
      <c r="H222" s="52">
        <v>0</v>
      </c>
      <c r="I222" s="33">
        <v>0</v>
      </c>
      <c r="J222" s="33">
        <v>0</v>
      </c>
      <c r="K222" s="33">
        <v>0</v>
      </c>
      <c r="L222" s="40" t="b">
        <v>0</v>
      </c>
      <c r="M222" s="33">
        <v>0</v>
      </c>
      <c r="N222" s="33">
        <v>0</v>
      </c>
      <c r="O222" s="52">
        <v>0</v>
      </c>
      <c r="P222" s="33">
        <v>0</v>
      </c>
      <c r="Q222" s="33">
        <v>0</v>
      </c>
      <c r="R222" s="33"/>
      <c r="S222" s="33"/>
      <c r="T222" s="33" t="s">
        <v>616</v>
      </c>
      <c r="U222" s="41" t="str">
        <f>IFERROR(HYPERLINK("#'Main'!B"&amp;MATCH(TRIM(A222),Main!B:B,0),"Open"),HYPERLINK("#'Main'!B1","Open"))</f>
        <v>Open</v>
      </c>
      <c r="V222" s="41"/>
    </row>
    <row r="223" spans="1:22" ht="30" customHeight="1" x14ac:dyDescent="0.25">
      <c r="A223" s="51" t="s">
        <v>155</v>
      </c>
      <c r="B223" s="42" t="s">
        <v>614</v>
      </c>
      <c r="C223" s="44" t="s">
        <v>643</v>
      </c>
      <c r="D223" s="42" t="s">
        <v>644</v>
      </c>
      <c r="E223" s="52">
        <v>200</v>
      </c>
      <c r="F223" s="42" t="b">
        <v>1</v>
      </c>
      <c r="G223" s="42">
        <v>0</v>
      </c>
      <c r="H223" s="52">
        <v>0</v>
      </c>
      <c r="I223" s="42">
        <v>0</v>
      </c>
      <c r="J223" s="42">
        <v>0</v>
      </c>
      <c r="K223" s="42">
        <v>0</v>
      </c>
      <c r="L223" s="46" t="b">
        <v>0</v>
      </c>
      <c r="M223" s="42">
        <v>0</v>
      </c>
      <c r="N223" s="42">
        <v>0</v>
      </c>
      <c r="O223" s="52">
        <v>0</v>
      </c>
      <c r="P223" s="42">
        <v>0</v>
      </c>
      <c r="Q223" s="42">
        <v>0</v>
      </c>
      <c r="R223" s="42"/>
      <c r="S223" s="42"/>
      <c r="T223" s="42" t="s">
        <v>616</v>
      </c>
      <c r="U223" t="str">
        <f>IFERROR(HYPERLINK("#'Main'!B"&amp;MATCH(TRIM(A223),Main!B:B,0),"Open"),HYPERLINK("#'Main'!B1","Open"))</f>
        <v>Open</v>
      </c>
    </row>
    <row r="224" spans="1:22" ht="30" customHeight="1" x14ac:dyDescent="0.25">
      <c r="A224" s="50" t="s">
        <v>155</v>
      </c>
      <c r="B224" s="33" t="s">
        <v>614</v>
      </c>
      <c r="C224" s="37" t="s">
        <v>208</v>
      </c>
      <c r="D224" s="33" t="s">
        <v>645</v>
      </c>
      <c r="E224" s="52">
        <v>200</v>
      </c>
      <c r="F224" s="33" t="b">
        <v>1</v>
      </c>
      <c r="G224" s="33">
        <v>0</v>
      </c>
      <c r="H224" s="52">
        <v>0</v>
      </c>
      <c r="I224" s="33">
        <v>0</v>
      </c>
      <c r="J224" s="33">
        <v>0</v>
      </c>
      <c r="K224" s="33">
        <v>0</v>
      </c>
      <c r="L224" s="40" t="b">
        <v>0</v>
      </c>
      <c r="M224" s="33">
        <v>0</v>
      </c>
      <c r="N224" s="33">
        <v>0</v>
      </c>
      <c r="O224" s="52">
        <v>0</v>
      </c>
      <c r="P224" s="33">
        <v>0</v>
      </c>
      <c r="Q224" s="33">
        <v>0</v>
      </c>
      <c r="R224" s="33"/>
      <c r="S224" s="33"/>
      <c r="T224" s="33" t="s">
        <v>616</v>
      </c>
      <c r="U224" s="41" t="str">
        <f>IFERROR(HYPERLINK("#'Main'!B"&amp;MATCH(TRIM(A224),Main!B:B,0),"Open"),HYPERLINK("#'Main'!B1","Open"))</f>
        <v>Open</v>
      </c>
      <c r="V224" s="41"/>
    </row>
    <row r="225" spans="1:22" ht="30" customHeight="1" x14ac:dyDescent="0.25">
      <c r="A225" s="51" t="s">
        <v>155</v>
      </c>
      <c r="B225" s="42" t="s">
        <v>614</v>
      </c>
      <c r="C225" s="44" t="s">
        <v>646</v>
      </c>
      <c r="D225" s="42" t="s">
        <v>647</v>
      </c>
      <c r="E225" s="52">
        <v>200</v>
      </c>
      <c r="F225" s="42" t="b">
        <v>1</v>
      </c>
      <c r="G225" s="42">
        <v>0</v>
      </c>
      <c r="H225" s="52">
        <v>0</v>
      </c>
      <c r="I225" s="42">
        <v>0</v>
      </c>
      <c r="J225" s="42">
        <v>0</v>
      </c>
      <c r="K225" s="42">
        <v>0</v>
      </c>
      <c r="L225" s="46" t="b">
        <v>0</v>
      </c>
      <c r="M225" s="42">
        <v>0</v>
      </c>
      <c r="N225" s="42">
        <v>0</v>
      </c>
      <c r="O225" s="52">
        <v>0</v>
      </c>
      <c r="P225" s="42">
        <v>0</v>
      </c>
      <c r="Q225" s="42">
        <v>0</v>
      </c>
      <c r="R225" s="42"/>
      <c r="S225" s="42"/>
      <c r="T225" s="42" t="s">
        <v>616</v>
      </c>
      <c r="U225" t="str">
        <f>IFERROR(HYPERLINK("#'Main'!B"&amp;MATCH(TRIM(A225),Main!B:B,0),"Open"),HYPERLINK("#'Main'!B1","Open"))</f>
        <v>Open</v>
      </c>
    </row>
    <row r="226" spans="1:22" ht="30" customHeight="1" x14ac:dyDescent="0.25">
      <c r="A226" s="50" t="s">
        <v>155</v>
      </c>
      <c r="B226" s="33" t="s">
        <v>614</v>
      </c>
      <c r="C226" s="37" t="s">
        <v>648</v>
      </c>
      <c r="D226" s="33" t="s">
        <v>649</v>
      </c>
      <c r="E226" s="52">
        <v>200</v>
      </c>
      <c r="F226" s="33" t="b">
        <v>1</v>
      </c>
      <c r="G226" s="33">
        <v>0</v>
      </c>
      <c r="H226" s="52">
        <v>0</v>
      </c>
      <c r="I226" s="33">
        <v>0</v>
      </c>
      <c r="J226" s="33">
        <v>0</v>
      </c>
      <c r="K226" s="33">
        <v>0</v>
      </c>
      <c r="L226" s="40" t="b">
        <v>0</v>
      </c>
      <c r="M226" s="33">
        <v>0</v>
      </c>
      <c r="N226" s="33">
        <v>0</v>
      </c>
      <c r="O226" s="52">
        <v>0</v>
      </c>
      <c r="P226" s="33">
        <v>0</v>
      </c>
      <c r="Q226" s="33">
        <v>0</v>
      </c>
      <c r="R226" s="33"/>
      <c r="S226" s="33"/>
      <c r="T226" s="33" t="s">
        <v>616</v>
      </c>
      <c r="U226" s="41" t="str">
        <f>IFERROR(HYPERLINK("#'Main'!B"&amp;MATCH(TRIM(A226),Main!B:B,0),"Open"),HYPERLINK("#'Main'!B1","Open"))</f>
        <v>Open</v>
      </c>
      <c r="V226" s="41"/>
    </row>
    <row r="227" spans="1:22" ht="30" customHeight="1" x14ac:dyDescent="0.25">
      <c r="A227" s="51" t="s">
        <v>155</v>
      </c>
      <c r="B227" s="42" t="s">
        <v>614</v>
      </c>
      <c r="C227" s="44" t="s">
        <v>650</v>
      </c>
      <c r="D227" s="42" t="s">
        <v>651</v>
      </c>
      <c r="E227" s="52">
        <v>200</v>
      </c>
      <c r="F227" s="42" t="b">
        <v>1</v>
      </c>
      <c r="G227" s="42">
        <v>0</v>
      </c>
      <c r="H227" s="52">
        <v>0</v>
      </c>
      <c r="I227" s="42">
        <v>0</v>
      </c>
      <c r="J227" s="42">
        <v>0</v>
      </c>
      <c r="K227" s="42">
        <v>0</v>
      </c>
      <c r="L227" s="46" t="b">
        <v>0</v>
      </c>
      <c r="M227" s="42">
        <v>0</v>
      </c>
      <c r="N227" s="42">
        <v>0</v>
      </c>
      <c r="O227" s="52">
        <v>0</v>
      </c>
      <c r="P227" s="42">
        <v>0</v>
      </c>
      <c r="Q227" s="42">
        <v>0</v>
      </c>
      <c r="R227" s="42"/>
      <c r="S227" s="42"/>
      <c r="T227" s="42" t="s">
        <v>616</v>
      </c>
      <c r="U227" t="str">
        <f>IFERROR(HYPERLINK("#'Main'!B"&amp;MATCH(TRIM(A227),Main!B:B,0),"Open"),HYPERLINK("#'Main'!B1","Open"))</f>
        <v>Open</v>
      </c>
    </row>
    <row r="228" spans="1:22" ht="30" customHeight="1" x14ac:dyDescent="0.25">
      <c r="A228" s="50" t="s">
        <v>155</v>
      </c>
      <c r="B228" s="33" t="s">
        <v>614</v>
      </c>
      <c r="C228" s="37" t="s">
        <v>652</v>
      </c>
      <c r="D228" s="33" t="s">
        <v>653</v>
      </c>
      <c r="E228" s="52">
        <v>200</v>
      </c>
      <c r="F228" s="33" t="b">
        <v>1</v>
      </c>
      <c r="G228" s="33">
        <v>0</v>
      </c>
      <c r="H228" s="52">
        <v>0</v>
      </c>
      <c r="I228" s="33">
        <v>0</v>
      </c>
      <c r="J228" s="33">
        <v>0</v>
      </c>
      <c r="K228" s="33">
        <v>0</v>
      </c>
      <c r="L228" s="40" t="b">
        <v>0</v>
      </c>
      <c r="M228" s="33">
        <v>0</v>
      </c>
      <c r="N228" s="33">
        <v>0</v>
      </c>
      <c r="O228" s="52">
        <v>0</v>
      </c>
      <c r="P228" s="33">
        <v>0</v>
      </c>
      <c r="Q228" s="33">
        <v>0</v>
      </c>
      <c r="R228" s="33"/>
      <c r="S228" s="33"/>
      <c r="T228" s="33" t="s">
        <v>616</v>
      </c>
      <c r="U228" s="41" t="str">
        <f>IFERROR(HYPERLINK("#'Main'!B"&amp;MATCH(TRIM(A228),Main!B:B,0),"Open"),HYPERLINK("#'Main'!B1","Open"))</f>
        <v>Open</v>
      </c>
      <c r="V228" s="41"/>
    </row>
    <row r="229" spans="1:22" ht="30" customHeight="1" x14ac:dyDescent="0.25">
      <c r="A229" s="51" t="s">
        <v>155</v>
      </c>
      <c r="B229" s="42" t="s">
        <v>614</v>
      </c>
      <c r="C229" s="44" t="s">
        <v>652</v>
      </c>
      <c r="D229" s="42" t="s">
        <v>654</v>
      </c>
      <c r="E229" s="52">
        <v>200</v>
      </c>
      <c r="F229" s="42" t="b">
        <v>1</v>
      </c>
      <c r="G229" s="42">
        <v>0</v>
      </c>
      <c r="H229" s="52">
        <v>0</v>
      </c>
      <c r="I229" s="42">
        <v>0</v>
      </c>
      <c r="J229" s="42">
        <v>0</v>
      </c>
      <c r="K229" s="42">
        <v>0</v>
      </c>
      <c r="L229" s="46" t="b">
        <v>0</v>
      </c>
      <c r="M229" s="42">
        <v>0</v>
      </c>
      <c r="N229" s="42">
        <v>0</v>
      </c>
      <c r="O229" s="52">
        <v>0</v>
      </c>
      <c r="P229" s="42">
        <v>0</v>
      </c>
      <c r="Q229" s="42">
        <v>0</v>
      </c>
      <c r="R229" s="42"/>
      <c r="S229" s="42"/>
      <c r="T229" s="42" t="s">
        <v>616</v>
      </c>
      <c r="U229" t="str">
        <f>IFERROR(HYPERLINK("#'Main'!B"&amp;MATCH(TRIM(A229),Main!B:B,0),"Open"),HYPERLINK("#'Main'!B1","Open"))</f>
        <v>Open</v>
      </c>
    </row>
    <row r="230" spans="1:22" ht="30" customHeight="1" x14ac:dyDescent="0.25">
      <c r="A230" s="50" t="s">
        <v>155</v>
      </c>
      <c r="B230" s="33" t="s">
        <v>614</v>
      </c>
      <c r="C230" s="37" t="s">
        <v>629</v>
      </c>
      <c r="D230" s="33" t="s">
        <v>655</v>
      </c>
      <c r="E230" s="52">
        <v>200</v>
      </c>
      <c r="F230" s="33" t="b">
        <v>1</v>
      </c>
      <c r="G230" s="33">
        <v>0</v>
      </c>
      <c r="H230" s="52">
        <v>0</v>
      </c>
      <c r="I230" s="33">
        <v>0</v>
      </c>
      <c r="J230" s="33">
        <v>0</v>
      </c>
      <c r="K230" s="33">
        <v>0</v>
      </c>
      <c r="L230" s="40" t="b">
        <v>0</v>
      </c>
      <c r="M230" s="33">
        <v>0</v>
      </c>
      <c r="N230" s="33">
        <v>0</v>
      </c>
      <c r="O230" s="52">
        <v>0</v>
      </c>
      <c r="P230" s="33">
        <v>0</v>
      </c>
      <c r="Q230" s="33">
        <v>0</v>
      </c>
      <c r="R230" s="33"/>
      <c r="S230" s="33"/>
      <c r="T230" s="33" t="s">
        <v>616</v>
      </c>
      <c r="U230" s="41" t="str">
        <f>IFERROR(HYPERLINK("#'Main'!B"&amp;MATCH(TRIM(A230),Main!B:B,0),"Open"),HYPERLINK("#'Main'!B1","Open"))</f>
        <v>Open</v>
      </c>
      <c r="V230" s="41"/>
    </row>
    <row r="231" spans="1:22" ht="30" customHeight="1" x14ac:dyDescent="0.25">
      <c r="A231" s="51" t="s">
        <v>155</v>
      </c>
      <c r="B231" s="42" t="s">
        <v>614</v>
      </c>
      <c r="C231" s="44" t="s">
        <v>656</v>
      </c>
      <c r="D231" s="42" t="s">
        <v>286</v>
      </c>
      <c r="E231" s="52">
        <v>200</v>
      </c>
      <c r="F231" s="42" t="b">
        <v>1</v>
      </c>
      <c r="G231" s="42">
        <v>0</v>
      </c>
      <c r="H231" s="52">
        <v>0</v>
      </c>
      <c r="I231" s="42">
        <v>0</v>
      </c>
      <c r="J231" s="42">
        <v>0</v>
      </c>
      <c r="K231" s="42">
        <v>0</v>
      </c>
      <c r="L231" s="46" t="b">
        <v>0</v>
      </c>
      <c r="M231" s="42">
        <v>0</v>
      </c>
      <c r="N231" s="42">
        <v>0</v>
      </c>
      <c r="O231" s="52">
        <v>0</v>
      </c>
      <c r="P231" s="42">
        <v>0</v>
      </c>
      <c r="Q231" s="42">
        <v>0</v>
      </c>
      <c r="R231" s="42"/>
      <c r="S231" s="42"/>
      <c r="T231" s="42" t="s">
        <v>616</v>
      </c>
      <c r="U231" t="str">
        <f>IFERROR(HYPERLINK("#'Main'!B"&amp;MATCH(TRIM(A231),Main!B:B,0),"Open"),HYPERLINK("#'Main'!B1","Open"))</f>
        <v>Open</v>
      </c>
    </row>
    <row r="232" spans="1:22" ht="30" customHeight="1" x14ac:dyDescent="0.25">
      <c r="A232" s="50" t="s">
        <v>155</v>
      </c>
      <c r="B232" s="33" t="s">
        <v>614</v>
      </c>
      <c r="C232" s="37" t="s">
        <v>657</v>
      </c>
      <c r="D232" s="33" t="s">
        <v>658</v>
      </c>
      <c r="E232" s="52">
        <v>200</v>
      </c>
      <c r="F232" s="33" t="b">
        <v>1</v>
      </c>
      <c r="G232" s="33">
        <v>0</v>
      </c>
      <c r="H232" s="52">
        <v>0</v>
      </c>
      <c r="I232" s="33">
        <v>0</v>
      </c>
      <c r="J232" s="33">
        <v>0</v>
      </c>
      <c r="K232" s="33">
        <v>0</v>
      </c>
      <c r="L232" s="40" t="b">
        <v>0</v>
      </c>
      <c r="M232" s="33">
        <v>0</v>
      </c>
      <c r="N232" s="33">
        <v>0</v>
      </c>
      <c r="O232" s="52">
        <v>0</v>
      </c>
      <c r="P232" s="33">
        <v>0</v>
      </c>
      <c r="Q232" s="33">
        <v>0</v>
      </c>
      <c r="R232" s="33"/>
      <c r="S232" s="33"/>
      <c r="T232" s="33" t="s">
        <v>616</v>
      </c>
      <c r="U232" s="41" t="str">
        <f>IFERROR(HYPERLINK("#'Main'!B"&amp;MATCH(TRIM(A232),Main!B:B,0),"Open"),HYPERLINK("#'Main'!B1","Open"))</f>
        <v>Open</v>
      </c>
      <c r="V232" s="41"/>
    </row>
    <row r="233" spans="1:22" ht="30" customHeight="1" x14ac:dyDescent="0.25">
      <c r="A233" s="51" t="s">
        <v>155</v>
      </c>
      <c r="B233" s="42" t="s">
        <v>614</v>
      </c>
      <c r="C233" s="44" t="s">
        <v>691</v>
      </c>
      <c r="D233" s="42" t="s">
        <v>692</v>
      </c>
      <c r="E233" s="52">
        <v>200</v>
      </c>
      <c r="F233" s="42" t="b">
        <v>1</v>
      </c>
      <c r="G233" s="42">
        <v>0</v>
      </c>
      <c r="H233" s="52">
        <v>0</v>
      </c>
      <c r="I233" s="42">
        <v>0</v>
      </c>
      <c r="J233" s="42">
        <v>0</v>
      </c>
      <c r="K233" s="42">
        <v>0</v>
      </c>
      <c r="L233" s="46" t="b">
        <v>0</v>
      </c>
      <c r="M233" s="42">
        <v>0</v>
      </c>
      <c r="N233" s="42">
        <v>0</v>
      </c>
      <c r="O233" s="52">
        <v>0</v>
      </c>
      <c r="P233" s="42">
        <v>0</v>
      </c>
      <c r="Q233" s="42">
        <v>0</v>
      </c>
      <c r="R233" s="42"/>
      <c r="S233" s="42"/>
      <c r="T233" s="42" t="s">
        <v>616</v>
      </c>
      <c r="U233" t="str">
        <f>IFERROR(HYPERLINK("#'Main'!B"&amp;MATCH(TRIM(A233),Main!B:B,0),"Open"),HYPERLINK("#'Main'!B1","Open"))</f>
        <v>Open</v>
      </c>
    </row>
    <row r="234" spans="1:22" ht="30" customHeight="1" x14ac:dyDescent="0.25">
      <c r="A234" s="50" t="s">
        <v>155</v>
      </c>
      <c r="B234" s="33" t="s">
        <v>614</v>
      </c>
      <c r="C234" s="37" t="s">
        <v>634</v>
      </c>
      <c r="D234" s="33" t="s">
        <v>693</v>
      </c>
      <c r="E234" s="52">
        <v>200</v>
      </c>
      <c r="F234" s="33" t="b">
        <v>1</v>
      </c>
      <c r="G234" s="33">
        <v>0</v>
      </c>
      <c r="H234" s="52">
        <v>0</v>
      </c>
      <c r="I234" s="33">
        <v>0</v>
      </c>
      <c r="J234" s="33">
        <v>0</v>
      </c>
      <c r="K234" s="33">
        <v>0</v>
      </c>
      <c r="L234" s="40" t="b">
        <v>0</v>
      </c>
      <c r="M234" s="33">
        <v>0</v>
      </c>
      <c r="N234" s="33">
        <v>0</v>
      </c>
      <c r="O234" s="52">
        <v>0</v>
      </c>
      <c r="P234" s="33">
        <v>0</v>
      </c>
      <c r="Q234" s="33">
        <v>0</v>
      </c>
      <c r="R234" s="33"/>
      <c r="S234" s="33"/>
      <c r="T234" s="33" t="s">
        <v>616</v>
      </c>
      <c r="U234" s="41" t="str">
        <f>IFERROR(HYPERLINK("#'Main'!B"&amp;MATCH(TRIM(A234),Main!B:B,0),"Open"),HYPERLINK("#'Main'!B1","Open"))</f>
        <v>Open</v>
      </c>
      <c r="V234" s="41"/>
    </row>
    <row r="235" spans="1:22" ht="30" customHeight="1" x14ac:dyDescent="0.25">
      <c r="A235" s="51" t="s">
        <v>155</v>
      </c>
      <c r="B235" s="42" t="s">
        <v>614</v>
      </c>
      <c r="C235" s="44" t="s">
        <v>691</v>
      </c>
      <c r="D235" s="42" t="s">
        <v>692</v>
      </c>
      <c r="E235" s="52">
        <v>200</v>
      </c>
      <c r="F235" s="42" t="b">
        <v>1</v>
      </c>
      <c r="G235" s="42">
        <v>0</v>
      </c>
      <c r="H235" s="52">
        <v>0</v>
      </c>
      <c r="I235" s="42">
        <v>0</v>
      </c>
      <c r="J235" s="42">
        <v>0</v>
      </c>
      <c r="K235" s="42">
        <v>0</v>
      </c>
      <c r="L235" s="46" t="b">
        <v>0</v>
      </c>
      <c r="M235" s="42">
        <v>0</v>
      </c>
      <c r="N235" s="42">
        <v>0</v>
      </c>
      <c r="O235" s="52">
        <v>0</v>
      </c>
      <c r="P235" s="42">
        <v>0</v>
      </c>
      <c r="Q235" s="42">
        <v>0</v>
      </c>
      <c r="R235" s="42"/>
      <c r="S235" s="42"/>
      <c r="T235" s="42" t="s">
        <v>616</v>
      </c>
      <c r="U235" t="str">
        <f>IFERROR(HYPERLINK("#'Main'!B"&amp;MATCH(TRIM(A235),Main!B:B,0),"Open"),HYPERLINK("#'Main'!B1","Open"))</f>
        <v>Open</v>
      </c>
    </row>
    <row r="236" spans="1:22" ht="30" customHeight="1" x14ac:dyDescent="0.25">
      <c r="A236" s="50" t="s">
        <v>155</v>
      </c>
      <c r="B236" s="33" t="s">
        <v>614</v>
      </c>
      <c r="C236" s="37" t="s">
        <v>629</v>
      </c>
      <c r="D236" s="33" t="s">
        <v>630</v>
      </c>
      <c r="E236" s="52">
        <v>200</v>
      </c>
      <c r="F236" s="33" t="b">
        <v>1</v>
      </c>
      <c r="G236" s="33">
        <v>0</v>
      </c>
      <c r="H236" s="52">
        <v>0</v>
      </c>
      <c r="I236" s="33">
        <v>0</v>
      </c>
      <c r="J236" s="33">
        <v>0</v>
      </c>
      <c r="K236" s="33">
        <v>0</v>
      </c>
      <c r="L236" s="40" t="b">
        <v>0</v>
      </c>
      <c r="M236" s="33">
        <v>0</v>
      </c>
      <c r="N236" s="33">
        <v>0</v>
      </c>
      <c r="O236" s="52">
        <v>0</v>
      </c>
      <c r="P236" s="33">
        <v>0</v>
      </c>
      <c r="Q236" s="33">
        <v>0</v>
      </c>
      <c r="R236" s="33"/>
      <c r="S236" s="33"/>
      <c r="T236" s="33" t="s">
        <v>616</v>
      </c>
      <c r="U236" s="41" t="str">
        <f>IFERROR(HYPERLINK("#'Main'!B"&amp;MATCH(TRIM(A236),Main!B:B,0),"Open"),HYPERLINK("#'Main'!B1","Open"))</f>
        <v>Open</v>
      </c>
      <c r="V236" s="41"/>
    </row>
    <row r="237" spans="1:22" ht="30" customHeight="1" x14ac:dyDescent="0.25">
      <c r="A237" s="51" t="s">
        <v>155</v>
      </c>
      <c r="B237" s="42" t="s">
        <v>614</v>
      </c>
      <c r="C237" s="44" t="s">
        <v>631</v>
      </c>
      <c r="D237" s="42"/>
      <c r="E237" s="52">
        <v>200</v>
      </c>
      <c r="F237" s="42" t="b">
        <v>1</v>
      </c>
      <c r="G237" s="42">
        <v>0</v>
      </c>
      <c r="H237" s="52">
        <v>0</v>
      </c>
      <c r="I237" s="42">
        <v>0</v>
      </c>
      <c r="J237" s="42">
        <v>0</v>
      </c>
      <c r="K237" s="42">
        <v>0</v>
      </c>
      <c r="L237" s="46" t="b">
        <v>0</v>
      </c>
      <c r="M237" s="42">
        <v>0</v>
      </c>
      <c r="N237" s="42">
        <v>0</v>
      </c>
      <c r="O237" s="52">
        <v>0</v>
      </c>
      <c r="P237" s="42">
        <v>0</v>
      </c>
      <c r="Q237" s="42">
        <v>0</v>
      </c>
      <c r="R237" s="42"/>
      <c r="S237" s="42"/>
      <c r="T237" s="42" t="s">
        <v>616</v>
      </c>
      <c r="U237" t="str">
        <f>IFERROR(HYPERLINK("#'Main'!B"&amp;MATCH(TRIM(A237),Main!B:B,0),"Open"),HYPERLINK("#'Main'!B1","Open"))</f>
        <v>Open</v>
      </c>
    </row>
    <row r="238" spans="1:22" ht="30" customHeight="1" x14ac:dyDescent="0.25">
      <c r="A238" s="50" t="s">
        <v>155</v>
      </c>
      <c r="B238" s="33" t="s">
        <v>614</v>
      </c>
      <c r="C238" s="37" t="s">
        <v>632</v>
      </c>
      <c r="D238" s="33"/>
      <c r="E238" s="52">
        <v>200</v>
      </c>
      <c r="F238" s="33" t="b">
        <v>1</v>
      </c>
      <c r="G238" s="33">
        <v>0</v>
      </c>
      <c r="H238" s="52">
        <v>0</v>
      </c>
      <c r="I238" s="33">
        <v>0</v>
      </c>
      <c r="J238" s="33">
        <v>0</v>
      </c>
      <c r="K238" s="33">
        <v>0</v>
      </c>
      <c r="L238" s="40" t="b">
        <v>0</v>
      </c>
      <c r="M238" s="33">
        <v>0</v>
      </c>
      <c r="N238" s="33">
        <v>0</v>
      </c>
      <c r="O238" s="52">
        <v>0</v>
      </c>
      <c r="P238" s="33">
        <v>0</v>
      </c>
      <c r="Q238" s="33">
        <v>0</v>
      </c>
      <c r="R238" s="33"/>
      <c r="S238" s="33"/>
      <c r="T238" s="33" t="s">
        <v>616</v>
      </c>
      <c r="U238" s="41" t="str">
        <f>IFERROR(HYPERLINK("#'Main'!B"&amp;MATCH(TRIM(A238),Main!B:B,0),"Open"),HYPERLINK("#'Main'!B1","Open"))</f>
        <v>Open</v>
      </c>
      <c r="V238" s="41"/>
    </row>
    <row r="239" spans="1:22" ht="30" customHeight="1" x14ac:dyDescent="0.25">
      <c r="A239" s="51" t="s">
        <v>155</v>
      </c>
      <c r="B239" s="42" t="s">
        <v>614</v>
      </c>
      <c r="C239" s="44" t="s">
        <v>634</v>
      </c>
      <c r="D239" s="42" t="s">
        <v>666</v>
      </c>
      <c r="E239" s="52">
        <v>200</v>
      </c>
      <c r="F239" s="42" t="b">
        <v>1</v>
      </c>
      <c r="G239" s="42">
        <v>0</v>
      </c>
      <c r="H239" s="52">
        <v>0</v>
      </c>
      <c r="I239" s="42">
        <v>0</v>
      </c>
      <c r="J239" s="42">
        <v>0</v>
      </c>
      <c r="K239" s="42">
        <v>0</v>
      </c>
      <c r="L239" s="46" t="b">
        <v>0</v>
      </c>
      <c r="M239" s="42">
        <v>0</v>
      </c>
      <c r="N239" s="42">
        <v>0</v>
      </c>
      <c r="O239" s="52">
        <v>0</v>
      </c>
      <c r="P239" s="42">
        <v>0</v>
      </c>
      <c r="Q239" s="42">
        <v>0</v>
      </c>
      <c r="R239" s="42"/>
      <c r="S239" s="42"/>
      <c r="T239" s="42" t="s">
        <v>616</v>
      </c>
      <c r="U239" t="str">
        <f>IFERROR(HYPERLINK("#'Main'!B"&amp;MATCH(TRIM(A239),Main!B:B,0),"Open"),HYPERLINK("#'Main'!B1","Open"))</f>
        <v>Open</v>
      </c>
    </row>
    <row r="240" spans="1:22" ht="30" customHeight="1" x14ac:dyDescent="0.25">
      <c r="A240" s="50" t="s">
        <v>155</v>
      </c>
      <c r="B240" s="33" t="s">
        <v>614</v>
      </c>
      <c r="C240" s="37" t="s">
        <v>636</v>
      </c>
      <c r="D240" s="33" t="s">
        <v>637</v>
      </c>
      <c r="E240" s="34">
        <v>404</v>
      </c>
      <c r="F240" s="33" t="b">
        <v>0</v>
      </c>
      <c r="G240" s="33">
        <v>0</v>
      </c>
      <c r="H240" s="52">
        <v>0</v>
      </c>
      <c r="I240" s="33">
        <v>0</v>
      </c>
      <c r="J240" s="33">
        <v>0</v>
      </c>
      <c r="K240" s="33">
        <v>0</v>
      </c>
      <c r="L240" s="40" t="b">
        <v>0</v>
      </c>
      <c r="M240" s="33">
        <v>0</v>
      </c>
      <c r="N240" s="33">
        <v>0</v>
      </c>
      <c r="O240" s="52">
        <v>0</v>
      </c>
      <c r="P240" s="33">
        <v>0</v>
      </c>
      <c r="Q240" s="33">
        <v>0</v>
      </c>
      <c r="R240" s="33"/>
      <c r="S240" s="33"/>
      <c r="T240" s="33" t="s">
        <v>616</v>
      </c>
      <c r="U240" s="41" t="str">
        <f>IFERROR(HYPERLINK("#'Main'!B"&amp;MATCH(TRIM(A240),Main!B:B,0),"Open"),HYPERLINK("#'Main'!B1","Open"))</f>
        <v>Open</v>
      </c>
      <c r="V240" s="41"/>
    </row>
    <row r="241" spans="1:22" ht="30" customHeight="1" x14ac:dyDescent="0.25">
      <c r="A241" s="51" t="s">
        <v>155</v>
      </c>
      <c r="B241" s="42" t="s">
        <v>614</v>
      </c>
      <c r="C241" s="44" t="s">
        <v>636</v>
      </c>
      <c r="D241" s="42" t="s">
        <v>638</v>
      </c>
      <c r="E241" s="34">
        <v>404</v>
      </c>
      <c r="F241" s="42" t="b">
        <v>0</v>
      </c>
      <c r="G241" s="42">
        <v>0</v>
      </c>
      <c r="H241" s="52">
        <v>0</v>
      </c>
      <c r="I241" s="42">
        <v>0</v>
      </c>
      <c r="J241" s="42">
        <v>0</v>
      </c>
      <c r="K241" s="42">
        <v>0</v>
      </c>
      <c r="L241" s="46" t="b">
        <v>0</v>
      </c>
      <c r="M241" s="42">
        <v>0</v>
      </c>
      <c r="N241" s="42">
        <v>0</v>
      </c>
      <c r="O241" s="52">
        <v>0</v>
      </c>
      <c r="P241" s="42">
        <v>0</v>
      </c>
      <c r="Q241" s="42">
        <v>0</v>
      </c>
      <c r="R241" s="42"/>
      <c r="S241" s="42"/>
      <c r="T241" s="42" t="s">
        <v>616</v>
      </c>
      <c r="U241" t="str">
        <f>IFERROR(HYPERLINK("#'Main'!B"&amp;MATCH(TRIM(A241),Main!B:B,0),"Open"),HYPERLINK("#'Main'!B1","Open"))</f>
        <v>Open</v>
      </c>
    </row>
    <row r="242" spans="1:22" ht="30" customHeight="1" x14ac:dyDescent="0.25">
      <c r="A242" s="50" t="s">
        <v>206</v>
      </c>
      <c r="B242" s="33" t="s">
        <v>614</v>
      </c>
      <c r="C242" s="37" t="s">
        <v>176</v>
      </c>
      <c r="D242" s="33"/>
      <c r="E242" s="52">
        <v>200</v>
      </c>
      <c r="F242" s="33" t="b">
        <v>1</v>
      </c>
      <c r="G242" s="33">
        <v>0</v>
      </c>
      <c r="H242" s="52">
        <v>0</v>
      </c>
      <c r="I242" s="33">
        <v>0</v>
      </c>
      <c r="J242" s="33">
        <v>0</v>
      </c>
      <c r="K242" s="33">
        <v>0</v>
      </c>
      <c r="L242" s="40" t="b">
        <v>0</v>
      </c>
      <c r="M242" s="33">
        <v>0</v>
      </c>
      <c r="N242" s="33">
        <v>0</v>
      </c>
      <c r="O242" s="52">
        <v>0</v>
      </c>
      <c r="P242" s="33">
        <v>0</v>
      </c>
      <c r="Q242" s="33">
        <v>0</v>
      </c>
      <c r="R242" s="33"/>
      <c r="S242" s="33"/>
      <c r="T242" s="33" t="s">
        <v>616</v>
      </c>
      <c r="U242" s="41" t="str">
        <f>IFERROR(HYPERLINK("#'Main'!B"&amp;MATCH(TRIM(A242),Main!B:B,0),"Open"),HYPERLINK("#'Main'!B1","Open"))</f>
        <v>Open</v>
      </c>
      <c r="V242" s="41"/>
    </row>
    <row r="243" spans="1:22" ht="30" customHeight="1" x14ac:dyDescent="0.25">
      <c r="A243" s="51" t="s">
        <v>206</v>
      </c>
      <c r="B243" s="42" t="s">
        <v>614</v>
      </c>
      <c r="C243" s="44" t="s">
        <v>176</v>
      </c>
      <c r="D243" s="42" t="s">
        <v>639</v>
      </c>
      <c r="E243" s="52">
        <v>200</v>
      </c>
      <c r="F243" s="42" t="b">
        <v>1</v>
      </c>
      <c r="G243" s="42">
        <v>0</v>
      </c>
      <c r="H243" s="52">
        <v>0</v>
      </c>
      <c r="I243" s="42">
        <v>0</v>
      </c>
      <c r="J243" s="42">
        <v>0</v>
      </c>
      <c r="K243" s="42">
        <v>0</v>
      </c>
      <c r="L243" s="46" t="b">
        <v>0</v>
      </c>
      <c r="M243" s="42">
        <v>0</v>
      </c>
      <c r="N243" s="42">
        <v>0</v>
      </c>
      <c r="O243" s="52">
        <v>0</v>
      </c>
      <c r="P243" s="42">
        <v>0</v>
      </c>
      <c r="Q243" s="42">
        <v>0</v>
      </c>
      <c r="R243" s="42"/>
      <c r="S243" s="42"/>
      <c r="T243" s="42" t="s">
        <v>616</v>
      </c>
      <c r="U243" t="str">
        <f>IFERROR(HYPERLINK("#'Main'!B"&amp;MATCH(TRIM(A243),Main!B:B,0),"Open"),HYPERLINK("#'Main'!B1","Open"))</f>
        <v>Open</v>
      </c>
    </row>
    <row r="244" spans="1:22" ht="30" customHeight="1" x14ac:dyDescent="0.25">
      <c r="A244" s="50" t="s">
        <v>206</v>
      </c>
      <c r="B244" s="33" t="s">
        <v>614</v>
      </c>
      <c r="C244" s="37" t="s">
        <v>178</v>
      </c>
      <c r="D244" s="33" t="s">
        <v>640</v>
      </c>
      <c r="E244" s="52">
        <v>200</v>
      </c>
      <c r="F244" s="33" t="b">
        <v>1</v>
      </c>
      <c r="G244" s="33">
        <v>0</v>
      </c>
      <c r="H244" s="52">
        <v>0</v>
      </c>
      <c r="I244" s="33">
        <v>0</v>
      </c>
      <c r="J244" s="33">
        <v>0</v>
      </c>
      <c r="K244" s="33">
        <v>0</v>
      </c>
      <c r="L244" s="40" t="b">
        <v>0</v>
      </c>
      <c r="M244" s="33">
        <v>0</v>
      </c>
      <c r="N244" s="33">
        <v>0</v>
      </c>
      <c r="O244" s="52">
        <v>0</v>
      </c>
      <c r="P244" s="33">
        <v>0</v>
      </c>
      <c r="Q244" s="33">
        <v>0</v>
      </c>
      <c r="R244" s="33"/>
      <c r="S244" s="33"/>
      <c r="T244" s="33" t="s">
        <v>616</v>
      </c>
      <c r="U244" s="41" t="str">
        <f>IFERROR(HYPERLINK("#'Main'!B"&amp;MATCH(TRIM(A244),Main!B:B,0),"Open"),HYPERLINK("#'Main'!B1","Open"))</f>
        <v>Open</v>
      </c>
      <c r="V244" s="41"/>
    </row>
    <row r="245" spans="1:22" ht="30" customHeight="1" x14ac:dyDescent="0.25">
      <c r="A245" s="51" t="s">
        <v>206</v>
      </c>
      <c r="B245" s="42" t="s">
        <v>614</v>
      </c>
      <c r="C245" s="44" t="s">
        <v>641</v>
      </c>
      <c r="D245" s="42" t="s">
        <v>642</v>
      </c>
      <c r="E245" s="52">
        <v>200</v>
      </c>
      <c r="F245" s="42" t="b">
        <v>1</v>
      </c>
      <c r="G245" s="42">
        <v>0</v>
      </c>
      <c r="H245" s="52">
        <v>0</v>
      </c>
      <c r="I245" s="42">
        <v>0</v>
      </c>
      <c r="J245" s="42">
        <v>0</v>
      </c>
      <c r="K245" s="42">
        <v>0</v>
      </c>
      <c r="L245" s="46" t="b">
        <v>0</v>
      </c>
      <c r="M245" s="42">
        <v>0</v>
      </c>
      <c r="N245" s="42">
        <v>0</v>
      </c>
      <c r="O245" s="52">
        <v>0</v>
      </c>
      <c r="P245" s="42">
        <v>0</v>
      </c>
      <c r="Q245" s="42">
        <v>0</v>
      </c>
      <c r="R245" s="42"/>
      <c r="S245" s="42"/>
      <c r="T245" s="42" t="s">
        <v>616</v>
      </c>
      <c r="U245" t="str">
        <f>IFERROR(HYPERLINK("#'Main'!B"&amp;MATCH(TRIM(A245),Main!B:B,0),"Open"),HYPERLINK("#'Main'!B1","Open"))</f>
        <v>Open</v>
      </c>
    </row>
    <row r="246" spans="1:22" ht="30" customHeight="1" x14ac:dyDescent="0.25">
      <c r="A246" s="50" t="s">
        <v>206</v>
      </c>
      <c r="B246" s="33" t="s">
        <v>614</v>
      </c>
      <c r="C246" s="37" t="s">
        <v>643</v>
      </c>
      <c r="D246" s="33" t="s">
        <v>644</v>
      </c>
      <c r="E246" s="52">
        <v>200</v>
      </c>
      <c r="F246" s="33" t="b">
        <v>1</v>
      </c>
      <c r="G246" s="33">
        <v>0</v>
      </c>
      <c r="H246" s="52">
        <v>0</v>
      </c>
      <c r="I246" s="33">
        <v>0</v>
      </c>
      <c r="J246" s="33">
        <v>0</v>
      </c>
      <c r="K246" s="33">
        <v>0</v>
      </c>
      <c r="L246" s="40" t="b">
        <v>0</v>
      </c>
      <c r="M246" s="33">
        <v>0</v>
      </c>
      <c r="N246" s="33">
        <v>0</v>
      </c>
      <c r="O246" s="52">
        <v>0</v>
      </c>
      <c r="P246" s="33">
        <v>0</v>
      </c>
      <c r="Q246" s="33">
        <v>0</v>
      </c>
      <c r="R246" s="33"/>
      <c r="S246" s="33"/>
      <c r="T246" s="33" t="s">
        <v>616</v>
      </c>
      <c r="U246" s="41" t="str">
        <f>IFERROR(HYPERLINK("#'Main'!B"&amp;MATCH(TRIM(A246),Main!B:B,0),"Open"),HYPERLINK("#'Main'!B1","Open"))</f>
        <v>Open</v>
      </c>
      <c r="V246" s="41"/>
    </row>
    <row r="247" spans="1:22" ht="30" customHeight="1" x14ac:dyDescent="0.25">
      <c r="A247" s="51" t="s">
        <v>206</v>
      </c>
      <c r="B247" s="42" t="s">
        <v>614</v>
      </c>
      <c r="C247" s="44" t="s">
        <v>208</v>
      </c>
      <c r="D247" s="42" t="s">
        <v>645</v>
      </c>
      <c r="E247" s="52">
        <v>200</v>
      </c>
      <c r="F247" s="42" t="b">
        <v>1</v>
      </c>
      <c r="G247" s="42">
        <v>0</v>
      </c>
      <c r="H247" s="52">
        <v>0</v>
      </c>
      <c r="I247" s="42">
        <v>0</v>
      </c>
      <c r="J247" s="42">
        <v>0</v>
      </c>
      <c r="K247" s="42">
        <v>0</v>
      </c>
      <c r="L247" s="46" t="b">
        <v>0</v>
      </c>
      <c r="M247" s="42">
        <v>0</v>
      </c>
      <c r="N247" s="42">
        <v>0</v>
      </c>
      <c r="O247" s="52">
        <v>0</v>
      </c>
      <c r="P247" s="42">
        <v>0</v>
      </c>
      <c r="Q247" s="42">
        <v>0</v>
      </c>
      <c r="R247" s="42"/>
      <c r="S247" s="42"/>
      <c r="T247" s="42" t="s">
        <v>616</v>
      </c>
      <c r="U247" t="str">
        <f>IFERROR(HYPERLINK("#'Main'!B"&amp;MATCH(TRIM(A247),Main!B:B,0),"Open"),HYPERLINK("#'Main'!B1","Open"))</f>
        <v>Open</v>
      </c>
    </row>
    <row r="248" spans="1:22" ht="30" customHeight="1" x14ac:dyDescent="0.25">
      <c r="A248" s="50" t="s">
        <v>206</v>
      </c>
      <c r="B248" s="33" t="s">
        <v>614</v>
      </c>
      <c r="C248" s="37" t="s">
        <v>646</v>
      </c>
      <c r="D248" s="33" t="s">
        <v>647</v>
      </c>
      <c r="E248" s="52">
        <v>200</v>
      </c>
      <c r="F248" s="33" t="b">
        <v>1</v>
      </c>
      <c r="G248" s="33">
        <v>0</v>
      </c>
      <c r="H248" s="52">
        <v>0</v>
      </c>
      <c r="I248" s="33">
        <v>0</v>
      </c>
      <c r="J248" s="33">
        <v>0</v>
      </c>
      <c r="K248" s="33">
        <v>0</v>
      </c>
      <c r="L248" s="40" t="b">
        <v>0</v>
      </c>
      <c r="M248" s="33">
        <v>0</v>
      </c>
      <c r="N248" s="33">
        <v>0</v>
      </c>
      <c r="O248" s="52">
        <v>0</v>
      </c>
      <c r="P248" s="33">
        <v>0</v>
      </c>
      <c r="Q248" s="33">
        <v>0</v>
      </c>
      <c r="R248" s="33"/>
      <c r="S248" s="33"/>
      <c r="T248" s="33" t="s">
        <v>616</v>
      </c>
      <c r="U248" s="41" t="str">
        <f>IFERROR(HYPERLINK("#'Main'!B"&amp;MATCH(TRIM(A248),Main!B:B,0),"Open"),HYPERLINK("#'Main'!B1","Open"))</f>
        <v>Open</v>
      </c>
      <c r="V248" s="41"/>
    </row>
    <row r="249" spans="1:22" ht="30" customHeight="1" x14ac:dyDescent="0.25">
      <c r="A249" s="51" t="s">
        <v>206</v>
      </c>
      <c r="B249" s="42" t="s">
        <v>614</v>
      </c>
      <c r="C249" s="44" t="s">
        <v>648</v>
      </c>
      <c r="D249" s="42" t="s">
        <v>649</v>
      </c>
      <c r="E249" s="52">
        <v>200</v>
      </c>
      <c r="F249" s="42" t="b">
        <v>1</v>
      </c>
      <c r="G249" s="42">
        <v>0</v>
      </c>
      <c r="H249" s="52">
        <v>0</v>
      </c>
      <c r="I249" s="42">
        <v>0</v>
      </c>
      <c r="J249" s="42">
        <v>0</v>
      </c>
      <c r="K249" s="42">
        <v>0</v>
      </c>
      <c r="L249" s="46" t="b">
        <v>0</v>
      </c>
      <c r="M249" s="42">
        <v>0</v>
      </c>
      <c r="N249" s="42">
        <v>0</v>
      </c>
      <c r="O249" s="52">
        <v>0</v>
      </c>
      <c r="P249" s="42">
        <v>0</v>
      </c>
      <c r="Q249" s="42">
        <v>0</v>
      </c>
      <c r="R249" s="42"/>
      <c r="S249" s="42"/>
      <c r="T249" s="42" t="s">
        <v>616</v>
      </c>
      <c r="U249" t="str">
        <f>IFERROR(HYPERLINK("#'Main'!B"&amp;MATCH(TRIM(A249),Main!B:B,0),"Open"),HYPERLINK("#'Main'!B1","Open"))</f>
        <v>Open</v>
      </c>
    </row>
    <row r="250" spans="1:22" ht="30" customHeight="1" x14ac:dyDescent="0.25">
      <c r="A250" s="50" t="s">
        <v>206</v>
      </c>
      <c r="B250" s="33" t="s">
        <v>614</v>
      </c>
      <c r="C250" s="37" t="s">
        <v>650</v>
      </c>
      <c r="D250" s="33" t="s">
        <v>651</v>
      </c>
      <c r="E250" s="52">
        <v>200</v>
      </c>
      <c r="F250" s="33" t="b">
        <v>1</v>
      </c>
      <c r="G250" s="33">
        <v>0</v>
      </c>
      <c r="H250" s="52">
        <v>0</v>
      </c>
      <c r="I250" s="33">
        <v>0</v>
      </c>
      <c r="J250" s="33">
        <v>0</v>
      </c>
      <c r="K250" s="33">
        <v>0</v>
      </c>
      <c r="L250" s="40" t="b">
        <v>0</v>
      </c>
      <c r="M250" s="33">
        <v>0</v>
      </c>
      <c r="N250" s="33">
        <v>0</v>
      </c>
      <c r="O250" s="52">
        <v>0</v>
      </c>
      <c r="P250" s="33">
        <v>0</v>
      </c>
      <c r="Q250" s="33">
        <v>0</v>
      </c>
      <c r="R250" s="33"/>
      <c r="S250" s="33"/>
      <c r="T250" s="33" t="s">
        <v>616</v>
      </c>
      <c r="U250" s="41" t="str">
        <f>IFERROR(HYPERLINK("#'Main'!B"&amp;MATCH(TRIM(A250),Main!B:B,0),"Open"),HYPERLINK("#'Main'!B1","Open"))</f>
        <v>Open</v>
      </c>
      <c r="V250" s="41"/>
    </row>
    <row r="251" spans="1:22" ht="30" customHeight="1" x14ac:dyDescent="0.25">
      <c r="A251" s="51" t="s">
        <v>206</v>
      </c>
      <c r="B251" s="42" t="s">
        <v>614</v>
      </c>
      <c r="C251" s="44" t="s">
        <v>652</v>
      </c>
      <c r="D251" s="42" t="s">
        <v>653</v>
      </c>
      <c r="E251" s="52">
        <v>200</v>
      </c>
      <c r="F251" s="42" t="b">
        <v>1</v>
      </c>
      <c r="G251" s="42">
        <v>0</v>
      </c>
      <c r="H251" s="52">
        <v>0</v>
      </c>
      <c r="I251" s="42">
        <v>0</v>
      </c>
      <c r="J251" s="42">
        <v>0</v>
      </c>
      <c r="K251" s="42">
        <v>0</v>
      </c>
      <c r="L251" s="46" t="b">
        <v>0</v>
      </c>
      <c r="M251" s="42">
        <v>0</v>
      </c>
      <c r="N251" s="42">
        <v>0</v>
      </c>
      <c r="O251" s="52">
        <v>0</v>
      </c>
      <c r="P251" s="42">
        <v>0</v>
      </c>
      <c r="Q251" s="42">
        <v>0</v>
      </c>
      <c r="R251" s="42"/>
      <c r="S251" s="42"/>
      <c r="T251" s="42" t="s">
        <v>616</v>
      </c>
      <c r="U251" t="str">
        <f>IFERROR(HYPERLINK("#'Main'!B"&amp;MATCH(TRIM(A251),Main!B:B,0),"Open"),HYPERLINK("#'Main'!B1","Open"))</f>
        <v>Open</v>
      </c>
    </row>
    <row r="252" spans="1:22" ht="30" customHeight="1" x14ac:dyDescent="0.25">
      <c r="A252" s="50" t="s">
        <v>206</v>
      </c>
      <c r="B252" s="33" t="s">
        <v>614</v>
      </c>
      <c r="C252" s="37" t="s">
        <v>652</v>
      </c>
      <c r="D252" s="33" t="s">
        <v>654</v>
      </c>
      <c r="E252" s="52">
        <v>200</v>
      </c>
      <c r="F252" s="33" t="b">
        <v>1</v>
      </c>
      <c r="G252" s="33">
        <v>0</v>
      </c>
      <c r="H252" s="52">
        <v>0</v>
      </c>
      <c r="I252" s="33">
        <v>0</v>
      </c>
      <c r="J252" s="33">
        <v>0</v>
      </c>
      <c r="K252" s="33">
        <v>0</v>
      </c>
      <c r="L252" s="40" t="b">
        <v>0</v>
      </c>
      <c r="M252" s="33">
        <v>0</v>
      </c>
      <c r="N252" s="33">
        <v>0</v>
      </c>
      <c r="O252" s="52">
        <v>0</v>
      </c>
      <c r="P252" s="33">
        <v>0</v>
      </c>
      <c r="Q252" s="33">
        <v>0</v>
      </c>
      <c r="R252" s="33"/>
      <c r="S252" s="33"/>
      <c r="T252" s="33" t="s">
        <v>616</v>
      </c>
      <c r="U252" s="41" t="str">
        <f>IFERROR(HYPERLINK("#'Main'!B"&amp;MATCH(TRIM(A252),Main!B:B,0),"Open"),HYPERLINK("#'Main'!B1","Open"))</f>
        <v>Open</v>
      </c>
      <c r="V252" s="41"/>
    </row>
    <row r="253" spans="1:22" ht="30" customHeight="1" x14ac:dyDescent="0.25">
      <c r="A253" s="51" t="s">
        <v>206</v>
      </c>
      <c r="B253" s="42" t="s">
        <v>614</v>
      </c>
      <c r="C253" s="44" t="s">
        <v>629</v>
      </c>
      <c r="D253" s="42" t="s">
        <v>655</v>
      </c>
      <c r="E253" s="52">
        <v>200</v>
      </c>
      <c r="F253" s="42" t="b">
        <v>1</v>
      </c>
      <c r="G253" s="42">
        <v>0</v>
      </c>
      <c r="H253" s="52">
        <v>0</v>
      </c>
      <c r="I253" s="42">
        <v>0</v>
      </c>
      <c r="J253" s="42">
        <v>0</v>
      </c>
      <c r="K253" s="42">
        <v>0</v>
      </c>
      <c r="L253" s="46" t="b">
        <v>0</v>
      </c>
      <c r="M253" s="42">
        <v>0</v>
      </c>
      <c r="N253" s="42">
        <v>0</v>
      </c>
      <c r="O253" s="52">
        <v>0</v>
      </c>
      <c r="P253" s="42">
        <v>0</v>
      </c>
      <c r="Q253" s="42">
        <v>0</v>
      </c>
      <c r="R253" s="42"/>
      <c r="S253" s="42"/>
      <c r="T253" s="42" t="s">
        <v>616</v>
      </c>
      <c r="U253" t="str">
        <f>IFERROR(HYPERLINK("#'Main'!B"&amp;MATCH(TRIM(A253),Main!B:B,0),"Open"),HYPERLINK("#'Main'!B1","Open"))</f>
        <v>Open</v>
      </c>
    </row>
    <row r="254" spans="1:22" ht="30" customHeight="1" x14ac:dyDescent="0.25">
      <c r="A254" s="50" t="s">
        <v>206</v>
      </c>
      <c r="B254" s="33" t="s">
        <v>614</v>
      </c>
      <c r="C254" s="37" t="s">
        <v>656</v>
      </c>
      <c r="D254" s="33" t="s">
        <v>286</v>
      </c>
      <c r="E254" s="52">
        <v>200</v>
      </c>
      <c r="F254" s="33" t="b">
        <v>1</v>
      </c>
      <c r="G254" s="33">
        <v>0</v>
      </c>
      <c r="H254" s="52">
        <v>0</v>
      </c>
      <c r="I254" s="33">
        <v>0</v>
      </c>
      <c r="J254" s="33">
        <v>0</v>
      </c>
      <c r="K254" s="33">
        <v>0</v>
      </c>
      <c r="L254" s="40" t="b">
        <v>0</v>
      </c>
      <c r="M254" s="33">
        <v>0</v>
      </c>
      <c r="N254" s="33">
        <v>0</v>
      </c>
      <c r="O254" s="52">
        <v>0</v>
      </c>
      <c r="P254" s="33">
        <v>0</v>
      </c>
      <c r="Q254" s="33">
        <v>0</v>
      </c>
      <c r="R254" s="33"/>
      <c r="S254" s="33"/>
      <c r="T254" s="33" t="s">
        <v>616</v>
      </c>
      <c r="U254" s="41" t="str">
        <f>IFERROR(HYPERLINK("#'Main'!B"&amp;MATCH(TRIM(A254),Main!B:B,0),"Open"),HYPERLINK("#'Main'!B1","Open"))</f>
        <v>Open</v>
      </c>
      <c r="V254" s="41"/>
    </row>
    <row r="255" spans="1:22" ht="30" customHeight="1" x14ac:dyDescent="0.25">
      <c r="A255" s="51" t="s">
        <v>206</v>
      </c>
      <c r="B255" s="42" t="s">
        <v>614</v>
      </c>
      <c r="C255" s="44" t="s">
        <v>657</v>
      </c>
      <c r="D255" s="42" t="s">
        <v>658</v>
      </c>
      <c r="E255" s="52">
        <v>200</v>
      </c>
      <c r="F255" s="42" t="b">
        <v>1</v>
      </c>
      <c r="G255" s="42">
        <v>0</v>
      </c>
      <c r="H255" s="52">
        <v>0</v>
      </c>
      <c r="I255" s="42">
        <v>0</v>
      </c>
      <c r="J255" s="42">
        <v>0</v>
      </c>
      <c r="K255" s="42">
        <v>0</v>
      </c>
      <c r="L255" s="46" t="b">
        <v>0</v>
      </c>
      <c r="M255" s="42">
        <v>0</v>
      </c>
      <c r="N255" s="42">
        <v>0</v>
      </c>
      <c r="O255" s="52">
        <v>0</v>
      </c>
      <c r="P255" s="42">
        <v>0</v>
      </c>
      <c r="Q255" s="42">
        <v>0</v>
      </c>
      <c r="R255" s="42"/>
      <c r="S255" s="42"/>
      <c r="T255" s="42" t="s">
        <v>616</v>
      </c>
      <c r="U255" t="str">
        <f>IFERROR(HYPERLINK("#'Main'!B"&amp;MATCH(TRIM(A255),Main!B:B,0),"Open"),HYPERLINK("#'Main'!B1","Open"))</f>
        <v>Open</v>
      </c>
    </row>
    <row r="256" spans="1:22" ht="30" customHeight="1" x14ac:dyDescent="0.25">
      <c r="A256" s="50" t="s">
        <v>206</v>
      </c>
      <c r="B256" s="33" t="s">
        <v>614</v>
      </c>
      <c r="C256" s="37" t="s">
        <v>176</v>
      </c>
      <c r="D256" s="33" t="s">
        <v>639</v>
      </c>
      <c r="E256" s="52">
        <v>200</v>
      </c>
      <c r="F256" s="33" t="b">
        <v>1</v>
      </c>
      <c r="G256" s="33">
        <v>0</v>
      </c>
      <c r="H256" s="52">
        <v>0</v>
      </c>
      <c r="I256" s="33">
        <v>0</v>
      </c>
      <c r="J256" s="33">
        <v>0</v>
      </c>
      <c r="K256" s="33">
        <v>0</v>
      </c>
      <c r="L256" s="40" t="b">
        <v>0</v>
      </c>
      <c r="M256" s="33">
        <v>0</v>
      </c>
      <c r="N256" s="33">
        <v>0</v>
      </c>
      <c r="O256" s="52">
        <v>0</v>
      </c>
      <c r="P256" s="33">
        <v>0</v>
      </c>
      <c r="Q256" s="33">
        <v>0</v>
      </c>
      <c r="R256" s="33"/>
      <c r="S256" s="33"/>
      <c r="T256" s="33" t="s">
        <v>616</v>
      </c>
      <c r="U256" s="41" t="str">
        <f>IFERROR(HYPERLINK("#'Main'!B"&amp;MATCH(TRIM(A256),Main!B:B,0),"Open"),HYPERLINK("#'Main'!B1","Open"))</f>
        <v>Open</v>
      </c>
      <c r="V256" s="41"/>
    </row>
    <row r="257" spans="1:22" ht="30" customHeight="1" x14ac:dyDescent="0.25">
      <c r="A257" s="51" t="s">
        <v>206</v>
      </c>
      <c r="B257" s="42" t="s">
        <v>614</v>
      </c>
      <c r="C257" s="44" t="s">
        <v>178</v>
      </c>
      <c r="D257" s="42" t="s">
        <v>640</v>
      </c>
      <c r="E257" s="52">
        <v>200</v>
      </c>
      <c r="F257" s="42" t="b">
        <v>1</v>
      </c>
      <c r="G257" s="42">
        <v>0</v>
      </c>
      <c r="H257" s="52">
        <v>0</v>
      </c>
      <c r="I257" s="42">
        <v>0</v>
      </c>
      <c r="J257" s="42">
        <v>0</v>
      </c>
      <c r="K257" s="42">
        <v>0</v>
      </c>
      <c r="L257" s="46" t="b">
        <v>0</v>
      </c>
      <c r="M257" s="42">
        <v>0</v>
      </c>
      <c r="N257" s="42">
        <v>0</v>
      </c>
      <c r="O257" s="52">
        <v>0</v>
      </c>
      <c r="P257" s="42">
        <v>0</v>
      </c>
      <c r="Q257" s="42">
        <v>0</v>
      </c>
      <c r="R257" s="42"/>
      <c r="S257" s="42"/>
      <c r="T257" s="42" t="s">
        <v>616</v>
      </c>
      <c r="U257" t="str">
        <f>IFERROR(HYPERLINK("#'Main'!B"&amp;MATCH(TRIM(A257),Main!B:B,0),"Open"),HYPERLINK("#'Main'!B1","Open"))</f>
        <v>Open</v>
      </c>
    </row>
    <row r="258" spans="1:22" ht="30" customHeight="1" x14ac:dyDescent="0.25">
      <c r="A258" s="50" t="s">
        <v>206</v>
      </c>
      <c r="B258" s="33" t="s">
        <v>614</v>
      </c>
      <c r="C258" s="37" t="s">
        <v>641</v>
      </c>
      <c r="D258" s="33" t="s">
        <v>642</v>
      </c>
      <c r="E258" s="52">
        <v>200</v>
      </c>
      <c r="F258" s="33" t="b">
        <v>1</v>
      </c>
      <c r="G258" s="33">
        <v>0</v>
      </c>
      <c r="H258" s="52">
        <v>0</v>
      </c>
      <c r="I258" s="33">
        <v>0</v>
      </c>
      <c r="J258" s="33">
        <v>0</v>
      </c>
      <c r="K258" s="33">
        <v>0</v>
      </c>
      <c r="L258" s="40" t="b">
        <v>0</v>
      </c>
      <c r="M258" s="33">
        <v>0</v>
      </c>
      <c r="N258" s="33">
        <v>0</v>
      </c>
      <c r="O258" s="52">
        <v>0</v>
      </c>
      <c r="P258" s="33">
        <v>0</v>
      </c>
      <c r="Q258" s="33">
        <v>0</v>
      </c>
      <c r="R258" s="33"/>
      <c r="S258" s="33"/>
      <c r="T258" s="33" t="s">
        <v>616</v>
      </c>
      <c r="U258" s="41" t="str">
        <f>IFERROR(HYPERLINK("#'Main'!B"&amp;MATCH(TRIM(A258),Main!B:B,0),"Open"),HYPERLINK("#'Main'!B1","Open"))</f>
        <v>Open</v>
      </c>
      <c r="V258" s="41"/>
    </row>
    <row r="259" spans="1:22" ht="30" customHeight="1" x14ac:dyDescent="0.25">
      <c r="A259" s="51" t="s">
        <v>206</v>
      </c>
      <c r="B259" s="42" t="s">
        <v>614</v>
      </c>
      <c r="C259" s="44" t="s">
        <v>643</v>
      </c>
      <c r="D259" s="42" t="s">
        <v>644</v>
      </c>
      <c r="E259" s="52">
        <v>200</v>
      </c>
      <c r="F259" s="42" t="b">
        <v>1</v>
      </c>
      <c r="G259" s="42">
        <v>0</v>
      </c>
      <c r="H259" s="52">
        <v>0</v>
      </c>
      <c r="I259" s="42">
        <v>0</v>
      </c>
      <c r="J259" s="42">
        <v>0</v>
      </c>
      <c r="K259" s="42">
        <v>0</v>
      </c>
      <c r="L259" s="46" t="b">
        <v>0</v>
      </c>
      <c r="M259" s="42">
        <v>0</v>
      </c>
      <c r="N259" s="42">
        <v>0</v>
      </c>
      <c r="O259" s="52">
        <v>0</v>
      </c>
      <c r="P259" s="42">
        <v>0</v>
      </c>
      <c r="Q259" s="42">
        <v>0</v>
      </c>
      <c r="R259" s="42"/>
      <c r="S259" s="42"/>
      <c r="T259" s="42" t="s">
        <v>616</v>
      </c>
      <c r="U259" t="str">
        <f>IFERROR(HYPERLINK("#'Main'!B"&amp;MATCH(TRIM(A259),Main!B:B,0),"Open"),HYPERLINK("#'Main'!B1","Open"))</f>
        <v>Open</v>
      </c>
    </row>
    <row r="260" spans="1:22" ht="30" customHeight="1" x14ac:dyDescent="0.25">
      <c r="A260" s="50" t="s">
        <v>206</v>
      </c>
      <c r="B260" s="33" t="s">
        <v>614</v>
      </c>
      <c r="C260" s="37" t="s">
        <v>208</v>
      </c>
      <c r="D260" s="33" t="s">
        <v>645</v>
      </c>
      <c r="E260" s="52">
        <v>200</v>
      </c>
      <c r="F260" s="33" t="b">
        <v>1</v>
      </c>
      <c r="G260" s="33">
        <v>0</v>
      </c>
      <c r="H260" s="52">
        <v>0</v>
      </c>
      <c r="I260" s="33">
        <v>0</v>
      </c>
      <c r="J260" s="33">
        <v>0</v>
      </c>
      <c r="K260" s="33">
        <v>0</v>
      </c>
      <c r="L260" s="40" t="b">
        <v>0</v>
      </c>
      <c r="M260" s="33">
        <v>0</v>
      </c>
      <c r="N260" s="33">
        <v>0</v>
      </c>
      <c r="O260" s="52">
        <v>0</v>
      </c>
      <c r="P260" s="33">
        <v>0</v>
      </c>
      <c r="Q260" s="33">
        <v>0</v>
      </c>
      <c r="R260" s="33"/>
      <c r="S260" s="33"/>
      <c r="T260" s="33" t="s">
        <v>616</v>
      </c>
      <c r="U260" s="41" t="str">
        <f>IFERROR(HYPERLINK("#'Main'!B"&amp;MATCH(TRIM(A260),Main!B:B,0),"Open"),HYPERLINK("#'Main'!B1","Open"))</f>
        <v>Open</v>
      </c>
      <c r="V260" s="41"/>
    </row>
    <row r="261" spans="1:22" ht="30" customHeight="1" x14ac:dyDescent="0.25">
      <c r="A261" s="51" t="s">
        <v>206</v>
      </c>
      <c r="B261" s="42" t="s">
        <v>614</v>
      </c>
      <c r="C261" s="44" t="s">
        <v>646</v>
      </c>
      <c r="D261" s="42" t="s">
        <v>647</v>
      </c>
      <c r="E261" s="52">
        <v>200</v>
      </c>
      <c r="F261" s="42" t="b">
        <v>1</v>
      </c>
      <c r="G261" s="42">
        <v>0</v>
      </c>
      <c r="H261" s="52">
        <v>0</v>
      </c>
      <c r="I261" s="42">
        <v>0</v>
      </c>
      <c r="J261" s="42">
        <v>0</v>
      </c>
      <c r="K261" s="42">
        <v>0</v>
      </c>
      <c r="L261" s="46" t="b">
        <v>0</v>
      </c>
      <c r="M261" s="42">
        <v>0</v>
      </c>
      <c r="N261" s="42">
        <v>0</v>
      </c>
      <c r="O261" s="52">
        <v>0</v>
      </c>
      <c r="P261" s="42">
        <v>0</v>
      </c>
      <c r="Q261" s="42">
        <v>0</v>
      </c>
      <c r="R261" s="42"/>
      <c r="S261" s="42"/>
      <c r="T261" s="42" t="s">
        <v>616</v>
      </c>
      <c r="U261" t="str">
        <f>IFERROR(HYPERLINK("#'Main'!B"&amp;MATCH(TRIM(A261),Main!B:B,0),"Open"),HYPERLINK("#'Main'!B1","Open"))</f>
        <v>Open</v>
      </c>
    </row>
    <row r="262" spans="1:22" ht="30" customHeight="1" x14ac:dyDescent="0.25">
      <c r="A262" s="50" t="s">
        <v>206</v>
      </c>
      <c r="B262" s="33" t="s">
        <v>614</v>
      </c>
      <c r="C262" s="37" t="s">
        <v>648</v>
      </c>
      <c r="D262" s="33" t="s">
        <v>649</v>
      </c>
      <c r="E262" s="52">
        <v>200</v>
      </c>
      <c r="F262" s="33" t="b">
        <v>1</v>
      </c>
      <c r="G262" s="33">
        <v>0</v>
      </c>
      <c r="H262" s="52">
        <v>0</v>
      </c>
      <c r="I262" s="33">
        <v>0</v>
      </c>
      <c r="J262" s="33">
        <v>0</v>
      </c>
      <c r="K262" s="33">
        <v>0</v>
      </c>
      <c r="L262" s="40" t="b">
        <v>0</v>
      </c>
      <c r="M262" s="33">
        <v>0</v>
      </c>
      <c r="N262" s="33">
        <v>0</v>
      </c>
      <c r="O262" s="52">
        <v>0</v>
      </c>
      <c r="P262" s="33">
        <v>0</v>
      </c>
      <c r="Q262" s="33">
        <v>0</v>
      </c>
      <c r="R262" s="33"/>
      <c r="S262" s="33"/>
      <c r="T262" s="33" t="s">
        <v>616</v>
      </c>
      <c r="U262" s="41" t="str">
        <f>IFERROR(HYPERLINK("#'Main'!B"&amp;MATCH(TRIM(A262),Main!B:B,0),"Open"),HYPERLINK("#'Main'!B1","Open"))</f>
        <v>Open</v>
      </c>
      <c r="V262" s="41"/>
    </row>
    <row r="263" spans="1:22" ht="30" customHeight="1" x14ac:dyDescent="0.25">
      <c r="A263" s="51" t="s">
        <v>206</v>
      </c>
      <c r="B263" s="42" t="s">
        <v>614</v>
      </c>
      <c r="C263" s="44" t="s">
        <v>650</v>
      </c>
      <c r="D263" s="42" t="s">
        <v>651</v>
      </c>
      <c r="E263" s="52">
        <v>200</v>
      </c>
      <c r="F263" s="42" t="b">
        <v>1</v>
      </c>
      <c r="G263" s="42">
        <v>0</v>
      </c>
      <c r="H263" s="52">
        <v>0</v>
      </c>
      <c r="I263" s="42">
        <v>0</v>
      </c>
      <c r="J263" s="42">
        <v>0</v>
      </c>
      <c r="K263" s="42">
        <v>0</v>
      </c>
      <c r="L263" s="46" t="b">
        <v>0</v>
      </c>
      <c r="M263" s="42">
        <v>0</v>
      </c>
      <c r="N263" s="42">
        <v>0</v>
      </c>
      <c r="O263" s="52">
        <v>0</v>
      </c>
      <c r="P263" s="42">
        <v>0</v>
      </c>
      <c r="Q263" s="42">
        <v>0</v>
      </c>
      <c r="R263" s="42"/>
      <c r="S263" s="42"/>
      <c r="T263" s="42" t="s">
        <v>616</v>
      </c>
      <c r="U263" t="str">
        <f>IFERROR(HYPERLINK("#'Main'!B"&amp;MATCH(TRIM(A263),Main!B:B,0),"Open"),HYPERLINK("#'Main'!B1","Open"))</f>
        <v>Open</v>
      </c>
    </row>
    <row r="264" spans="1:22" ht="30" customHeight="1" x14ac:dyDescent="0.25">
      <c r="A264" s="50" t="s">
        <v>206</v>
      </c>
      <c r="B264" s="33" t="s">
        <v>614</v>
      </c>
      <c r="C264" s="37" t="s">
        <v>652</v>
      </c>
      <c r="D264" s="33" t="s">
        <v>653</v>
      </c>
      <c r="E264" s="52">
        <v>200</v>
      </c>
      <c r="F264" s="33" t="b">
        <v>1</v>
      </c>
      <c r="G264" s="33">
        <v>0</v>
      </c>
      <c r="H264" s="52">
        <v>0</v>
      </c>
      <c r="I264" s="33">
        <v>0</v>
      </c>
      <c r="J264" s="33">
        <v>0</v>
      </c>
      <c r="K264" s="33">
        <v>0</v>
      </c>
      <c r="L264" s="40" t="b">
        <v>0</v>
      </c>
      <c r="M264" s="33">
        <v>0</v>
      </c>
      <c r="N264" s="33">
        <v>0</v>
      </c>
      <c r="O264" s="52">
        <v>0</v>
      </c>
      <c r="P264" s="33">
        <v>0</v>
      </c>
      <c r="Q264" s="33">
        <v>0</v>
      </c>
      <c r="R264" s="33"/>
      <c r="S264" s="33"/>
      <c r="T264" s="33" t="s">
        <v>616</v>
      </c>
      <c r="U264" s="41" t="str">
        <f>IFERROR(HYPERLINK("#'Main'!B"&amp;MATCH(TRIM(A264),Main!B:B,0),"Open"),HYPERLINK("#'Main'!B1","Open"))</f>
        <v>Open</v>
      </c>
      <c r="V264" s="41"/>
    </row>
    <row r="265" spans="1:22" ht="30" customHeight="1" x14ac:dyDescent="0.25">
      <c r="A265" s="51" t="s">
        <v>206</v>
      </c>
      <c r="B265" s="42" t="s">
        <v>614</v>
      </c>
      <c r="C265" s="44" t="s">
        <v>652</v>
      </c>
      <c r="D265" s="42" t="s">
        <v>654</v>
      </c>
      <c r="E265" s="52">
        <v>200</v>
      </c>
      <c r="F265" s="42" t="b">
        <v>1</v>
      </c>
      <c r="G265" s="42">
        <v>0</v>
      </c>
      <c r="H265" s="52">
        <v>0</v>
      </c>
      <c r="I265" s="42">
        <v>0</v>
      </c>
      <c r="J265" s="42">
        <v>0</v>
      </c>
      <c r="K265" s="42">
        <v>0</v>
      </c>
      <c r="L265" s="46" t="b">
        <v>0</v>
      </c>
      <c r="M265" s="42">
        <v>0</v>
      </c>
      <c r="N265" s="42">
        <v>0</v>
      </c>
      <c r="O265" s="52">
        <v>0</v>
      </c>
      <c r="P265" s="42">
        <v>0</v>
      </c>
      <c r="Q265" s="42">
        <v>0</v>
      </c>
      <c r="R265" s="42"/>
      <c r="S265" s="42"/>
      <c r="T265" s="42" t="s">
        <v>616</v>
      </c>
      <c r="U265" t="str">
        <f>IFERROR(HYPERLINK("#'Main'!B"&amp;MATCH(TRIM(A265),Main!B:B,0),"Open"),HYPERLINK("#'Main'!B1","Open"))</f>
        <v>Open</v>
      </c>
    </row>
    <row r="266" spans="1:22" ht="30" customHeight="1" x14ac:dyDescent="0.25">
      <c r="A266" s="50" t="s">
        <v>206</v>
      </c>
      <c r="B266" s="33" t="s">
        <v>614</v>
      </c>
      <c r="C266" s="37" t="s">
        <v>629</v>
      </c>
      <c r="D266" s="33" t="s">
        <v>655</v>
      </c>
      <c r="E266" s="52">
        <v>200</v>
      </c>
      <c r="F266" s="33" t="b">
        <v>1</v>
      </c>
      <c r="G266" s="33">
        <v>0</v>
      </c>
      <c r="H266" s="52">
        <v>0</v>
      </c>
      <c r="I266" s="33">
        <v>0</v>
      </c>
      <c r="J266" s="33">
        <v>0</v>
      </c>
      <c r="K266" s="33">
        <v>0</v>
      </c>
      <c r="L266" s="40" t="b">
        <v>0</v>
      </c>
      <c r="M266" s="33">
        <v>0</v>
      </c>
      <c r="N266" s="33">
        <v>0</v>
      </c>
      <c r="O266" s="52">
        <v>0</v>
      </c>
      <c r="P266" s="33">
        <v>0</v>
      </c>
      <c r="Q266" s="33">
        <v>0</v>
      </c>
      <c r="R266" s="33"/>
      <c r="S266" s="33"/>
      <c r="T266" s="33" t="s">
        <v>616</v>
      </c>
      <c r="U266" s="41" t="str">
        <f>IFERROR(HYPERLINK("#'Main'!B"&amp;MATCH(TRIM(A266),Main!B:B,0),"Open"),HYPERLINK("#'Main'!B1","Open"))</f>
        <v>Open</v>
      </c>
      <c r="V266" s="41"/>
    </row>
    <row r="267" spans="1:22" ht="30" customHeight="1" x14ac:dyDescent="0.25">
      <c r="A267" s="51" t="s">
        <v>206</v>
      </c>
      <c r="B267" s="42" t="s">
        <v>614</v>
      </c>
      <c r="C267" s="44" t="s">
        <v>656</v>
      </c>
      <c r="D267" s="42" t="s">
        <v>286</v>
      </c>
      <c r="E267" s="52">
        <v>200</v>
      </c>
      <c r="F267" s="42" t="b">
        <v>1</v>
      </c>
      <c r="G267" s="42">
        <v>0</v>
      </c>
      <c r="H267" s="52">
        <v>0</v>
      </c>
      <c r="I267" s="42">
        <v>0</v>
      </c>
      <c r="J267" s="42">
        <v>0</v>
      </c>
      <c r="K267" s="42">
        <v>0</v>
      </c>
      <c r="L267" s="46" t="b">
        <v>0</v>
      </c>
      <c r="M267" s="42">
        <v>0</v>
      </c>
      <c r="N267" s="42">
        <v>0</v>
      </c>
      <c r="O267" s="52">
        <v>0</v>
      </c>
      <c r="P267" s="42">
        <v>0</v>
      </c>
      <c r="Q267" s="42">
        <v>0</v>
      </c>
      <c r="R267" s="42"/>
      <c r="S267" s="42"/>
      <c r="T267" s="42" t="s">
        <v>616</v>
      </c>
      <c r="U267" t="str">
        <f>IFERROR(HYPERLINK("#'Main'!B"&amp;MATCH(TRIM(A267),Main!B:B,0),"Open"),HYPERLINK("#'Main'!B1","Open"))</f>
        <v>Open</v>
      </c>
    </row>
    <row r="268" spans="1:22" ht="30" customHeight="1" x14ac:dyDescent="0.25">
      <c r="A268" s="50" t="s">
        <v>206</v>
      </c>
      <c r="B268" s="33" t="s">
        <v>614</v>
      </c>
      <c r="C268" s="37" t="s">
        <v>657</v>
      </c>
      <c r="D268" s="33" t="s">
        <v>658</v>
      </c>
      <c r="E268" s="52">
        <v>200</v>
      </c>
      <c r="F268" s="33" t="b">
        <v>1</v>
      </c>
      <c r="G268" s="33">
        <v>0</v>
      </c>
      <c r="H268" s="52">
        <v>0</v>
      </c>
      <c r="I268" s="33">
        <v>0</v>
      </c>
      <c r="J268" s="33">
        <v>0</v>
      </c>
      <c r="K268" s="33">
        <v>0</v>
      </c>
      <c r="L268" s="40" t="b">
        <v>0</v>
      </c>
      <c r="M268" s="33">
        <v>0</v>
      </c>
      <c r="N268" s="33">
        <v>0</v>
      </c>
      <c r="O268" s="52">
        <v>0</v>
      </c>
      <c r="P268" s="33">
        <v>0</v>
      </c>
      <c r="Q268" s="33">
        <v>0</v>
      </c>
      <c r="R268" s="33"/>
      <c r="S268" s="33"/>
      <c r="T268" s="33" t="s">
        <v>616</v>
      </c>
      <c r="U268" s="41" t="str">
        <f>IFERROR(HYPERLINK("#'Main'!B"&amp;MATCH(TRIM(A268),Main!B:B,0),"Open"),HYPERLINK("#'Main'!B1","Open"))</f>
        <v>Open</v>
      </c>
      <c r="V268" s="41"/>
    </row>
    <row r="269" spans="1:22" ht="30" customHeight="1" x14ac:dyDescent="0.25">
      <c r="A269" s="51" t="s">
        <v>206</v>
      </c>
      <c r="B269" s="42" t="s">
        <v>614</v>
      </c>
      <c r="C269" s="44" t="s">
        <v>694</v>
      </c>
      <c r="D269" s="42" t="s">
        <v>695</v>
      </c>
      <c r="E269" s="34">
        <v>404</v>
      </c>
      <c r="F269" s="42" t="b">
        <v>0</v>
      </c>
      <c r="G269" s="42">
        <v>0</v>
      </c>
      <c r="H269" s="52">
        <v>0</v>
      </c>
      <c r="I269" s="42">
        <v>0</v>
      </c>
      <c r="J269" s="42">
        <v>0</v>
      </c>
      <c r="K269" s="42">
        <v>0</v>
      </c>
      <c r="L269" s="46" t="b">
        <v>0</v>
      </c>
      <c r="M269" s="42">
        <v>0</v>
      </c>
      <c r="N269" s="42">
        <v>0</v>
      </c>
      <c r="O269" s="52">
        <v>0</v>
      </c>
      <c r="P269" s="42">
        <v>0</v>
      </c>
      <c r="Q269" s="42">
        <v>0</v>
      </c>
      <c r="R269" s="42"/>
      <c r="S269" s="42"/>
      <c r="T269" s="42" t="s">
        <v>616</v>
      </c>
      <c r="U269" t="str">
        <f>IFERROR(HYPERLINK("#'Main'!B"&amp;MATCH(TRIM(A269),Main!B:B,0),"Open"),HYPERLINK("#'Main'!B1","Open"))</f>
        <v>Open</v>
      </c>
    </row>
    <row r="270" spans="1:22" ht="30" customHeight="1" x14ac:dyDescent="0.25">
      <c r="A270" s="50" t="s">
        <v>206</v>
      </c>
      <c r="B270" s="33" t="s">
        <v>614</v>
      </c>
      <c r="C270" s="37" t="s">
        <v>629</v>
      </c>
      <c r="D270" s="33" t="s">
        <v>630</v>
      </c>
      <c r="E270" s="52">
        <v>200</v>
      </c>
      <c r="F270" s="33" t="b">
        <v>1</v>
      </c>
      <c r="G270" s="33">
        <v>0</v>
      </c>
      <c r="H270" s="52">
        <v>0</v>
      </c>
      <c r="I270" s="33">
        <v>0</v>
      </c>
      <c r="J270" s="33">
        <v>0</v>
      </c>
      <c r="K270" s="33">
        <v>0</v>
      </c>
      <c r="L270" s="40" t="b">
        <v>0</v>
      </c>
      <c r="M270" s="33">
        <v>0</v>
      </c>
      <c r="N270" s="33">
        <v>0</v>
      </c>
      <c r="O270" s="52">
        <v>0</v>
      </c>
      <c r="P270" s="33">
        <v>0</v>
      </c>
      <c r="Q270" s="33">
        <v>0</v>
      </c>
      <c r="R270" s="33"/>
      <c r="S270" s="33"/>
      <c r="T270" s="33" t="s">
        <v>616</v>
      </c>
      <c r="U270" s="41" t="str">
        <f>IFERROR(HYPERLINK("#'Main'!B"&amp;MATCH(TRIM(A270),Main!B:B,0),"Open"),HYPERLINK("#'Main'!B1","Open"))</f>
        <v>Open</v>
      </c>
      <c r="V270" s="41"/>
    </row>
    <row r="271" spans="1:22" ht="30" customHeight="1" x14ac:dyDescent="0.25">
      <c r="A271" s="51" t="s">
        <v>206</v>
      </c>
      <c r="B271" s="42" t="s">
        <v>614</v>
      </c>
      <c r="C271" s="44" t="s">
        <v>631</v>
      </c>
      <c r="D271" s="42"/>
      <c r="E271" s="52">
        <v>200</v>
      </c>
      <c r="F271" s="42" t="b">
        <v>1</v>
      </c>
      <c r="G271" s="42">
        <v>0</v>
      </c>
      <c r="H271" s="52">
        <v>0</v>
      </c>
      <c r="I271" s="42">
        <v>0</v>
      </c>
      <c r="J271" s="42">
        <v>0</v>
      </c>
      <c r="K271" s="42">
        <v>0</v>
      </c>
      <c r="L271" s="46" t="b">
        <v>0</v>
      </c>
      <c r="M271" s="42">
        <v>0</v>
      </c>
      <c r="N271" s="42">
        <v>0</v>
      </c>
      <c r="O271" s="52">
        <v>0</v>
      </c>
      <c r="P271" s="42">
        <v>0</v>
      </c>
      <c r="Q271" s="42">
        <v>0</v>
      </c>
      <c r="R271" s="42"/>
      <c r="S271" s="42"/>
      <c r="T271" s="42" t="s">
        <v>616</v>
      </c>
      <c r="U271" t="str">
        <f>IFERROR(HYPERLINK("#'Main'!B"&amp;MATCH(TRIM(A271),Main!B:B,0),"Open"),HYPERLINK("#'Main'!B1","Open"))</f>
        <v>Open</v>
      </c>
    </row>
    <row r="272" spans="1:22" ht="30" customHeight="1" x14ac:dyDescent="0.25">
      <c r="A272" s="50" t="s">
        <v>206</v>
      </c>
      <c r="B272" s="33" t="s">
        <v>614</v>
      </c>
      <c r="C272" s="37" t="s">
        <v>632</v>
      </c>
      <c r="D272" s="33"/>
      <c r="E272" s="52">
        <v>200</v>
      </c>
      <c r="F272" s="33" t="b">
        <v>1</v>
      </c>
      <c r="G272" s="33">
        <v>0</v>
      </c>
      <c r="H272" s="52">
        <v>0</v>
      </c>
      <c r="I272" s="33">
        <v>0</v>
      </c>
      <c r="J272" s="33">
        <v>0</v>
      </c>
      <c r="K272" s="33">
        <v>0</v>
      </c>
      <c r="L272" s="40" t="b">
        <v>0</v>
      </c>
      <c r="M272" s="33">
        <v>0</v>
      </c>
      <c r="N272" s="33">
        <v>0</v>
      </c>
      <c r="O272" s="52">
        <v>0</v>
      </c>
      <c r="P272" s="33">
        <v>0</v>
      </c>
      <c r="Q272" s="33">
        <v>0</v>
      </c>
      <c r="R272" s="33"/>
      <c r="S272" s="33"/>
      <c r="T272" s="33" t="s">
        <v>616</v>
      </c>
      <c r="U272" s="41" t="str">
        <f>IFERROR(HYPERLINK("#'Main'!B"&amp;MATCH(TRIM(A272),Main!B:B,0),"Open"),HYPERLINK("#'Main'!B1","Open"))</f>
        <v>Open</v>
      </c>
      <c r="V272" s="41"/>
    </row>
    <row r="273" spans="1:22" ht="30" customHeight="1" x14ac:dyDescent="0.25">
      <c r="A273" s="51" t="s">
        <v>206</v>
      </c>
      <c r="B273" s="42" t="s">
        <v>614</v>
      </c>
      <c r="C273" s="44" t="s">
        <v>634</v>
      </c>
      <c r="D273" s="42" t="s">
        <v>666</v>
      </c>
      <c r="E273" s="52">
        <v>200</v>
      </c>
      <c r="F273" s="42" t="b">
        <v>1</v>
      </c>
      <c r="G273" s="42">
        <v>0</v>
      </c>
      <c r="H273" s="52">
        <v>0</v>
      </c>
      <c r="I273" s="42">
        <v>0</v>
      </c>
      <c r="J273" s="42">
        <v>0</v>
      </c>
      <c r="K273" s="42">
        <v>0</v>
      </c>
      <c r="L273" s="46" t="b">
        <v>0</v>
      </c>
      <c r="M273" s="42">
        <v>0</v>
      </c>
      <c r="N273" s="42">
        <v>0</v>
      </c>
      <c r="O273" s="52">
        <v>0</v>
      </c>
      <c r="P273" s="42">
        <v>0</v>
      </c>
      <c r="Q273" s="42">
        <v>0</v>
      </c>
      <c r="R273" s="42"/>
      <c r="S273" s="42"/>
      <c r="T273" s="42" t="s">
        <v>616</v>
      </c>
      <c r="U273" t="str">
        <f>IFERROR(HYPERLINK("#'Main'!B"&amp;MATCH(TRIM(A273),Main!B:B,0),"Open"),HYPERLINK("#'Main'!B1","Open"))</f>
        <v>Open</v>
      </c>
    </row>
    <row r="274" spans="1:22" ht="30" customHeight="1" x14ac:dyDescent="0.25">
      <c r="A274" s="50" t="s">
        <v>206</v>
      </c>
      <c r="B274" s="33" t="s">
        <v>614</v>
      </c>
      <c r="C274" s="37" t="s">
        <v>636</v>
      </c>
      <c r="D274" s="33" t="s">
        <v>637</v>
      </c>
      <c r="E274" s="34">
        <v>404</v>
      </c>
      <c r="F274" s="33" t="b">
        <v>0</v>
      </c>
      <c r="G274" s="33">
        <v>0</v>
      </c>
      <c r="H274" s="52">
        <v>0</v>
      </c>
      <c r="I274" s="33">
        <v>0</v>
      </c>
      <c r="J274" s="33">
        <v>0</v>
      </c>
      <c r="K274" s="33">
        <v>0</v>
      </c>
      <c r="L274" s="40" t="b">
        <v>0</v>
      </c>
      <c r="M274" s="33">
        <v>0</v>
      </c>
      <c r="N274" s="33">
        <v>0</v>
      </c>
      <c r="O274" s="52">
        <v>0</v>
      </c>
      <c r="P274" s="33">
        <v>0</v>
      </c>
      <c r="Q274" s="33">
        <v>0</v>
      </c>
      <c r="R274" s="33"/>
      <c r="S274" s="33"/>
      <c r="T274" s="33" t="s">
        <v>616</v>
      </c>
      <c r="U274" s="41" t="str">
        <f>IFERROR(HYPERLINK("#'Main'!B"&amp;MATCH(TRIM(A274),Main!B:B,0),"Open"),HYPERLINK("#'Main'!B1","Open"))</f>
        <v>Open</v>
      </c>
      <c r="V274" s="41"/>
    </row>
    <row r="275" spans="1:22" ht="30" customHeight="1" x14ac:dyDescent="0.25">
      <c r="A275" s="51" t="s">
        <v>206</v>
      </c>
      <c r="B275" s="42" t="s">
        <v>614</v>
      </c>
      <c r="C275" s="44" t="s">
        <v>636</v>
      </c>
      <c r="D275" s="42" t="s">
        <v>638</v>
      </c>
      <c r="E275" s="34">
        <v>404</v>
      </c>
      <c r="F275" s="42" t="b">
        <v>0</v>
      </c>
      <c r="G275" s="42">
        <v>0</v>
      </c>
      <c r="H275" s="52">
        <v>0</v>
      </c>
      <c r="I275" s="42">
        <v>0</v>
      </c>
      <c r="J275" s="42">
        <v>0</v>
      </c>
      <c r="K275" s="42">
        <v>0</v>
      </c>
      <c r="L275" s="46" t="b">
        <v>0</v>
      </c>
      <c r="M275" s="42">
        <v>0</v>
      </c>
      <c r="N275" s="42">
        <v>0</v>
      </c>
      <c r="O275" s="52">
        <v>0</v>
      </c>
      <c r="P275" s="42">
        <v>0</v>
      </c>
      <c r="Q275" s="42">
        <v>0</v>
      </c>
      <c r="R275" s="42"/>
      <c r="S275" s="42"/>
      <c r="T275" s="42" t="s">
        <v>616</v>
      </c>
      <c r="U275" t="str">
        <f>IFERROR(HYPERLINK("#'Main'!B"&amp;MATCH(TRIM(A275),Main!B:B,0),"Open"),HYPERLINK("#'Main'!B1","Open"))</f>
        <v>Open</v>
      </c>
    </row>
    <row r="276" spans="1:22" ht="30" customHeight="1" x14ac:dyDescent="0.25">
      <c r="A276" s="50" t="s">
        <v>207</v>
      </c>
      <c r="B276" s="33" t="s">
        <v>614</v>
      </c>
      <c r="C276" s="37" t="s">
        <v>176</v>
      </c>
      <c r="D276" s="33"/>
      <c r="E276" s="52">
        <v>200</v>
      </c>
      <c r="F276" s="33" t="b">
        <v>1</v>
      </c>
      <c r="G276" s="33">
        <v>0</v>
      </c>
      <c r="H276" s="52">
        <v>0</v>
      </c>
      <c r="I276" s="33">
        <v>0</v>
      </c>
      <c r="J276" s="33">
        <v>0</v>
      </c>
      <c r="K276" s="33">
        <v>0</v>
      </c>
      <c r="L276" s="40" t="b">
        <v>0</v>
      </c>
      <c r="M276" s="33">
        <v>0</v>
      </c>
      <c r="N276" s="33">
        <v>0</v>
      </c>
      <c r="O276" s="52">
        <v>0</v>
      </c>
      <c r="P276" s="33">
        <v>0</v>
      </c>
      <c r="Q276" s="33">
        <v>0</v>
      </c>
      <c r="R276" s="33"/>
      <c r="S276" s="33"/>
      <c r="T276" s="33" t="s">
        <v>616</v>
      </c>
      <c r="U276" s="41" t="str">
        <f>IFERROR(HYPERLINK("#'Main'!B"&amp;MATCH(TRIM(A276),Main!B:B,0),"Open"),HYPERLINK("#'Main'!B1","Open"))</f>
        <v>Open</v>
      </c>
      <c r="V276" s="41"/>
    </row>
    <row r="277" spans="1:22" ht="30" customHeight="1" x14ac:dyDescent="0.25">
      <c r="A277" s="51" t="s">
        <v>207</v>
      </c>
      <c r="B277" s="42" t="s">
        <v>614</v>
      </c>
      <c r="C277" s="44" t="s">
        <v>176</v>
      </c>
      <c r="D277" s="42" t="s">
        <v>639</v>
      </c>
      <c r="E277" s="52">
        <v>200</v>
      </c>
      <c r="F277" s="42" t="b">
        <v>1</v>
      </c>
      <c r="G277" s="42">
        <v>0</v>
      </c>
      <c r="H277" s="52">
        <v>0</v>
      </c>
      <c r="I277" s="42">
        <v>0</v>
      </c>
      <c r="J277" s="42">
        <v>0</v>
      </c>
      <c r="K277" s="42">
        <v>0</v>
      </c>
      <c r="L277" s="46" t="b">
        <v>0</v>
      </c>
      <c r="M277" s="42">
        <v>0</v>
      </c>
      <c r="N277" s="42">
        <v>0</v>
      </c>
      <c r="O277" s="52">
        <v>0</v>
      </c>
      <c r="P277" s="42">
        <v>0</v>
      </c>
      <c r="Q277" s="42">
        <v>0</v>
      </c>
      <c r="R277" s="42"/>
      <c r="S277" s="42"/>
      <c r="T277" s="42" t="s">
        <v>616</v>
      </c>
      <c r="U277" t="str">
        <f>IFERROR(HYPERLINK("#'Main'!B"&amp;MATCH(TRIM(A277),Main!B:B,0),"Open"),HYPERLINK("#'Main'!B1","Open"))</f>
        <v>Open</v>
      </c>
    </row>
    <row r="278" spans="1:22" ht="30" customHeight="1" x14ac:dyDescent="0.25">
      <c r="A278" s="50" t="s">
        <v>207</v>
      </c>
      <c r="B278" s="33" t="s">
        <v>614</v>
      </c>
      <c r="C278" s="37" t="s">
        <v>178</v>
      </c>
      <c r="D278" s="33" t="s">
        <v>640</v>
      </c>
      <c r="E278" s="52">
        <v>200</v>
      </c>
      <c r="F278" s="33" t="b">
        <v>1</v>
      </c>
      <c r="G278" s="33">
        <v>0</v>
      </c>
      <c r="H278" s="52">
        <v>0</v>
      </c>
      <c r="I278" s="33">
        <v>0</v>
      </c>
      <c r="J278" s="33">
        <v>0</v>
      </c>
      <c r="K278" s="33">
        <v>0</v>
      </c>
      <c r="L278" s="40" t="b">
        <v>0</v>
      </c>
      <c r="M278" s="33">
        <v>0</v>
      </c>
      <c r="N278" s="33">
        <v>0</v>
      </c>
      <c r="O278" s="52">
        <v>0</v>
      </c>
      <c r="P278" s="33">
        <v>0</v>
      </c>
      <c r="Q278" s="33">
        <v>0</v>
      </c>
      <c r="R278" s="33"/>
      <c r="S278" s="33"/>
      <c r="T278" s="33" t="s">
        <v>616</v>
      </c>
      <c r="U278" s="41" t="str">
        <f>IFERROR(HYPERLINK("#'Main'!B"&amp;MATCH(TRIM(A278),Main!B:B,0),"Open"),HYPERLINK("#'Main'!B1","Open"))</f>
        <v>Open</v>
      </c>
      <c r="V278" s="41"/>
    </row>
    <row r="279" spans="1:22" ht="30" customHeight="1" x14ac:dyDescent="0.25">
      <c r="A279" s="51" t="s">
        <v>207</v>
      </c>
      <c r="B279" s="42" t="s">
        <v>614</v>
      </c>
      <c r="C279" s="44" t="s">
        <v>641</v>
      </c>
      <c r="D279" s="42" t="s">
        <v>642</v>
      </c>
      <c r="E279" s="52">
        <v>200</v>
      </c>
      <c r="F279" s="42" t="b">
        <v>1</v>
      </c>
      <c r="G279" s="42">
        <v>0</v>
      </c>
      <c r="H279" s="52">
        <v>0</v>
      </c>
      <c r="I279" s="42">
        <v>0</v>
      </c>
      <c r="J279" s="42">
        <v>0</v>
      </c>
      <c r="K279" s="42">
        <v>0</v>
      </c>
      <c r="L279" s="46" t="b">
        <v>0</v>
      </c>
      <c r="M279" s="42">
        <v>0</v>
      </c>
      <c r="N279" s="42">
        <v>0</v>
      </c>
      <c r="O279" s="52">
        <v>0</v>
      </c>
      <c r="P279" s="42">
        <v>0</v>
      </c>
      <c r="Q279" s="42">
        <v>0</v>
      </c>
      <c r="R279" s="42"/>
      <c r="S279" s="42"/>
      <c r="T279" s="42" t="s">
        <v>616</v>
      </c>
      <c r="U279" t="str">
        <f>IFERROR(HYPERLINK("#'Main'!B"&amp;MATCH(TRIM(A279),Main!B:B,0),"Open"),HYPERLINK("#'Main'!B1","Open"))</f>
        <v>Open</v>
      </c>
    </row>
    <row r="280" spans="1:22" ht="30" customHeight="1" x14ac:dyDescent="0.25">
      <c r="A280" s="50" t="s">
        <v>207</v>
      </c>
      <c r="B280" s="33" t="s">
        <v>614</v>
      </c>
      <c r="C280" s="37" t="s">
        <v>643</v>
      </c>
      <c r="D280" s="33" t="s">
        <v>644</v>
      </c>
      <c r="E280" s="52">
        <v>200</v>
      </c>
      <c r="F280" s="33" t="b">
        <v>1</v>
      </c>
      <c r="G280" s="33">
        <v>0</v>
      </c>
      <c r="H280" s="52">
        <v>0</v>
      </c>
      <c r="I280" s="33">
        <v>0</v>
      </c>
      <c r="J280" s="33">
        <v>0</v>
      </c>
      <c r="K280" s="33">
        <v>0</v>
      </c>
      <c r="L280" s="40" t="b">
        <v>0</v>
      </c>
      <c r="M280" s="33">
        <v>0</v>
      </c>
      <c r="N280" s="33">
        <v>0</v>
      </c>
      <c r="O280" s="52">
        <v>0</v>
      </c>
      <c r="P280" s="33">
        <v>0</v>
      </c>
      <c r="Q280" s="33">
        <v>0</v>
      </c>
      <c r="R280" s="33"/>
      <c r="S280" s="33"/>
      <c r="T280" s="33" t="s">
        <v>616</v>
      </c>
      <c r="U280" s="41" t="str">
        <f>IFERROR(HYPERLINK("#'Main'!B"&amp;MATCH(TRIM(A280),Main!B:B,0),"Open"),HYPERLINK("#'Main'!B1","Open"))</f>
        <v>Open</v>
      </c>
      <c r="V280" s="41"/>
    </row>
    <row r="281" spans="1:22" ht="30" customHeight="1" x14ac:dyDescent="0.25">
      <c r="A281" s="51" t="s">
        <v>207</v>
      </c>
      <c r="B281" s="42" t="s">
        <v>614</v>
      </c>
      <c r="C281" s="44" t="s">
        <v>208</v>
      </c>
      <c r="D281" s="42" t="s">
        <v>645</v>
      </c>
      <c r="E281" s="52">
        <v>200</v>
      </c>
      <c r="F281" s="42" t="b">
        <v>1</v>
      </c>
      <c r="G281" s="42">
        <v>0</v>
      </c>
      <c r="H281" s="52">
        <v>0</v>
      </c>
      <c r="I281" s="42">
        <v>0</v>
      </c>
      <c r="J281" s="42">
        <v>0</v>
      </c>
      <c r="K281" s="42">
        <v>0</v>
      </c>
      <c r="L281" s="46" t="b">
        <v>0</v>
      </c>
      <c r="M281" s="42">
        <v>0</v>
      </c>
      <c r="N281" s="42">
        <v>0</v>
      </c>
      <c r="O281" s="52">
        <v>0</v>
      </c>
      <c r="P281" s="42">
        <v>0</v>
      </c>
      <c r="Q281" s="42">
        <v>0</v>
      </c>
      <c r="R281" s="42"/>
      <c r="S281" s="42"/>
      <c r="T281" s="42" t="s">
        <v>616</v>
      </c>
      <c r="U281" t="str">
        <f>IFERROR(HYPERLINK("#'Main'!B"&amp;MATCH(TRIM(A281),Main!B:B,0),"Open"),HYPERLINK("#'Main'!B1","Open"))</f>
        <v>Open</v>
      </c>
    </row>
    <row r="282" spans="1:22" ht="30" customHeight="1" x14ac:dyDescent="0.25">
      <c r="A282" s="50" t="s">
        <v>207</v>
      </c>
      <c r="B282" s="33" t="s">
        <v>614</v>
      </c>
      <c r="C282" s="37" t="s">
        <v>646</v>
      </c>
      <c r="D282" s="33" t="s">
        <v>647</v>
      </c>
      <c r="E282" s="52">
        <v>200</v>
      </c>
      <c r="F282" s="33" t="b">
        <v>1</v>
      </c>
      <c r="G282" s="33">
        <v>0</v>
      </c>
      <c r="H282" s="52">
        <v>0</v>
      </c>
      <c r="I282" s="33">
        <v>0</v>
      </c>
      <c r="J282" s="33">
        <v>0</v>
      </c>
      <c r="K282" s="33">
        <v>0</v>
      </c>
      <c r="L282" s="40" t="b">
        <v>0</v>
      </c>
      <c r="M282" s="33">
        <v>0</v>
      </c>
      <c r="N282" s="33">
        <v>0</v>
      </c>
      <c r="O282" s="52">
        <v>0</v>
      </c>
      <c r="P282" s="33">
        <v>0</v>
      </c>
      <c r="Q282" s="33">
        <v>0</v>
      </c>
      <c r="R282" s="33"/>
      <c r="S282" s="33"/>
      <c r="T282" s="33" t="s">
        <v>616</v>
      </c>
      <c r="U282" s="41" t="str">
        <f>IFERROR(HYPERLINK("#'Main'!B"&amp;MATCH(TRIM(A282),Main!B:B,0),"Open"),HYPERLINK("#'Main'!B1","Open"))</f>
        <v>Open</v>
      </c>
      <c r="V282" s="41"/>
    </row>
    <row r="283" spans="1:22" ht="30" customHeight="1" x14ac:dyDescent="0.25">
      <c r="A283" s="51" t="s">
        <v>207</v>
      </c>
      <c r="B283" s="42" t="s">
        <v>614</v>
      </c>
      <c r="C283" s="44" t="s">
        <v>648</v>
      </c>
      <c r="D283" s="42" t="s">
        <v>649</v>
      </c>
      <c r="E283" s="52">
        <v>200</v>
      </c>
      <c r="F283" s="42" t="b">
        <v>1</v>
      </c>
      <c r="G283" s="42">
        <v>0</v>
      </c>
      <c r="H283" s="52">
        <v>0</v>
      </c>
      <c r="I283" s="42">
        <v>0</v>
      </c>
      <c r="J283" s="42">
        <v>0</v>
      </c>
      <c r="K283" s="42">
        <v>0</v>
      </c>
      <c r="L283" s="46" t="b">
        <v>0</v>
      </c>
      <c r="M283" s="42">
        <v>0</v>
      </c>
      <c r="N283" s="42">
        <v>0</v>
      </c>
      <c r="O283" s="52">
        <v>0</v>
      </c>
      <c r="P283" s="42">
        <v>0</v>
      </c>
      <c r="Q283" s="42">
        <v>0</v>
      </c>
      <c r="R283" s="42"/>
      <c r="S283" s="42"/>
      <c r="T283" s="42" t="s">
        <v>616</v>
      </c>
      <c r="U283" t="str">
        <f>IFERROR(HYPERLINK("#'Main'!B"&amp;MATCH(TRIM(A283),Main!B:B,0),"Open"),HYPERLINK("#'Main'!B1","Open"))</f>
        <v>Open</v>
      </c>
    </row>
    <row r="284" spans="1:22" ht="30" customHeight="1" x14ac:dyDescent="0.25">
      <c r="A284" s="50" t="s">
        <v>207</v>
      </c>
      <c r="B284" s="33" t="s">
        <v>614</v>
      </c>
      <c r="C284" s="37" t="s">
        <v>650</v>
      </c>
      <c r="D284" s="33" t="s">
        <v>651</v>
      </c>
      <c r="E284" s="52">
        <v>200</v>
      </c>
      <c r="F284" s="33" t="b">
        <v>1</v>
      </c>
      <c r="G284" s="33">
        <v>0</v>
      </c>
      <c r="H284" s="52">
        <v>0</v>
      </c>
      <c r="I284" s="33">
        <v>0</v>
      </c>
      <c r="J284" s="33">
        <v>0</v>
      </c>
      <c r="K284" s="33">
        <v>0</v>
      </c>
      <c r="L284" s="40" t="b">
        <v>0</v>
      </c>
      <c r="M284" s="33">
        <v>0</v>
      </c>
      <c r="N284" s="33">
        <v>0</v>
      </c>
      <c r="O284" s="52">
        <v>0</v>
      </c>
      <c r="P284" s="33">
        <v>0</v>
      </c>
      <c r="Q284" s="33">
        <v>0</v>
      </c>
      <c r="R284" s="33"/>
      <c r="S284" s="33"/>
      <c r="T284" s="33" t="s">
        <v>616</v>
      </c>
      <c r="U284" s="41" t="str">
        <f>IFERROR(HYPERLINK("#'Main'!B"&amp;MATCH(TRIM(A284),Main!B:B,0),"Open"),HYPERLINK("#'Main'!B1","Open"))</f>
        <v>Open</v>
      </c>
      <c r="V284" s="41"/>
    </row>
    <row r="285" spans="1:22" ht="30" customHeight="1" x14ac:dyDescent="0.25">
      <c r="A285" s="51" t="s">
        <v>207</v>
      </c>
      <c r="B285" s="42" t="s">
        <v>614</v>
      </c>
      <c r="C285" s="44" t="s">
        <v>652</v>
      </c>
      <c r="D285" s="42" t="s">
        <v>653</v>
      </c>
      <c r="E285" s="52">
        <v>200</v>
      </c>
      <c r="F285" s="42" t="b">
        <v>1</v>
      </c>
      <c r="G285" s="42">
        <v>0</v>
      </c>
      <c r="H285" s="52">
        <v>0</v>
      </c>
      <c r="I285" s="42">
        <v>0</v>
      </c>
      <c r="J285" s="42">
        <v>0</v>
      </c>
      <c r="K285" s="42">
        <v>0</v>
      </c>
      <c r="L285" s="46" t="b">
        <v>0</v>
      </c>
      <c r="M285" s="42">
        <v>0</v>
      </c>
      <c r="N285" s="42">
        <v>0</v>
      </c>
      <c r="O285" s="52">
        <v>0</v>
      </c>
      <c r="P285" s="42">
        <v>0</v>
      </c>
      <c r="Q285" s="42">
        <v>0</v>
      </c>
      <c r="R285" s="42"/>
      <c r="S285" s="42"/>
      <c r="T285" s="42" t="s">
        <v>616</v>
      </c>
      <c r="U285" t="str">
        <f>IFERROR(HYPERLINK("#'Main'!B"&amp;MATCH(TRIM(A285),Main!B:B,0),"Open"),HYPERLINK("#'Main'!B1","Open"))</f>
        <v>Open</v>
      </c>
    </row>
    <row r="286" spans="1:22" ht="30" customHeight="1" x14ac:dyDescent="0.25">
      <c r="A286" s="50" t="s">
        <v>207</v>
      </c>
      <c r="B286" s="33" t="s">
        <v>614</v>
      </c>
      <c r="C286" s="37" t="s">
        <v>652</v>
      </c>
      <c r="D286" s="33" t="s">
        <v>654</v>
      </c>
      <c r="E286" s="52">
        <v>200</v>
      </c>
      <c r="F286" s="33" t="b">
        <v>1</v>
      </c>
      <c r="G286" s="33">
        <v>0</v>
      </c>
      <c r="H286" s="52">
        <v>0</v>
      </c>
      <c r="I286" s="33">
        <v>0</v>
      </c>
      <c r="J286" s="33">
        <v>0</v>
      </c>
      <c r="K286" s="33">
        <v>0</v>
      </c>
      <c r="L286" s="40" t="b">
        <v>0</v>
      </c>
      <c r="M286" s="33">
        <v>0</v>
      </c>
      <c r="N286" s="33">
        <v>0</v>
      </c>
      <c r="O286" s="52">
        <v>0</v>
      </c>
      <c r="P286" s="33">
        <v>0</v>
      </c>
      <c r="Q286" s="33">
        <v>0</v>
      </c>
      <c r="R286" s="33"/>
      <c r="S286" s="33"/>
      <c r="T286" s="33" t="s">
        <v>616</v>
      </c>
      <c r="U286" s="41" t="str">
        <f>IFERROR(HYPERLINK("#'Main'!B"&amp;MATCH(TRIM(A286),Main!B:B,0),"Open"),HYPERLINK("#'Main'!B1","Open"))</f>
        <v>Open</v>
      </c>
      <c r="V286" s="41"/>
    </row>
    <row r="287" spans="1:22" ht="30" customHeight="1" x14ac:dyDescent="0.25">
      <c r="A287" s="51" t="s">
        <v>207</v>
      </c>
      <c r="B287" s="42" t="s">
        <v>614</v>
      </c>
      <c r="C287" s="44" t="s">
        <v>629</v>
      </c>
      <c r="D287" s="42" t="s">
        <v>655</v>
      </c>
      <c r="E287" s="52">
        <v>200</v>
      </c>
      <c r="F287" s="42" t="b">
        <v>1</v>
      </c>
      <c r="G287" s="42">
        <v>0</v>
      </c>
      <c r="H287" s="52">
        <v>0</v>
      </c>
      <c r="I287" s="42">
        <v>0</v>
      </c>
      <c r="J287" s="42">
        <v>0</v>
      </c>
      <c r="K287" s="42">
        <v>0</v>
      </c>
      <c r="L287" s="46" t="b">
        <v>0</v>
      </c>
      <c r="M287" s="42">
        <v>0</v>
      </c>
      <c r="N287" s="42">
        <v>0</v>
      </c>
      <c r="O287" s="52">
        <v>0</v>
      </c>
      <c r="P287" s="42">
        <v>0</v>
      </c>
      <c r="Q287" s="42">
        <v>0</v>
      </c>
      <c r="R287" s="42"/>
      <c r="S287" s="42"/>
      <c r="T287" s="42" t="s">
        <v>616</v>
      </c>
      <c r="U287" t="str">
        <f>IFERROR(HYPERLINK("#'Main'!B"&amp;MATCH(TRIM(A287),Main!B:B,0),"Open"),HYPERLINK("#'Main'!B1","Open"))</f>
        <v>Open</v>
      </c>
    </row>
    <row r="288" spans="1:22" ht="30" customHeight="1" x14ac:dyDescent="0.25">
      <c r="A288" s="50" t="s">
        <v>207</v>
      </c>
      <c r="B288" s="33" t="s">
        <v>614</v>
      </c>
      <c r="C288" s="37" t="s">
        <v>656</v>
      </c>
      <c r="D288" s="33" t="s">
        <v>286</v>
      </c>
      <c r="E288" s="52">
        <v>200</v>
      </c>
      <c r="F288" s="33" t="b">
        <v>1</v>
      </c>
      <c r="G288" s="33">
        <v>0</v>
      </c>
      <c r="H288" s="52">
        <v>0</v>
      </c>
      <c r="I288" s="33">
        <v>0</v>
      </c>
      <c r="J288" s="33">
        <v>0</v>
      </c>
      <c r="K288" s="33">
        <v>0</v>
      </c>
      <c r="L288" s="40" t="b">
        <v>0</v>
      </c>
      <c r="M288" s="33">
        <v>0</v>
      </c>
      <c r="N288" s="33">
        <v>0</v>
      </c>
      <c r="O288" s="52">
        <v>0</v>
      </c>
      <c r="P288" s="33">
        <v>0</v>
      </c>
      <c r="Q288" s="33">
        <v>0</v>
      </c>
      <c r="R288" s="33"/>
      <c r="S288" s="33"/>
      <c r="T288" s="33" t="s">
        <v>616</v>
      </c>
      <c r="U288" s="41" t="str">
        <f>IFERROR(HYPERLINK("#'Main'!B"&amp;MATCH(TRIM(A288),Main!B:B,0),"Open"),HYPERLINK("#'Main'!B1","Open"))</f>
        <v>Open</v>
      </c>
      <c r="V288" s="41"/>
    </row>
    <row r="289" spans="1:22" ht="30" customHeight="1" x14ac:dyDescent="0.25">
      <c r="A289" s="51" t="s">
        <v>207</v>
      </c>
      <c r="B289" s="42" t="s">
        <v>614</v>
      </c>
      <c r="C289" s="44" t="s">
        <v>657</v>
      </c>
      <c r="D289" s="42" t="s">
        <v>658</v>
      </c>
      <c r="E289" s="52">
        <v>200</v>
      </c>
      <c r="F289" s="42" t="b">
        <v>1</v>
      </c>
      <c r="G289" s="42">
        <v>0</v>
      </c>
      <c r="H289" s="52">
        <v>0</v>
      </c>
      <c r="I289" s="42">
        <v>0</v>
      </c>
      <c r="J289" s="42">
        <v>0</v>
      </c>
      <c r="K289" s="42">
        <v>0</v>
      </c>
      <c r="L289" s="46" t="b">
        <v>0</v>
      </c>
      <c r="M289" s="42">
        <v>0</v>
      </c>
      <c r="N289" s="42">
        <v>0</v>
      </c>
      <c r="O289" s="52">
        <v>0</v>
      </c>
      <c r="P289" s="42">
        <v>0</v>
      </c>
      <c r="Q289" s="42">
        <v>0</v>
      </c>
      <c r="R289" s="42"/>
      <c r="S289" s="42"/>
      <c r="T289" s="42" t="s">
        <v>616</v>
      </c>
      <c r="U289" t="str">
        <f>IFERROR(HYPERLINK("#'Main'!B"&amp;MATCH(TRIM(A289),Main!B:B,0),"Open"),HYPERLINK("#'Main'!B1","Open"))</f>
        <v>Open</v>
      </c>
    </row>
    <row r="290" spans="1:22" ht="30" customHeight="1" x14ac:dyDescent="0.25">
      <c r="A290" s="50" t="s">
        <v>207</v>
      </c>
      <c r="B290" s="33" t="s">
        <v>614</v>
      </c>
      <c r="C290" s="37" t="s">
        <v>176</v>
      </c>
      <c r="D290" s="33" t="s">
        <v>639</v>
      </c>
      <c r="E290" s="52">
        <v>200</v>
      </c>
      <c r="F290" s="33" t="b">
        <v>1</v>
      </c>
      <c r="G290" s="33">
        <v>0</v>
      </c>
      <c r="H290" s="52">
        <v>0</v>
      </c>
      <c r="I290" s="33">
        <v>0</v>
      </c>
      <c r="J290" s="33">
        <v>0</v>
      </c>
      <c r="K290" s="33">
        <v>0</v>
      </c>
      <c r="L290" s="40" t="b">
        <v>0</v>
      </c>
      <c r="M290" s="33">
        <v>0</v>
      </c>
      <c r="N290" s="33">
        <v>0</v>
      </c>
      <c r="O290" s="52">
        <v>0</v>
      </c>
      <c r="P290" s="33">
        <v>0</v>
      </c>
      <c r="Q290" s="33">
        <v>0</v>
      </c>
      <c r="R290" s="33"/>
      <c r="S290" s="33"/>
      <c r="T290" s="33" t="s">
        <v>616</v>
      </c>
      <c r="U290" s="41" t="str">
        <f>IFERROR(HYPERLINK("#'Main'!B"&amp;MATCH(TRIM(A290),Main!B:B,0),"Open"),HYPERLINK("#'Main'!B1","Open"))</f>
        <v>Open</v>
      </c>
      <c r="V290" s="41"/>
    </row>
    <row r="291" spans="1:22" ht="30" customHeight="1" x14ac:dyDescent="0.25">
      <c r="A291" s="51" t="s">
        <v>207</v>
      </c>
      <c r="B291" s="42" t="s">
        <v>614</v>
      </c>
      <c r="C291" s="44" t="s">
        <v>178</v>
      </c>
      <c r="D291" s="42" t="s">
        <v>640</v>
      </c>
      <c r="E291" s="52">
        <v>200</v>
      </c>
      <c r="F291" s="42" t="b">
        <v>1</v>
      </c>
      <c r="G291" s="42">
        <v>0</v>
      </c>
      <c r="H291" s="52">
        <v>0</v>
      </c>
      <c r="I291" s="42">
        <v>0</v>
      </c>
      <c r="J291" s="42">
        <v>0</v>
      </c>
      <c r="K291" s="42">
        <v>0</v>
      </c>
      <c r="L291" s="46" t="b">
        <v>0</v>
      </c>
      <c r="M291" s="42">
        <v>0</v>
      </c>
      <c r="N291" s="42">
        <v>0</v>
      </c>
      <c r="O291" s="52">
        <v>0</v>
      </c>
      <c r="P291" s="42">
        <v>0</v>
      </c>
      <c r="Q291" s="42">
        <v>0</v>
      </c>
      <c r="R291" s="42"/>
      <c r="S291" s="42"/>
      <c r="T291" s="42" t="s">
        <v>616</v>
      </c>
      <c r="U291" t="str">
        <f>IFERROR(HYPERLINK("#'Main'!B"&amp;MATCH(TRIM(A291),Main!B:B,0),"Open"),HYPERLINK("#'Main'!B1","Open"))</f>
        <v>Open</v>
      </c>
    </row>
    <row r="292" spans="1:22" ht="30" customHeight="1" x14ac:dyDescent="0.25">
      <c r="A292" s="50" t="s">
        <v>207</v>
      </c>
      <c r="B292" s="33" t="s">
        <v>614</v>
      </c>
      <c r="C292" s="37" t="s">
        <v>641</v>
      </c>
      <c r="D292" s="33" t="s">
        <v>642</v>
      </c>
      <c r="E292" s="52">
        <v>200</v>
      </c>
      <c r="F292" s="33" t="b">
        <v>1</v>
      </c>
      <c r="G292" s="33">
        <v>0</v>
      </c>
      <c r="H292" s="52">
        <v>0</v>
      </c>
      <c r="I292" s="33">
        <v>0</v>
      </c>
      <c r="J292" s="33">
        <v>0</v>
      </c>
      <c r="K292" s="33">
        <v>0</v>
      </c>
      <c r="L292" s="40" t="b">
        <v>0</v>
      </c>
      <c r="M292" s="33">
        <v>0</v>
      </c>
      <c r="N292" s="33">
        <v>0</v>
      </c>
      <c r="O292" s="52">
        <v>0</v>
      </c>
      <c r="P292" s="33">
        <v>0</v>
      </c>
      <c r="Q292" s="33">
        <v>0</v>
      </c>
      <c r="R292" s="33"/>
      <c r="S292" s="33"/>
      <c r="T292" s="33" t="s">
        <v>616</v>
      </c>
      <c r="U292" s="41" t="str">
        <f>IFERROR(HYPERLINK("#'Main'!B"&amp;MATCH(TRIM(A292),Main!B:B,0),"Open"),HYPERLINK("#'Main'!B1","Open"))</f>
        <v>Open</v>
      </c>
      <c r="V292" s="41"/>
    </row>
    <row r="293" spans="1:22" ht="30" customHeight="1" x14ac:dyDescent="0.25">
      <c r="A293" s="51" t="s">
        <v>207</v>
      </c>
      <c r="B293" s="42" t="s">
        <v>614</v>
      </c>
      <c r="C293" s="44" t="s">
        <v>643</v>
      </c>
      <c r="D293" s="42" t="s">
        <v>644</v>
      </c>
      <c r="E293" s="52">
        <v>200</v>
      </c>
      <c r="F293" s="42" t="b">
        <v>1</v>
      </c>
      <c r="G293" s="42">
        <v>0</v>
      </c>
      <c r="H293" s="52">
        <v>0</v>
      </c>
      <c r="I293" s="42">
        <v>0</v>
      </c>
      <c r="J293" s="42">
        <v>0</v>
      </c>
      <c r="K293" s="42">
        <v>0</v>
      </c>
      <c r="L293" s="46" t="b">
        <v>0</v>
      </c>
      <c r="M293" s="42">
        <v>0</v>
      </c>
      <c r="N293" s="42">
        <v>0</v>
      </c>
      <c r="O293" s="52">
        <v>0</v>
      </c>
      <c r="P293" s="42">
        <v>0</v>
      </c>
      <c r="Q293" s="42">
        <v>0</v>
      </c>
      <c r="R293" s="42"/>
      <c r="S293" s="42"/>
      <c r="T293" s="42" t="s">
        <v>616</v>
      </c>
      <c r="U293" t="str">
        <f>IFERROR(HYPERLINK("#'Main'!B"&amp;MATCH(TRIM(A293),Main!B:B,0),"Open"),HYPERLINK("#'Main'!B1","Open"))</f>
        <v>Open</v>
      </c>
    </row>
    <row r="294" spans="1:22" ht="30" customHeight="1" x14ac:dyDescent="0.25">
      <c r="A294" s="50" t="s">
        <v>207</v>
      </c>
      <c r="B294" s="33" t="s">
        <v>614</v>
      </c>
      <c r="C294" s="37" t="s">
        <v>208</v>
      </c>
      <c r="D294" s="33" t="s">
        <v>645</v>
      </c>
      <c r="E294" s="52">
        <v>200</v>
      </c>
      <c r="F294" s="33" t="b">
        <v>1</v>
      </c>
      <c r="G294" s="33">
        <v>0</v>
      </c>
      <c r="H294" s="52">
        <v>0</v>
      </c>
      <c r="I294" s="33">
        <v>0</v>
      </c>
      <c r="J294" s="33">
        <v>0</v>
      </c>
      <c r="K294" s="33">
        <v>0</v>
      </c>
      <c r="L294" s="40" t="b">
        <v>0</v>
      </c>
      <c r="M294" s="33">
        <v>0</v>
      </c>
      <c r="N294" s="33">
        <v>0</v>
      </c>
      <c r="O294" s="52">
        <v>0</v>
      </c>
      <c r="P294" s="33">
        <v>0</v>
      </c>
      <c r="Q294" s="33">
        <v>0</v>
      </c>
      <c r="R294" s="33"/>
      <c r="S294" s="33"/>
      <c r="T294" s="33" t="s">
        <v>616</v>
      </c>
      <c r="U294" s="41" t="str">
        <f>IFERROR(HYPERLINK("#'Main'!B"&amp;MATCH(TRIM(A294),Main!B:B,0),"Open"),HYPERLINK("#'Main'!B1","Open"))</f>
        <v>Open</v>
      </c>
      <c r="V294" s="41"/>
    </row>
    <row r="295" spans="1:22" ht="30" customHeight="1" x14ac:dyDescent="0.25">
      <c r="A295" s="51" t="s">
        <v>207</v>
      </c>
      <c r="B295" s="42" t="s">
        <v>614</v>
      </c>
      <c r="C295" s="44" t="s">
        <v>646</v>
      </c>
      <c r="D295" s="42" t="s">
        <v>647</v>
      </c>
      <c r="E295" s="52">
        <v>200</v>
      </c>
      <c r="F295" s="42" t="b">
        <v>1</v>
      </c>
      <c r="G295" s="42">
        <v>0</v>
      </c>
      <c r="H295" s="52">
        <v>0</v>
      </c>
      <c r="I295" s="42">
        <v>0</v>
      </c>
      <c r="J295" s="42">
        <v>0</v>
      </c>
      <c r="K295" s="42">
        <v>0</v>
      </c>
      <c r="L295" s="46" t="b">
        <v>0</v>
      </c>
      <c r="M295" s="42">
        <v>0</v>
      </c>
      <c r="N295" s="42">
        <v>0</v>
      </c>
      <c r="O295" s="52">
        <v>0</v>
      </c>
      <c r="P295" s="42">
        <v>0</v>
      </c>
      <c r="Q295" s="42">
        <v>0</v>
      </c>
      <c r="R295" s="42"/>
      <c r="S295" s="42"/>
      <c r="T295" s="42" t="s">
        <v>616</v>
      </c>
      <c r="U295" t="str">
        <f>IFERROR(HYPERLINK("#'Main'!B"&amp;MATCH(TRIM(A295),Main!B:B,0),"Open"),HYPERLINK("#'Main'!B1","Open"))</f>
        <v>Open</v>
      </c>
    </row>
    <row r="296" spans="1:22" ht="30" customHeight="1" x14ac:dyDescent="0.25">
      <c r="A296" s="50" t="s">
        <v>207</v>
      </c>
      <c r="B296" s="33" t="s">
        <v>614</v>
      </c>
      <c r="C296" s="37" t="s">
        <v>648</v>
      </c>
      <c r="D296" s="33" t="s">
        <v>649</v>
      </c>
      <c r="E296" s="52">
        <v>200</v>
      </c>
      <c r="F296" s="33" t="b">
        <v>1</v>
      </c>
      <c r="G296" s="33">
        <v>0</v>
      </c>
      <c r="H296" s="52">
        <v>0</v>
      </c>
      <c r="I296" s="33">
        <v>0</v>
      </c>
      <c r="J296" s="33">
        <v>0</v>
      </c>
      <c r="K296" s="33">
        <v>0</v>
      </c>
      <c r="L296" s="40" t="b">
        <v>0</v>
      </c>
      <c r="M296" s="33">
        <v>0</v>
      </c>
      <c r="N296" s="33">
        <v>0</v>
      </c>
      <c r="O296" s="52">
        <v>0</v>
      </c>
      <c r="P296" s="33">
        <v>0</v>
      </c>
      <c r="Q296" s="33">
        <v>0</v>
      </c>
      <c r="R296" s="33"/>
      <c r="S296" s="33"/>
      <c r="T296" s="33" t="s">
        <v>616</v>
      </c>
      <c r="U296" s="41" t="str">
        <f>IFERROR(HYPERLINK("#'Main'!B"&amp;MATCH(TRIM(A296),Main!B:B,0),"Open"),HYPERLINK("#'Main'!B1","Open"))</f>
        <v>Open</v>
      </c>
      <c r="V296" s="41"/>
    </row>
    <row r="297" spans="1:22" ht="30" customHeight="1" x14ac:dyDescent="0.25">
      <c r="A297" s="51" t="s">
        <v>207</v>
      </c>
      <c r="B297" s="42" t="s">
        <v>614</v>
      </c>
      <c r="C297" s="44" t="s">
        <v>650</v>
      </c>
      <c r="D297" s="42" t="s">
        <v>651</v>
      </c>
      <c r="E297" s="52">
        <v>200</v>
      </c>
      <c r="F297" s="42" t="b">
        <v>1</v>
      </c>
      <c r="G297" s="42">
        <v>0</v>
      </c>
      <c r="H297" s="52">
        <v>0</v>
      </c>
      <c r="I297" s="42">
        <v>0</v>
      </c>
      <c r="J297" s="42">
        <v>0</v>
      </c>
      <c r="K297" s="42">
        <v>0</v>
      </c>
      <c r="L297" s="46" t="b">
        <v>0</v>
      </c>
      <c r="M297" s="42">
        <v>0</v>
      </c>
      <c r="N297" s="42">
        <v>0</v>
      </c>
      <c r="O297" s="52">
        <v>0</v>
      </c>
      <c r="P297" s="42">
        <v>0</v>
      </c>
      <c r="Q297" s="42">
        <v>0</v>
      </c>
      <c r="R297" s="42"/>
      <c r="S297" s="42"/>
      <c r="T297" s="42" t="s">
        <v>616</v>
      </c>
      <c r="U297" t="str">
        <f>IFERROR(HYPERLINK("#'Main'!B"&amp;MATCH(TRIM(A297),Main!B:B,0),"Open"),HYPERLINK("#'Main'!B1","Open"))</f>
        <v>Open</v>
      </c>
    </row>
    <row r="298" spans="1:22" ht="30" customHeight="1" x14ac:dyDescent="0.25">
      <c r="A298" s="50" t="s">
        <v>207</v>
      </c>
      <c r="B298" s="33" t="s">
        <v>614</v>
      </c>
      <c r="C298" s="37" t="s">
        <v>652</v>
      </c>
      <c r="D298" s="33" t="s">
        <v>653</v>
      </c>
      <c r="E298" s="52">
        <v>200</v>
      </c>
      <c r="F298" s="33" t="b">
        <v>1</v>
      </c>
      <c r="G298" s="33">
        <v>0</v>
      </c>
      <c r="H298" s="52">
        <v>0</v>
      </c>
      <c r="I298" s="33">
        <v>0</v>
      </c>
      <c r="J298" s="33">
        <v>0</v>
      </c>
      <c r="K298" s="33">
        <v>0</v>
      </c>
      <c r="L298" s="40" t="b">
        <v>0</v>
      </c>
      <c r="M298" s="33">
        <v>0</v>
      </c>
      <c r="N298" s="33">
        <v>0</v>
      </c>
      <c r="O298" s="52">
        <v>0</v>
      </c>
      <c r="P298" s="33">
        <v>0</v>
      </c>
      <c r="Q298" s="33">
        <v>0</v>
      </c>
      <c r="R298" s="33"/>
      <c r="S298" s="33"/>
      <c r="T298" s="33" t="s">
        <v>616</v>
      </c>
      <c r="U298" s="41" t="str">
        <f>IFERROR(HYPERLINK("#'Main'!B"&amp;MATCH(TRIM(A298),Main!B:B,0),"Open"),HYPERLINK("#'Main'!B1","Open"))</f>
        <v>Open</v>
      </c>
      <c r="V298" s="41"/>
    </row>
    <row r="299" spans="1:22" ht="30" customHeight="1" x14ac:dyDescent="0.25">
      <c r="A299" s="51" t="s">
        <v>207</v>
      </c>
      <c r="B299" s="42" t="s">
        <v>614</v>
      </c>
      <c r="C299" s="44" t="s">
        <v>652</v>
      </c>
      <c r="D299" s="42" t="s">
        <v>654</v>
      </c>
      <c r="E299" s="52">
        <v>200</v>
      </c>
      <c r="F299" s="42" t="b">
        <v>1</v>
      </c>
      <c r="G299" s="42">
        <v>0</v>
      </c>
      <c r="H299" s="52">
        <v>0</v>
      </c>
      <c r="I299" s="42">
        <v>0</v>
      </c>
      <c r="J299" s="42">
        <v>0</v>
      </c>
      <c r="K299" s="42">
        <v>0</v>
      </c>
      <c r="L299" s="46" t="b">
        <v>0</v>
      </c>
      <c r="M299" s="42">
        <v>0</v>
      </c>
      <c r="N299" s="42">
        <v>0</v>
      </c>
      <c r="O299" s="52">
        <v>0</v>
      </c>
      <c r="P299" s="42">
        <v>0</v>
      </c>
      <c r="Q299" s="42">
        <v>0</v>
      </c>
      <c r="R299" s="42"/>
      <c r="S299" s="42"/>
      <c r="T299" s="42" t="s">
        <v>616</v>
      </c>
      <c r="U299" t="str">
        <f>IFERROR(HYPERLINK("#'Main'!B"&amp;MATCH(TRIM(A299),Main!B:B,0),"Open"),HYPERLINK("#'Main'!B1","Open"))</f>
        <v>Open</v>
      </c>
    </row>
    <row r="300" spans="1:22" ht="30" customHeight="1" x14ac:dyDescent="0.25">
      <c r="A300" s="50" t="s">
        <v>207</v>
      </c>
      <c r="B300" s="33" t="s">
        <v>614</v>
      </c>
      <c r="C300" s="37" t="s">
        <v>629</v>
      </c>
      <c r="D300" s="33" t="s">
        <v>655</v>
      </c>
      <c r="E300" s="52">
        <v>200</v>
      </c>
      <c r="F300" s="33" t="b">
        <v>1</v>
      </c>
      <c r="G300" s="33">
        <v>0</v>
      </c>
      <c r="H300" s="52">
        <v>0</v>
      </c>
      <c r="I300" s="33">
        <v>0</v>
      </c>
      <c r="J300" s="33">
        <v>0</v>
      </c>
      <c r="K300" s="33">
        <v>0</v>
      </c>
      <c r="L300" s="40" t="b">
        <v>0</v>
      </c>
      <c r="M300" s="33">
        <v>0</v>
      </c>
      <c r="N300" s="33">
        <v>0</v>
      </c>
      <c r="O300" s="52">
        <v>0</v>
      </c>
      <c r="P300" s="33">
        <v>0</v>
      </c>
      <c r="Q300" s="33">
        <v>0</v>
      </c>
      <c r="R300" s="33"/>
      <c r="S300" s="33"/>
      <c r="T300" s="33" t="s">
        <v>616</v>
      </c>
      <c r="U300" s="41" t="str">
        <f>IFERROR(HYPERLINK("#'Main'!B"&amp;MATCH(TRIM(A300),Main!B:B,0),"Open"),HYPERLINK("#'Main'!B1","Open"))</f>
        <v>Open</v>
      </c>
      <c r="V300" s="41"/>
    </row>
    <row r="301" spans="1:22" ht="30" customHeight="1" x14ac:dyDescent="0.25">
      <c r="A301" s="51" t="s">
        <v>207</v>
      </c>
      <c r="B301" s="42" t="s">
        <v>614</v>
      </c>
      <c r="C301" s="44" t="s">
        <v>656</v>
      </c>
      <c r="D301" s="42" t="s">
        <v>286</v>
      </c>
      <c r="E301" s="52">
        <v>200</v>
      </c>
      <c r="F301" s="42" t="b">
        <v>1</v>
      </c>
      <c r="G301" s="42">
        <v>0</v>
      </c>
      <c r="H301" s="52">
        <v>0</v>
      </c>
      <c r="I301" s="42">
        <v>0</v>
      </c>
      <c r="J301" s="42">
        <v>0</v>
      </c>
      <c r="K301" s="42">
        <v>0</v>
      </c>
      <c r="L301" s="46" t="b">
        <v>0</v>
      </c>
      <c r="M301" s="42">
        <v>0</v>
      </c>
      <c r="N301" s="42">
        <v>0</v>
      </c>
      <c r="O301" s="52">
        <v>0</v>
      </c>
      <c r="P301" s="42">
        <v>0</v>
      </c>
      <c r="Q301" s="42">
        <v>0</v>
      </c>
      <c r="R301" s="42"/>
      <c r="S301" s="42"/>
      <c r="T301" s="42" t="s">
        <v>616</v>
      </c>
      <c r="U301" t="str">
        <f>IFERROR(HYPERLINK("#'Main'!B"&amp;MATCH(TRIM(A301),Main!B:B,0),"Open"),HYPERLINK("#'Main'!B1","Open"))</f>
        <v>Open</v>
      </c>
    </row>
    <row r="302" spans="1:22" ht="30" customHeight="1" x14ac:dyDescent="0.25">
      <c r="A302" s="50" t="s">
        <v>207</v>
      </c>
      <c r="B302" s="33" t="s">
        <v>614</v>
      </c>
      <c r="C302" s="37" t="s">
        <v>657</v>
      </c>
      <c r="D302" s="33" t="s">
        <v>658</v>
      </c>
      <c r="E302" s="52">
        <v>200</v>
      </c>
      <c r="F302" s="33" t="b">
        <v>1</v>
      </c>
      <c r="G302" s="33">
        <v>0</v>
      </c>
      <c r="H302" s="52">
        <v>0</v>
      </c>
      <c r="I302" s="33">
        <v>0</v>
      </c>
      <c r="J302" s="33">
        <v>0</v>
      </c>
      <c r="K302" s="33">
        <v>0</v>
      </c>
      <c r="L302" s="40" t="b">
        <v>0</v>
      </c>
      <c r="M302" s="33">
        <v>0</v>
      </c>
      <c r="N302" s="33">
        <v>0</v>
      </c>
      <c r="O302" s="52">
        <v>0</v>
      </c>
      <c r="P302" s="33">
        <v>0</v>
      </c>
      <c r="Q302" s="33">
        <v>0</v>
      </c>
      <c r="R302" s="33"/>
      <c r="S302" s="33"/>
      <c r="T302" s="33" t="s">
        <v>616</v>
      </c>
      <c r="U302" s="41" t="str">
        <f>IFERROR(HYPERLINK("#'Main'!B"&amp;MATCH(TRIM(A302),Main!B:B,0),"Open"),HYPERLINK("#'Main'!B1","Open"))</f>
        <v>Open</v>
      </c>
      <c r="V302" s="41"/>
    </row>
    <row r="303" spans="1:22" ht="30" customHeight="1" x14ac:dyDescent="0.25">
      <c r="A303" s="51" t="s">
        <v>207</v>
      </c>
      <c r="B303" s="42" t="s">
        <v>614</v>
      </c>
      <c r="C303" s="44" t="s">
        <v>615</v>
      </c>
      <c r="D303" s="42"/>
      <c r="E303" s="52">
        <v>200</v>
      </c>
      <c r="F303" s="42" t="b">
        <v>1</v>
      </c>
      <c r="G303" s="42">
        <v>0</v>
      </c>
      <c r="H303" s="52">
        <v>0</v>
      </c>
      <c r="I303" s="42">
        <v>0</v>
      </c>
      <c r="J303" s="42">
        <v>0</v>
      </c>
      <c r="K303" s="42">
        <v>0</v>
      </c>
      <c r="L303" s="46" t="b">
        <v>0</v>
      </c>
      <c r="M303" s="42">
        <v>0</v>
      </c>
      <c r="N303" s="42">
        <v>0</v>
      </c>
      <c r="O303" s="52">
        <v>0</v>
      </c>
      <c r="P303" s="42">
        <v>0</v>
      </c>
      <c r="Q303" s="42">
        <v>0</v>
      </c>
      <c r="R303" s="42"/>
      <c r="S303" s="42"/>
      <c r="T303" s="42" t="s">
        <v>616</v>
      </c>
      <c r="U303" t="str">
        <f>IFERROR(HYPERLINK("#'Main'!B"&amp;MATCH(TRIM(A303),Main!B:B,0),"Open"),HYPERLINK("#'Main'!B1","Open"))</f>
        <v>Open</v>
      </c>
    </row>
    <row r="304" spans="1:22" ht="30" customHeight="1" x14ac:dyDescent="0.25">
      <c r="A304" s="50" t="s">
        <v>207</v>
      </c>
      <c r="B304" s="33" t="s">
        <v>614</v>
      </c>
      <c r="C304" s="37" t="s">
        <v>617</v>
      </c>
      <c r="D304" s="33" t="s">
        <v>618</v>
      </c>
      <c r="E304" s="52">
        <v>200</v>
      </c>
      <c r="F304" s="33" t="b">
        <v>1</v>
      </c>
      <c r="G304" s="33">
        <v>0</v>
      </c>
      <c r="H304" s="52">
        <v>0</v>
      </c>
      <c r="I304" s="33">
        <v>0</v>
      </c>
      <c r="J304" s="33">
        <v>0</v>
      </c>
      <c r="K304" s="33">
        <v>0</v>
      </c>
      <c r="L304" s="40" t="b">
        <v>0</v>
      </c>
      <c r="M304" s="33">
        <v>0</v>
      </c>
      <c r="N304" s="33">
        <v>0</v>
      </c>
      <c r="O304" s="52">
        <v>0</v>
      </c>
      <c r="P304" s="33">
        <v>0</v>
      </c>
      <c r="Q304" s="33">
        <v>0</v>
      </c>
      <c r="R304" s="33"/>
      <c r="S304" s="33"/>
      <c r="T304" s="33" t="s">
        <v>616</v>
      </c>
      <c r="U304" s="41" t="str">
        <f>IFERROR(HYPERLINK("#'Main'!B"&amp;MATCH(TRIM(A304),Main!B:B,0),"Open"),HYPERLINK("#'Main'!B1","Open"))</f>
        <v>Open</v>
      </c>
      <c r="V304" s="41"/>
    </row>
    <row r="305" spans="1:22" ht="30" customHeight="1" x14ac:dyDescent="0.25">
      <c r="A305" s="51" t="s">
        <v>207</v>
      </c>
      <c r="B305" s="42" t="s">
        <v>614</v>
      </c>
      <c r="C305" s="44" t="s">
        <v>619</v>
      </c>
      <c r="D305" s="42" t="s">
        <v>620</v>
      </c>
      <c r="E305" s="52">
        <v>200</v>
      </c>
      <c r="F305" s="42" t="b">
        <v>1</v>
      </c>
      <c r="G305" s="42">
        <v>0</v>
      </c>
      <c r="H305" s="52">
        <v>0</v>
      </c>
      <c r="I305" s="42">
        <v>0</v>
      </c>
      <c r="J305" s="42">
        <v>0</v>
      </c>
      <c r="K305" s="42">
        <v>0</v>
      </c>
      <c r="L305" s="46" t="b">
        <v>0</v>
      </c>
      <c r="M305" s="42">
        <v>0</v>
      </c>
      <c r="N305" s="42">
        <v>0</v>
      </c>
      <c r="O305" s="52">
        <v>0</v>
      </c>
      <c r="P305" s="42">
        <v>0</v>
      </c>
      <c r="Q305" s="42">
        <v>0</v>
      </c>
      <c r="R305" s="42"/>
      <c r="S305" s="42"/>
      <c r="T305" s="42" t="s">
        <v>616</v>
      </c>
      <c r="U305" t="str">
        <f>IFERROR(HYPERLINK("#'Main'!B"&amp;MATCH(TRIM(A305),Main!B:B,0),"Open"),HYPERLINK("#'Main'!B1","Open"))</f>
        <v>Open</v>
      </c>
    </row>
    <row r="306" spans="1:22" ht="30" customHeight="1" x14ac:dyDescent="0.25">
      <c r="A306" s="50" t="s">
        <v>207</v>
      </c>
      <c r="B306" s="33" t="s">
        <v>614</v>
      </c>
      <c r="C306" s="37" t="s">
        <v>621</v>
      </c>
      <c r="D306" s="33" t="s">
        <v>622</v>
      </c>
      <c r="E306" s="52">
        <v>200</v>
      </c>
      <c r="F306" s="33" t="b">
        <v>1</v>
      </c>
      <c r="G306" s="33">
        <v>0</v>
      </c>
      <c r="H306" s="52">
        <v>0</v>
      </c>
      <c r="I306" s="33">
        <v>0</v>
      </c>
      <c r="J306" s="33">
        <v>0</v>
      </c>
      <c r="K306" s="33">
        <v>0</v>
      </c>
      <c r="L306" s="40" t="b">
        <v>0</v>
      </c>
      <c r="M306" s="33">
        <v>0</v>
      </c>
      <c r="N306" s="33">
        <v>0</v>
      </c>
      <c r="O306" s="52">
        <v>0</v>
      </c>
      <c r="P306" s="33">
        <v>0</v>
      </c>
      <c r="Q306" s="33">
        <v>0</v>
      </c>
      <c r="R306" s="33"/>
      <c r="S306" s="33"/>
      <c r="T306" s="33" t="s">
        <v>616</v>
      </c>
      <c r="U306" s="41" t="str">
        <f>IFERROR(HYPERLINK("#'Main'!B"&amp;MATCH(TRIM(A306),Main!B:B,0),"Open"),HYPERLINK("#'Main'!B1","Open"))</f>
        <v>Open</v>
      </c>
      <c r="V306" s="41"/>
    </row>
    <row r="307" spans="1:22" ht="30" customHeight="1" x14ac:dyDescent="0.25">
      <c r="A307" s="51" t="s">
        <v>207</v>
      </c>
      <c r="B307" s="42" t="s">
        <v>614</v>
      </c>
      <c r="C307" s="44" t="s">
        <v>623</v>
      </c>
      <c r="D307" s="42" t="s">
        <v>624</v>
      </c>
      <c r="E307" s="52">
        <v>200</v>
      </c>
      <c r="F307" s="42" t="b">
        <v>1</v>
      </c>
      <c r="G307" s="42">
        <v>0</v>
      </c>
      <c r="H307" s="52">
        <v>0</v>
      </c>
      <c r="I307" s="42">
        <v>0</v>
      </c>
      <c r="J307" s="42">
        <v>0</v>
      </c>
      <c r="K307" s="42">
        <v>0</v>
      </c>
      <c r="L307" s="46" t="b">
        <v>0</v>
      </c>
      <c r="M307" s="42">
        <v>0</v>
      </c>
      <c r="N307" s="42">
        <v>0</v>
      </c>
      <c r="O307" s="52">
        <v>0</v>
      </c>
      <c r="P307" s="42">
        <v>0</v>
      </c>
      <c r="Q307" s="42">
        <v>0</v>
      </c>
      <c r="R307" s="42"/>
      <c r="S307" s="42"/>
      <c r="T307" s="42" t="s">
        <v>616</v>
      </c>
      <c r="U307" t="str">
        <f>IFERROR(HYPERLINK("#'Main'!B"&amp;MATCH(TRIM(A307),Main!B:B,0),"Open"),HYPERLINK("#'Main'!B1","Open"))</f>
        <v>Open</v>
      </c>
    </row>
    <row r="308" spans="1:22" ht="30" customHeight="1" x14ac:dyDescent="0.25">
      <c r="A308" s="50" t="s">
        <v>207</v>
      </c>
      <c r="B308" s="33" t="s">
        <v>614</v>
      </c>
      <c r="C308" s="37" t="s">
        <v>625</v>
      </c>
      <c r="D308" s="33" t="s">
        <v>626</v>
      </c>
      <c r="E308" s="52">
        <v>200</v>
      </c>
      <c r="F308" s="33" t="b">
        <v>1</v>
      </c>
      <c r="G308" s="33">
        <v>0</v>
      </c>
      <c r="H308" s="52">
        <v>0</v>
      </c>
      <c r="I308" s="33">
        <v>0</v>
      </c>
      <c r="J308" s="33">
        <v>0</v>
      </c>
      <c r="K308" s="33">
        <v>0</v>
      </c>
      <c r="L308" s="40" t="b">
        <v>0</v>
      </c>
      <c r="M308" s="33">
        <v>0</v>
      </c>
      <c r="N308" s="33">
        <v>0</v>
      </c>
      <c r="O308" s="52">
        <v>0</v>
      </c>
      <c r="P308" s="33">
        <v>0</v>
      </c>
      <c r="Q308" s="33">
        <v>0</v>
      </c>
      <c r="R308" s="33"/>
      <c r="S308" s="33"/>
      <c r="T308" s="33" t="s">
        <v>616</v>
      </c>
      <c r="U308" s="41" t="str">
        <f>IFERROR(HYPERLINK("#'Main'!B"&amp;MATCH(TRIM(A308),Main!B:B,0),"Open"),HYPERLINK("#'Main'!B1","Open"))</f>
        <v>Open</v>
      </c>
      <c r="V308" s="41"/>
    </row>
    <row r="309" spans="1:22" ht="30" customHeight="1" x14ac:dyDescent="0.25">
      <c r="A309" s="51" t="s">
        <v>207</v>
      </c>
      <c r="B309" s="42" t="s">
        <v>614</v>
      </c>
      <c r="C309" s="44" t="s">
        <v>627</v>
      </c>
      <c r="D309" s="42" t="s">
        <v>628</v>
      </c>
      <c r="E309" s="52">
        <v>200</v>
      </c>
      <c r="F309" s="42" t="b">
        <v>1</v>
      </c>
      <c r="G309" s="42">
        <v>0</v>
      </c>
      <c r="H309" s="52">
        <v>0</v>
      </c>
      <c r="I309" s="42">
        <v>0</v>
      </c>
      <c r="J309" s="42">
        <v>0</v>
      </c>
      <c r="K309" s="42">
        <v>0</v>
      </c>
      <c r="L309" s="46" t="b">
        <v>0</v>
      </c>
      <c r="M309" s="42">
        <v>0</v>
      </c>
      <c r="N309" s="42">
        <v>0</v>
      </c>
      <c r="O309" s="52">
        <v>0</v>
      </c>
      <c r="P309" s="42">
        <v>0</v>
      </c>
      <c r="Q309" s="42">
        <v>0</v>
      </c>
      <c r="R309" s="42"/>
      <c r="S309" s="42"/>
      <c r="T309" s="42" t="s">
        <v>616</v>
      </c>
      <c r="U309" t="str">
        <f>IFERROR(HYPERLINK("#'Main'!B"&amp;MATCH(TRIM(A309),Main!B:B,0),"Open"),HYPERLINK("#'Main'!B1","Open"))</f>
        <v>Open</v>
      </c>
    </row>
    <row r="310" spans="1:22" ht="30" customHeight="1" x14ac:dyDescent="0.25">
      <c r="A310" s="50" t="s">
        <v>207</v>
      </c>
      <c r="B310" s="33" t="s">
        <v>614</v>
      </c>
      <c r="C310" s="37" t="s">
        <v>617</v>
      </c>
      <c r="D310" s="33" t="s">
        <v>618</v>
      </c>
      <c r="E310" s="52">
        <v>200</v>
      </c>
      <c r="F310" s="33" t="b">
        <v>1</v>
      </c>
      <c r="G310" s="33">
        <v>0</v>
      </c>
      <c r="H310" s="52">
        <v>0</v>
      </c>
      <c r="I310" s="33">
        <v>0</v>
      </c>
      <c r="J310" s="33">
        <v>0</v>
      </c>
      <c r="K310" s="33">
        <v>0</v>
      </c>
      <c r="L310" s="40" t="b">
        <v>0</v>
      </c>
      <c r="M310" s="33">
        <v>0</v>
      </c>
      <c r="N310" s="33">
        <v>0</v>
      </c>
      <c r="O310" s="52">
        <v>0</v>
      </c>
      <c r="P310" s="33">
        <v>0</v>
      </c>
      <c r="Q310" s="33">
        <v>0</v>
      </c>
      <c r="R310" s="33"/>
      <c r="S310" s="33"/>
      <c r="T310" s="33" t="s">
        <v>616</v>
      </c>
      <c r="U310" s="41" t="str">
        <f>IFERROR(HYPERLINK("#'Main'!B"&amp;MATCH(TRIM(A310),Main!B:B,0),"Open"),HYPERLINK("#'Main'!B1","Open"))</f>
        <v>Open</v>
      </c>
      <c r="V310" s="41"/>
    </row>
    <row r="311" spans="1:22" ht="30" customHeight="1" x14ac:dyDescent="0.25">
      <c r="A311" s="51" t="s">
        <v>207</v>
      </c>
      <c r="B311" s="42" t="s">
        <v>614</v>
      </c>
      <c r="C311" s="44" t="s">
        <v>619</v>
      </c>
      <c r="D311" s="42" t="s">
        <v>620</v>
      </c>
      <c r="E311" s="52">
        <v>200</v>
      </c>
      <c r="F311" s="42" t="b">
        <v>1</v>
      </c>
      <c r="G311" s="42">
        <v>0</v>
      </c>
      <c r="H311" s="52">
        <v>0</v>
      </c>
      <c r="I311" s="42">
        <v>0</v>
      </c>
      <c r="J311" s="42">
        <v>0</v>
      </c>
      <c r="K311" s="42">
        <v>0</v>
      </c>
      <c r="L311" s="46" t="b">
        <v>0</v>
      </c>
      <c r="M311" s="42">
        <v>0</v>
      </c>
      <c r="N311" s="42">
        <v>0</v>
      </c>
      <c r="O311" s="52">
        <v>0</v>
      </c>
      <c r="P311" s="42">
        <v>0</v>
      </c>
      <c r="Q311" s="42">
        <v>0</v>
      </c>
      <c r="R311" s="42"/>
      <c r="S311" s="42"/>
      <c r="T311" s="42" t="s">
        <v>616</v>
      </c>
      <c r="U311" t="str">
        <f>IFERROR(HYPERLINK("#'Main'!B"&amp;MATCH(TRIM(A311),Main!B:B,0),"Open"),HYPERLINK("#'Main'!B1","Open"))</f>
        <v>Open</v>
      </c>
    </row>
    <row r="312" spans="1:22" ht="30" customHeight="1" x14ac:dyDescent="0.25">
      <c r="A312" s="50" t="s">
        <v>207</v>
      </c>
      <c r="B312" s="33" t="s">
        <v>614</v>
      </c>
      <c r="C312" s="37" t="s">
        <v>621</v>
      </c>
      <c r="D312" s="33" t="s">
        <v>622</v>
      </c>
      <c r="E312" s="52">
        <v>200</v>
      </c>
      <c r="F312" s="33" t="b">
        <v>1</v>
      </c>
      <c r="G312" s="33">
        <v>0</v>
      </c>
      <c r="H312" s="52">
        <v>0</v>
      </c>
      <c r="I312" s="33">
        <v>0</v>
      </c>
      <c r="J312" s="33">
        <v>0</v>
      </c>
      <c r="K312" s="33">
        <v>0</v>
      </c>
      <c r="L312" s="40" t="b">
        <v>0</v>
      </c>
      <c r="M312" s="33">
        <v>0</v>
      </c>
      <c r="N312" s="33">
        <v>0</v>
      </c>
      <c r="O312" s="52">
        <v>0</v>
      </c>
      <c r="P312" s="33">
        <v>0</v>
      </c>
      <c r="Q312" s="33">
        <v>0</v>
      </c>
      <c r="R312" s="33"/>
      <c r="S312" s="33"/>
      <c r="T312" s="33" t="s">
        <v>616</v>
      </c>
      <c r="U312" s="41" t="str">
        <f>IFERROR(HYPERLINK("#'Main'!B"&amp;MATCH(TRIM(A312),Main!B:B,0),"Open"),HYPERLINK("#'Main'!B1","Open"))</f>
        <v>Open</v>
      </c>
      <c r="V312" s="41"/>
    </row>
    <row r="313" spans="1:22" ht="30" customHeight="1" x14ac:dyDescent="0.25">
      <c r="A313" s="51" t="s">
        <v>207</v>
      </c>
      <c r="B313" s="42" t="s">
        <v>614</v>
      </c>
      <c r="C313" s="44" t="s">
        <v>623</v>
      </c>
      <c r="D313" s="42" t="s">
        <v>624</v>
      </c>
      <c r="E313" s="52">
        <v>200</v>
      </c>
      <c r="F313" s="42" t="b">
        <v>1</v>
      </c>
      <c r="G313" s="42">
        <v>0</v>
      </c>
      <c r="H313" s="52">
        <v>0</v>
      </c>
      <c r="I313" s="42">
        <v>0</v>
      </c>
      <c r="J313" s="42">
        <v>0</v>
      </c>
      <c r="K313" s="42">
        <v>0</v>
      </c>
      <c r="L313" s="46" t="b">
        <v>0</v>
      </c>
      <c r="M313" s="42">
        <v>0</v>
      </c>
      <c r="N313" s="42">
        <v>0</v>
      </c>
      <c r="O313" s="52">
        <v>0</v>
      </c>
      <c r="P313" s="42">
        <v>0</v>
      </c>
      <c r="Q313" s="42">
        <v>0</v>
      </c>
      <c r="R313" s="42"/>
      <c r="S313" s="42"/>
      <c r="T313" s="42" t="s">
        <v>616</v>
      </c>
      <c r="U313" t="str">
        <f>IFERROR(HYPERLINK("#'Main'!B"&amp;MATCH(TRIM(A313),Main!B:B,0),"Open"),HYPERLINK("#'Main'!B1","Open"))</f>
        <v>Open</v>
      </c>
    </row>
    <row r="314" spans="1:22" ht="30" customHeight="1" x14ac:dyDescent="0.25">
      <c r="A314" s="50" t="s">
        <v>207</v>
      </c>
      <c r="B314" s="33" t="s">
        <v>614</v>
      </c>
      <c r="C314" s="37" t="s">
        <v>625</v>
      </c>
      <c r="D314" s="33" t="s">
        <v>626</v>
      </c>
      <c r="E314" s="52">
        <v>200</v>
      </c>
      <c r="F314" s="33" t="b">
        <v>1</v>
      </c>
      <c r="G314" s="33">
        <v>0</v>
      </c>
      <c r="H314" s="52">
        <v>0</v>
      </c>
      <c r="I314" s="33">
        <v>0</v>
      </c>
      <c r="J314" s="33">
        <v>0</v>
      </c>
      <c r="K314" s="33">
        <v>0</v>
      </c>
      <c r="L314" s="40" t="b">
        <v>0</v>
      </c>
      <c r="M314" s="33">
        <v>0</v>
      </c>
      <c r="N314" s="33">
        <v>0</v>
      </c>
      <c r="O314" s="52">
        <v>0</v>
      </c>
      <c r="P314" s="33">
        <v>0</v>
      </c>
      <c r="Q314" s="33">
        <v>0</v>
      </c>
      <c r="R314" s="33"/>
      <c r="S314" s="33"/>
      <c r="T314" s="33" t="s">
        <v>616</v>
      </c>
      <c r="U314" s="41" t="str">
        <f>IFERROR(HYPERLINK("#'Main'!B"&amp;MATCH(TRIM(A314),Main!B:B,0),"Open"),HYPERLINK("#'Main'!B1","Open"))</f>
        <v>Open</v>
      </c>
      <c r="V314" s="41"/>
    </row>
    <row r="315" spans="1:22" ht="30" customHeight="1" x14ac:dyDescent="0.25">
      <c r="A315" s="51" t="s">
        <v>207</v>
      </c>
      <c r="B315" s="42" t="s">
        <v>614</v>
      </c>
      <c r="C315" s="44" t="s">
        <v>627</v>
      </c>
      <c r="D315" s="42" t="s">
        <v>628</v>
      </c>
      <c r="E315" s="52">
        <v>200</v>
      </c>
      <c r="F315" s="42" t="b">
        <v>1</v>
      </c>
      <c r="G315" s="42">
        <v>0</v>
      </c>
      <c r="H315" s="52">
        <v>0</v>
      </c>
      <c r="I315" s="42">
        <v>0</v>
      </c>
      <c r="J315" s="42">
        <v>0</v>
      </c>
      <c r="K315" s="42">
        <v>0</v>
      </c>
      <c r="L315" s="46" t="b">
        <v>0</v>
      </c>
      <c r="M315" s="42">
        <v>0</v>
      </c>
      <c r="N315" s="42">
        <v>0</v>
      </c>
      <c r="O315" s="52">
        <v>0</v>
      </c>
      <c r="P315" s="42">
        <v>0</v>
      </c>
      <c r="Q315" s="42">
        <v>0</v>
      </c>
      <c r="R315" s="42"/>
      <c r="S315" s="42"/>
      <c r="T315" s="42" t="s">
        <v>616</v>
      </c>
      <c r="U315" t="str">
        <f>IFERROR(HYPERLINK("#'Main'!B"&amp;MATCH(TRIM(A315),Main!B:B,0),"Open"),HYPERLINK("#'Main'!B1","Open"))</f>
        <v>Open</v>
      </c>
    </row>
    <row r="316" spans="1:22" ht="30" customHeight="1" x14ac:dyDescent="0.25">
      <c r="A316" s="50" t="s">
        <v>207</v>
      </c>
      <c r="B316" s="33" t="s">
        <v>614</v>
      </c>
      <c r="C316" s="37" t="s">
        <v>696</v>
      </c>
      <c r="D316" s="33"/>
      <c r="E316" s="52">
        <v>200</v>
      </c>
      <c r="F316" s="33" t="b">
        <v>1</v>
      </c>
      <c r="G316" s="33">
        <v>0</v>
      </c>
      <c r="H316" s="52">
        <v>0</v>
      </c>
      <c r="I316" s="33">
        <v>0</v>
      </c>
      <c r="J316" s="33">
        <v>0</v>
      </c>
      <c r="K316" s="33">
        <v>0</v>
      </c>
      <c r="L316" s="40" t="b">
        <v>0</v>
      </c>
      <c r="M316" s="33">
        <v>0</v>
      </c>
      <c r="N316" s="33">
        <v>0</v>
      </c>
      <c r="O316" s="52">
        <v>0</v>
      </c>
      <c r="P316" s="33">
        <v>0</v>
      </c>
      <c r="Q316" s="33">
        <v>0</v>
      </c>
      <c r="R316" s="33"/>
      <c r="S316" s="33"/>
      <c r="T316" s="33" t="s">
        <v>616</v>
      </c>
      <c r="U316" s="41" t="str">
        <f>IFERROR(HYPERLINK("#'Main'!B"&amp;MATCH(TRIM(A316),Main!B:B,0),"Open"),HYPERLINK("#'Main'!B1","Open"))</f>
        <v>Open</v>
      </c>
      <c r="V316" s="41"/>
    </row>
    <row r="317" spans="1:22" ht="30" customHeight="1" x14ac:dyDescent="0.25">
      <c r="A317" s="51" t="s">
        <v>207</v>
      </c>
      <c r="B317" s="42" t="s">
        <v>614</v>
      </c>
      <c r="C317" s="44" t="s">
        <v>696</v>
      </c>
      <c r="D317" s="42" t="s">
        <v>697</v>
      </c>
      <c r="E317" s="52">
        <v>200</v>
      </c>
      <c r="F317" s="42" t="b">
        <v>1</v>
      </c>
      <c r="G317" s="42">
        <v>0</v>
      </c>
      <c r="H317" s="52">
        <v>0</v>
      </c>
      <c r="I317" s="42">
        <v>0</v>
      </c>
      <c r="J317" s="42">
        <v>0</v>
      </c>
      <c r="K317" s="42">
        <v>0</v>
      </c>
      <c r="L317" s="46" t="b">
        <v>0</v>
      </c>
      <c r="M317" s="42">
        <v>0</v>
      </c>
      <c r="N317" s="42">
        <v>0</v>
      </c>
      <c r="O317" s="52">
        <v>0</v>
      </c>
      <c r="P317" s="42">
        <v>0</v>
      </c>
      <c r="Q317" s="42">
        <v>0</v>
      </c>
      <c r="R317" s="42"/>
      <c r="S317" s="42"/>
      <c r="T317" s="42" t="s">
        <v>616</v>
      </c>
      <c r="U317" t="str">
        <f>IFERROR(HYPERLINK("#'Main'!B"&amp;MATCH(TRIM(A317),Main!B:B,0),"Open"),HYPERLINK("#'Main'!B1","Open"))</f>
        <v>Open</v>
      </c>
    </row>
    <row r="318" spans="1:22" ht="30" customHeight="1" x14ac:dyDescent="0.25">
      <c r="A318" s="50" t="s">
        <v>207</v>
      </c>
      <c r="B318" s="33" t="s">
        <v>614</v>
      </c>
      <c r="C318" s="37" t="s">
        <v>696</v>
      </c>
      <c r="D318" s="33" t="s">
        <v>678</v>
      </c>
      <c r="E318" s="52">
        <v>200</v>
      </c>
      <c r="F318" s="33" t="b">
        <v>1</v>
      </c>
      <c r="G318" s="33">
        <v>0</v>
      </c>
      <c r="H318" s="52">
        <v>0</v>
      </c>
      <c r="I318" s="33">
        <v>0</v>
      </c>
      <c r="J318" s="33">
        <v>0</v>
      </c>
      <c r="K318" s="33">
        <v>0</v>
      </c>
      <c r="L318" s="40" t="b">
        <v>0</v>
      </c>
      <c r="M318" s="33">
        <v>0</v>
      </c>
      <c r="N318" s="33">
        <v>0</v>
      </c>
      <c r="O318" s="52">
        <v>0</v>
      </c>
      <c r="P318" s="33">
        <v>0</v>
      </c>
      <c r="Q318" s="33">
        <v>0</v>
      </c>
      <c r="R318" s="33"/>
      <c r="S318" s="33"/>
      <c r="T318" s="33" t="s">
        <v>616</v>
      </c>
      <c r="U318" s="41" t="str">
        <f>IFERROR(HYPERLINK("#'Main'!B"&amp;MATCH(TRIM(A318),Main!B:B,0),"Open"),HYPERLINK("#'Main'!B1","Open"))</f>
        <v>Open</v>
      </c>
      <c r="V318" s="41"/>
    </row>
    <row r="319" spans="1:22" ht="30" customHeight="1" x14ac:dyDescent="0.25">
      <c r="A319" s="51" t="s">
        <v>207</v>
      </c>
      <c r="B319" s="42" t="s">
        <v>614</v>
      </c>
      <c r="C319" s="44" t="s">
        <v>698</v>
      </c>
      <c r="D319" s="42"/>
      <c r="E319" s="52">
        <v>200</v>
      </c>
      <c r="F319" s="42" t="b">
        <v>1</v>
      </c>
      <c r="G319" s="42">
        <v>0</v>
      </c>
      <c r="H319" s="52">
        <v>0</v>
      </c>
      <c r="I319" s="42">
        <v>0</v>
      </c>
      <c r="J319" s="42">
        <v>0</v>
      </c>
      <c r="K319" s="42">
        <v>0</v>
      </c>
      <c r="L319" s="46" t="b">
        <v>0</v>
      </c>
      <c r="M319" s="42">
        <v>0</v>
      </c>
      <c r="N319" s="42">
        <v>0</v>
      </c>
      <c r="O319" s="52">
        <v>0</v>
      </c>
      <c r="P319" s="42">
        <v>0</v>
      </c>
      <c r="Q319" s="42">
        <v>0</v>
      </c>
      <c r="R319" s="42"/>
      <c r="S319" s="42"/>
      <c r="T319" s="42" t="s">
        <v>616</v>
      </c>
      <c r="U319" t="str">
        <f>IFERROR(HYPERLINK("#'Main'!B"&amp;MATCH(TRIM(A319),Main!B:B,0),"Open"),HYPERLINK("#'Main'!B1","Open"))</f>
        <v>Open</v>
      </c>
    </row>
    <row r="320" spans="1:22" ht="30" customHeight="1" x14ac:dyDescent="0.25">
      <c r="A320" s="50" t="s">
        <v>207</v>
      </c>
      <c r="B320" s="33" t="s">
        <v>614</v>
      </c>
      <c r="C320" s="37" t="s">
        <v>698</v>
      </c>
      <c r="D320" s="33" t="s">
        <v>699</v>
      </c>
      <c r="E320" s="52">
        <v>200</v>
      </c>
      <c r="F320" s="33" t="b">
        <v>1</v>
      </c>
      <c r="G320" s="33">
        <v>0</v>
      </c>
      <c r="H320" s="52">
        <v>0</v>
      </c>
      <c r="I320" s="33">
        <v>0</v>
      </c>
      <c r="J320" s="33">
        <v>0</v>
      </c>
      <c r="K320" s="33">
        <v>0</v>
      </c>
      <c r="L320" s="40" t="b">
        <v>0</v>
      </c>
      <c r="M320" s="33">
        <v>0</v>
      </c>
      <c r="N320" s="33">
        <v>0</v>
      </c>
      <c r="O320" s="52">
        <v>0</v>
      </c>
      <c r="P320" s="33">
        <v>0</v>
      </c>
      <c r="Q320" s="33">
        <v>0</v>
      </c>
      <c r="R320" s="33"/>
      <c r="S320" s="33"/>
      <c r="T320" s="33" t="s">
        <v>616</v>
      </c>
      <c r="U320" s="41" t="str">
        <f>IFERROR(HYPERLINK("#'Main'!B"&amp;MATCH(TRIM(A320),Main!B:B,0),"Open"),HYPERLINK("#'Main'!B1","Open"))</f>
        <v>Open</v>
      </c>
      <c r="V320" s="41"/>
    </row>
    <row r="321" spans="1:22" ht="30" customHeight="1" x14ac:dyDescent="0.25">
      <c r="A321" s="51" t="s">
        <v>207</v>
      </c>
      <c r="B321" s="42" t="s">
        <v>614</v>
      </c>
      <c r="C321" s="44" t="s">
        <v>698</v>
      </c>
      <c r="D321" s="42" t="s">
        <v>678</v>
      </c>
      <c r="E321" s="52">
        <v>200</v>
      </c>
      <c r="F321" s="42" t="b">
        <v>1</v>
      </c>
      <c r="G321" s="42">
        <v>0</v>
      </c>
      <c r="H321" s="52">
        <v>0</v>
      </c>
      <c r="I321" s="42">
        <v>0</v>
      </c>
      <c r="J321" s="42">
        <v>0</v>
      </c>
      <c r="K321" s="42">
        <v>0</v>
      </c>
      <c r="L321" s="46" t="b">
        <v>0</v>
      </c>
      <c r="M321" s="42">
        <v>0</v>
      </c>
      <c r="N321" s="42">
        <v>0</v>
      </c>
      <c r="O321" s="52">
        <v>0</v>
      </c>
      <c r="P321" s="42">
        <v>0</v>
      </c>
      <c r="Q321" s="42">
        <v>0</v>
      </c>
      <c r="R321" s="42"/>
      <c r="S321" s="42"/>
      <c r="T321" s="42" t="s">
        <v>616</v>
      </c>
      <c r="U321" t="str">
        <f>IFERROR(HYPERLINK("#'Main'!B"&amp;MATCH(TRIM(A321),Main!B:B,0),"Open"),HYPERLINK("#'Main'!B1","Open"))</f>
        <v>Open</v>
      </c>
    </row>
    <row r="322" spans="1:22" ht="30" customHeight="1" x14ac:dyDescent="0.25">
      <c r="A322" s="50" t="s">
        <v>207</v>
      </c>
      <c r="B322" s="33" t="s">
        <v>614</v>
      </c>
      <c r="C322" s="37" t="s">
        <v>700</v>
      </c>
      <c r="D322" s="33"/>
      <c r="E322" s="52">
        <v>200</v>
      </c>
      <c r="F322" s="33" t="b">
        <v>1</v>
      </c>
      <c r="G322" s="33">
        <v>0</v>
      </c>
      <c r="H322" s="52">
        <v>0</v>
      </c>
      <c r="I322" s="33">
        <v>0</v>
      </c>
      <c r="J322" s="33">
        <v>0</v>
      </c>
      <c r="K322" s="33">
        <v>0</v>
      </c>
      <c r="L322" s="40" t="b">
        <v>0</v>
      </c>
      <c r="M322" s="33">
        <v>0</v>
      </c>
      <c r="N322" s="33">
        <v>0</v>
      </c>
      <c r="O322" s="52">
        <v>0</v>
      </c>
      <c r="P322" s="33">
        <v>0</v>
      </c>
      <c r="Q322" s="33">
        <v>0</v>
      </c>
      <c r="R322" s="33"/>
      <c r="S322" s="33"/>
      <c r="T322" s="33" t="s">
        <v>616</v>
      </c>
      <c r="U322" s="41" t="str">
        <f>IFERROR(HYPERLINK("#'Main'!B"&amp;MATCH(TRIM(A322),Main!B:B,0),"Open"),HYPERLINK("#'Main'!B1","Open"))</f>
        <v>Open</v>
      </c>
      <c r="V322" s="41"/>
    </row>
    <row r="323" spans="1:22" ht="30" customHeight="1" x14ac:dyDescent="0.25">
      <c r="A323" s="51" t="s">
        <v>207</v>
      </c>
      <c r="B323" s="42" t="s">
        <v>614</v>
      </c>
      <c r="C323" s="44" t="s">
        <v>700</v>
      </c>
      <c r="D323" s="42" t="s">
        <v>701</v>
      </c>
      <c r="E323" s="52">
        <v>200</v>
      </c>
      <c r="F323" s="42" t="b">
        <v>1</v>
      </c>
      <c r="G323" s="42">
        <v>0</v>
      </c>
      <c r="H323" s="52">
        <v>0</v>
      </c>
      <c r="I323" s="42">
        <v>0</v>
      </c>
      <c r="J323" s="42">
        <v>0</v>
      </c>
      <c r="K323" s="42">
        <v>0</v>
      </c>
      <c r="L323" s="46" t="b">
        <v>0</v>
      </c>
      <c r="M323" s="42">
        <v>0</v>
      </c>
      <c r="N323" s="42">
        <v>0</v>
      </c>
      <c r="O323" s="52">
        <v>0</v>
      </c>
      <c r="P323" s="42">
        <v>0</v>
      </c>
      <c r="Q323" s="42">
        <v>0</v>
      </c>
      <c r="R323" s="42"/>
      <c r="S323" s="42"/>
      <c r="T323" s="42" t="s">
        <v>616</v>
      </c>
      <c r="U323" t="str">
        <f>IFERROR(HYPERLINK("#'Main'!B"&amp;MATCH(TRIM(A323),Main!B:B,0),"Open"),HYPERLINK("#'Main'!B1","Open"))</f>
        <v>Open</v>
      </c>
    </row>
    <row r="324" spans="1:22" ht="30" customHeight="1" x14ac:dyDescent="0.25">
      <c r="A324" s="50" t="s">
        <v>207</v>
      </c>
      <c r="B324" s="33" t="s">
        <v>614</v>
      </c>
      <c r="C324" s="37" t="s">
        <v>700</v>
      </c>
      <c r="D324" s="33" t="s">
        <v>678</v>
      </c>
      <c r="E324" s="52">
        <v>200</v>
      </c>
      <c r="F324" s="33" t="b">
        <v>1</v>
      </c>
      <c r="G324" s="33">
        <v>0</v>
      </c>
      <c r="H324" s="52">
        <v>0</v>
      </c>
      <c r="I324" s="33">
        <v>0</v>
      </c>
      <c r="J324" s="33">
        <v>0</v>
      </c>
      <c r="K324" s="33">
        <v>0</v>
      </c>
      <c r="L324" s="40" t="b">
        <v>0</v>
      </c>
      <c r="M324" s="33">
        <v>0</v>
      </c>
      <c r="N324" s="33">
        <v>0</v>
      </c>
      <c r="O324" s="52">
        <v>0</v>
      </c>
      <c r="P324" s="33">
        <v>0</v>
      </c>
      <c r="Q324" s="33">
        <v>0</v>
      </c>
      <c r="R324" s="33"/>
      <c r="S324" s="33"/>
      <c r="T324" s="33" t="s">
        <v>616</v>
      </c>
      <c r="U324" s="41" t="str">
        <f>IFERROR(HYPERLINK("#'Main'!B"&amp;MATCH(TRIM(A324),Main!B:B,0),"Open"),HYPERLINK("#'Main'!B1","Open"))</f>
        <v>Open</v>
      </c>
      <c r="V324" s="41"/>
    </row>
    <row r="325" spans="1:22" ht="30" customHeight="1" x14ac:dyDescent="0.25">
      <c r="A325" s="51" t="s">
        <v>207</v>
      </c>
      <c r="B325" s="42" t="s">
        <v>614</v>
      </c>
      <c r="C325" s="44" t="s">
        <v>702</v>
      </c>
      <c r="D325" s="42"/>
      <c r="E325" s="52">
        <v>200</v>
      </c>
      <c r="F325" s="42" t="b">
        <v>1</v>
      </c>
      <c r="G325" s="42">
        <v>0</v>
      </c>
      <c r="H325" s="52">
        <v>0</v>
      </c>
      <c r="I325" s="42">
        <v>0</v>
      </c>
      <c r="J325" s="42">
        <v>0</v>
      </c>
      <c r="K325" s="42">
        <v>0</v>
      </c>
      <c r="L325" s="46" t="b">
        <v>0</v>
      </c>
      <c r="M325" s="42">
        <v>0</v>
      </c>
      <c r="N325" s="42">
        <v>0</v>
      </c>
      <c r="O325" s="52">
        <v>0</v>
      </c>
      <c r="P325" s="42">
        <v>0</v>
      </c>
      <c r="Q325" s="42">
        <v>0</v>
      </c>
      <c r="R325" s="42"/>
      <c r="S325" s="42"/>
      <c r="T325" s="42" t="s">
        <v>616</v>
      </c>
      <c r="U325" t="str">
        <f>IFERROR(HYPERLINK("#'Main'!B"&amp;MATCH(TRIM(A325),Main!B:B,0),"Open"),HYPERLINK("#'Main'!B1","Open"))</f>
        <v>Open</v>
      </c>
    </row>
    <row r="326" spans="1:22" ht="30" customHeight="1" x14ac:dyDescent="0.25">
      <c r="A326" s="50" t="s">
        <v>207</v>
      </c>
      <c r="B326" s="33" t="s">
        <v>614</v>
      </c>
      <c r="C326" s="37" t="s">
        <v>702</v>
      </c>
      <c r="D326" s="33" t="s">
        <v>703</v>
      </c>
      <c r="E326" s="52">
        <v>200</v>
      </c>
      <c r="F326" s="33" t="b">
        <v>1</v>
      </c>
      <c r="G326" s="33">
        <v>0</v>
      </c>
      <c r="H326" s="52">
        <v>0</v>
      </c>
      <c r="I326" s="33">
        <v>0</v>
      </c>
      <c r="J326" s="33">
        <v>0</v>
      </c>
      <c r="K326" s="33">
        <v>0</v>
      </c>
      <c r="L326" s="40" t="b">
        <v>0</v>
      </c>
      <c r="M326" s="33">
        <v>0</v>
      </c>
      <c r="N326" s="33">
        <v>0</v>
      </c>
      <c r="O326" s="52">
        <v>0</v>
      </c>
      <c r="P326" s="33">
        <v>0</v>
      </c>
      <c r="Q326" s="33">
        <v>0</v>
      </c>
      <c r="R326" s="33"/>
      <c r="S326" s="33"/>
      <c r="T326" s="33" t="s">
        <v>616</v>
      </c>
      <c r="U326" s="41" t="str">
        <f>IFERROR(HYPERLINK("#'Main'!B"&amp;MATCH(TRIM(A326),Main!B:B,0),"Open"),HYPERLINK("#'Main'!B1","Open"))</f>
        <v>Open</v>
      </c>
      <c r="V326" s="41"/>
    </row>
    <row r="327" spans="1:22" ht="30" customHeight="1" x14ac:dyDescent="0.25">
      <c r="A327" s="51" t="s">
        <v>207</v>
      </c>
      <c r="B327" s="42" t="s">
        <v>614</v>
      </c>
      <c r="C327" s="44" t="s">
        <v>702</v>
      </c>
      <c r="D327" s="42" t="s">
        <v>678</v>
      </c>
      <c r="E327" s="52">
        <v>200</v>
      </c>
      <c r="F327" s="42" t="b">
        <v>1</v>
      </c>
      <c r="G327" s="42">
        <v>0</v>
      </c>
      <c r="H327" s="52">
        <v>0</v>
      </c>
      <c r="I327" s="42">
        <v>0</v>
      </c>
      <c r="J327" s="42">
        <v>0</v>
      </c>
      <c r="K327" s="42">
        <v>0</v>
      </c>
      <c r="L327" s="46" t="b">
        <v>0</v>
      </c>
      <c r="M327" s="42">
        <v>0</v>
      </c>
      <c r="N327" s="42">
        <v>0</v>
      </c>
      <c r="O327" s="52">
        <v>0</v>
      </c>
      <c r="P327" s="42">
        <v>0</v>
      </c>
      <c r="Q327" s="42">
        <v>0</v>
      </c>
      <c r="R327" s="42"/>
      <c r="S327" s="42"/>
      <c r="T327" s="42" t="s">
        <v>616</v>
      </c>
      <c r="U327" t="str">
        <f>IFERROR(HYPERLINK("#'Main'!B"&amp;MATCH(TRIM(A327),Main!B:B,0),"Open"),HYPERLINK("#'Main'!B1","Open"))</f>
        <v>Open</v>
      </c>
    </row>
    <row r="328" spans="1:22" ht="30" customHeight="1" x14ac:dyDescent="0.25">
      <c r="A328" s="50" t="s">
        <v>207</v>
      </c>
      <c r="B328" s="33" t="s">
        <v>614</v>
      </c>
      <c r="C328" s="37" t="s">
        <v>704</v>
      </c>
      <c r="D328" s="33"/>
      <c r="E328" s="52">
        <v>200</v>
      </c>
      <c r="F328" s="33" t="b">
        <v>1</v>
      </c>
      <c r="G328" s="33">
        <v>0</v>
      </c>
      <c r="H328" s="52">
        <v>0</v>
      </c>
      <c r="I328" s="33">
        <v>0</v>
      </c>
      <c r="J328" s="33">
        <v>0</v>
      </c>
      <c r="K328" s="33">
        <v>0</v>
      </c>
      <c r="L328" s="40" t="b">
        <v>0</v>
      </c>
      <c r="M328" s="33">
        <v>0</v>
      </c>
      <c r="N328" s="33">
        <v>0</v>
      </c>
      <c r="O328" s="52">
        <v>0</v>
      </c>
      <c r="P328" s="33">
        <v>0</v>
      </c>
      <c r="Q328" s="33">
        <v>0</v>
      </c>
      <c r="R328" s="33"/>
      <c r="S328" s="33"/>
      <c r="T328" s="33" t="s">
        <v>616</v>
      </c>
      <c r="U328" s="41" t="str">
        <f>IFERROR(HYPERLINK("#'Main'!B"&amp;MATCH(TRIM(A328),Main!B:B,0),"Open"),HYPERLINK("#'Main'!B1","Open"))</f>
        <v>Open</v>
      </c>
      <c r="V328" s="41"/>
    </row>
    <row r="329" spans="1:22" ht="30" customHeight="1" x14ac:dyDescent="0.25">
      <c r="A329" s="51" t="s">
        <v>207</v>
      </c>
      <c r="B329" s="42" t="s">
        <v>614</v>
      </c>
      <c r="C329" s="44" t="s">
        <v>704</v>
      </c>
      <c r="D329" s="42" t="s">
        <v>705</v>
      </c>
      <c r="E329" s="52">
        <v>200</v>
      </c>
      <c r="F329" s="42" t="b">
        <v>1</v>
      </c>
      <c r="G329" s="42">
        <v>0</v>
      </c>
      <c r="H329" s="52">
        <v>0</v>
      </c>
      <c r="I329" s="42">
        <v>0</v>
      </c>
      <c r="J329" s="42">
        <v>0</v>
      </c>
      <c r="K329" s="42">
        <v>0</v>
      </c>
      <c r="L329" s="46" t="b">
        <v>0</v>
      </c>
      <c r="M329" s="42">
        <v>0</v>
      </c>
      <c r="N329" s="42">
        <v>0</v>
      </c>
      <c r="O329" s="52">
        <v>0</v>
      </c>
      <c r="P329" s="42">
        <v>0</v>
      </c>
      <c r="Q329" s="42">
        <v>0</v>
      </c>
      <c r="R329" s="42"/>
      <c r="S329" s="42"/>
      <c r="T329" s="42" t="s">
        <v>616</v>
      </c>
      <c r="U329" t="str">
        <f>IFERROR(HYPERLINK("#'Main'!B"&amp;MATCH(TRIM(A329),Main!B:B,0),"Open"),HYPERLINK("#'Main'!B1","Open"))</f>
        <v>Open</v>
      </c>
    </row>
    <row r="330" spans="1:22" ht="30" customHeight="1" x14ac:dyDescent="0.25">
      <c r="A330" s="50" t="s">
        <v>207</v>
      </c>
      <c r="B330" s="33" t="s">
        <v>614</v>
      </c>
      <c r="C330" s="37" t="s">
        <v>704</v>
      </c>
      <c r="D330" s="33" t="s">
        <v>678</v>
      </c>
      <c r="E330" s="52">
        <v>200</v>
      </c>
      <c r="F330" s="33" t="b">
        <v>1</v>
      </c>
      <c r="G330" s="33">
        <v>0</v>
      </c>
      <c r="H330" s="52">
        <v>0</v>
      </c>
      <c r="I330" s="33">
        <v>0</v>
      </c>
      <c r="J330" s="33">
        <v>0</v>
      </c>
      <c r="K330" s="33">
        <v>0</v>
      </c>
      <c r="L330" s="40" t="b">
        <v>0</v>
      </c>
      <c r="M330" s="33">
        <v>0</v>
      </c>
      <c r="N330" s="33">
        <v>0</v>
      </c>
      <c r="O330" s="52">
        <v>0</v>
      </c>
      <c r="P330" s="33">
        <v>0</v>
      </c>
      <c r="Q330" s="33">
        <v>0</v>
      </c>
      <c r="R330" s="33"/>
      <c r="S330" s="33"/>
      <c r="T330" s="33" t="s">
        <v>616</v>
      </c>
      <c r="U330" s="41" t="str">
        <f>IFERROR(HYPERLINK("#'Main'!B"&amp;MATCH(TRIM(A330),Main!B:B,0),"Open"),HYPERLINK("#'Main'!B1","Open"))</f>
        <v>Open</v>
      </c>
      <c r="V330" s="41"/>
    </row>
    <row r="331" spans="1:22" ht="30" customHeight="1" x14ac:dyDescent="0.25">
      <c r="A331" s="51" t="s">
        <v>207</v>
      </c>
      <c r="B331" s="42" t="s">
        <v>614</v>
      </c>
      <c r="C331" s="44" t="s">
        <v>706</v>
      </c>
      <c r="D331" s="42"/>
      <c r="E331" s="52">
        <v>200</v>
      </c>
      <c r="F331" s="42" t="b">
        <v>1</v>
      </c>
      <c r="G331" s="42">
        <v>0</v>
      </c>
      <c r="H331" s="52">
        <v>0</v>
      </c>
      <c r="I331" s="42">
        <v>0</v>
      </c>
      <c r="J331" s="42">
        <v>0</v>
      </c>
      <c r="K331" s="42">
        <v>0</v>
      </c>
      <c r="L331" s="46" t="b">
        <v>0</v>
      </c>
      <c r="M331" s="42">
        <v>0</v>
      </c>
      <c r="N331" s="42">
        <v>0</v>
      </c>
      <c r="O331" s="52">
        <v>0</v>
      </c>
      <c r="P331" s="42">
        <v>0</v>
      </c>
      <c r="Q331" s="42">
        <v>0</v>
      </c>
      <c r="R331" s="42"/>
      <c r="S331" s="42"/>
      <c r="T331" s="42" t="s">
        <v>616</v>
      </c>
      <c r="U331" t="str">
        <f>IFERROR(HYPERLINK("#'Main'!B"&amp;MATCH(TRIM(A331),Main!B:B,0),"Open"),HYPERLINK("#'Main'!B1","Open"))</f>
        <v>Open</v>
      </c>
    </row>
    <row r="332" spans="1:22" ht="30" customHeight="1" x14ac:dyDescent="0.25">
      <c r="A332" s="50" t="s">
        <v>207</v>
      </c>
      <c r="B332" s="33" t="s">
        <v>614</v>
      </c>
      <c r="C332" s="37" t="s">
        <v>706</v>
      </c>
      <c r="D332" s="33" t="s">
        <v>707</v>
      </c>
      <c r="E332" s="52">
        <v>200</v>
      </c>
      <c r="F332" s="33" t="b">
        <v>1</v>
      </c>
      <c r="G332" s="33">
        <v>0</v>
      </c>
      <c r="H332" s="52">
        <v>0</v>
      </c>
      <c r="I332" s="33">
        <v>0</v>
      </c>
      <c r="J332" s="33">
        <v>0</v>
      </c>
      <c r="K332" s="33">
        <v>0</v>
      </c>
      <c r="L332" s="40" t="b">
        <v>0</v>
      </c>
      <c r="M332" s="33">
        <v>0</v>
      </c>
      <c r="N332" s="33">
        <v>0</v>
      </c>
      <c r="O332" s="52">
        <v>0</v>
      </c>
      <c r="P332" s="33">
        <v>0</v>
      </c>
      <c r="Q332" s="33">
        <v>0</v>
      </c>
      <c r="R332" s="33"/>
      <c r="S332" s="33"/>
      <c r="T332" s="33" t="s">
        <v>616</v>
      </c>
      <c r="U332" s="41" t="str">
        <f>IFERROR(HYPERLINK("#'Main'!B"&amp;MATCH(TRIM(A332),Main!B:B,0),"Open"),HYPERLINK("#'Main'!B1","Open"))</f>
        <v>Open</v>
      </c>
      <c r="V332" s="41"/>
    </row>
    <row r="333" spans="1:22" ht="30" customHeight="1" x14ac:dyDescent="0.25">
      <c r="A333" s="51" t="s">
        <v>207</v>
      </c>
      <c r="B333" s="42" t="s">
        <v>614</v>
      </c>
      <c r="C333" s="44" t="s">
        <v>706</v>
      </c>
      <c r="D333" s="42" t="s">
        <v>678</v>
      </c>
      <c r="E333" s="52">
        <v>200</v>
      </c>
      <c r="F333" s="42" t="b">
        <v>1</v>
      </c>
      <c r="G333" s="42">
        <v>0</v>
      </c>
      <c r="H333" s="52">
        <v>0</v>
      </c>
      <c r="I333" s="42">
        <v>0</v>
      </c>
      <c r="J333" s="42">
        <v>0</v>
      </c>
      <c r="K333" s="42">
        <v>0</v>
      </c>
      <c r="L333" s="46" t="b">
        <v>0</v>
      </c>
      <c r="M333" s="42">
        <v>0</v>
      </c>
      <c r="N333" s="42">
        <v>0</v>
      </c>
      <c r="O333" s="52">
        <v>0</v>
      </c>
      <c r="P333" s="42">
        <v>0</v>
      </c>
      <c r="Q333" s="42">
        <v>0</v>
      </c>
      <c r="R333" s="42"/>
      <c r="S333" s="42"/>
      <c r="T333" s="42" t="s">
        <v>616</v>
      </c>
      <c r="U333" t="str">
        <f>IFERROR(HYPERLINK("#'Main'!B"&amp;MATCH(TRIM(A333),Main!B:B,0),"Open"),HYPERLINK("#'Main'!B1","Open"))</f>
        <v>Open</v>
      </c>
    </row>
    <row r="334" spans="1:22" ht="30" customHeight="1" x14ac:dyDescent="0.25">
      <c r="A334" s="50" t="s">
        <v>207</v>
      </c>
      <c r="B334" s="33" t="s">
        <v>614</v>
      </c>
      <c r="C334" s="37" t="s">
        <v>708</v>
      </c>
      <c r="D334" s="33"/>
      <c r="E334" s="52">
        <v>200</v>
      </c>
      <c r="F334" s="33" t="b">
        <v>1</v>
      </c>
      <c r="G334" s="33">
        <v>0</v>
      </c>
      <c r="H334" s="52">
        <v>0</v>
      </c>
      <c r="I334" s="33">
        <v>0</v>
      </c>
      <c r="J334" s="33">
        <v>0</v>
      </c>
      <c r="K334" s="33">
        <v>0</v>
      </c>
      <c r="L334" s="40" t="b">
        <v>0</v>
      </c>
      <c r="M334" s="33">
        <v>0</v>
      </c>
      <c r="N334" s="33">
        <v>0</v>
      </c>
      <c r="O334" s="52">
        <v>0</v>
      </c>
      <c r="P334" s="33">
        <v>0</v>
      </c>
      <c r="Q334" s="33">
        <v>0</v>
      </c>
      <c r="R334" s="33"/>
      <c r="S334" s="33"/>
      <c r="T334" s="33" t="s">
        <v>616</v>
      </c>
      <c r="U334" s="41" t="str">
        <f>IFERROR(HYPERLINK("#'Main'!B"&amp;MATCH(TRIM(A334),Main!B:B,0),"Open"),HYPERLINK("#'Main'!B1","Open"))</f>
        <v>Open</v>
      </c>
      <c r="V334" s="41"/>
    </row>
    <row r="335" spans="1:22" ht="30" customHeight="1" x14ac:dyDescent="0.25">
      <c r="A335" s="51" t="s">
        <v>207</v>
      </c>
      <c r="B335" s="42" t="s">
        <v>614</v>
      </c>
      <c r="C335" s="44" t="s">
        <v>709</v>
      </c>
      <c r="D335" s="42"/>
      <c r="E335" s="52">
        <v>200</v>
      </c>
      <c r="F335" s="42" t="b">
        <v>1</v>
      </c>
      <c r="G335" s="42">
        <v>0</v>
      </c>
      <c r="H335" s="52">
        <v>0</v>
      </c>
      <c r="I335" s="42">
        <v>0</v>
      </c>
      <c r="J335" s="42">
        <v>0</v>
      </c>
      <c r="K335" s="42">
        <v>0</v>
      </c>
      <c r="L335" s="46" t="b">
        <v>0</v>
      </c>
      <c r="M335" s="42">
        <v>0</v>
      </c>
      <c r="N335" s="42">
        <v>0</v>
      </c>
      <c r="O335" s="52">
        <v>0</v>
      </c>
      <c r="P335" s="42">
        <v>0</v>
      </c>
      <c r="Q335" s="42">
        <v>0</v>
      </c>
      <c r="R335" s="42"/>
      <c r="S335" s="42"/>
      <c r="T335" s="42" t="s">
        <v>616</v>
      </c>
      <c r="U335" t="str">
        <f>IFERROR(HYPERLINK("#'Main'!B"&amp;MATCH(TRIM(A335),Main!B:B,0),"Open"),HYPERLINK("#'Main'!B1","Open"))</f>
        <v>Open</v>
      </c>
    </row>
    <row r="336" spans="1:22" ht="30" customHeight="1" x14ac:dyDescent="0.25">
      <c r="A336" s="50" t="s">
        <v>207</v>
      </c>
      <c r="B336" s="33" t="s">
        <v>614</v>
      </c>
      <c r="C336" s="37" t="s">
        <v>710</v>
      </c>
      <c r="D336" s="33"/>
      <c r="E336" s="52">
        <v>200</v>
      </c>
      <c r="F336" s="33" t="b">
        <v>1</v>
      </c>
      <c r="G336" s="33">
        <v>0</v>
      </c>
      <c r="H336" s="52">
        <v>0</v>
      </c>
      <c r="I336" s="33">
        <v>0</v>
      </c>
      <c r="J336" s="33">
        <v>0</v>
      </c>
      <c r="K336" s="33">
        <v>0</v>
      </c>
      <c r="L336" s="40" t="b">
        <v>0</v>
      </c>
      <c r="M336" s="33">
        <v>0</v>
      </c>
      <c r="N336" s="33">
        <v>0</v>
      </c>
      <c r="O336" s="52">
        <v>0</v>
      </c>
      <c r="P336" s="33">
        <v>0</v>
      </c>
      <c r="Q336" s="33">
        <v>0</v>
      </c>
      <c r="R336" s="33"/>
      <c r="S336" s="33"/>
      <c r="T336" s="33" t="s">
        <v>616</v>
      </c>
      <c r="U336" s="41" t="str">
        <f>IFERROR(HYPERLINK("#'Main'!B"&amp;MATCH(TRIM(A336),Main!B:B,0),"Open"),HYPERLINK("#'Main'!B1","Open"))</f>
        <v>Open</v>
      </c>
      <c r="V336" s="41"/>
    </row>
    <row r="337" spans="1:22" ht="30" customHeight="1" x14ac:dyDescent="0.25">
      <c r="A337" s="51" t="s">
        <v>207</v>
      </c>
      <c r="B337" s="42" t="s">
        <v>614</v>
      </c>
      <c r="C337" s="44" t="s">
        <v>711</v>
      </c>
      <c r="D337" s="42"/>
      <c r="E337" s="52">
        <v>200</v>
      </c>
      <c r="F337" s="42" t="b">
        <v>1</v>
      </c>
      <c r="G337" s="42">
        <v>0</v>
      </c>
      <c r="H337" s="52">
        <v>0</v>
      </c>
      <c r="I337" s="42">
        <v>0</v>
      </c>
      <c r="J337" s="42">
        <v>0</v>
      </c>
      <c r="K337" s="42">
        <v>0</v>
      </c>
      <c r="L337" s="46" t="b">
        <v>0</v>
      </c>
      <c r="M337" s="42">
        <v>0</v>
      </c>
      <c r="N337" s="42">
        <v>0</v>
      </c>
      <c r="O337" s="52">
        <v>0</v>
      </c>
      <c r="P337" s="42">
        <v>0</v>
      </c>
      <c r="Q337" s="42">
        <v>0</v>
      </c>
      <c r="R337" s="42"/>
      <c r="S337" s="42"/>
      <c r="T337" s="42" t="s">
        <v>616</v>
      </c>
      <c r="U337" t="str">
        <f>IFERROR(HYPERLINK("#'Main'!B"&amp;MATCH(TRIM(A337),Main!B:B,0),"Open"),HYPERLINK("#'Main'!B1","Open"))</f>
        <v>Open</v>
      </c>
    </row>
    <row r="338" spans="1:22" ht="30" customHeight="1" x14ac:dyDescent="0.25">
      <c r="A338" s="50" t="s">
        <v>207</v>
      </c>
      <c r="B338" s="33" t="s">
        <v>614</v>
      </c>
      <c r="C338" s="37" t="s">
        <v>712</v>
      </c>
      <c r="D338" s="33"/>
      <c r="E338" s="52">
        <v>200</v>
      </c>
      <c r="F338" s="33" t="b">
        <v>1</v>
      </c>
      <c r="G338" s="33">
        <v>0</v>
      </c>
      <c r="H338" s="52">
        <v>0</v>
      </c>
      <c r="I338" s="33">
        <v>0</v>
      </c>
      <c r="J338" s="33">
        <v>0</v>
      </c>
      <c r="K338" s="33">
        <v>0</v>
      </c>
      <c r="L338" s="40" t="b">
        <v>0</v>
      </c>
      <c r="M338" s="33">
        <v>0</v>
      </c>
      <c r="N338" s="33">
        <v>0</v>
      </c>
      <c r="O338" s="52">
        <v>0</v>
      </c>
      <c r="P338" s="33">
        <v>0</v>
      </c>
      <c r="Q338" s="33">
        <v>0</v>
      </c>
      <c r="R338" s="33"/>
      <c r="S338" s="33"/>
      <c r="T338" s="33" t="s">
        <v>616</v>
      </c>
      <c r="U338" s="41" t="str">
        <f>IFERROR(HYPERLINK("#'Main'!B"&amp;MATCH(TRIM(A338),Main!B:B,0),"Open"),HYPERLINK("#'Main'!B1","Open"))</f>
        <v>Open</v>
      </c>
      <c r="V338" s="41"/>
    </row>
    <row r="339" spans="1:22" ht="30" customHeight="1" x14ac:dyDescent="0.25">
      <c r="A339" s="51" t="s">
        <v>207</v>
      </c>
      <c r="B339" s="42" t="s">
        <v>614</v>
      </c>
      <c r="C339" s="44" t="s">
        <v>713</v>
      </c>
      <c r="D339" s="42"/>
      <c r="E339" s="52">
        <v>200</v>
      </c>
      <c r="F339" s="42" t="b">
        <v>1</v>
      </c>
      <c r="G339" s="42">
        <v>0</v>
      </c>
      <c r="H339" s="52">
        <v>0</v>
      </c>
      <c r="I339" s="42">
        <v>0</v>
      </c>
      <c r="J339" s="42">
        <v>0</v>
      </c>
      <c r="K339" s="42">
        <v>0</v>
      </c>
      <c r="L339" s="46" t="b">
        <v>0</v>
      </c>
      <c r="M339" s="42">
        <v>0</v>
      </c>
      <c r="N339" s="42">
        <v>0</v>
      </c>
      <c r="O339" s="52">
        <v>0</v>
      </c>
      <c r="P339" s="42">
        <v>0</v>
      </c>
      <c r="Q339" s="42">
        <v>0</v>
      </c>
      <c r="R339" s="42"/>
      <c r="S339" s="42"/>
      <c r="T339" s="42" t="s">
        <v>616</v>
      </c>
      <c r="U339" t="str">
        <f>IFERROR(HYPERLINK("#'Main'!B"&amp;MATCH(TRIM(A339),Main!B:B,0),"Open"),HYPERLINK("#'Main'!B1","Open"))</f>
        <v>Open</v>
      </c>
    </row>
    <row r="340" spans="1:22" ht="30" customHeight="1" x14ac:dyDescent="0.25">
      <c r="A340" s="50" t="s">
        <v>207</v>
      </c>
      <c r="B340" s="33" t="s">
        <v>614</v>
      </c>
      <c r="C340" s="37" t="s">
        <v>714</v>
      </c>
      <c r="D340" s="33"/>
      <c r="E340" s="52">
        <v>200</v>
      </c>
      <c r="F340" s="33" t="b">
        <v>1</v>
      </c>
      <c r="G340" s="33">
        <v>0</v>
      </c>
      <c r="H340" s="52">
        <v>0</v>
      </c>
      <c r="I340" s="33">
        <v>0</v>
      </c>
      <c r="J340" s="33">
        <v>0</v>
      </c>
      <c r="K340" s="33">
        <v>0</v>
      </c>
      <c r="L340" s="40" t="b">
        <v>0</v>
      </c>
      <c r="M340" s="33">
        <v>0</v>
      </c>
      <c r="N340" s="33">
        <v>0</v>
      </c>
      <c r="O340" s="52">
        <v>0</v>
      </c>
      <c r="P340" s="33">
        <v>0</v>
      </c>
      <c r="Q340" s="33">
        <v>0</v>
      </c>
      <c r="R340" s="33"/>
      <c r="S340" s="33"/>
      <c r="T340" s="33" t="s">
        <v>616</v>
      </c>
      <c r="U340" s="41" t="str">
        <f>IFERROR(HYPERLINK("#'Main'!B"&amp;MATCH(TRIM(A340),Main!B:B,0),"Open"),HYPERLINK("#'Main'!B1","Open"))</f>
        <v>Open</v>
      </c>
      <c r="V340" s="41"/>
    </row>
    <row r="341" spans="1:22" ht="30" customHeight="1" x14ac:dyDescent="0.25">
      <c r="A341" s="51" t="s">
        <v>207</v>
      </c>
      <c r="B341" s="42" t="s">
        <v>614</v>
      </c>
      <c r="C341" s="44" t="s">
        <v>715</v>
      </c>
      <c r="D341" s="42"/>
      <c r="E341" s="52">
        <v>200</v>
      </c>
      <c r="F341" s="42" t="b">
        <v>1</v>
      </c>
      <c r="G341" s="42">
        <v>0</v>
      </c>
      <c r="H341" s="52">
        <v>0</v>
      </c>
      <c r="I341" s="42">
        <v>0</v>
      </c>
      <c r="J341" s="42">
        <v>0</v>
      </c>
      <c r="K341" s="42">
        <v>0</v>
      </c>
      <c r="L341" s="46" t="b">
        <v>0</v>
      </c>
      <c r="M341" s="42">
        <v>0</v>
      </c>
      <c r="N341" s="42">
        <v>0</v>
      </c>
      <c r="O341" s="52">
        <v>0</v>
      </c>
      <c r="P341" s="42">
        <v>0</v>
      </c>
      <c r="Q341" s="42">
        <v>0</v>
      </c>
      <c r="R341" s="42"/>
      <c r="S341" s="42"/>
      <c r="T341" s="42" t="s">
        <v>616</v>
      </c>
      <c r="U341" t="str">
        <f>IFERROR(HYPERLINK("#'Main'!B"&amp;MATCH(TRIM(A341),Main!B:B,0),"Open"),HYPERLINK("#'Main'!B1","Open"))</f>
        <v>Open</v>
      </c>
    </row>
    <row r="342" spans="1:22" ht="30" customHeight="1" x14ac:dyDescent="0.25">
      <c r="A342" s="50" t="s">
        <v>207</v>
      </c>
      <c r="B342" s="33" t="s">
        <v>614</v>
      </c>
      <c r="C342" s="37" t="s">
        <v>716</v>
      </c>
      <c r="D342" s="33"/>
      <c r="E342" s="52">
        <v>200</v>
      </c>
      <c r="F342" s="33" t="b">
        <v>1</v>
      </c>
      <c r="G342" s="33">
        <v>0</v>
      </c>
      <c r="H342" s="52">
        <v>0</v>
      </c>
      <c r="I342" s="33">
        <v>0</v>
      </c>
      <c r="J342" s="33">
        <v>0</v>
      </c>
      <c r="K342" s="33">
        <v>0</v>
      </c>
      <c r="L342" s="40" t="b">
        <v>0</v>
      </c>
      <c r="M342" s="33">
        <v>0</v>
      </c>
      <c r="N342" s="33">
        <v>0</v>
      </c>
      <c r="O342" s="52">
        <v>0</v>
      </c>
      <c r="P342" s="33">
        <v>0</v>
      </c>
      <c r="Q342" s="33">
        <v>0</v>
      </c>
      <c r="R342" s="33"/>
      <c r="S342" s="33"/>
      <c r="T342" s="33" t="s">
        <v>616</v>
      </c>
      <c r="U342" s="41" t="str">
        <f>IFERROR(HYPERLINK("#'Main'!B"&amp;MATCH(TRIM(A342),Main!B:B,0),"Open"),HYPERLINK("#'Main'!B1","Open"))</f>
        <v>Open</v>
      </c>
      <c r="V342" s="41"/>
    </row>
    <row r="343" spans="1:22" ht="30" customHeight="1" x14ac:dyDescent="0.25">
      <c r="A343" s="51" t="s">
        <v>207</v>
      </c>
      <c r="B343" s="42" t="s">
        <v>614</v>
      </c>
      <c r="C343" s="44" t="s">
        <v>717</v>
      </c>
      <c r="D343" s="42"/>
      <c r="E343" s="52">
        <v>200</v>
      </c>
      <c r="F343" s="42" t="b">
        <v>1</v>
      </c>
      <c r="G343" s="42">
        <v>0</v>
      </c>
      <c r="H343" s="52">
        <v>0</v>
      </c>
      <c r="I343" s="42">
        <v>0</v>
      </c>
      <c r="J343" s="42">
        <v>0</v>
      </c>
      <c r="K343" s="42">
        <v>0</v>
      </c>
      <c r="L343" s="46" t="b">
        <v>0</v>
      </c>
      <c r="M343" s="42">
        <v>0</v>
      </c>
      <c r="N343" s="42">
        <v>0</v>
      </c>
      <c r="O343" s="52">
        <v>0</v>
      </c>
      <c r="P343" s="42">
        <v>0</v>
      </c>
      <c r="Q343" s="42">
        <v>0</v>
      </c>
      <c r="R343" s="42"/>
      <c r="S343" s="42"/>
      <c r="T343" s="42" t="s">
        <v>616</v>
      </c>
      <c r="U343" t="str">
        <f>IFERROR(HYPERLINK("#'Main'!B"&amp;MATCH(TRIM(A343),Main!B:B,0),"Open"),HYPERLINK("#'Main'!B1","Open"))</f>
        <v>Open</v>
      </c>
    </row>
    <row r="344" spans="1:22" ht="30" customHeight="1" x14ac:dyDescent="0.25">
      <c r="A344" s="50" t="s">
        <v>207</v>
      </c>
      <c r="B344" s="33" t="s">
        <v>614</v>
      </c>
      <c r="C344" s="37" t="s">
        <v>718</v>
      </c>
      <c r="D344" s="33"/>
      <c r="E344" s="52">
        <v>200</v>
      </c>
      <c r="F344" s="33" t="b">
        <v>1</v>
      </c>
      <c r="G344" s="33">
        <v>0</v>
      </c>
      <c r="H344" s="52">
        <v>0</v>
      </c>
      <c r="I344" s="33">
        <v>0</v>
      </c>
      <c r="J344" s="33">
        <v>0</v>
      </c>
      <c r="K344" s="33">
        <v>0</v>
      </c>
      <c r="L344" s="40" t="b">
        <v>0</v>
      </c>
      <c r="M344" s="33">
        <v>0</v>
      </c>
      <c r="N344" s="33">
        <v>0</v>
      </c>
      <c r="O344" s="52">
        <v>0</v>
      </c>
      <c r="P344" s="33">
        <v>0</v>
      </c>
      <c r="Q344" s="33">
        <v>0</v>
      </c>
      <c r="R344" s="33"/>
      <c r="S344" s="33"/>
      <c r="T344" s="33" t="s">
        <v>616</v>
      </c>
      <c r="U344" s="41" t="str">
        <f>IFERROR(HYPERLINK("#'Main'!B"&amp;MATCH(TRIM(A344),Main!B:B,0),"Open"),HYPERLINK("#'Main'!B1","Open"))</f>
        <v>Open</v>
      </c>
      <c r="V344" s="41"/>
    </row>
    <row r="345" spans="1:22" ht="30" customHeight="1" x14ac:dyDescent="0.25">
      <c r="A345" s="51" t="s">
        <v>207</v>
      </c>
      <c r="B345" s="42" t="s">
        <v>614</v>
      </c>
      <c r="C345" s="44" t="s">
        <v>719</v>
      </c>
      <c r="D345" s="42"/>
      <c r="E345" s="52">
        <v>200</v>
      </c>
      <c r="F345" s="42" t="b">
        <v>1</v>
      </c>
      <c r="G345" s="42">
        <v>0</v>
      </c>
      <c r="H345" s="52">
        <v>0</v>
      </c>
      <c r="I345" s="42">
        <v>0</v>
      </c>
      <c r="J345" s="42">
        <v>0</v>
      </c>
      <c r="K345" s="42">
        <v>0</v>
      </c>
      <c r="L345" s="46" t="b">
        <v>0</v>
      </c>
      <c r="M345" s="42">
        <v>0</v>
      </c>
      <c r="N345" s="42">
        <v>0</v>
      </c>
      <c r="O345" s="52">
        <v>0</v>
      </c>
      <c r="P345" s="42">
        <v>0</v>
      </c>
      <c r="Q345" s="42">
        <v>0</v>
      </c>
      <c r="R345" s="42"/>
      <c r="S345" s="42"/>
      <c r="T345" s="42" t="s">
        <v>616</v>
      </c>
      <c r="U345" t="str">
        <f>IFERROR(HYPERLINK("#'Main'!B"&amp;MATCH(TRIM(A345),Main!B:B,0),"Open"),HYPERLINK("#'Main'!B1","Open"))</f>
        <v>Open</v>
      </c>
    </row>
    <row r="346" spans="1:22" ht="30" customHeight="1" x14ac:dyDescent="0.25">
      <c r="A346" s="50" t="s">
        <v>207</v>
      </c>
      <c r="B346" s="33" t="s">
        <v>614</v>
      </c>
      <c r="C346" s="37" t="s">
        <v>720</v>
      </c>
      <c r="D346" s="33"/>
      <c r="E346" s="52">
        <v>200</v>
      </c>
      <c r="F346" s="33" t="b">
        <v>1</v>
      </c>
      <c r="G346" s="33">
        <v>0</v>
      </c>
      <c r="H346" s="52">
        <v>0</v>
      </c>
      <c r="I346" s="33">
        <v>0</v>
      </c>
      <c r="J346" s="33">
        <v>0</v>
      </c>
      <c r="K346" s="33">
        <v>0</v>
      </c>
      <c r="L346" s="40" t="b">
        <v>0</v>
      </c>
      <c r="M346" s="33">
        <v>0</v>
      </c>
      <c r="N346" s="33">
        <v>0</v>
      </c>
      <c r="O346" s="52">
        <v>0</v>
      </c>
      <c r="P346" s="33">
        <v>0</v>
      </c>
      <c r="Q346" s="33">
        <v>0</v>
      </c>
      <c r="R346" s="33"/>
      <c r="S346" s="33"/>
      <c r="T346" s="33" t="s">
        <v>616</v>
      </c>
      <c r="U346" s="41" t="str">
        <f>IFERROR(HYPERLINK("#'Main'!B"&amp;MATCH(TRIM(A346),Main!B:B,0),"Open"),HYPERLINK("#'Main'!B1","Open"))</f>
        <v>Open</v>
      </c>
      <c r="V346" s="41"/>
    </row>
    <row r="347" spans="1:22" ht="30" customHeight="1" x14ac:dyDescent="0.25">
      <c r="A347" s="51" t="s">
        <v>207</v>
      </c>
      <c r="B347" s="42" t="s">
        <v>614</v>
      </c>
      <c r="C347" s="44" t="s">
        <v>721</v>
      </c>
      <c r="D347" s="42"/>
      <c r="E347" s="52">
        <v>200</v>
      </c>
      <c r="F347" s="42" t="b">
        <v>1</v>
      </c>
      <c r="G347" s="42">
        <v>0</v>
      </c>
      <c r="H347" s="52">
        <v>0</v>
      </c>
      <c r="I347" s="42">
        <v>0</v>
      </c>
      <c r="J347" s="42">
        <v>0</v>
      </c>
      <c r="K347" s="42">
        <v>0</v>
      </c>
      <c r="L347" s="46" t="b">
        <v>0</v>
      </c>
      <c r="M347" s="42">
        <v>0</v>
      </c>
      <c r="N347" s="42">
        <v>0</v>
      </c>
      <c r="O347" s="52">
        <v>0</v>
      </c>
      <c r="P347" s="42">
        <v>0</v>
      </c>
      <c r="Q347" s="42">
        <v>0</v>
      </c>
      <c r="R347" s="42"/>
      <c r="S347" s="42"/>
      <c r="T347" s="42" t="s">
        <v>616</v>
      </c>
      <c r="U347" t="str">
        <f>IFERROR(HYPERLINK("#'Main'!B"&amp;MATCH(TRIM(A347),Main!B:B,0),"Open"),HYPERLINK("#'Main'!B1","Open"))</f>
        <v>Open</v>
      </c>
    </row>
    <row r="348" spans="1:22" ht="30" customHeight="1" x14ac:dyDescent="0.25">
      <c r="A348" s="50" t="s">
        <v>207</v>
      </c>
      <c r="B348" s="33" t="s">
        <v>614</v>
      </c>
      <c r="C348" s="37" t="s">
        <v>722</v>
      </c>
      <c r="D348" s="33"/>
      <c r="E348" s="52">
        <v>200</v>
      </c>
      <c r="F348" s="33" t="b">
        <v>1</v>
      </c>
      <c r="G348" s="33">
        <v>0</v>
      </c>
      <c r="H348" s="52">
        <v>0</v>
      </c>
      <c r="I348" s="33">
        <v>0</v>
      </c>
      <c r="J348" s="33">
        <v>0</v>
      </c>
      <c r="K348" s="33">
        <v>0</v>
      </c>
      <c r="L348" s="40" t="b">
        <v>0</v>
      </c>
      <c r="M348" s="33">
        <v>0</v>
      </c>
      <c r="N348" s="33">
        <v>0</v>
      </c>
      <c r="O348" s="52">
        <v>0</v>
      </c>
      <c r="P348" s="33">
        <v>0</v>
      </c>
      <c r="Q348" s="33">
        <v>0</v>
      </c>
      <c r="R348" s="33"/>
      <c r="S348" s="33"/>
      <c r="T348" s="33" t="s">
        <v>616</v>
      </c>
      <c r="U348" s="41" t="str">
        <f>IFERROR(HYPERLINK("#'Main'!B"&amp;MATCH(TRIM(A348),Main!B:B,0),"Open"),HYPERLINK("#'Main'!B1","Open"))</f>
        <v>Open</v>
      </c>
      <c r="V348" s="41"/>
    </row>
    <row r="349" spans="1:22" ht="30" customHeight="1" x14ac:dyDescent="0.25">
      <c r="A349" s="51" t="s">
        <v>207</v>
      </c>
      <c r="B349" s="42" t="s">
        <v>614</v>
      </c>
      <c r="C349" s="44" t="s">
        <v>723</v>
      </c>
      <c r="D349" s="42"/>
      <c r="E349" s="52">
        <v>200</v>
      </c>
      <c r="F349" s="42" t="b">
        <v>1</v>
      </c>
      <c r="G349" s="42">
        <v>0</v>
      </c>
      <c r="H349" s="52">
        <v>0</v>
      </c>
      <c r="I349" s="42">
        <v>0</v>
      </c>
      <c r="J349" s="42">
        <v>0</v>
      </c>
      <c r="K349" s="42">
        <v>0</v>
      </c>
      <c r="L349" s="46" t="b">
        <v>0</v>
      </c>
      <c r="M349" s="42">
        <v>0</v>
      </c>
      <c r="N349" s="42">
        <v>0</v>
      </c>
      <c r="O349" s="52">
        <v>0</v>
      </c>
      <c r="P349" s="42">
        <v>0</v>
      </c>
      <c r="Q349" s="42">
        <v>0</v>
      </c>
      <c r="R349" s="42"/>
      <c r="S349" s="42"/>
      <c r="T349" s="42" t="s">
        <v>616</v>
      </c>
      <c r="U349" t="str">
        <f>IFERROR(HYPERLINK("#'Main'!B"&amp;MATCH(TRIM(A349),Main!B:B,0),"Open"),HYPERLINK("#'Main'!B1","Open"))</f>
        <v>Open</v>
      </c>
    </row>
    <row r="350" spans="1:22" ht="30" customHeight="1" x14ac:dyDescent="0.25">
      <c r="A350" s="50" t="s">
        <v>207</v>
      </c>
      <c r="B350" s="33" t="s">
        <v>614</v>
      </c>
      <c r="C350" s="37" t="s">
        <v>724</v>
      </c>
      <c r="D350" s="33"/>
      <c r="E350" s="52">
        <v>200</v>
      </c>
      <c r="F350" s="33" t="b">
        <v>1</v>
      </c>
      <c r="G350" s="33">
        <v>0</v>
      </c>
      <c r="H350" s="52">
        <v>0</v>
      </c>
      <c r="I350" s="33">
        <v>0</v>
      </c>
      <c r="J350" s="33">
        <v>0</v>
      </c>
      <c r="K350" s="33">
        <v>0</v>
      </c>
      <c r="L350" s="40" t="b">
        <v>0</v>
      </c>
      <c r="M350" s="33">
        <v>0</v>
      </c>
      <c r="N350" s="33">
        <v>0</v>
      </c>
      <c r="O350" s="52">
        <v>0</v>
      </c>
      <c r="P350" s="33">
        <v>0</v>
      </c>
      <c r="Q350" s="33">
        <v>0</v>
      </c>
      <c r="R350" s="33"/>
      <c r="S350" s="33"/>
      <c r="T350" s="33" t="s">
        <v>616</v>
      </c>
      <c r="U350" s="41" t="str">
        <f>IFERROR(HYPERLINK("#'Main'!B"&amp;MATCH(TRIM(A350),Main!B:B,0),"Open"),HYPERLINK("#'Main'!B1","Open"))</f>
        <v>Open</v>
      </c>
      <c r="V350" s="41"/>
    </row>
    <row r="351" spans="1:22" ht="30" customHeight="1" x14ac:dyDescent="0.25">
      <c r="A351" s="51" t="s">
        <v>207</v>
      </c>
      <c r="B351" s="42" t="s">
        <v>614</v>
      </c>
      <c r="C351" s="44" t="s">
        <v>725</v>
      </c>
      <c r="D351" s="42"/>
      <c r="E351" s="52">
        <v>200</v>
      </c>
      <c r="F351" s="42" t="b">
        <v>1</v>
      </c>
      <c r="G351" s="42">
        <v>0</v>
      </c>
      <c r="H351" s="52">
        <v>0</v>
      </c>
      <c r="I351" s="42">
        <v>0</v>
      </c>
      <c r="J351" s="42">
        <v>0</v>
      </c>
      <c r="K351" s="42">
        <v>0</v>
      </c>
      <c r="L351" s="46" t="b">
        <v>0</v>
      </c>
      <c r="M351" s="42">
        <v>0</v>
      </c>
      <c r="N351" s="42">
        <v>0</v>
      </c>
      <c r="O351" s="52">
        <v>0</v>
      </c>
      <c r="P351" s="42">
        <v>0</v>
      </c>
      <c r="Q351" s="42">
        <v>0</v>
      </c>
      <c r="R351" s="42"/>
      <c r="S351" s="42"/>
      <c r="T351" s="42" t="s">
        <v>616</v>
      </c>
      <c r="U351" t="str">
        <f>IFERROR(HYPERLINK("#'Main'!B"&amp;MATCH(TRIM(A351),Main!B:B,0),"Open"),HYPERLINK("#'Main'!B1","Open"))</f>
        <v>Open</v>
      </c>
    </row>
    <row r="352" spans="1:22" ht="30" customHeight="1" x14ac:dyDescent="0.25">
      <c r="A352" s="50" t="s">
        <v>207</v>
      </c>
      <c r="B352" s="33" t="s">
        <v>614</v>
      </c>
      <c r="C352" s="37" t="s">
        <v>726</v>
      </c>
      <c r="D352" s="33"/>
      <c r="E352" s="52">
        <v>200</v>
      </c>
      <c r="F352" s="33" t="b">
        <v>1</v>
      </c>
      <c r="G352" s="33">
        <v>0</v>
      </c>
      <c r="H352" s="52">
        <v>0</v>
      </c>
      <c r="I352" s="33">
        <v>0</v>
      </c>
      <c r="J352" s="33">
        <v>0</v>
      </c>
      <c r="K352" s="33">
        <v>0</v>
      </c>
      <c r="L352" s="40" t="b">
        <v>0</v>
      </c>
      <c r="M352" s="33">
        <v>0</v>
      </c>
      <c r="N352" s="33">
        <v>0</v>
      </c>
      <c r="O352" s="52">
        <v>0</v>
      </c>
      <c r="P352" s="33">
        <v>0</v>
      </c>
      <c r="Q352" s="33">
        <v>0</v>
      </c>
      <c r="R352" s="33"/>
      <c r="S352" s="33"/>
      <c r="T352" s="33" t="s">
        <v>616</v>
      </c>
      <c r="U352" s="41" t="str">
        <f>IFERROR(HYPERLINK("#'Main'!B"&amp;MATCH(TRIM(A352),Main!B:B,0),"Open"),HYPERLINK("#'Main'!B1","Open"))</f>
        <v>Open</v>
      </c>
      <c r="V352" s="41"/>
    </row>
    <row r="353" spans="1:22" ht="30" customHeight="1" x14ac:dyDescent="0.25">
      <c r="A353" s="51" t="s">
        <v>207</v>
      </c>
      <c r="B353" s="42" t="s">
        <v>614</v>
      </c>
      <c r="C353" s="44" t="s">
        <v>727</v>
      </c>
      <c r="D353" s="42"/>
      <c r="E353" s="52">
        <v>200</v>
      </c>
      <c r="F353" s="42" t="b">
        <v>1</v>
      </c>
      <c r="G353" s="42">
        <v>0</v>
      </c>
      <c r="H353" s="52">
        <v>0</v>
      </c>
      <c r="I353" s="42">
        <v>0</v>
      </c>
      <c r="J353" s="42">
        <v>0</v>
      </c>
      <c r="K353" s="42">
        <v>0</v>
      </c>
      <c r="L353" s="46" t="b">
        <v>0</v>
      </c>
      <c r="M353" s="42">
        <v>0</v>
      </c>
      <c r="N353" s="42">
        <v>0</v>
      </c>
      <c r="O353" s="52">
        <v>0</v>
      </c>
      <c r="P353" s="42">
        <v>0</v>
      </c>
      <c r="Q353" s="42">
        <v>0</v>
      </c>
      <c r="R353" s="42"/>
      <c r="S353" s="42"/>
      <c r="T353" s="42" t="s">
        <v>616</v>
      </c>
      <c r="U353" t="str">
        <f>IFERROR(HYPERLINK("#'Main'!B"&amp;MATCH(TRIM(A353),Main!B:B,0),"Open"),HYPERLINK("#'Main'!B1","Open"))</f>
        <v>Open</v>
      </c>
    </row>
    <row r="354" spans="1:22" ht="30" customHeight="1" x14ac:dyDescent="0.25">
      <c r="A354" s="50" t="s">
        <v>207</v>
      </c>
      <c r="B354" s="33" t="s">
        <v>614</v>
      </c>
      <c r="C354" s="37" t="s">
        <v>728</v>
      </c>
      <c r="D354" s="33"/>
      <c r="E354" s="52">
        <v>200</v>
      </c>
      <c r="F354" s="33" t="b">
        <v>1</v>
      </c>
      <c r="G354" s="33">
        <v>0</v>
      </c>
      <c r="H354" s="52">
        <v>0</v>
      </c>
      <c r="I354" s="33">
        <v>0</v>
      </c>
      <c r="J354" s="33">
        <v>0</v>
      </c>
      <c r="K354" s="33">
        <v>0</v>
      </c>
      <c r="L354" s="40" t="b">
        <v>0</v>
      </c>
      <c r="M354" s="33">
        <v>0</v>
      </c>
      <c r="N354" s="33">
        <v>0</v>
      </c>
      <c r="O354" s="52">
        <v>0</v>
      </c>
      <c r="P354" s="33">
        <v>0</v>
      </c>
      <c r="Q354" s="33">
        <v>0</v>
      </c>
      <c r="R354" s="33"/>
      <c r="S354" s="33"/>
      <c r="T354" s="33" t="s">
        <v>616</v>
      </c>
      <c r="U354" s="41" t="str">
        <f>IFERROR(HYPERLINK("#'Main'!B"&amp;MATCH(TRIM(A354),Main!B:B,0),"Open"),HYPERLINK("#'Main'!B1","Open"))</f>
        <v>Open</v>
      </c>
      <c r="V354" s="41"/>
    </row>
    <row r="355" spans="1:22" ht="30" customHeight="1" x14ac:dyDescent="0.25">
      <c r="A355" s="51" t="s">
        <v>207</v>
      </c>
      <c r="B355" s="42" t="s">
        <v>614</v>
      </c>
      <c r="C355" s="44" t="s">
        <v>729</v>
      </c>
      <c r="D355" s="42"/>
      <c r="E355" s="52">
        <v>200</v>
      </c>
      <c r="F355" s="42" t="b">
        <v>1</v>
      </c>
      <c r="G355" s="42">
        <v>0</v>
      </c>
      <c r="H355" s="52">
        <v>0</v>
      </c>
      <c r="I355" s="42">
        <v>0</v>
      </c>
      <c r="J355" s="42">
        <v>0</v>
      </c>
      <c r="K355" s="42">
        <v>0</v>
      </c>
      <c r="L355" s="46" t="b">
        <v>0</v>
      </c>
      <c r="M355" s="42">
        <v>0</v>
      </c>
      <c r="N355" s="42">
        <v>0</v>
      </c>
      <c r="O355" s="52">
        <v>0</v>
      </c>
      <c r="P355" s="42">
        <v>0</v>
      </c>
      <c r="Q355" s="42">
        <v>0</v>
      </c>
      <c r="R355" s="42"/>
      <c r="S355" s="42"/>
      <c r="T355" s="42" t="s">
        <v>616</v>
      </c>
      <c r="U355" t="str">
        <f>IFERROR(HYPERLINK("#'Main'!B"&amp;MATCH(TRIM(A355),Main!B:B,0),"Open"),HYPERLINK("#'Main'!B1","Open"))</f>
        <v>Open</v>
      </c>
    </row>
    <row r="356" spans="1:22" ht="30" customHeight="1" x14ac:dyDescent="0.25">
      <c r="A356" s="50" t="s">
        <v>207</v>
      </c>
      <c r="B356" s="33" t="s">
        <v>614</v>
      </c>
      <c r="C356" s="37" t="s">
        <v>730</v>
      </c>
      <c r="D356" s="33"/>
      <c r="E356" s="52">
        <v>200</v>
      </c>
      <c r="F356" s="33" t="b">
        <v>1</v>
      </c>
      <c r="G356" s="33">
        <v>0</v>
      </c>
      <c r="H356" s="52">
        <v>0</v>
      </c>
      <c r="I356" s="33">
        <v>0</v>
      </c>
      <c r="J356" s="33">
        <v>0</v>
      </c>
      <c r="K356" s="33">
        <v>0</v>
      </c>
      <c r="L356" s="40" t="b">
        <v>0</v>
      </c>
      <c r="M356" s="33">
        <v>0</v>
      </c>
      <c r="N356" s="33">
        <v>0</v>
      </c>
      <c r="O356" s="52">
        <v>0</v>
      </c>
      <c r="P356" s="33">
        <v>0</v>
      </c>
      <c r="Q356" s="33">
        <v>0</v>
      </c>
      <c r="R356" s="33"/>
      <c r="S356" s="33"/>
      <c r="T356" s="33" t="s">
        <v>616</v>
      </c>
      <c r="U356" s="41" t="str">
        <f>IFERROR(HYPERLINK("#'Main'!B"&amp;MATCH(TRIM(A356),Main!B:B,0),"Open"),HYPERLINK("#'Main'!B1","Open"))</f>
        <v>Open</v>
      </c>
      <c r="V356" s="41"/>
    </row>
    <row r="357" spans="1:22" ht="30" customHeight="1" x14ac:dyDescent="0.25">
      <c r="A357" s="51" t="s">
        <v>207</v>
      </c>
      <c r="B357" s="42" t="s">
        <v>614</v>
      </c>
      <c r="C357" s="44" t="s">
        <v>731</v>
      </c>
      <c r="D357" s="42"/>
      <c r="E357" s="52">
        <v>200</v>
      </c>
      <c r="F357" s="42" t="b">
        <v>1</v>
      </c>
      <c r="G357" s="42">
        <v>0</v>
      </c>
      <c r="H357" s="52">
        <v>0</v>
      </c>
      <c r="I357" s="42">
        <v>0</v>
      </c>
      <c r="J357" s="42">
        <v>0</v>
      </c>
      <c r="K357" s="42">
        <v>0</v>
      </c>
      <c r="L357" s="46" t="b">
        <v>0</v>
      </c>
      <c r="M357" s="42">
        <v>0</v>
      </c>
      <c r="N357" s="42">
        <v>0</v>
      </c>
      <c r="O357" s="52">
        <v>0</v>
      </c>
      <c r="P357" s="42">
        <v>0</v>
      </c>
      <c r="Q357" s="42">
        <v>0</v>
      </c>
      <c r="R357" s="42"/>
      <c r="S357" s="42"/>
      <c r="T357" s="42" t="s">
        <v>616</v>
      </c>
      <c r="U357" t="str">
        <f>IFERROR(HYPERLINK("#'Main'!B"&amp;MATCH(TRIM(A357),Main!B:B,0),"Open"),HYPERLINK("#'Main'!B1","Open"))</f>
        <v>Open</v>
      </c>
    </row>
    <row r="358" spans="1:22" ht="30" customHeight="1" x14ac:dyDescent="0.25">
      <c r="A358" s="50" t="s">
        <v>207</v>
      </c>
      <c r="B358" s="33" t="s">
        <v>614</v>
      </c>
      <c r="C358" s="37" t="s">
        <v>732</v>
      </c>
      <c r="D358" s="33"/>
      <c r="E358" s="52">
        <v>200</v>
      </c>
      <c r="F358" s="33" t="b">
        <v>1</v>
      </c>
      <c r="G358" s="33">
        <v>0</v>
      </c>
      <c r="H358" s="52">
        <v>0</v>
      </c>
      <c r="I358" s="33">
        <v>0</v>
      </c>
      <c r="J358" s="33">
        <v>0</v>
      </c>
      <c r="K358" s="33">
        <v>0</v>
      </c>
      <c r="L358" s="40" t="b">
        <v>0</v>
      </c>
      <c r="M358" s="33">
        <v>0</v>
      </c>
      <c r="N358" s="33">
        <v>0</v>
      </c>
      <c r="O358" s="52">
        <v>0</v>
      </c>
      <c r="P358" s="33">
        <v>0</v>
      </c>
      <c r="Q358" s="33">
        <v>0</v>
      </c>
      <c r="R358" s="33"/>
      <c r="S358" s="33"/>
      <c r="T358" s="33" t="s">
        <v>616</v>
      </c>
      <c r="U358" s="41" t="str">
        <f>IFERROR(HYPERLINK("#'Main'!B"&amp;MATCH(TRIM(A358),Main!B:B,0),"Open"),HYPERLINK("#'Main'!B1","Open"))</f>
        <v>Open</v>
      </c>
      <c r="V358" s="41"/>
    </row>
    <row r="359" spans="1:22" ht="30" customHeight="1" x14ac:dyDescent="0.25">
      <c r="A359" s="51" t="s">
        <v>207</v>
      </c>
      <c r="B359" s="42" t="s">
        <v>614</v>
      </c>
      <c r="C359" s="44" t="s">
        <v>733</v>
      </c>
      <c r="D359" s="42"/>
      <c r="E359" s="52">
        <v>200</v>
      </c>
      <c r="F359" s="42" t="b">
        <v>1</v>
      </c>
      <c r="G359" s="42">
        <v>0</v>
      </c>
      <c r="H359" s="52">
        <v>0</v>
      </c>
      <c r="I359" s="42">
        <v>0</v>
      </c>
      <c r="J359" s="42">
        <v>0</v>
      </c>
      <c r="K359" s="42">
        <v>0</v>
      </c>
      <c r="L359" s="46" t="b">
        <v>0</v>
      </c>
      <c r="M359" s="42">
        <v>0</v>
      </c>
      <c r="N359" s="42">
        <v>0</v>
      </c>
      <c r="O359" s="52">
        <v>0</v>
      </c>
      <c r="P359" s="42">
        <v>0</v>
      </c>
      <c r="Q359" s="42">
        <v>0</v>
      </c>
      <c r="R359" s="42"/>
      <c r="S359" s="42"/>
      <c r="T359" s="42" t="s">
        <v>616</v>
      </c>
      <c r="U359" t="str">
        <f>IFERROR(HYPERLINK("#'Main'!B"&amp;MATCH(TRIM(A359),Main!B:B,0),"Open"),HYPERLINK("#'Main'!B1","Open"))</f>
        <v>Open</v>
      </c>
    </row>
    <row r="360" spans="1:22" ht="30" customHeight="1" x14ac:dyDescent="0.25">
      <c r="A360" s="50" t="s">
        <v>207</v>
      </c>
      <c r="B360" s="33" t="s">
        <v>614</v>
      </c>
      <c r="C360" s="37" t="s">
        <v>734</v>
      </c>
      <c r="D360" s="33"/>
      <c r="E360" s="52">
        <v>200</v>
      </c>
      <c r="F360" s="33" t="b">
        <v>1</v>
      </c>
      <c r="G360" s="33">
        <v>0</v>
      </c>
      <c r="H360" s="52">
        <v>0</v>
      </c>
      <c r="I360" s="33">
        <v>0</v>
      </c>
      <c r="J360" s="33">
        <v>0</v>
      </c>
      <c r="K360" s="33">
        <v>0</v>
      </c>
      <c r="L360" s="40" t="b">
        <v>0</v>
      </c>
      <c r="M360" s="33">
        <v>0</v>
      </c>
      <c r="N360" s="33">
        <v>0</v>
      </c>
      <c r="O360" s="52">
        <v>0</v>
      </c>
      <c r="P360" s="33">
        <v>0</v>
      </c>
      <c r="Q360" s="33">
        <v>0</v>
      </c>
      <c r="R360" s="33"/>
      <c r="S360" s="33"/>
      <c r="T360" s="33" t="s">
        <v>616</v>
      </c>
      <c r="U360" s="41" t="str">
        <f>IFERROR(HYPERLINK("#'Main'!B"&amp;MATCH(TRIM(A360),Main!B:B,0),"Open"),HYPERLINK("#'Main'!B1","Open"))</f>
        <v>Open</v>
      </c>
      <c r="V360" s="41"/>
    </row>
    <row r="361" spans="1:22" ht="30" customHeight="1" x14ac:dyDescent="0.25">
      <c r="A361" s="51" t="s">
        <v>207</v>
      </c>
      <c r="B361" s="42" t="s">
        <v>614</v>
      </c>
      <c r="C361" s="44" t="s">
        <v>735</v>
      </c>
      <c r="D361" s="42"/>
      <c r="E361" s="52">
        <v>200</v>
      </c>
      <c r="F361" s="42" t="b">
        <v>1</v>
      </c>
      <c r="G361" s="42">
        <v>0</v>
      </c>
      <c r="H361" s="52">
        <v>0</v>
      </c>
      <c r="I361" s="42">
        <v>0</v>
      </c>
      <c r="J361" s="42">
        <v>0</v>
      </c>
      <c r="K361" s="42">
        <v>0</v>
      </c>
      <c r="L361" s="46" t="b">
        <v>0</v>
      </c>
      <c r="M361" s="42">
        <v>0</v>
      </c>
      <c r="N361" s="42">
        <v>0</v>
      </c>
      <c r="O361" s="52">
        <v>0</v>
      </c>
      <c r="P361" s="42">
        <v>0</v>
      </c>
      <c r="Q361" s="42">
        <v>0</v>
      </c>
      <c r="R361" s="42"/>
      <c r="S361" s="42"/>
      <c r="T361" s="42" t="s">
        <v>616</v>
      </c>
      <c r="U361" t="str">
        <f>IFERROR(HYPERLINK("#'Main'!B"&amp;MATCH(TRIM(A361),Main!B:B,0),"Open"),HYPERLINK("#'Main'!B1","Open"))</f>
        <v>Open</v>
      </c>
    </row>
    <row r="362" spans="1:22" ht="30" customHeight="1" x14ac:dyDescent="0.25">
      <c r="A362" s="50" t="s">
        <v>207</v>
      </c>
      <c r="B362" s="33" t="s">
        <v>614</v>
      </c>
      <c r="C362" s="37" t="s">
        <v>736</v>
      </c>
      <c r="D362" s="33"/>
      <c r="E362" s="52">
        <v>200</v>
      </c>
      <c r="F362" s="33" t="b">
        <v>1</v>
      </c>
      <c r="G362" s="33">
        <v>0</v>
      </c>
      <c r="H362" s="52">
        <v>0</v>
      </c>
      <c r="I362" s="33">
        <v>0</v>
      </c>
      <c r="J362" s="33">
        <v>0</v>
      </c>
      <c r="K362" s="33">
        <v>0</v>
      </c>
      <c r="L362" s="40" t="b">
        <v>0</v>
      </c>
      <c r="M362" s="33">
        <v>0</v>
      </c>
      <c r="N362" s="33">
        <v>0</v>
      </c>
      <c r="O362" s="52">
        <v>0</v>
      </c>
      <c r="P362" s="33">
        <v>0</v>
      </c>
      <c r="Q362" s="33">
        <v>0</v>
      </c>
      <c r="R362" s="33"/>
      <c r="S362" s="33"/>
      <c r="T362" s="33" t="s">
        <v>616</v>
      </c>
      <c r="U362" s="41" t="str">
        <f>IFERROR(HYPERLINK("#'Main'!B"&amp;MATCH(TRIM(A362),Main!B:B,0),"Open"),HYPERLINK("#'Main'!B1","Open"))</f>
        <v>Open</v>
      </c>
      <c r="V362" s="41"/>
    </row>
    <row r="363" spans="1:22" ht="30" customHeight="1" x14ac:dyDescent="0.25">
      <c r="A363" s="51" t="s">
        <v>207</v>
      </c>
      <c r="B363" s="42" t="s">
        <v>614</v>
      </c>
      <c r="C363" s="44" t="s">
        <v>737</v>
      </c>
      <c r="D363" s="42"/>
      <c r="E363" s="52">
        <v>200</v>
      </c>
      <c r="F363" s="42" t="b">
        <v>1</v>
      </c>
      <c r="G363" s="42">
        <v>0</v>
      </c>
      <c r="H363" s="52">
        <v>0</v>
      </c>
      <c r="I363" s="42">
        <v>0</v>
      </c>
      <c r="J363" s="42">
        <v>0</v>
      </c>
      <c r="K363" s="42">
        <v>0</v>
      </c>
      <c r="L363" s="46" t="b">
        <v>0</v>
      </c>
      <c r="M363" s="42">
        <v>0</v>
      </c>
      <c r="N363" s="42">
        <v>0</v>
      </c>
      <c r="O363" s="52">
        <v>0</v>
      </c>
      <c r="P363" s="42">
        <v>0</v>
      </c>
      <c r="Q363" s="42">
        <v>0</v>
      </c>
      <c r="R363" s="42"/>
      <c r="S363" s="42"/>
      <c r="T363" s="42" t="s">
        <v>616</v>
      </c>
      <c r="U363" t="str">
        <f>IFERROR(HYPERLINK("#'Main'!B"&amp;MATCH(TRIM(A363),Main!B:B,0),"Open"),HYPERLINK("#'Main'!B1","Open"))</f>
        <v>Open</v>
      </c>
    </row>
    <row r="364" spans="1:22" ht="30" customHeight="1" x14ac:dyDescent="0.25">
      <c r="A364" s="50" t="s">
        <v>207</v>
      </c>
      <c r="B364" s="33" t="s">
        <v>614</v>
      </c>
      <c r="C364" s="37" t="s">
        <v>738</v>
      </c>
      <c r="D364" s="33"/>
      <c r="E364" s="52">
        <v>200</v>
      </c>
      <c r="F364" s="33" t="b">
        <v>1</v>
      </c>
      <c r="G364" s="33">
        <v>0</v>
      </c>
      <c r="H364" s="52">
        <v>0</v>
      </c>
      <c r="I364" s="33">
        <v>0</v>
      </c>
      <c r="J364" s="33">
        <v>0</v>
      </c>
      <c r="K364" s="33">
        <v>0</v>
      </c>
      <c r="L364" s="40" t="b">
        <v>0</v>
      </c>
      <c r="M364" s="33">
        <v>0</v>
      </c>
      <c r="N364" s="33">
        <v>0</v>
      </c>
      <c r="O364" s="52">
        <v>0</v>
      </c>
      <c r="P364" s="33">
        <v>0</v>
      </c>
      <c r="Q364" s="33">
        <v>0</v>
      </c>
      <c r="R364" s="33"/>
      <c r="S364" s="33"/>
      <c r="T364" s="33" t="s">
        <v>616</v>
      </c>
      <c r="U364" s="41" t="str">
        <f>IFERROR(HYPERLINK("#'Main'!B"&amp;MATCH(TRIM(A364),Main!B:B,0),"Open"),HYPERLINK("#'Main'!B1","Open"))</f>
        <v>Open</v>
      </c>
      <c r="V364" s="41"/>
    </row>
    <row r="365" spans="1:22" ht="30" customHeight="1" x14ac:dyDescent="0.25">
      <c r="A365" s="51" t="s">
        <v>207</v>
      </c>
      <c r="B365" s="42" t="s">
        <v>614</v>
      </c>
      <c r="C365" s="44" t="s">
        <v>739</v>
      </c>
      <c r="D365" s="42"/>
      <c r="E365" s="52">
        <v>200</v>
      </c>
      <c r="F365" s="42" t="b">
        <v>1</v>
      </c>
      <c r="G365" s="42">
        <v>0</v>
      </c>
      <c r="H365" s="52">
        <v>0</v>
      </c>
      <c r="I365" s="42">
        <v>0</v>
      </c>
      <c r="J365" s="42">
        <v>0</v>
      </c>
      <c r="K365" s="42">
        <v>0</v>
      </c>
      <c r="L365" s="46" t="b">
        <v>0</v>
      </c>
      <c r="M365" s="42">
        <v>0</v>
      </c>
      <c r="N365" s="42">
        <v>0</v>
      </c>
      <c r="O365" s="52">
        <v>0</v>
      </c>
      <c r="P365" s="42">
        <v>0</v>
      </c>
      <c r="Q365" s="42">
        <v>0</v>
      </c>
      <c r="R365" s="42"/>
      <c r="S365" s="42"/>
      <c r="T365" s="42" t="s">
        <v>616</v>
      </c>
      <c r="U365" t="str">
        <f>IFERROR(HYPERLINK("#'Main'!B"&amp;MATCH(TRIM(A365),Main!B:B,0),"Open"),HYPERLINK("#'Main'!B1","Open"))</f>
        <v>Open</v>
      </c>
    </row>
    <row r="366" spans="1:22" ht="30" customHeight="1" x14ac:dyDescent="0.25">
      <c r="A366" s="50" t="s">
        <v>207</v>
      </c>
      <c r="B366" s="33" t="s">
        <v>614</v>
      </c>
      <c r="C366" s="37" t="s">
        <v>740</v>
      </c>
      <c r="D366" s="33"/>
      <c r="E366" s="52">
        <v>200</v>
      </c>
      <c r="F366" s="33" t="b">
        <v>1</v>
      </c>
      <c r="G366" s="33">
        <v>0</v>
      </c>
      <c r="H366" s="52">
        <v>0</v>
      </c>
      <c r="I366" s="33">
        <v>0</v>
      </c>
      <c r="J366" s="33">
        <v>0</v>
      </c>
      <c r="K366" s="33">
        <v>0</v>
      </c>
      <c r="L366" s="40" t="b">
        <v>0</v>
      </c>
      <c r="M366" s="33">
        <v>0</v>
      </c>
      <c r="N366" s="33">
        <v>0</v>
      </c>
      <c r="O366" s="52">
        <v>0</v>
      </c>
      <c r="P366" s="33">
        <v>0</v>
      </c>
      <c r="Q366" s="33">
        <v>0</v>
      </c>
      <c r="R366" s="33"/>
      <c r="S366" s="33"/>
      <c r="T366" s="33" t="s">
        <v>616</v>
      </c>
      <c r="U366" s="41" t="str">
        <f>IFERROR(HYPERLINK("#'Main'!B"&amp;MATCH(TRIM(A366),Main!B:B,0),"Open"),HYPERLINK("#'Main'!B1","Open"))</f>
        <v>Open</v>
      </c>
      <c r="V366" s="41"/>
    </row>
    <row r="367" spans="1:22" ht="30" customHeight="1" x14ac:dyDescent="0.25">
      <c r="A367" s="51" t="s">
        <v>207</v>
      </c>
      <c r="B367" s="42" t="s">
        <v>614</v>
      </c>
      <c r="C367" s="44" t="s">
        <v>741</v>
      </c>
      <c r="D367" s="42"/>
      <c r="E367" s="52">
        <v>200</v>
      </c>
      <c r="F367" s="42" t="b">
        <v>1</v>
      </c>
      <c r="G367" s="42">
        <v>0</v>
      </c>
      <c r="H367" s="52">
        <v>0</v>
      </c>
      <c r="I367" s="42">
        <v>0</v>
      </c>
      <c r="J367" s="42">
        <v>0</v>
      </c>
      <c r="K367" s="42">
        <v>0</v>
      </c>
      <c r="L367" s="46" t="b">
        <v>0</v>
      </c>
      <c r="M367" s="42">
        <v>0</v>
      </c>
      <c r="N367" s="42">
        <v>0</v>
      </c>
      <c r="O367" s="52">
        <v>0</v>
      </c>
      <c r="P367" s="42">
        <v>0</v>
      </c>
      <c r="Q367" s="42">
        <v>0</v>
      </c>
      <c r="R367" s="42"/>
      <c r="S367" s="42"/>
      <c r="T367" s="42" t="s">
        <v>616</v>
      </c>
      <c r="U367" t="str">
        <f>IFERROR(HYPERLINK("#'Main'!B"&amp;MATCH(TRIM(A367),Main!B:B,0),"Open"),HYPERLINK("#'Main'!B1","Open"))</f>
        <v>Open</v>
      </c>
    </row>
    <row r="368" spans="1:22" ht="30" customHeight="1" x14ac:dyDescent="0.25">
      <c r="A368" s="50" t="s">
        <v>207</v>
      </c>
      <c r="B368" s="33" t="s">
        <v>614</v>
      </c>
      <c r="C368" s="37" t="s">
        <v>742</v>
      </c>
      <c r="D368" s="33"/>
      <c r="E368" s="52">
        <v>200</v>
      </c>
      <c r="F368" s="33" t="b">
        <v>1</v>
      </c>
      <c r="G368" s="33">
        <v>0</v>
      </c>
      <c r="H368" s="52">
        <v>0</v>
      </c>
      <c r="I368" s="33">
        <v>0</v>
      </c>
      <c r="J368" s="33">
        <v>0</v>
      </c>
      <c r="K368" s="33">
        <v>0</v>
      </c>
      <c r="L368" s="40" t="b">
        <v>0</v>
      </c>
      <c r="M368" s="33">
        <v>0</v>
      </c>
      <c r="N368" s="33">
        <v>0</v>
      </c>
      <c r="O368" s="52">
        <v>0</v>
      </c>
      <c r="P368" s="33">
        <v>0</v>
      </c>
      <c r="Q368" s="33">
        <v>0</v>
      </c>
      <c r="R368" s="33"/>
      <c r="S368" s="33"/>
      <c r="T368" s="33" t="s">
        <v>616</v>
      </c>
      <c r="U368" s="41" t="str">
        <f>IFERROR(HYPERLINK("#'Main'!B"&amp;MATCH(TRIM(A368),Main!B:B,0),"Open"),HYPERLINK("#'Main'!B1","Open"))</f>
        <v>Open</v>
      </c>
      <c r="V368" s="41"/>
    </row>
    <row r="369" spans="1:22" ht="30" customHeight="1" x14ac:dyDescent="0.25">
      <c r="A369" s="51" t="s">
        <v>207</v>
      </c>
      <c r="B369" s="42" t="s">
        <v>614</v>
      </c>
      <c r="C369" s="44" t="s">
        <v>743</v>
      </c>
      <c r="D369" s="42"/>
      <c r="E369" s="52">
        <v>200</v>
      </c>
      <c r="F369" s="42" t="b">
        <v>1</v>
      </c>
      <c r="G369" s="42">
        <v>0</v>
      </c>
      <c r="H369" s="52">
        <v>0</v>
      </c>
      <c r="I369" s="42">
        <v>0</v>
      </c>
      <c r="J369" s="42">
        <v>0</v>
      </c>
      <c r="K369" s="42">
        <v>0</v>
      </c>
      <c r="L369" s="46" t="b">
        <v>0</v>
      </c>
      <c r="M369" s="42">
        <v>0</v>
      </c>
      <c r="N369" s="42">
        <v>0</v>
      </c>
      <c r="O369" s="52">
        <v>0</v>
      </c>
      <c r="P369" s="42">
        <v>0</v>
      </c>
      <c r="Q369" s="42">
        <v>0</v>
      </c>
      <c r="R369" s="42"/>
      <c r="S369" s="42"/>
      <c r="T369" s="42" t="s">
        <v>616</v>
      </c>
      <c r="U369" t="str">
        <f>IFERROR(HYPERLINK("#'Main'!B"&amp;MATCH(TRIM(A369),Main!B:B,0),"Open"),HYPERLINK("#'Main'!B1","Open"))</f>
        <v>Open</v>
      </c>
    </row>
    <row r="370" spans="1:22" ht="30" customHeight="1" x14ac:dyDescent="0.25">
      <c r="A370" s="50" t="s">
        <v>207</v>
      </c>
      <c r="B370" s="33" t="s">
        <v>614</v>
      </c>
      <c r="C370" s="37" t="s">
        <v>744</v>
      </c>
      <c r="D370" s="33"/>
      <c r="E370" s="52">
        <v>200</v>
      </c>
      <c r="F370" s="33" t="b">
        <v>1</v>
      </c>
      <c r="G370" s="33">
        <v>0</v>
      </c>
      <c r="H370" s="52">
        <v>0</v>
      </c>
      <c r="I370" s="33">
        <v>0</v>
      </c>
      <c r="J370" s="33">
        <v>0</v>
      </c>
      <c r="K370" s="33">
        <v>0</v>
      </c>
      <c r="L370" s="40" t="b">
        <v>0</v>
      </c>
      <c r="M370" s="33">
        <v>0</v>
      </c>
      <c r="N370" s="33">
        <v>0</v>
      </c>
      <c r="O370" s="52">
        <v>0</v>
      </c>
      <c r="P370" s="33">
        <v>0</v>
      </c>
      <c r="Q370" s="33">
        <v>0</v>
      </c>
      <c r="R370" s="33"/>
      <c r="S370" s="33"/>
      <c r="T370" s="33" t="s">
        <v>616</v>
      </c>
      <c r="U370" s="41" t="str">
        <f>IFERROR(HYPERLINK("#'Main'!B"&amp;MATCH(TRIM(A370),Main!B:B,0),"Open"),HYPERLINK("#'Main'!B1","Open"))</f>
        <v>Open</v>
      </c>
      <c r="V370" s="41"/>
    </row>
    <row r="371" spans="1:22" ht="30" customHeight="1" x14ac:dyDescent="0.25">
      <c r="A371" s="51" t="s">
        <v>207</v>
      </c>
      <c r="B371" s="42" t="s">
        <v>614</v>
      </c>
      <c r="C371" s="44" t="s">
        <v>745</v>
      </c>
      <c r="D371" s="42"/>
      <c r="E371" s="52">
        <v>200</v>
      </c>
      <c r="F371" s="42" t="b">
        <v>1</v>
      </c>
      <c r="G371" s="42">
        <v>0</v>
      </c>
      <c r="H371" s="52">
        <v>0</v>
      </c>
      <c r="I371" s="42">
        <v>0</v>
      </c>
      <c r="J371" s="42">
        <v>0</v>
      </c>
      <c r="K371" s="42">
        <v>0</v>
      </c>
      <c r="L371" s="46" t="b">
        <v>0</v>
      </c>
      <c r="M371" s="42">
        <v>0</v>
      </c>
      <c r="N371" s="42">
        <v>0</v>
      </c>
      <c r="O371" s="52">
        <v>0</v>
      </c>
      <c r="P371" s="42">
        <v>0</v>
      </c>
      <c r="Q371" s="42">
        <v>0</v>
      </c>
      <c r="R371" s="42"/>
      <c r="S371" s="42"/>
      <c r="T371" s="42" t="s">
        <v>616</v>
      </c>
      <c r="U371" t="str">
        <f>IFERROR(HYPERLINK("#'Main'!B"&amp;MATCH(TRIM(A371),Main!B:B,0),"Open"),HYPERLINK("#'Main'!B1","Open"))</f>
        <v>Open</v>
      </c>
    </row>
    <row r="372" spans="1:22" ht="30" customHeight="1" x14ac:dyDescent="0.25">
      <c r="A372" s="50" t="s">
        <v>207</v>
      </c>
      <c r="B372" s="33" t="s">
        <v>614</v>
      </c>
      <c r="C372" s="37" t="s">
        <v>629</v>
      </c>
      <c r="D372" s="33" t="s">
        <v>630</v>
      </c>
      <c r="E372" s="52">
        <v>200</v>
      </c>
      <c r="F372" s="33" t="b">
        <v>1</v>
      </c>
      <c r="G372" s="33">
        <v>0</v>
      </c>
      <c r="H372" s="52">
        <v>0</v>
      </c>
      <c r="I372" s="33">
        <v>0</v>
      </c>
      <c r="J372" s="33">
        <v>0</v>
      </c>
      <c r="K372" s="33">
        <v>0</v>
      </c>
      <c r="L372" s="40" t="b">
        <v>0</v>
      </c>
      <c r="M372" s="33">
        <v>0</v>
      </c>
      <c r="N372" s="33">
        <v>0</v>
      </c>
      <c r="O372" s="52">
        <v>0</v>
      </c>
      <c r="P372" s="33">
        <v>0</v>
      </c>
      <c r="Q372" s="33">
        <v>0</v>
      </c>
      <c r="R372" s="33"/>
      <c r="S372" s="33"/>
      <c r="T372" s="33" t="s">
        <v>616</v>
      </c>
      <c r="U372" s="41" t="str">
        <f>IFERROR(HYPERLINK("#'Main'!B"&amp;MATCH(TRIM(A372),Main!B:B,0),"Open"),HYPERLINK("#'Main'!B1","Open"))</f>
        <v>Open</v>
      </c>
      <c r="V372" s="41"/>
    </row>
    <row r="373" spans="1:22" ht="30" customHeight="1" x14ac:dyDescent="0.25">
      <c r="A373" s="51" t="s">
        <v>207</v>
      </c>
      <c r="B373" s="42" t="s">
        <v>614</v>
      </c>
      <c r="C373" s="44" t="s">
        <v>631</v>
      </c>
      <c r="D373" s="42"/>
      <c r="E373" s="52">
        <v>200</v>
      </c>
      <c r="F373" s="42" t="b">
        <v>1</v>
      </c>
      <c r="G373" s="42">
        <v>0</v>
      </c>
      <c r="H373" s="52">
        <v>0</v>
      </c>
      <c r="I373" s="42">
        <v>0</v>
      </c>
      <c r="J373" s="42">
        <v>0</v>
      </c>
      <c r="K373" s="42">
        <v>0</v>
      </c>
      <c r="L373" s="46" t="b">
        <v>0</v>
      </c>
      <c r="M373" s="42">
        <v>0</v>
      </c>
      <c r="N373" s="42">
        <v>0</v>
      </c>
      <c r="O373" s="52">
        <v>0</v>
      </c>
      <c r="P373" s="42">
        <v>0</v>
      </c>
      <c r="Q373" s="42">
        <v>0</v>
      </c>
      <c r="R373" s="42"/>
      <c r="S373" s="42"/>
      <c r="T373" s="42" t="s">
        <v>616</v>
      </c>
      <c r="U373" t="str">
        <f>IFERROR(HYPERLINK("#'Main'!B"&amp;MATCH(TRIM(A373),Main!B:B,0),"Open"),HYPERLINK("#'Main'!B1","Open"))</f>
        <v>Open</v>
      </c>
    </row>
    <row r="374" spans="1:22" ht="30" customHeight="1" x14ac:dyDescent="0.25">
      <c r="A374" s="50" t="s">
        <v>207</v>
      </c>
      <c r="B374" s="33" t="s">
        <v>614</v>
      </c>
      <c r="C374" s="37" t="s">
        <v>632</v>
      </c>
      <c r="D374" s="33"/>
      <c r="E374" s="52">
        <v>200</v>
      </c>
      <c r="F374" s="33" t="b">
        <v>1</v>
      </c>
      <c r="G374" s="33">
        <v>0</v>
      </c>
      <c r="H374" s="52">
        <v>0</v>
      </c>
      <c r="I374" s="33">
        <v>0</v>
      </c>
      <c r="J374" s="33">
        <v>0</v>
      </c>
      <c r="K374" s="33">
        <v>0</v>
      </c>
      <c r="L374" s="40" t="b">
        <v>0</v>
      </c>
      <c r="M374" s="33">
        <v>0</v>
      </c>
      <c r="N374" s="33">
        <v>0</v>
      </c>
      <c r="O374" s="52">
        <v>0</v>
      </c>
      <c r="P374" s="33">
        <v>0</v>
      </c>
      <c r="Q374" s="33">
        <v>0</v>
      </c>
      <c r="R374" s="33"/>
      <c r="S374" s="33"/>
      <c r="T374" s="33" t="s">
        <v>616</v>
      </c>
      <c r="U374" s="41" t="str">
        <f>IFERROR(HYPERLINK("#'Main'!B"&amp;MATCH(TRIM(A374),Main!B:B,0),"Open"),HYPERLINK("#'Main'!B1","Open"))</f>
        <v>Open</v>
      </c>
      <c r="V374" s="41"/>
    </row>
    <row r="375" spans="1:22" ht="30" customHeight="1" x14ac:dyDescent="0.25">
      <c r="A375" s="51" t="s">
        <v>207</v>
      </c>
      <c r="B375" s="42" t="s">
        <v>614</v>
      </c>
      <c r="C375" s="44" t="s">
        <v>634</v>
      </c>
      <c r="D375" s="42" t="s">
        <v>666</v>
      </c>
      <c r="E375" s="52">
        <v>200</v>
      </c>
      <c r="F375" s="42" t="b">
        <v>1</v>
      </c>
      <c r="G375" s="42">
        <v>0</v>
      </c>
      <c r="H375" s="52">
        <v>0</v>
      </c>
      <c r="I375" s="42">
        <v>0</v>
      </c>
      <c r="J375" s="42">
        <v>0</v>
      </c>
      <c r="K375" s="42">
        <v>0</v>
      </c>
      <c r="L375" s="46" t="b">
        <v>0</v>
      </c>
      <c r="M375" s="42">
        <v>0</v>
      </c>
      <c r="N375" s="42">
        <v>0</v>
      </c>
      <c r="O375" s="52">
        <v>0</v>
      </c>
      <c r="P375" s="42">
        <v>0</v>
      </c>
      <c r="Q375" s="42">
        <v>0</v>
      </c>
      <c r="R375" s="42"/>
      <c r="S375" s="42"/>
      <c r="T375" s="42" t="s">
        <v>616</v>
      </c>
      <c r="U375" t="str">
        <f>IFERROR(HYPERLINK("#'Main'!B"&amp;MATCH(TRIM(A375),Main!B:B,0),"Open"),HYPERLINK("#'Main'!B1","Open"))</f>
        <v>Open</v>
      </c>
    </row>
    <row r="376" spans="1:22" ht="30" customHeight="1" x14ac:dyDescent="0.25">
      <c r="A376" s="50" t="s">
        <v>207</v>
      </c>
      <c r="B376" s="33" t="s">
        <v>614</v>
      </c>
      <c r="C376" s="37" t="s">
        <v>636</v>
      </c>
      <c r="D376" s="33" t="s">
        <v>637</v>
      </c>
      <c r="E376" s="34">
        <v>404</v>
      </c>
      <c r="F376" s="33" t="b">
        <v>0</v>
      </c>
      <c r="G376" s="33">
        <v>0</v>
      </c>
      <c r="H376" s="52">
        <v>0</v>
      </c>
      <c r="I376" s="33">
        <v>0</v>
      </c>
      <c r="J376" s="33">
        <v>0</v>
      </c>
      <c r="K376" s="33">
        <v>0</v>
      </c>
      <c r="L376" s="40" t="b">
        <v>0</v>
      </c>
      <c r="M376" s="33">
        <v>0</v>
      </c>
      <c r="N376" s="33">
        <v>0</v>
      </c>
      <c r="O376" s="52">
        <v>0</v>
      </c>
      <c r="P376" s="33">
        <v>0</v>
      </c>
      <c r="Q376" s="33">
        <v>0</v>
      </c>
      <c r="R376" s="33"/>
      <c r="S376" s="33"/>
      <c r="T376" s="33" t="s">
        <v>616</v>
      </c>
      <c r="U376" s="41" t="str">
        <f>IFERROR(HYPERLINK("#'Main'!B"&amp;MATCH(TRIM(A376),Main!B:B,0),"Open"),HYPERLINK("#'Main'!B1","Open"))</f>
        <v>Open</v>
      </c>
      <c r="V376" s="41"/>
    </row>
    <row r="377" spans="1:22" ht="30" customHeight="1" x14ac:dyDescent="0.25">
      <c r="A377" s="51" t="s">
        <v>207</v>
      </c>
      <c r="B377" s="42" t="s">
        <v>614</v>
      </c>
      <c r="C377" s="44" t="s">
        <v>636</v>
      </c>
      <c r="D377" s="42" t="s">
        <v>638</v>
      </c>
      <c r="E377" s="34">
        <v>404</v>
      </c>
      <c r="F377" s="42" t="b">
        <v>0</v>
      </c>
      <c r="G377" s="42">
        <v>0</v>
      </c>
      <c r="H377" s="52">
        <v>0</v>
      </c>
      <c r="I377" s="42">
        <v>0</v>
      </c>
      <c r="J377" s="42">
        <v>0</v>
      </c>
      <c r="K377" s="42">
        <v>0</v>
      </c>
      <c r="L377" s="46" t="b">
        <v>0</v>
      </c>
      <c r="M377" s="42">
        <v>0</v>
      </c>
      <c r="N377" s="42">
        <v>0</v>
      </c>
      <c r="O377" s="52">
        <v>0</v>
      </c>
      <c r="P377" s="42">
        <v>0</v>
      </c>
      <c r="Q377" s="42">
        <v>0</v>
      </c>
      <c r="R377" s="42"/>
      <c r="S377" s="42"/>
      <c r="T377" s="42" t="s">
        <v>616</v>
      </c>
      <c r="U377" t="str">
        <f>IFERROR(HYPERLINK("#'Main'!B"&amp;MATCH(TRIM(A377),Main!B:B,0),"Open"),HYPERLINK("#'Main'!B1","Open"))</f>
        <v>Open</v>
      </c>
    </row>
    <row r="378" spans="1:22" ht="30" customHeight="1" x14ac:dyDescent="0.25">
      <c r="A378" s="50" t="s">
        <v>209</v>
      </c>
      <c r="B378" s="33" t="s">
        <v>614</v>
      </c>
      <c r="C378" s="37" t="s">
        <v>617</v>
      </c>
      <c r="D378" s="33" t="s">
        <v>618</v>
      </c>
      <c r="E378" s="52">
        <v>200</v>
      </c>
      <c r="F378" s="33" t="b">
        <v>1</v>
      </c>
      <c r="G378" s="33">
        <v>0</v>
      </c>
      <c r="H378" s="52">
        <v>0</v>
      </c>
      <c r="I378" s="33">
        <v>0</v>
      </c>
      <c r="J378" s="33">
        <v>0</v>
      </c>
      <c r="K378" s="33">
        <v>0</v>
      </c>
      <c r="L378" s="40" t="b">
        <v>0</v>
      </c>
      <c r="M378" s="33">
        <v>0</v>
      </c>
      <c r="N378" s="33">
        <v>0</v>
      </c>
      <c r="O378" s="52">
        <v>0</v>
      </c>
      <c r="P378" s="33">
        <v>0</v>
      </c>
      <c r="Q378" s="33">
        <v>0</v>
      </c>
      <c r="R378" s="33"/>
      <c r="S378" s="33"/>
      <c r="T378" s="33" t="s">
        <v>616</v>
      </c>
      <c r="U378" s="41" t="str">
        <f>IFERROR(HYPERLINK("#'Main'!B"&amp;MATCH(TRIM(A378),Main!B:B,0),"Open"),HYPERLINK("#'Main'!B1","Open"))</f>
        <v>Open</v>
      </c>
      <c r="V378" s="41"/>
    </row>
    <row r="379" spans="1:22" ht="30" customHeight="1" x14ac:dyDescent="0.25">
      <c r="A379" s="51" t="s">
        <v>209</v>
      </c>
      <c r="B379" s="42" t="s">
        <v>614</v>
      </c>
      <c r="C379" s="44" t="s">
        <v>619</v>
      </c>
      <c r="D379" s="42" t="s">
        <v>620</v>
      </c>
      <c r="E379" s="52">
        <v>200</v>
      </c>
      <c r="F379" s="42" t="b">
        <v>1</v>
      </c>
      <c r="G379" s="42">
        <v>0</v>
      </c>
      <c r="H379" s="52">
        <v>0</v>
      </c>
      <c r="I379" s="42">
        <v>0</v>
      </c>
      <c r="J379" s="42">
        <v>0</v>
      </c>
      <c r="K379" s="42">
        <v>0</v>
      </c>
      <c r="L379" s="46" t="b">
        <v>0</v>
      </c>
      <c r="M379" s="42">
        <v>0</v>
      </c>
      <c r="N379" s="42">
        <v>0</v>
      </c>
      <c r="O379" s="52">
        <v>0</v>
      </c>
      <c r="P379" s="42">
        <v>0</v>
      </c>
      <c r="Q379" s="42">
        <v>0</v>
      </c>
      <c r="R379" s="42"/>
      <c r="S379" s="42"/>
      <c r="T379" s="42" t="s">
        <v>616</v>
      </c>
      <c r="U379" t="str">
        <f>IFERROR(HYPERLINK("#'Main'!B"&amp;MATCH(TRIM(A379),Main!B:B,0),"Open"),HYPERLINK("#'Main'!B1","Open"))</f>
        <v>Open</v>
      </c>
    </row>
    <row r="380" spans="1:22" ht="30" customHeight="1" x14ac:dyDescent="0.25">
      <c r="A380" s="50" t="s">
        <v>209</v>
      </c>
      <c r="B380" s="33" t="s">
        <v>614</v>
      </c>
      <c r="C380" s="37" t="s">
        <v>621</v>
      </c>
      <c r="D380" s="33" t="s">
        <v>622</v>
      </c>
      <c r="E380" s="52">
        <v>200</v>
      </c>
      <c r="F380" s="33" t="b">
        <v>1</v>
      </c>
      <c r="G380" s="33">
        <v>0</v>
      </c>
      <c r="H380" s="52">
        <v>0</v>
      </c>
      <c r="I380" s="33">
        <v>0</v>
      </c>
      <c r="J380" s="33">
        <v>0</v>
      </c>
      <c r="K380" s="33">
        <v>0</v>
      </c>
      <c r="L380" s="40" t="b">
        <v>0</v>
      </c>
      <c r="M380" s="33">
        <v>0</v>
      </c>
      <c r="N380" s="33">
        <v>0</v>
      </c>
      <c r="O380" s="52">
        <v>0</v>
      </c>
      <c r="P380" s="33">
        <v>0</v>
      </c>
      <c r="Q380" s="33">
        <v>0</v>
      </c>
      <c r="R380" s="33"/>
      <c r="S380" s="33"/>
      <c r="T380" s="33" t="s">
        <v>616</v>
      </c>
      <c r="U380" s="41" t="str">
        <f>IFERROR(HYPERLINK("#'Main'!B"&amp;MATCH(TRIM(A380),Main!B:B,0),"Open"),HYPERLINK("#'Main'!B1","Open"))</f>
        <v>Open</v>
      </c>
      <c r="V380" s="41"/>
    </row>
    <row r="381" spans="1:22" ht="30" customHeight="1" x14ac:dyDescent="0.25">
      <c r="A381" s="51" t="s">
        <v>209</v>
      </c>
      <c r="B381" s="42" t="s">
        <v>614</v>
      </c>
      <c r="C381" s="44" t="s">
        <v>623</v>
      </c>
      <c r="D381" s="42" t="s">
        <v>624</v>
      </c>
      <c r="E381" s="52">
        <v>200</v>
      </c>
      <c r="F381" s="42" t="b">
        <v>1</v>
      </c>
      <c r="G381" s="42">
        <v>0</v>
      </c>
      <c r="H381" s="52">
        <v>0</v>
      </c>
      <c r="I381" s="42">
        <v>0</v>
      </c>
      <c r="J381" s="42">
        <v>0</v>
      </c>
      <c r="K381" s="42">
        <v>0</v>
      </c>
      <c r="L381" s="46" t="b">
        <v>0</v>
      </c>
      <c r="M381" s="42">
        <v>0</v>
      </c>
      <c r="N381" s="42">
        <v>0</v>
      </c>
      <c r="O381" s="52">
        <v>0</v>
      </c>
      <c r="P381" s="42">
        <v>0</v>
      </c>
      <c r="Q381" s="42">
        <v>0</v>
      </c>
      <c r="R381" s="42"/>
      <c r="S381" s="42"/>
      <c r="T381" s="42" t="s">
        <v>616</v>
      </c>
      <c r="U381" t="str">
        <f>IFERROR(HYPERLINK("#'Main'!B"&amp;MATCH(TRIM(A381),Main!B:B,0),"Open"),HYPERLINK("#'Main'!B1","Open"))</f>
        <v>Open</v>
      </c>
    </row>
    <row r="382" spans="1:22" ht="30" customHeight="1" x14ac:dyDescent="0.25">
      <c r="A382" s="50" t="s">
        <v>209</v>
      </c>
      <c r="B382" s="33" t="s">
        <v>614</v>
      </c>
      <c r="C382" s="37" t="s">
        <v>625</v>
      </c>
      <c r="D382" s="33" t="s">
        <v>626</v>
      </c>
      <c r="E382" s="52">
        <v>200</v>
      </c>
      <c r="F382" s="33" t="b">
        <v>1</v>
      </c>
      <c r="G382" s="33">
        <v>0</v>
      </c>
      <c r="H382" s="52">
        <v>0</v>
      </c>
      <c r="I382" s="33">
        <v>0</v>
      </c>
      <c r="J382" s="33">
        <v>0</v>
      </c>
      <c r="K382" s="33">
        <v>0</v>
      </c>
      <c r="L382" s="40" t="b">
        <v>0</v>
      </c>
      <c r="M382" s="33">
        <v>0</v>
      </c>
      <c r="N382" s="33">
        <v>0</v>
      </c>
      <c r="O382" s="52">
        <v>0</v>
      </c>
      <c r="P382" s="33">
        <v>0</v>
      </c>
      <c r="Q382" s="33">
        <v>0</v>
      </c>
      <c r="R382" s="33"/>
      <c r="S382" s="33"/>
      <c r="T382" s="33" t="s">
        <v>616</v>
      </c>
      <c r="U382" s="41" t="str">
        <f>IFERROR(HYPERLINK("#'Main'!B"&amp;MATCH(TRIM(A382),Main!B:B,0),"Open"),HYPERLINK("#'Main'!B1","Open"))</f>
        <v>Open</v>
      </c>
      <c r="V382" s="41"/>
    </row>
    <row r="383" spans="1:22" ht="30" customHeight="1" x14ac:dyDescent="0.25">
      <c r="A383" s="51" t="s">
        <v>209</v>
      </c>
      <c r="B383" s="42" t="s">
        <v>614</v>
      </c>
      <c r="C383" s="44" t="s">
        <v>627</v>
      </c>
      <c r="D383" s="42" t="s">
        <v>628</v>
      </c>
      <c r="E383" s="52">
        <v>200</v>
      </c>
      <c r="F383" s="42" t="b">
        <v>1</v>
      </c>
      <c r="G383" s="42">
        <v>0</v>
      </c>
      <c r="H383" s="52">
        <v>0</v>
      </c>
      <c r="I383" s="42">
        <v>0</v>
      </c>
      <c r="J383" s="42">
        <v>0</v>
      </c>
      <c r="K383" s="42">
        <v>0</v>
      </c>
      <c r="L383" s="46" t="b">
        <v>0</v>
      </c>
      <c r="M383" s="42">
        <v>0</v>
      </c>
      <c r="N383" s="42">
        <v>0</v>
      </c>
      <c r="O383" s="52">
        <v>0</v>
      </c>
      <c r="P383" s="42">
        <v>0</v>
      </c>
      <c r="Q383" s="42">
        <v>0</v>
      </c>
      <c r="R383" s="42"/>
      <c r="S383" s="42"/>
      <c r="T383" s="42" t="s">
        <v>616</v>
      </c>
      <c r="U383" t="str">
        <f>IFERROR(HYPERLINK("#'Main'!B"&amp;MATCH(TRIM(A383),Main!B:B,0),"Open"),HYPERLINK("#'Main'!B1","Open"))</f>
        <v>Open</v>
      </c>
    </row>
    <row r="384" spans="1:22" ht="30" customHeight="1" x14ac:dyDescent="0.25">
      <c r="A384" s="50" t="s">
        <v>209</v>
      </c>
      <c r="B384" s="33" t="s">
        <v>614</v>
      </c>
      <c r="C384" s="37" t="s">
        <v>617</v>
      </c>
      <c r="D384" s="33" t="s">
        <v>618</v>
      </c>
      <c r="E384" s="52">
        <v>200</v>
      </c>
      <c r="F384" s="33" t="b">
        <v>1</v>
      </c>
      <c r="G384" s="33">
        <v>0</v>
      </c>
      <c r="H384" s="52">
        <v>0</v>
      </c>
      <c r="I384" s="33">
        <v>0</v>
      </c>
      <c r="J384" s="33">
        <v>0</v>
      </c>
      <c r="K384" s="33">
        <v>0</v>
      </c>
      <c r="L384" s="40" t="b">
        <v>0</v>
      </c>
      <c r="M384" s="33">
        <v>0</v>
      </c>
      <c r="N384" s="33">
        <v>0</v>
      </c>
      <c r="O384" s="52">
        <v>0</v>
      </c>
      <c r="P384" s="33">
        <v>0</v>
      </c>
      <c r="Q384" s="33">
        <v>0</v>
      </c>
      <c r="R384" s="33"/>
      <c r="S384" s="33"/>
      <c r="T384" s="33" t="s">
        <v>616</v>
      </c>
      <c r="U384" s="41" t="str">
        <f>IFERROR(HYPERLINK("#'Main'!B"&amp;MATCH(TRIM(A384),Main!B:B,0),"Open"),HYPERLINK("#'Main'!B1","Open"))</f>
        <v>Open</v>
      </c>
      <c r="V384" s="41"/>
    </row>
    <row r="385" spans="1:22" ht="30" customHeight="1" x14ac:dyDescent="0.25">
      <c r="A385" s="51" t="s">
        <v>209</v>
      </c>
      <c r="B385" s="42" t="s">
        <v>614</v>
      </c>
      <c r="C385" s="44" t="s">
        <v>619</v>
      </c>
      <c r="D385" s="42" t="s">
        <v>620</v>
      </c>
      <c r="E385" s="52">
        <v>200</v>
      </c>
      <c r="F385" s="42" t="b">
        <v>1</v>
      </c>
      <c r="G385" s="42">
        <v>0</v>
      </c>
      <c r="H385" s="52">
        <v>0</v>
      </c>
      <c r="I385" s="42">
        <v>0</v>
      </c>
      <c r="J385" s="42">
        <v>0</v>
      </c>
      <c r="K385" s="42">
        <v>0</v>
      </c>
      <c r="L385" s="46" t="b">
        <v>0</v>
      </c>
      <c r="M385" s="42">
        <v>0</v>
      </c>
      <c r="N385" s="42">
        <v>0</v>
      </c>
      <c r="O385" s="52">
        <v>0</v>
      </c>
      <c r="P385" s="42">
        <v>0</v>
      </c>
      <c r="Q385" s="42">
        <v>0</v>
      </c>
      <c r="R385" s="42"/>
      <c r="S385" s="42"/>
      <c r="T385" s="42" t="s">
        <v>616</v>
      </c>
      <c r="U385" t="str">
        <f>IFERROR(HYPERLINK("#'Main'!B"&amp;MATCH(TRIM(A385),Main!B:B,0),"Open"),HYPERLINK("#'Main'!B1","Open"))</f>
        <v>Open</v>
      </c>
    </row>
    <row r="386" spans="1:22" ht="30" customHeight="1" x14ac:dyDescent="0.25">
      <c r="A386" s="50" t="s">
        <v>209</v>
      </c>
      <c r="B386" s="33" t="s">
        <v>614</v>
      </c>
      <c r="C386" s="37" t="s">
        <v>621</v>
      </c>
      <c r="D386" s="33" t="s">
        <v>622</v>
      </c>
      <c r="E386" s="52">
        <v>200</v>
      </c>
      <c r="F386" s="33" t="b">
        <v>1</v>
      </c>
      <c r="G386" s="33">
        <v>0</v>
      </c>
      <c r="H386" s="52">
        <v>0</v>
      </c>
      <c r="I386" s="33">
        <v>0</v>
      </c>
      <c r="J386" s="33">
        <v>0</v>
      </c>
      <c r="K386" s="33">
        <v>0</v>
      </c>
      <c r="L386" s="40" t="b">
        <v>0</v>
      </c>
      <c r="M386" s="33">
        <v>0</v>
      </c>
      <c r="N386" s="33">
        <v>0</v>
      </c>
      <c r="O386" s="52">
        <v>0</v>
      </c>
      <c r="P386" s="33">
        <v>0</v>
      </c>
      <c r="Q386" s="33">
        <v>0</v>
      </c>
      <c r="R386" s="33"/>
      <c r="S386" s="33"/>
      <c r="T386" s="33" t="s">
        <v>616</v>
      </c>
      <c r="U386" s="41" t="str">
        <f>IFERROR(HYPERLINK("#'Main'!B"&amp;MATCH(TRIM(A386),Main!B:B,0),"Open"),HYPERLINK("#'Main'!B1","Open"))</f>
        <v>Open</v>
      </c>
      <c r="V386" s="41"/>
    </row>
    <row r="387" spans="1:22" ht="30" customHeight="1" x14ac:dyDescent="0.25">
      <c r="A387" s="51" t="s">
        <v>209</v>
      </c>
      <c r="B387" s="42" t="s">
        <v>614</v>
      </c>
      <c r="C387" s="44" t="s">
        <v>623</v>
      </c>
      <c r="D387" s="42" t="s">
        <v>624</v>
      </c>
      <c r="E387" s="52">
        <v>200</v>
      </c>
      <c r="F387" s="42" t="b">
        <v>1</v>
      </c>
      <c r="G387" s="42">
        <v>0</v>
      </c>
      <c r="H387" s="52">
        <v>0</v>
      </c>
      <c r="I387" s="42">
        <v>0</v>
      </c>
      <c r="J387" s="42">
        <v>0</v>
      </c>
      <c r="K387" s="42">
        <v>0</v>
      </c>
      <c r="L387" s="46" t="b">
        <v>0</v>
      </c>
      <c r="M387" s="42">
        <v>0</v>
      </c>
      <c r="N387" s="42">
        <v>0</v>
      </c>
      <c r="O387" s="52">
        <v>0</v>
      </c>
      <c r="P387" s="42">
        <v>0</v>
      </c>
      <c r="Q387" s="42">
        <v>0</v>
      </c>
      <c r="R387" s="42"/>
      <c r="S387" s="42"/>
      <c r="T387" s="42" t="s">
        <v>616</v>
      </c>
      <c r="U387" t="str">
        <f>IFERROR(HYPERLINK("#'Main'!B"&amp;MATCH(TRIM(A387),Main!B:B,0),"Open"),HYPERLINK("#'Main'!B1","Open"))</f>
        <v>Open</v>
      </c>
    </row>
    <row r="388" spans="1:22" ht="30" customHeight="1" x14ac:dyDescent="0.25">
      <c r="A388" s="50" t="s">
        <v>209</v>
      </c>
      <c r="B388" s="33" t="s">
        <v>614</v>
      </c>
      <c r="C388" s="37" t="s">
        <v>625</v>
      </c>
      <c r="D388" s="33" t="s">
        <v>626</v>
      </c>
      <c r="E388" s="52">
        <v>200</v>
      </c>
      <c r="F388" s="33" t="b">
        <v>1</v>
      </c>
      <c r="G388" s="33">
        <v>0</v>
      </c>
      <c r="H388" s="52">
        <v>0</v>
      </c>
      <c r="I388" s="33">
        <v>0</v>
      </c>
      <c r="J388" s="33">
        <v>0</v>
      </c>
      <c r="K388" s="33">
        <v>0</v>
      </c>
      <c r="L388" s="40" t="b">
        <v>0</v>
      </c>
      <c r="M388" s="33">
        <v>0</v>
      </c>
      <c r="N388" s="33">
        <v>0</v>
      </c>
      <c r="O388" s="52">
        <v>0</v>
      </c>
      <c r="P388" s="33">
        <v>0</v>
      </c>
      <c r="Q388" s="33">
        <v>0</v>
      </c>
      <c r="R388" s="33"/>
      <c r="S388" s="33"/>
      <c r="T388" s="33" t="s">
        <v>616</v>
      </c>
      <c r="U388" s="41" t="str">
        <f>IFERROR(HYPERLINK("#'Main'!B"&amp;MATCH(TRIM(A388),Main!B:B,0),"Open"),HYPERLINK("#'Main'!B1","Open"))</f>
        <v>Open</v>
      </c>
      <c r="V388" s="41"/>
    </row>
    <row r="389" spans="1:22" ht="30" customHeight="1" x14ac:dyDescent="0.25">
      <c r="A389" s="51" t="s">
        <v>209</v>
      </c>
      <c r="B389" s="42" t="s">
        <v>614</v>
      </c>
      <c r="C389" s="44" t="s">
        <v>627</v>
      </c>
      <c r="D389" s="42" t="s">
        <v>628</v>
      </c>
      <c r="E389" s="52">
        <v>200</v>
      </c>
      <c r="F389" s="42" t="b">
        <v>1</v>
      </c>
      <c r="G389" s="42">
        <v>0</v>
      </c>
      <c r="H389" s="52">
        <v>0</v>
      </c>
      <c r="I389" s="42">
        <v>0</v>
      </c>
      <c r="J389" s="42">
        <v>0</v>
      </c>
      <c r="K389" s="42">
        <v>0</v>
      </c>
      <c r="L389" s="46" t="b">
        <v>0</v>
      </c>
      <c r="M389" s="42">
        <v>0</v>
      </c>
      <c r="N389" s="42">
        <v>0</v>
      </c>
      <c r="O389" s="52">
        <v>0</v>
      </c>
      <c r="P389" s="42">
        <v>0</v>
      </c>
      <c r="Q389" s="42">
        <v>0</v>
      </c>
      <c r="R389" s="42"/>
      <c r="S389" s="42"/>
      <c r="T389" s="42" t="s">
        <v>616</v>
      </c>
      <c r="U389" t="str">
        <f>IFERROR(HYPERLINK("#'Main'!B"&amp;MATCH(TRIM(A389),Main!B:B,0),"Open"),HYPERLINK("#'Main'!B1","Open"))</f>
        <v>Open</v>
      </c>
    </row>
    <row r="390" spans="1:22" ht="30" customHeight="1" x14ac:dyDescent="0.25">
      <c r="A390" s="50" t="s">
        <v>209</v>
      </c>
      <c r="B390" s="33" t="s">
        <v>614</v>
      </c>
      <c r="C390" s="37" t="s">
        <v>217</v>
      </c>
      <c r="D390" s="33" t="s">
        <v>746</v>
      </c>
      <c r="E390" s="52">
        <v>200</v>
      </c>
      <c r="F390" s="33" t="b">
        <v>1</v>
      </c>
      <c r="G390" s="33">
        <v>0</v>
      </c>
      <c r="H390" s="52">
        <v>0</v>
      </c>
      <c r="I390" s="33">
        <v>0</v>
      </c>
      <c r="J390" s="33">
        <v>0</v>
      </c>
      <c r="K390" s="33">
        <v>0</v>
      </c>
      <c r="L390" s="40" t="b">
        <v>0</v>
      </c>
      <c r="M390" s="33">
        <v>0</v>
      </c>
      <c r="N390" s="33">
        <v>0</v>
      </c>
      <c r="O390" s="52">
        <v>0</v>
      </c>
      <c r="P390" s="33">
        <v>0</v>
      </c>
      <c r="Q390" s="33">
        <v>0</v>
      </c>
      <c r="R390" s="33"/>
      <c r="S390" s="33"/>
      <c r="T390" s="33" t="s">
        <v>616</v>
      </c>
      <c r="U390" s="41" t="str">
        <f>IFERROR(HYPERLINK("#'Main'!B"&amp;MATCH(TRIM(A390),Main!B:B,0),"Open"),HYPERLINK("#'Main'!B1","Open"))</f>
        <v>Open</v>
      </c>
      <c r="V390" s="41"/>
    </row>
    <row r="391" spans="1:22" ht="30" customHeight="1" x14ac:dyDescent="0.25">
      <c r="A391" s="51" t="s">
        <v>209</v>
      </c>
      <c r="B391" s="42" t="s">
        <v>614</v>
      </c>
      <c r="C391" s="44" t="s">
        <v>747</v>
      </c>
      <c r="D391" s="42"/>
      <c r="E391" s="52">
        <v>200</v>
      </c>
      <c r="F391" s="42" t="b">
        <v>1</v>
      </c>
      <c r="G391" s="42">
        <v>0</v>
      </c>
      <c r="H391" s="52">
        <v>0</v>
      </c>
      <c r="I391" s="42">
        <v>0</v>
      </c>
      <c r="J391" s="42">
        <v>0</v>
      </c>
      <c r="K391" s="42">
        <v>0</v>
      </c>
      <c r="L391" s="46" t="b">
        <v>0</v>
      </c>
      <c r="M391" s="42">
        <v>0</v>
      </c>
      <c r="N391" s="42">
        <v>0</v>
      </c>
      <c r="O391" s="52">
        <v>0</v>
      </c>
      <c r="P391" s="42">
        <v>0</v>
      </c>
      <c r="Q391" s="42">
        <v>0</v>
      </c>
      <c r="R391" s="42"/>
      <c r="S391" s="42"/>
      <c r="T391" s="42" t="s">
        <v>616</v>
      </c>
      <c r="U391" t="str">
        <f>IFERROR(HYPERLINK("#'Main'!B"&amp;MATCH(TRIM(A391),Main!B:B,0),"Open"),HYPERLINK("#'Main'!B1","Open"))</f>
        <v>Open</v>
      </c>
    </row>
    <row r="392" spans="1:22" ht="30" customHeight="1" x14ac:dyDescent="0.25">
      <c r="A392" s="50" t="s">
        <v>209</v>
      </c>
      <c r="B392" s="33" t="s">
        <v>614</v>
      </c>
      <c r="C392" s="37" t="s">
        <v>748</v>
      </c>
      <c r="D392" s="33"/>
      <c r="E392" s="52">
        <v>200</v>
      </c>
      <c r="F392" s="33" t="b">
        <v>1</v>
      </c>
      <c r="G392" s="33">
        <v>0</v>
      </c>
      <c r="H392" s="52">
        <v>0</v>
      </c>
      <c r="I392" s="33">
        <v>0</v>
      </c>
      <c r="J392" s="33">
        <v>0</v>
      </c>
      <c r="K392" s="33">
        <v>0</v>
      </c>
      <c r="L392" s="40" t="b">
        <v>0</v>
      </c>
      <c r="M392" s="33">
        <v>0</v>
      </c>
      <c r="N392" s="33">
        <v>0</v>
      </c>
      <c r="O392" s="52">
        <v>0</v>
      </c>
      <c r="P392" s="33">
        <v>0</v>
      </c>
      <c r="Q392" s="33">
        <v>0</v>
      </c>
      <c r="R392" s="33"/>
      <c r="S392" s="33"/>
      <c r="T392" s="33" t="s">
        <v>616</v>
      </c>
      <c r="U392" s="41" t="str">
        <f>IFERROR(HYPERLINK("#'Main'!B"&amp;MATCH(TRIM(A392),Main!B:B,0),"Open"),HYPERLINK("#'Main'!B1","Open"))</f>
        <v>Open</v>
      </c>
      <c r="V392" s="41"/>
    </row>
    <row r="393" spans="1:22" ht="30" customHeight="1" x14ac:dyDescent="0.25">
      <c r="A393" s="51" t="s">
        <v>209</v>
      </c>
      <c r="B393" s="42" t="s">
        <v>614</v>
      </c>
      <c r="C393" s="44" t="s">
        <v>749</v>
      </c>
      <c r="D393" s="42"/>
      <c r="E393" s="52">
        <v>200</v>
      </c>
      <c r="F393" s="42" t="b">
        <v>1</v>
      </c>
      <c r="G393" s="42">
        <v>0</v>
      </c>
      <c r="H393" s="52">
        <v>0</v>
      </c>
      <c r="I393" s="42">
        <v>0</v>
      </c>
      <c r="J393" s="42">
        <v>0</v>
      </c>
      <c r="K393" s="42">
        <v>0</v>
      </c>
      <c r="L393" s="46" t="b">
        <v>0</v>
      </c>
      <c r="M393" s="42">
        <v>0</v>
      </c>
      <c r="N393" s="42">
        <v>0</v>
      </c>
      <c r="O393" s="52">
        <v>0</v>
      </c>
      <c r="P393" s="42">
        <v>0</v>
      </c>
      <c r="Q393" s="42">
        <v>0</v>
      </c>
      <c r="R393" s="42"/>
      <c r="S393" s="42"/>
      <c r="T393" s="42" t="s">
        <v>616</v>
      </c>
      <c r="U393" t="str">
        <f>IFERROR(HYPERLINK("#'Main'!B"&amp;MATCH(TRIM(A393),Main!B:B,0),"Open"),HYPERLINK("#'Main'!B1","Open"))</f>
        <v>Open</v>
      </c>
    </row>
    <row r="394" spans="1:22" ht="30" customHeight="1" x14ac:dyDescent="0.25">
      <c r="A394" s="50" t="s">
        <v>209</v>
      </c>
      <c r="B394" s="33" t="s">
        <v>614</v>
      </c>
      <c r="C394" s="37" t="s">
        <v>750</v>
      </c>
      <c r="D394" s="33"/>
      <c r="E394" s="52">
        <v>200</v>
      </c>
      <c r="F394" s="33" t="b">
        <v>1</v>
      </c>
      <c r="G394" s="33">
        <v>0</v>
      </c>
      <c r="H394" s="52">
        <v>0</v>
      </c>
      <c r="I394" s="33">
        <v>0</v>
      </c>
      <c r="J394" s="33">
        <v>0</v>
      </c>
      <c r="K394" s="33">
        <v>0</v>
      </c>
      <c r="L394" s="40" t="b">
        <v>0</v>
      </c>
      <c r="M394" s="33">
        <v>0</v>
      </c>
      <c r="N394" s="33">
        <v>0</v>
      </c>
      <c r="O394" s="52">
        <v>0</v>
      </c>
      <c r="P394" s="33">
        <v>0</v>
      </c>
      <c r="Q394" s="33">
        <v>0</v>
      </c>
      <c r="R394" s="33"/>
      <c r="S394" s="33"/>
      <c r="T394" s="33" t="s">
        <v>616</v>
      </c>
      <c r="U394" s="41" t="str">
        <f>IFERROR(HYPERLINK("#'Main'!B"&amp;MATCH(TRIM(A394),Main!B:B,0),"Open"),HYPERLINK("#'Main'!B1","Open"))</f>
        <v>Open</v>
      </c>
      <c r="V394" s="41"/>
    </row>
    <row r="395" spans="1:22" ht="30" customHeight="1" x14ac:dyDescent="0.25">
      <c r="A395" s="51" t="s">
        <v>209</v>
      </c>
      <c r="B395" s="42" t="s">
        <v>614</v>
      </c>
      <c r="C395" s="44" t="s">
        <v>751</v>
      </c>
      <c r="D395" s="42"/>
      <c r="E395" s="52">
        <v>200</v>
      </c>
      <c r="F395" s="42" t="b">
        <v>1</v>
      </c>
      <c r="G395" s="42">
        <v>0</v>
      </c>
      <c r="H395" s="52">
        <v>0</v>
      </c>
      <c r="I395" s="42">
        <v>0</v>
      </c>
      <c r="J395" s="42">
        <v>0</v>
      </c>
      <c r="K395" s="42">
        <v>0</v>
      </c>
      <c r="L395" s="46" t="b">
        <v>0</v>
      </c>
      <c r="M395" s="42">
        <v>0</v>
      </c>
      <c r="N395" s="42">
        <v>0</v>
      </c>
      <c r="O395" s="52">
        <v>0</v>
      </c>
      <c r="P395" s="42">
        <v>0</v>
      </c>
      <c r="Q395" s="42">
        <v>0</v>
      </c>
      <c r="R395" s="42"/>
      <c r="S395" s="42"/>
      <c r="T395" s="42" t="s">
        <v>616</v>
      </c>
      <c r="U395" t="str">
        <f>IFERROR(HYPERLINK("#'Main'!B"&amp;MATCH(TRIM(A395),Main!B:B,0),"Open"),HYPERLINK("#'Main'!B1","Open"))</f>
        <v>Open</v>
      </c>
    </row>
    <row r="396" spans="1:22" ht="30" customHeight="1" x14ac:dyDescent="0.25">
      <c r="A396" s="50" t="s">
        <v>209</v>
      </c>
      <c r="B396" s="33" t="s">
        <v>614</v>
      </c>
      <c r="C396" s="37" t="s">
        <v>752</v>
      </c>
      <c r="D396" s="33"/>
      <c r="E396" s="52">
        <v>200</v>
      </c>
      <c r="F396" s="33" t="b">
        <v>1</v>
      </c>
      <c r="G396" s="33">
        <v>0</v>
      </c>
      <c r="H396" s="52">
        <v>0</v>
      </c>
      <c r="I396" s="33">
        <v>0</v>
      </c>
      <c r="J396" s="33">
        <v>0</v>
      </c>
      <c r="K396" s="33">
        <v>0</v>
      </c>
      <c r="L396" s="40" t="b">
        <v>0</v>
      </c>
      <c r="M396" s="33">
        <v>0</v>
      </c>
      <c r="N396" s="33">
        <v>0</v>
      </c>
      <c r="O396" s="52">
        <v>0</v>
      </c>
      <c r="P396" s="33">
        <v>0</v>
      </c>
      <c r="Q396" s="33">
        <v>0</v>
      </c>
      <c r="R396" s="33"/>
      <c r="S396" s="33"/>
      <c r="T396" s="33" t="s">
        <v>616</v>
      </c>
      <c r="U396" s="41" t="str">
        <f>IFERROR(HYPERLINK("#'Main'!B"&amp;MATCH(TRIM(A396),Main!B:B,0),"Open"),HYPERLINK("#'Main'!B1","Open"))</f>
        <v>Open</v>
      </c>
      <c r="V396" s="41"/>
    </row>
    <row r="397" spans="1:22" ht="30" customHeight="1" x14ac:dyDescent="0.25">
      <c r="A397" s="51" t="s">
        <v>209</v>
      </c>
      <c r="B397" s="42" t="s">
        <v>614</v>
      </c>
      <c r="C397" s="44" t="s">
        <v>753</v>
      </c>
      <c r="D397" s="42"/>
      <c r="E397" s="52">
        <v>200</v>
      </c>
      <c r="F397" s="42" t="b">
        <v>1</v>
      </c>
      <c r="G397" s="42">
        <v>0</v>
      </c>
      <c r="H397" s="52">
        <v>0</v>
      </c>
      <c r="I397" s="42">
        <v>0</v>
      </c>
      <c r="J397" s="42">
        <v>0</v>
      </c>
      <c r="K397" s="42">
        <v>0</v>
      </c>
      <c r="L397" s="46" t="b">
        <v>0</v>
      </c>
      <c r="M397" s="42">
        <v>0</v>
      </c>
      <c r="N397" s="42">
        <v>0</v>
      </c>
      <c r="O397" s="52">
        <v>0</v>
      </c>
      <c r="P397" s="42">
        <v>0</v>
      </c>
      <c r="Q397" s="42">
        <v>0</v>
      </c>
      <c r="R397" s="42"/>
      <c r="S397" s="42"/>
      <c r="T397" s="42" t="s">
        <v>616</v>
      </c>
      <c r="U397" t="str">
        <f>IFERROR(HYPERLINK("#'Main'!B"&amp;MATCH(TRIM(A397),Main!B:B,0),"Open"),HYPERLINK("#'Main'!B1","Open"))</f>
        <v>Open</v>
      </c>
    </row>
    <row r="398" spans="1:22" ht="30" customHeight="1" x14ac:dyDescent="0.25">
      <c r="A398" s="50" t="s">
        <v>209</v>
      </c>
      <c r="B398" s="33" t="s">
        <v>614</v>
      </c>
      <c r="C398" s="37" t="s">
        <v>754</v>
      </c>
      <c r="D398" s="33"/>
      <c r="E398" s="52">
        <v>200</v>
      </c>
      <c r="F398" s="33" t="b">
        <v>1</v>
      </c>
      <c r="G398" s="33">
        <v>0</v>
      </c>
      <c r="H398" s="52">
        <v>0</v>
      </c>
      <c r="I398" s="33">
        <v>0</v>
      </c>
      <c r="J398" s="33">
        <v>0</v>
      </c>
      <c r="K398" s="33">
        <v>0</v>
      </c>
      <c r="L398" s="40" t="b">
        <v>0</v>
      </c>
      <c r="M398" s="33">
        <v>0</v>
      </c>
      <c r="N398" s="33">
        <v>0</v>
      </c>
      <c r="O398" s="52">
        <v>0</v>
      </c>
      <c r="P398" s="33">
        <v>0</v>
      </c>
      <c r="Q398" s="33">
        <v>0</v>
      </c>
      <c r="R398" s="33"/>
      <c r="S398" s="33"/>
      <c r="T398" s="33" t="s">
        <v>616</v>
      </c>
      <c r="U398" s="41" t="str">
        <f>IFERROR(HYPERLINK("#'Main'!B"&amp;MATCH(TRIM(A398),Main!B:B,0),"Open"),HYPERLINK("#'Main'!B1","Open"))</f>
        <v>Open</v>
      </c>
      <c r="V398" s="41"/>
    </row>
    <row r="399" spans="1:22" ht="30" customHeight="1" x14ac:dyDescent="0.25">
      <c r="A399" s="51" t="s">
        <v>209</v>
      </c>
      <c r="B399" s="42" t="s">
        <v>614</v>
      </c>
      <c r="C399" s="44" t="s">
        <v>755</v>
      </c>
      <c r="D399" s="42"/>
      <c r="E399" s="52">
        <v>200</v>
      </c>
      <c r="F399" s="42" t="b">
        <v>1</v>
      </c>
      <c r="G399" s="42">
        <v>0</v>
      </c>
      <c r="H399" s="52">
        <v>0</v>
      </c>
      <c r="I399" s="42">
        <v>0</v>
      </c>
      <c r="J399" s="42">
        <v>0</v>
      </c>
      <c r="K399" s="42">
        <v>0</v>
      </c>
      <c r="L399" s="46" t="b">
        <v>0</v>
      </c>
      <c r="M399" s="42">
        <v>0</v>
      </c>
      <c r="N399" s="42">
        <v>0</v>
      </c>
      <c r="O399" s="52">
        <v>0</v>
      </c>
      <c r="P399" s="42">
        <v>0</v>
      </c>
      <c r="Q399" s="42">
        <v>0</v>
      </c>
      <c r="R399" s="42"/>
      <c r="S399" s="42"/>
      <c r="T399" s="42" t="s">
        <v>616</v>
      </c>
      <c r="U399" t="str">
        <f>IFERROR(HYPERLINK("#'Main'!B"&amp;MATCH(TRIM(A399),Main!B:B,0),"Open"),HYPERLINK("#'Main'!B1","Open"))</f>
        <v>Open</v>
      </c>
    </row>
    <row r="400" spans="1:22" ht="30" customHeight="1" x14ac:dyDescent="0.25">
      <c r="A400" s="50" t="s">
        <v>209</v>
      </c>
      <c r="B400" s="33" t="s">
        <v>614</v>
      </c>
      <c r="C400" s="37" t="s">
        <v>756</v>
      </c>
      <c r="D400" s="33"/>
      <c r="E400" s="52">
        <v>200</v>
      </c>
      <c r="F400" s="33" t="b">
        <v>1</v>
      </c>
      <c r="G400" s="33">
        <v>0</v>
      </c>
      <c r="H400" s="52">
        <v>0</v>
      </c>
      <c r="I400" s="33">
        <v>0</v>
      </c>
      <c r="J400" s="33">
        <v>0</v>
      </c>
      <c r="K400" s="33">
        <v>0</v>
      </c>
      <c r="L400" s="40" t="b">
        <v>0</v>
      </c>
      <c r="M400" s="33">
        <v>0</v>
      </c>
      <c r="N400" s="33">
        <v>0</v>
      </c>
      <c r="O400" s="52">
        <v>0</v>
      </c>
      <c r="P400" s="33">
        <v>0</v>
      </c>
      <c r="Q400" s="33">
        <v>0</v>
      </c>
      <c r="R400" s="33"/>
      <c r="S400" s="33"/>
      <c r="T400" s="33" t="s">
        <v>616</v>
      </c>
      <c r="U400" s="41" t="str">
        <f>IFERROR(HYPERLINK("#'Main'!B"&amp;MATCH(TRIM(A400),Main!B:B,0),"Open"),HYPERLINK("#'Main'!B1","Open"))</f>
        <v>Open</v>
      </c>
      <c r="V400" s="41"/>
    </row>
    <row r="401" spans="1:22" ht="30" customHeight="1" x14ac:dyDescent="0.25">
      <c r="A401" s="51" t="s">
        <v>209</v>
      </c>
      <c r="B401" s="42" t="s">
        <v>614</v>
      </c>
      <c r="C401" s="44" t="s">
        <v>757</v>
      </c>
      <c r="D401" s="42"/>
      <c r="E401" s="52">
        <v>200</v>
      </c>
      <c r="F401" s="42" t="b">
        <v>1</v>
      </c>
      <c r="G401" s="42">
        <v>0</v>
      </c>
      <c r="H401" s="52">
        <v>0</v>
      </c>
      <c r="I401" s="42">
        <v>0</v>
      </c>
      <c r="J401" s="42">
        <v>0</v>
      </c>
      <c r="K401" s="42">
        <v>0</v>
      </c>
      <c r="L401" s="46" t="b">
        <v>0</v>
      </c>
      <c r="M401" s="42">
        <v>0</v>
      </c>
      <c r="N401" s="42">
        <v>0</v>
      </c>
      <c r="O401" s="52">
        <v>0</v>
      </c>
      <c r="P401" s="42">
        <v>0</v>
      </c>
      <c r="Q401" s="42">
        <v>0</v>
      </c>
      <c r="R401" s="42"/>
      <c r="S401" s="42"/>
      <c r="T401" s="42" t="s">
        <v>616</v>
      </c>
      <c r="U401" t="str">
        <f>IFERROR(HYPERLINK("#'Main'!B"&amp;MATCH(TRIM(A401),Main!B:B,0),"Open"),HYPERLINK("#'Main'!B1","Open"))</f>
        <v>Open</v>
      </c>
    </row>
    <row r="402" spans="1:22" ht="30" customHeight="1" x14ac:dyDescent="0.25">
      <c r="A402" s="50" t="s">
        <v>209</v>
      </c>
      <c r="B402" s="33" t="s">
        <v>614</v>
      </c>
      <c r="C402" s="37" t="s">
        <v>758</v>
      </c>
      <c r="D402" s="33"/>
      <c r="E402" s="52">
        <v>200</v>
      </c>
      <c r="F402" s="33" t="b">
        <v>1</v>
      </c>
      <c r="G402" s="33">
        <v>0</v>
      </c>
      <c r="H402" s="52">
        <v>0</v>
      </c>
      <c r="I402" s="33">
        <v>0</v>
      </c>
      <c r="J402" s="33">
        <v>0</v>
      </c>
      <c r="K402" s="33">
        <v>0</v>
      </c>
      <c r="L402" s="40" t="b">
        <v>0</v>
      </c>
      <c r="M402" s="33">
        <v>0</v>
      </c>
      <c r="N402" s="33">
        <v>0</v>
      </c>
      <c r="O402" s="52">
        <v>0</v>
      </c>
      <c r="P402" s="33">
        <v>0</v>
      </c>
      <c r="Q402" s="33">
        <v>0</v>
      </c>
      <c r="R402" s="33"/>
      <c r="S402" s="33"/>
      <c r="T402" s="33" t="s">
        <v>616</v>
      </c>
      <c r="U402" s="41" t="str">
        <f>IFERROR(HYPERLINK("#'Main'!B"&amp;MATCH(TRIM(A402),Main!B:B,0),"Open"),HYPERLINK("#'Main'!B1","Open"))</f>
        <v>Open</v>
      </c>
      <c r="V402" s="41"/>
    </row>
    <row r="403" spans="1:22" ht="30" customHeight="1" x14ac:dyDescent="0.25">
      <c r="A403" s="51" t="s">
        <v>209</v>
      </c>
      <c r="B403" s="42" t="s">
        <v>614</v>
      </c>
      <c r="C403" s="44" t="s">
        <v>759</v>
      </c>
      <c r="D403" s="42"/>
      <c r="E403" s="52">
        <v>200</v>
      </c>
      <c r="F403" s="42" t="b">
        <v>1</v>
      </c>
      <c r="G403" s="42">
        <v>0</v>
      </c>
      <c r="H403" s="52">
        <v>0</v>
      </c>
      <c r="I403" s="42">
        <v>0</v>
      </c>
      <c r="J403" s="42">
        <v>0</v>
      </c>
      <c r="K403" s="42">
        <v>0</v>
      </c>
      <c r="L403" s="46" t="b">
        <v>0</v>
      </c>
      <c r="M403" s="42">
        <v>0</v>
      </c>
      <c r="N403" s="42">
        <v>0</v>
      </c>
      <c r="O403" s="52">
        <v>0</v>
      </c>
      <c r="P403" s="42">
        <v>0</v>
      </c>
      <c r="Q403" s="42">
        <v>0</v>
      </c>
      <c r="R403" s="42"/>
      <c r="S403" s="42"/>
      <c r="T403" s="42" t="s">
        <v>616</v>
      </c>
      <c r="U403" t="str">
        <f>IFERROR(HYPERLINK("#'Main'!B"&amp;MATCH(TRIM(A403),Main!B:B,0),"Open"),HYPERLINK("#'Main'!B1","Open"))</f>
        <v>Open</v>
      </c>
    </row>
    <row r="404" spans="1:22" ht="30" customHeight="1" x14ac:dyDescent="0.25">
      <c r="A404" s="50" t="s">
        <v>209</v>
      </c>
      <c r="B404" s="33" t="s">
        <v>614</v>
      </c>
      <c r="C404" s="37" t="s">
        <v>760</v>
      </c>
      <c r="D404" s="33"/>
      <c r="E404" s="52">
        <v>200</v>
      </c>
      <c r="F404" s="33" t="b">
        <v>1</v>
      </c>
      <c r="G404" s="33">
        <v>0</v>
      </c>
      <c r="H404" s="52">
        <v>0</v>
      </c>
      <c r="I404" s="33">
        <v>0</v>
      </c>
      <c r="J404" s="33">
        <v>0</v>
      </c>
      <c r="K404" s="33">
        <v>0</v>
      </c>
      <c r="L404" s="40" t="b">
        <v>0</v>
      </c>
      <c r="M404" s="33">
        <v>0</v>
      </c>
      <c r="N404" s="33">
        <v>0</v>
      </c>
      <c r="O404" s="52">
        <v>0</v>
      </c>
      <c r="P404" s="33">
        <v>0</v>
      </c>
      <c r="Q404" s="33">
        <v>0</v>
      </c>
      <c r="R404" s="33"/>
      <c r="S404" s="33"/>
      <c r="T404" s="33" t="s">
        <v>616</v>
      </c>
      <c r="U404" s="41" t="str">
        <f>IFERROR(HYPERLINK("#'Main'!B"&amp;MATCH(TRIM(A404),Main!B:B,0),"Open"),HYPERLINK("#'Main'!B1","Open"))</f>
        <v>Open</v>
      </c>
      <c r="V404" s="41"/>
    </row>
    <row r="405" spans="1:22" ht="30" customHeight="1" x14ac:dyDescent="0.25">
      <c r="A405" s="51" t="s">
        <v>209</v>
      </c>
      <c r="B405" s="42" t="s">
        <v>614</v>
      </c>
      <c r="C405" s="44" t="s">
        <v>761</v>
      </c>
      <c r="D405" s="42"/>
      <c r="E405" s="52">
        <v>200</v>
      </c>
      <c r="F405" s="42" t="b">
        <v>1</v>
      </c>
      <c r="G405" s="42">
        <v>0</v>
      </c>
      <c r="H405" s="52">
        <v>0</v>
      </c>
      <c r="I405" s="42">
        <v>0</v>
      </c>
      <c r="J405" s="42">
        <v>0</v>
      </c>
      <c r="K405" s="42">
        <v>0</v>
      </c>
      <c r="L405" s="46" t="b">
        <v>0</v>
      </c>
      <c r="M405" s="42">
        <v>0</v>
      </c>
      <c r="N405" s="42">
        <v>0</v>
      </c>
      <c r="O405" s="52">
        <v>0</v>
      </c>
      <c r="P405" s="42">
        <v>0</v>
      </c>
      <c r="Q405" s="42">
        <v>0</v>
      </c>
      <c r="R405" s="42"/>
      <c r="S405" s="42"/>
      <c r="T405" s="42" t="s">
        <v>616</v>
      </c>
      <c r="U405" t="str">
        <f>IFERROR(HYPERLINK("#'Main'!B"&amp;MATCH(TRIM(A405),Main!B:B,0),"Open"),HYPERLINK("#'Main'!B1","Open"))</f>
        <v>Open</v>
      </c>
    </row>
    <row r="406" spans="1:22" ht="30" customHeight="1" x14ac:dyDescent="0.25">
      <c r="A406" s="50" t="s">
        <v>209</v>
      </c>
      <c r="B406" s="33" t="s">
        <v>614</v>
      </c>
      <c r="C406" s="37" t="s">
        <v>762</v>
      </c>
      <c r="D406" s="33"/>
      <c r="E406" s="52">
        <v>200</v>
      </c>
      <c r="F406" s="33" t="b">
        <v>1</v>
      </c>
      <c r="G406" s="33">
        <v>0</v>
      </c>
      <c r="H406" s="52">
        <v>0</v>
      </c>
      <c r="I406" s="33">
        <v>0</v>
      </c>
      <c r="J406" s="33">
        <v>0</v>
      </c>
      <c r="K406" s="33">
        <v>0</v>
      </c>
      <c r="L406" s="40" t="b">
        <v>0</v>
      </c>
      <c r="M406" s="33">
        <v>0</v>
      </c>
      <c r="N406" s="33">
        <v>0</v>
      </c>
      <c r="O406" s="52">
        <v>0</v>
      </c>
      <c r="P406" s="33">
        <v>0</v>
      </c>
      <c r="Q406" s="33">
        <v>0</v>
      </c>
      <c r="R406" s="33"/>
      <c r="S406" s="33"/>
      <c r="T406" s="33" t="s">
        <v>616</v>
      </c>
      <c r="U406" s="41" t="str">
        <f>IFERROR(HYPERLINK("#'Main'!B"&amp;MATCH(TRIM(A406),Main!B:B,0),"Open"),HYPERLINK("#'Main'!B1","Open"))</f>
        <v>Open</v>
      </c>
      <c r="V406" s="41"/>
    </row>
    <row r="407" spans="1:22" ht="30" customHeight="1" x14ac:dyDescent="0.25">
      <c r="A407" s="51" t="s">
        <v>209</v>
      </c>
      <c r="B407" s="42" t="s">
        <v>614</v>
      </c>
      <c r="C407" s="44" t="s">
        <v>763</v>
      </c>
      <c r="D407" s="42"/>
      <c r="E407" s="52">
        <v>200</v>
      </c>
      <c r="F407" s="42" t="b">
        <v>1</v>
      </c>
      <c r="G407" s="42">
        <v>0</v>
      </c>
      <c r="H407" s="52">
        <v>0</v>
      </c>
      <c r="I407" s="42">
        <v>0</v>
      </c>
      <c r="J407" s="42">
        <v>0</v>
      </c>
      <c r="K407" s="42">
        <v>0</v>
      </c>
      <c r="L407" s="46" t="b">
        <v>0</v>
      </c>
      <c r="M407" s="42">
        <v>0</v>
      </c>
      <c r="N407" s="42">
        <v>0</v>
      </c>
      <c r="O407" s="52">
        <v>0</v>
      </c>
      <c r="P407" s="42">
        <v>0</v>
      </c>
      <c r="Q407" s="42">
        <v>0</v>
      </c>
      <c r="R407" s="42"/>
      <c r="S407" s="42"/>
      <c r="T407" s="42" t="s">
        <v>616</v>
      </c>
      <c r="U407" t="str">
        <f>IFERROR(HYPERLINK("#'Main'!B"&amp;MATCH(TRIM(A407),Main!B:B,0),"Open"),HYPERLINK("#'Main'!B1","Open"))</f>
        <v>Open</v>
      </c>
    </row>
    <row r="408" spans="1:22" ht="30" customHeight="1" x14ac:dyDescent="0.25">
      <c r="A408" s="50" t="s">
        <v>209</v>
      </c>
      <c r="B408" s="33" t="s">
        <v>614</v>
      </c>
      <c r="C408" s="37" t="s">
        <v>764</v>
      </c>
      <c r="D408" s="33"/>
      <c r="E408" s="52">
        <v>200</v>
      </c>
      <c r="F408" s="33" t="b">
        <v>1</v>
      </c>
      <c r="G408" s="33">
        <v>0</v>
      </c>
      <c r="H408" s="52">
        <v>0</v>
      </c>
      <c r="I408" s="33">
        <v>0</v>
      </c>
      <c r="J408" s="33">
        <v>0</v>
      </c>
      <c r="K408" s="33">
        <v>0</v>
      </c>
      <c r="L408" s="40" t="b">
        <v>0</v>
      </c>
      <c r="M408" s="33">
        <v>0</v>
      </c>
      <c r="N408" s="33">
        <v>0</v>
      </c>
      <c r="O408" s="52">
        <v>0</v>
      </c>
      <c r="P408" s="33">
        <v>0</v>
      </c>
      <c r="Q408" s="33">
        <v>0</v>
      </c>
      <c r="R408" s="33"/>
      <c r="S408" s="33"/>
      <c r="T408" s="33" t="s">
        <v>616</v>
      </c>
      <c r="U408" s="41" t="str">
        <f>IFERROR(HYPERLINK("#'Main'!B"&amp;MATCH(TRIM(A408),Main!B:B,0),"Open"),HYPERLINK("#'Main'!B1","Open"))</f>
        <v>Open</v>
      </c>
      <c r="V408" s="41"/>
    </row>
    <row r="409" spans="1:22" ht="30" customHeight="1" x14ac:dyDescent="0.25">
      <c r="A409" s="51" t="s">
        <v>209</v>
      </c>
      <c r="B409" s="42" t="s">
        <v>614</v>
      </c>
      <c r="C409" s="44" t="s">
        <v>765</v>
      </c>
      <c r="D409" s="42"/>
      <c r="E409" s="52">
        <v>200</v>
      </c>
      <c r="F409" s="42" t="b">
        <v>1</v>
      </c>
      <c r="G409" s="42">
        <v>0</v>
      </c>
      <c r="H409" s="52">
        <v>0</v>
      </c>
      <c r="I409" s="42">
        <v>0</v>
      </c>
      <c r="J409" s="42">
        <v>0</v>
      </c>
      <c r="K409" s="42">
        <v>0</v>
      </c>
      <c r="L409" s="46" t="b">
        <v>0</v>
      </c>
      <c r="M409" s="42">
        <v>0</v>
      </c>
      <c r="N409" s="42">
        <v>0</v>
      </c>
      <c r="O409" s="52">
        <v>0</v>
      </c>
      <c r="P409" s="42">
        <v>0</v>
      </c>
      <c r="Q409" s="42">
        <v>0</v>
      </c>
      <c r="R409" s="42"/>
      <c r="S409" s="42"/>
      <c r="T409" s="42" t="s">
        <v>616</v>
      </c>
      <c r="U409" t="str">
        <f>IFERROR(HYPERLINK("#'Main'!B"&amp;MATCH(TRIM(A409),Main!B:B,0),"Open"),HYPERLINK("#'Main'!B1","Open"))</f>
        <v>Open</v>
      </c>
    </row>
    <row r="410" spans="1:22" ht="30" customHeight="1" x14ac:dyDescent="0.25">
      <c r="A410" s="50" t="s">
        <v>209</v>
      </c>
      <c r="B410" s="33" t="s">
        <v>614</v>
      </c>
      <c r="C410" s="37" t="s">
        <v>766</v>
      </c>
      <c r="D410" s="33"/>
      <c r="E410" s="52">
        <v>200</v>
      </c>
      <c r="F410" s="33" t="b">
        <v>1</v>
      </c>
      <c r="G410" s="33">
        <v>0</v>
      </c>
      <c r="H410" s="52">
        <v>0</v>
      </c>
      <c r="I410" s="33">
        <v>0</v>
      </c>
      <c r="J410" s="33">
        <v>0</v>
      </c>
      <c r="K410" s="33">
        <v>0</v>
      </c>
      <c r="L410" s="40" t="b">
        <v>0</v>
      </c>
      <c r="M410" s="33">
        <v>0</v>
      </c>
      <c r="N410" s="33">
        <v>0</v>
      </c>
      <c r="O410" s="52">
        <v>0</v>
      </c>
      <c r="P410" s="33">
        <v>0</v>
      </c>
      <c r="Q410" s="33">
        <v>0</v>
      </c>
      <c r="R410" s="33"/>
      <c r="S410" s="33"/>
      <c r="T410" s="33" t="s">
        <v>616</v>
      </c>
      <c r="U410" s="41" t="str">
        <f>IFERROR(HYPERLINK("#'Main'!B"&amp;MATCH(TRIM(A410),Main!B:B,0),"Open"),HYPERLINK("#'Main'!B1","Open"))</f>
        <v>Open</v>
      </c>
      <c r="V410" s="41"/>
    </row>
    <row r="411" spans="1:22" ht="30" customHeight="1" x14ac:dyDescent="0.25">
      <c r="A411" s="51" t="s">
        <v>209</v>
      </c>
      <c r="B411" s="42" t="s">
        <v>614</v>
      </c>
      <c r="C411" s="44" t="s">
        <v>214</v>
      </c>
      <c r="D411" s="42" t="s">
        <v>767</v>
      </c>
      <c r="E411" s="52">
        <v>200</v>
      </c>
      <c r="F411" s="42" t="b">
        <v>1</v>
      </c>
      <c r="G411" s="42">
        <v>0</v>
      </c>
      <c r="H411" s="52">
        <v>0</v>
      </c>
      <c r="I411" s="42">
        <v>0</v>
      </c>
      <c r="J411" s="42">
        <v>0</v>
      </c>
      <c r="K411" s="42">
        <v>0</v>
      </c>
      <c r="L411" s="46" t="b">
        <v>0</v>
      </c>
      <c r="M411" s="42">
        <v>0</v>
      </c>
      <c r="N411" s="42">
        <v>0</v>
      </c>
      <c r="O411" s="52">
        <v>0</v>
      </c>
      <c r="P411" s="42">
        <v>0</v>
      </c>
      <c r="Q411" s="42">
        <v>0</v>
      </c>
      <c r="R411" s="42"/>
      <c r="S411" s="42"/>
      <c r="T411" s="42" t="s">
        <v>616</v>
      </c>
      <c r="U411" t="str">
        <f>IFERROR(HYPERLINK("#'Main'!B"&amp;MATCH(TRIM(A411),Main!B:B,0),"Open"),HYPERLINK("#'Main'!B1","Open"))</f>
        <v>Open</v>
      </c>
    </row>
    <row r="412" spans="1:22" ht="30" customHeight="1" x14ac:dyDescent="0.25">
      <c r="A412" s="50" t="s">
        <v>209</v>
      </c>
      <c r="B412" s="33" t="s">
        <v>614</v>
      </c>
      <c r="C412" s="37" t="s">
        <v>219</v>
      </c>
      <c r="D412" s="33" t="s">
        <v>768</v>
      </c>
      <c r="E412" s="52">
        <v>200</v>
      </c>
      <c r="F412" s="33" t="b">
        <v>1</v>
      </c>
      <c r="G412" s="33">
        <v>0</v>
      </c>
      <c r="H412" s="52">
        <v>0</v>
      </c>
      <c r="I412" s="33">
        <v>0</v>
      </c>
      <c r="J412" s="33">
        <v>0</v>
      </c>
      <c r="K412" s="33">
        <v>0</v>
      </c>
      <c r="L412" s="40" t="b">
        <v>0</v>
      </c>
      <c r="M412" s="33">
        <v>0</v>
      </c>
      <c r="N412" s="33">
        <v>0</v>
      </c>
      <c r="O412" s="52">
        <v>0</v>
      </c>
      <c r="P412" s="33">
        <v>0</v>
      </c>
      <c r="Q412" s="33">
        <v>0</v>
      </c>
      <c r="R412" s="33"/>
      <c r="S412" s="33"/>
      <c r="T412" s="33" t="s">
        <v>616</v>
      </c>
      <c r="U412" s="41" t="str">
        <f>IFERROR(HYPERLINK("#'Main'!B"&amp;MATCH(TRIM(A412),Main!B:B,0),"Open"),HYPERLINK("#'Main'!B1","Open"))</f>
        <v>Open</v>
      </c>
      <c r="V412" s="41"/>
    </row>
    <row r="413" spans="1:22" ht="30" customHeight="1" x14ac:dyDescent="0.25">
      <c r="A413" s="51" t="s">
        <v>209</v>
      </c>
      <c r="B413" s="42" t="s">
        <v>614</v>
      </c>
      <c r="C413" s="44" t="s">
        <v>769</v>
      </c>
      <c r="D413" s="42"/>
      <c r="E413" s="52">
        <v>200</v>
      </c>
      <c r="F413" s="42" t="b">
        <v>1</v>
      </c>
      <c r="G413" s="42">
        <v>0</v>
      </c>
      <c r="H413" s="52">
        <v>0</v>
      </c>
      <c r="I413" s="42">
        <v>0</v>
      </c>
      <c r="J413" s="42">
        <v>0</v>
      </c>
      <c r="K413" s="42">
        <v>0</v>
      </c>
      <c r="L413" s="46" t="b">
        <v>0</v>
      </c>
      <c r="M413" s="42">
        <v>0</v>
      </c>
      <c r="N413" s="42">
        <v>0</v>
      </c>
      <c r="O413" s="52">
        <v>0</v>
      </c>
      <c r="P413" s="42">
        <v>0</v>
      </c>
      <c r="Q413" s="42">
        <v>0</v>
      </c>
      <c r="R413" s="42"/>
      <c r="S413" s="42"/>
      <c r="T413" s="42" t="s">
        <v>616</v>
      </c>
      <c r="U413" t="str">
        <f>IFERROR(HYPERLINK("#'Main'!B"&amp;MATCH(TRIM(A413),Main!B:B,0),"Open"),HYPERLINK("#'Main'!B1","Open"))</f>
        <v>Open</v>
      </c>
    </row>
    <row r="414" spans="1:22" ht="30" customHeight="1" x14ac:dyDescent="0.25">
      <c r="A414" s="50" t="s">
        <v>209</v>
      </c>
      <c r="B414" s="33" t="s">
        <v>614</v>
      </c>
      <c r="C414" s="37" t="s">
        <v>770</v>
      </c>
      <c r="D414" s="33"/>
      <c r="E414" s="52">
        <v>200</v>
      </c>
      <c r="F414" s="33" t="b">
        <v>1</v>
      </c>
      <c r="G414" s="33">
        <v>0</v>
      </c>
      <c r="H414" s="52">
        <v>0</v>
      </c>
      <c r="I414" s="33">
        <v>0</v>
      </c>
      <c r="J414" s="33">
        <v>0</v>
      </c>
      <c r="K414" s="33">
        <v>0</v>
      </c>
      <c r="L414" s="40" t="b">
        <v>0</v>
      </c>
      <c r="M414" s="33">
        <v>0</v>
      </c>
      <c r="N414" s="33">
        <v>0</v>
      </c>
      <c r="O414" s="52">
        <v>0</v>
      </c>
      <c r="P414" s="33">
        <v>0</v>
      </c>
      <c r="Q414" s="33">
        <v>0</v>
      </c>
      <c r="R414" s="33"/>
      <c r="S414" s="33"/>
      <c r="T414" s="33" t="s">
        <v>616</v>
      </c>
      <c r="U414" s="41" t="str">
        <f>IFERROR(HYPERLINK("#'Main'!B"&amp;MATCH(TRIM(A414),Main!B:B,0),"Open"),HYPERLINK("#'Main'!B1","Open"))</f>
        <v>Open</v>
      </c>
      <c r="V414" s="41"/>
    </row>
    <row r="415" spans="1:22" ht="30" customHeight="1" x14ac:dyDescent="0.25">
      <c r="A415" s="51" t="s">
        <v>209</v>
      </c>
      <c r="B415" s="42" t="s">
        <v>614</v>
      </c>
      <c r="C415" s="44" t="s">
        <v>771</v>
      </c>
      <c r="D415" s="42"/>
      <c r="E415" s="52">
        <v>200</v>
      </c>
      <c r="F415" s="42" t="b">
        <v>1</v>
      </c>
      <c r="G415" s="42">
        <v>0</v>
      </c>
      <c r="H415" s="52">
        <v>0</v>
      </c>
      <c r="I415" s="42">
        <v>0</v>
      </c>
      <c r="J415" s="42">
        <v>0</v>
      </c>
      <c r="K415" s="42">
        <v>0</v>
      </c>
      <c r="L415" s="46" t="b">
        <v>0</v>
      </c>
      <c r="M415" s="42">
        <v>0</v>
      </c>
      <c r="N415" s="42">
        <v>0</v>
      </c>
      <c r="O415" s="52">
        <v>0</v>
      </c>
      <c r="P415" s="42">
        <v>0</v>
      </c>
      <c r="Q415" s="42">
        <v>0</v>
      </c>
      <c r="R415" s="42"/>
      <c r="S415" s="42"/>
      <c r="T415" s="42" t="s">
        <v>616</v>
      </c>
      <c r="U415" t="str">
        <f>IFERROR(HYPERLINK("#'Main'!B"&amp;MATCH(TRIM(A415),Main!B:B,0),"Open"),HYPERLINK("#'Main'!B1","Open"))</f>
        <v>Open</v>
      </c>
    </row>
    <row r="416" spans="1:22" ht="30" customHeight="1" x14ac:dyDescent="0.25">
      <c r="A416" s="50" t="s">
        <v>209</v>
      </c>
      <c r="B416" s="33" t="s">
        <v>614</v>
      </c>
      <c r="C416" s="37" t="s">
        <v>772</v>
      </c>
      <c r="D416" s="33"/>
      <c r="E416" s="52">
        <v>200</v>
      </c>
      <c r="F416" s="33" t="b">
        <v>1</v>
      </c>
      <c r="G416" s="33">
        <v>0</v>
      </c>
      <c r="H416" s="52">
        <v>0</v>
      </c>
      <c r="I416" s="33">
        <v>0</v>
      </c>
      <c r="J416" s="33">
        <v>0</v>
      </c>
      <c r="K416" s="33">
        <v>0</v>
      </c>
      <c r="L416" s="40" t="b">
        <v>0</v>
      </c>
      <c r="M416" s="33">
        <v>0</v>
      </c>
      <c r="N416" s="33">
        <v>0</v>
      </c>
      <c r="O416" s="52">
        <v>0</v>
      </c>
      <c r="P416" s="33">
        <v>0</v>
      </c>
      <c r="Q416" s="33">
        <v>0</v>
      </c>
      <c r="R416" s="33"/>
      <c r="S416" s="33"/>
      <c r="T416" s="33" t="s">
        <v>616</v>
      </c>
      <c r="U416" s="41" t="str">
        <f>IFERROR(HYPERLINK("#'Main'!B"&amp;MATCH(TRIM(A416),Main!B:B,0),"Open"),HYPERLINK("#'Main'!B1","Open"))</f>
        <v>Open</v>
      </c>
      <c r="V416" s="41"/>
    </row>
    <row r="417" spans="1:22" ht="30" customHeight="1" x14ac:dyDescent="0.25">
      <c r="A417" s="51" t="s">
        <v>209</v>
      </c>
      <c r="B417" s="42" t="s">
        <v>614</v>
      </c>
      <c r="C417" s="44" t="s">
        <v>773</v>
      </c>
      <c r="D417" s="42"/>
      <c r="E417" s="52">
        <v>200</v>
      </c>
      <c r="F417" s="42" t="b">
        <v>1</v>
      </c>
      <c r="G417" s="42">
        <v>0</v>
      </c>
      <c r="H417" s="52">
        <v>0</v>
      </c>
      <c r="I417" s="42">
        <v>0</v>
      </c>
      <c r="J417" s="42">
        <v>0</v>
      </c>
      <c r="K417" s="42">
        <v>0</v>
      </c>
      <c r="L417" s="46" t="b">
        <v>0</v>
      </c>
      <c r="M417" s="42">
        <v>0</v>
      </c>
      <c r="N417" s="42">
        <v>0</v>
      </c>
      <c r="O417" s="52">
        <v>0</v>
      </c>
      <c r="P417" s="42">
        <v>0</v>
      </c>
      <c r="Q417" s="42">
        <v>0</v>
      </c>
      <c r="R417" s="42"/>
      <c r="S417" s="42"/>
      <c r="T417" s="42" t="s">
        <v>616</v>
      </c>
      <c r="U417" t="str">
        <f>IFERROR(HYPERLINK("#'Main'!B"&amp;MATCH(TRIM(A417),Main!B:B,0),"Open"),HYPERLINK("#'Main'!B1","Open"))</f>
        <v>Open</v>
      </c>
    </row>
    <row r="418" spans="1:22" ht="30" customHeight="1" x14ac:dyDescent="0.25">
      <c r="A418" s="50" t="s">
        <v>209</v>
      </c>
      <c r="B418" s="33" t="s">
        <v>614</v>
      </c>
      <c r="C418" s="37" t="s">
        <v>774</v>
      </c>
      <c r="D418" s="33"/>
      <c r="E418" s="52">
        <v>200</v>
      </c>
      <c r="F418" s="33" t="b">
        <v>1</v>
      </c>
      <c r="G418" s="33">
        <v>0</v>
      </c>
      <c r="H418" s="52">
        <v>0</v>
      </c>
      <c r="I418" s="33">
        <v>0</v>
      </c>
      <c r="J418" s="33">
        <v>0</v>
      </c>
      <c r="K418" s="33">
        <v>0</v>
      </c>
      <c r="L418" s="40" t="b">
        <v>0</v>
      </c>
      <c r="M418" s="33">
        <v>0</v>
      </c>
      <c r="N418" s="33">
        <v>0</v>
      </c>
      <c r="O418" s="52">
        <v>0</v>
      </c>
      <c r="P418" s="33">
        <v>0</v>
      </c>
      <c r="Q418" s="33">
        <v>0</v>
      </c>
      <c r="R418" s="33"/>
      <c r="S418" s="33"/>
      <c r="T418" s="33" t="s">
        <v>616</v>
      </c>
      <c r="U418" s="41" t="str">
        <f>IFERROR(HYPERLINK("#'Main'!B"&amp;MATCH(TRIM(A418),Main!B:B,0),"Open"),HYPERLINK("#'Main'!B1","Open"))</f>
        <v>Open</v>
      </c>
      <c r="V418" s="41"/>
    </row>
    <row r="419" spans="1:22" ht="30" customHeight="1" x14ac:dyDescent="0.25">
      <c r="A419" s="51" t="s">
        <v>209</v>
      </c>
      <c r="B419" s="42" t="s">
        <v>614</v>
      </c>
      <c r="C419" s="44" t="s">
        <v>775</v>
      </c>
      <c r="D419" s="42"/>
      <c r="E419" s="52">
        <v>200</v>
      </c>
      <c r="F419" s="42" t="b">
        <v>1</v>
      </c>
      <c r="G419" s="42">
        <v>0</v>
      </c>
      <c r="H419" s="52">
        <v>0</v>
      </c>
      <c r="I419" s="42">
        <v>0</v>
      </c>
      <c r="J419" s="42">
        <v>0</v>
      </c>
      <c r="K419" s="42">
        <v>0</v>
      </c>
      <c r="L419" s="46" t="b">
        <v>0</v>
      </c>
      <c r="M419" s="42">
        <v>0</v>
      </c>
      <c r="N419" s="42">
        <v>0</v>
      </c>
      <c r="O419" s="52">
        <v>0</v>
      </c>
      <c r="P419" s="42">
        <v>0</v>
      </c>
      <c r="Q419" s="42">
        <v>0</v>
      </c>
      <c r="R419" s="42"/>
      <c r="S419" s="42"/>
      <c r="T419" s="42" t="s">
        <v>616</v>
      </c>
      <c r="U419" t="str">
        <f>IFERROR(HYPERLINK("#'Main'!B"&amp;MATCH(TRIM(A419),Main!B:B,0),"Open"),HYPERLINK("#'Main'!B1","Open"))</f>
        <v>Open</v>
      </c>
    </row>
    <row r="420" spans="1:22" ht="30" customHeight="1" x14ac:dyDescent="0.25">
      <c r="A420" s="50" t="s">
        <v>209</v>
      </c>
      <c r="B420" s="33" t="s">
        <v>614</v>
      </c>
      <c r="C420" s="37" t="s">
        <v>776</v>
      </c>
      <c r="D420" s="33"/>
      <c r="E420" s="52">
        <v>200</v>
      </c>
      <c r="F420" s="33" t="b">
        <v>1</v>
      </c>
      <c r="G420" s="33">
        <v>0</v>
      </c>
      <c r="H420" s="52">
        <v>0</v>
      </c>
      <c r="I420" s="33">
        <v>0</v>
      </c>
      <c r="J420" s="33">
        <v>0</v>
      </c>
      <c r="K420" s="33">
        <v>0</v>
      </c>
      <c r="L420" s="40" t="b">
        <v>0</v>
      </c>
      <c r="M420" s="33">
        <v>0</v>
      </c>
      <c r="N420" s="33">
        <v>0</v>
      </c>
      <c r="O420" s="52">
        <v>0</v>
      </c>
      <c r="P420" s="33">
        <v>0</v>
      </c>
      <c r="Q420" s="33">
        <v>0</v>
      </c>
      <c r="R420" s="33"/>
      <c r="S420" s="33"/>
      <c r="T420" s="33" t="s">
        <v>616</v>
      </c>
      <c r="U420" s="41" t="str">
        <f>IFERROR(HYPERLINK("#'Main'!B"&amp;MATCH(TRIM(A420),Main!B:B,0),"Open"),HYPERLINK("#'Main'!B1","Open"))</f>
        <v>Open</v>
      </c>
      <c r="V420" s="41"/>
    </row>
    <row r="421" spans="1:22" ht="30" customHeight="1" x14ac:dyDescent="0.25">
      <c r="A421" s="51" t="s">
        <v>209</v>
      </c>
      <c r="B421" s="42" t="s">
        <v>614</v>
      </c>
      <c r="C421" s="44" t="s">
        <v>777</v>
      </c>
      <c r="D421" s="42"/>
      <c r="E421" s="34">
        <v>500</v>
      </c>
      <c r="F421" s="42" t="b">
        <v>0</v>
      </c>
      <c r="G421" s="42">
        <v>0</v>
      </c>
      <c r="H421" s="52">
        <v>0</v>
      </c>
      <c r="I421" s="42">
        <v>0</v>
      </c>
      <c r="J421" s="42">
        <v>0</v>
      </c>
      <c r="K421" s="42">
        <v>0</v>
      </c>
      <c r="L421" s="46" t="b">
        <v>0</v>
      </c>
      <c r="M421" s="42">
        <v>0</v>
      </c>
      <c r="N421" s="42">
        <v>0</v>
      </c>
      <c r="O421" s="52">
        <v>0</v>
      </c>
      <c r="P421" s="42">
        <v>0</v>
      </c>
      <c r="Q421" s="42">
        <v>0</v>
      </c>
      <c r="R421" s="42"/>
      <c r="S421" s="42"/>
      <c r="T421" s="42" t="s">
        <v>616</v>
      </c>
      <c r="U421" t="str">
        <f>IFERROR(HYPERLINK("#'Main'!B"&amp;MATCH(TRIM(A421),Main!B:B,0),"Open"),HYPERLINK("#'Main'!B1","Open"))</f>
        <v>Open</v>
      </c>
    </row>
    <row r="422" spans="1:22" ht="30" customHeight="1" x14ac:dyDescent="0.25">
      <c r="A422" s="50" t="s">
        <v>209</v>
      </c>
      <c r="B422" s="33" t="s">
        <v>614</v>
      </c>
      <c r="C422" s="37" t="s">
        <v>778</v>
      </c>
      <c r="D422" s="33"/>
      <c r="E422" s="52">
        <v>200</v>
      </c>
      <c r="F422" s="33" t="b">
        <v>1</v>
      </c>
      <c r="G422" s="33">
        <v>0</v>
      </c>
      <c r="H422" s="52">
        <v>0</v>
      </c>
      <c r="I422" s="33">
        <v>0</v>
      </c>
      <c r="J422" s="33">
        <v>0</v>
      </c>
      <c r="K422" s="33">
        <v>0</v>
      </c>
      <c r="L422" s="40" t="b">
        <v>0</v>
      </c>
      <c r="M422" s="33">
        <v>0</v>
      </c>
      <c r="N422" s="33">
        <v>0</v>
      </c>
      <c r="O422" s="52">
        <v>0</v>
      </c>
      <c r="P422" s="33">
        <v>0</v>
      </c>
      <c r="Q422" s="33">
        <v>0</v>
      </c>
      <c r="R422" s="33"/>
      <c r="S422" s="33"/>
      <c r="T422" s="33" t="s">
        <v>616</v>
      </c>
      <c r="U422" s="41" t="str">
        <f>IFERROR(HYPERLINK("#'Main'!B"&amp;MATCH(TRIM(A422),Main!B:B,0),"Open"),HYPERLINK("#'Main'!B1","Open"))</f>
        <v>Open</v>
      </c>
      <c r="V422" s="41"/>
    </row>
    <row r="423" spans="1:22" ht="30" customHeight="1" x14ac:dyDescent="0.25">
      <c r="A423" s="51" t="s">
        <v>209</v>
      </c>
      <c r="B423" s="42" t="s">
        <v>614</v>
      </c>
      <c r="C423" s="44" t="s">
        <v>629</v>
      </c>
      <c r="D423" s="42" t="s">
        <v>630</v>
      </c>
      <c r="E423" s="52">
        <v>200</v>
      </c>
      <c r="F423" s="42" t="b">
        <v>1</v>
      </c>
      <c r="G423" s="42">
        <v>0</v>
      </c>
      <c r="H423" s="52">
        <v>0</v>
      </c>
      <c r="I423" s="42">
        <v>0</v>
      </c>
      <c r="J423" s="42">
        <v>0</v>
      </c>
      <c r="K423" s="42">
        <v>0</v>
      </c>
      <c r="L423" s="46" t="b">
        <v>0</v>
      </c>
      <c r="M423" s="42">
        <v>0</v>
      </c>
      <c r="N423" s="42">
        <v>0</v>
      </c>
      <c r="O423" s="52">
        <v>0</v>
      </c>
      <c r="P423" s="42">
        <v>0</v>
      </c>
      <c r="Q423" s="42">
        <v>0</v>
      </c>
      <c r="R423" s="42"/>
      <c r="S423" s="42"/>
      <c r="T423" s="42" t="s">
        <v>616</v>
      </c>
      <c r="U423" t="str">
        <f>IFERROR(HYPERLINK("#'Main'!B"&amp;MATCH(TRIM(A423),Main!B:B,0),"Open"),HYPERLINK("#'Main'!B1","Open"))</f>
        <v>Open</v>
      </c>
    </row>
    <row r="424" spans="1:22" ht="30" customHeight="1" x14ac:dyDescent="0.25">
      <c r="A424" s="50" t="s">
        <v>209</v>
      </c>
      <c r="B424" s="33" t="s">
        <v>614</v>
      </c>
      <c r="C424" s="37" t="s">
        <v>631</v>
      </c>
      <c r="D424" s="33"/>
      <c r="E424" s="52">
        <v>200</v>
      </c>
      <c r="F424" s="33" t="b">
        <v>1</v>
      </c>
      <c r="G424" s="33">
        <v>0</v>
      </c>
      <c r="H424" s="52">
        <v>0</v>
      </c>
      <c r="I424" s="33">
        <v>0</v>
      </c>
      <c r="J424" s="33">
        <v>0</v>
      </c>
      <c r="K424" s="33">
        <v>0</v>
      </c>
      <c r="L424" s="40" t="b">
        <v>0</v>
      </c>
      <c r="M424" s="33">
        <v>0</v>
      </c>
      <c r="N424" s="33">
        <v>0</v>
      </c>
      <c r="O424" s="52">
        <v>0</v>
      </c>
      <c r="P424" s="33">
        <v>0</v>
      </c>
      <c r="Q424" s="33">
        <v>0</v>
      </c>
      <c r="R424" s="33"/>
      <c r="S424" s="33"/>
      <c r="T424" s="33" t="s">
        <v>616</v>
      </c>
      <c r="U424" s="41" t="str">
        <f>IFERROR(HYPERLINK("#'Main'!B"&amp;MATCH(TRIM(A424),Main!B:B,0),"Open"),HYPERLINK("#'Main'!B1","Open"))</f>
        <v>Open</v>
      </c>
      <c r="V424" s="41"/>
    </row>
    <row r="425" spans="1:22" ht="30" customHeight="1" x14ac:dyDescent="0.25">
      <c r="A425" s="51" t="s">
        <v>209</v>
      </c>
      <c r="B425" s="42" t="s">
        <v>614</v>
      </c>
      <c r="C425" s="44" t="s">
        <v>632</v>
      </c>
      <c r="D425" s="42"/>
      <c r="E425" s="52">
        <v>200</v>
      </c>
      <c r="F425" s="42" t="b">
        <v>1</v>
      </c>
      <c r="G425" s="42">
        <v>0</v>
      </c>
      <c r="H425" s="52">
        <v>0</v>
      </c>
      <c r="I425" s="42">
        <v>0</v>
      </c>
      <c r="J425" s="42">
        <v>0</v>
      </c>
      <c r="K425" s="42">
        <v>0</v>
      </c>
      <c r="L425" s="46" t="b">
        <v>0</v>
      </c>
      <c r="M425" s="42">
        <v>0</v>
      </c>
      <c r="N425" s="42">
        <v>0</v>
      </c>
      <c r="O425" s="52">
        <v>0</v>
      </c>
      <c r="P425" s="42">
        <v>0</v>
      </c>
      <c r="Q425" s="42">
        <v>0</v>
      </c>
      <c r="R425" s="42"/>
      <c r="S425" s="42"/>
      <c r="T425" s="42" t="s">
        <v>616</v>
      </c>
      <c r="U425" t="str">
        <f>IFERROR(HYPERLINK("#'Main'!B"&amp;MATCH(TRIM(A425),Main!B:B,0),"Open"),HYPERLINK("#'Main'!B1","Open"))</f>
        <v>Open</v>
      </c>
    </row>
    <row r="426" spans="1:22" ht="30" customHeight="1" x14ac:dyDescent="0.25">
      <c r="A426" s="50" t="s">
        <v>209</v>
      </c>
      <c r="B426" s="33" t="s">
        <v>614</v>
      </c>
      <c r="C426" s="37" t="s">
        <v>633</v>
      </c>
      <c r="D426" s="33"/>
      <c r="E426" s="34">
        <v>403</v>
      </c>
      <c r="F426" s="33" t="b">
        <v>0</v>
      </c>
      <c r="G426" s="33">
        <v>0</v>
      </c>
      <c r="H426" s="52">
        <v>0</v>
      </c>
      <c r="I426" s="33">
        <v>0</v>
      </c>
      <c r="J426" s="33">
        <v>0</v>
      </c>
      <c r="K426" s="33">
        <v>0</v>
      </c>
      <c r="L426" s="40" t="b">
        <v>0</v>
      </c>
      <c r="M426" s="33">
        <v>0</v>
      </c>
      <c r="N426" s="33">
        <v>0</v>
      </c>
      <c r="O426" s="52">
        <v>0</v>
      </c>
      <c r="P426" s="33">
        <v>0</v>
      </c>
      <c r="Q426" s="33">
        <v>0</v>
      </c>
      <c r="R426" s="33"/>
      <c r="S426" s="33"/>
      <c r="T426" s="33" t="s">
        <v>616</v>
      </c>
      <c r="U426" s="41" t="str">
        <f>IFERROR(HYPERLINK("#'Main'!B"&amp;MATCH(TRIM(A426),Main!B:B,0),"Open"),HYPERLINK("#'Main'!B1","Open"))</f>
        <v>Open</v>
      </c>
      <c r="V426" s="41"/>
    </row>
    <row r="427" spans="1:22" ht="30" customHeight="1" x14ac:dyDescent="0.25">
      <c r="A427" s="51" t="s">
        <v>209</v>
      </c>
      <c r="B427" s="42" t="s">
        <v>614</v>
      </c>
      <c r="C427" s="44" t="s">
        <v>779</v>
      </c>
      <c r="D427" s="42"/>
      <c r="E427" s="34">
        <v>404</v>
      </c>
      <c r="F427" s="42" t="b">
        <v>0</v>
      </c>
      <c r="G427" s="42">
        <v>0</v>
      </c>
      <c r="H427" s="52">
        <v>0</v>
      </c>
      <c r="I427" s="42">
        <v>0</v>
      </c>
      <c r="J427" s="42">
        <v>0</v>
      </c>
      <c r="K427" s="42">
        <v>0</v>
      </c>
      <c r="L427" s="46" t="b">
        <v>0</v>
      </c>
      <c r="M427" s="42">
        <v>0</v>
      </c>
      <c r="N427" s="42">
        <v>0</v>
      </c>
      <c r="O427" s="52">
        <v>0</v>
      </c>
      <c r="P427" s="42">
        <v>0</v>
      </c>
      <c r="Q427" s="42">
        <v>0</v>
      </c>
      <c r="R427" s="42"/>
      <c r="S427" s="42"/>
      <c r="T427" s="42" t="s">
        <v>616</v>
      </c>
      <c r="U427" t="str">
        <f>IFERROR(HYPERLINK("#'Main'!B"&amp;MATCH(TRIM(A427),Main!B:B,0),"Open"),HYPERLINK("#'Main'!B1","Open"))</f>
        <v>Open</v>
      </c>
    </row>
    <row r="428" spans="1:22" ht="30" customHeight="1" x14ac:dyDescent="0.25">
      <c r="A428" s="50" t="s">
        <v>209</v>
      </c>
      <c r="B428" s="33" t="s">
        <v>614</v>
      </c>
      <c r="C428" s="37" t="s">
        <v>779</v>
      </c>
      <c r="D428" s="33" t="s">
        <v>780</v>
      </c>
      <c r="E428" s="34">
        <v>404</v>
      </c>
      <c r="F428" s="33" t="b">
        <v>0</v>
      </c>
      <c r="G428" s="33">
        <v>0</v>
      </c>
      <c r="H428" s="52">
        <v>0</v>
      </c>
      <c r="I428" s="33">
        <v>0</v>
      </c>
      <c r="J428" s="33">
        <v>0</v>
      </c>
      <c r="K428" s="33">
        <v>0</v>
      </c>
      <c r="L428" s="40" t="b">
        <v>0</v>
      </c>
      <c r="M428" s="33">
        <v>0</v>
      </c>
      <c r="N428" s="33">
        <v>0</v>
      </c>
      <c r="O428" s="52">
        <v>0</v>
      </c>
      <c r="P428" s="33">
        <v>0</v>
      </c>
      <c r="Q428" s="33">
        <v>0</v>
      </c>
      <c r="R428" s="33"/>
      <c r="S428" s="33"/>
      <c r="T428" s="33" t="s">
        <v>616</v>
      </c>
      <c r="U428" s="41" t="str">
        <f>IFERROR(HYPERLINK("#'Main'!B"&amp;MATCH(TRIM(A428),Main!B:B,0),"Open"),HYPERLINK("#'Main'!B1","Open"))</f>
        <v>Open</v>
      </c>
      <c r="V428" s="41"/>
    </row>
    <row r="429" spans="1:22" ht="30" customHeight="1" x14ac:dyDescent="0.25">
      <c r="A429" s="51" t="s">
        <v>209</v>
      </c>
      <c r="B429" s="42" t="s">
        <v>614</v>
      </c>
      <c r="C429" s="44" t="s">
        <v>634</v>
      </c>
      <c r="D429" s="42" t="s">
        <v>635</v>
      </c>
      <c r="E429" s="52">
        <v>200</v>
      </c>
      <c r="F429" s="42" t="b">
        <v>1</v>
      </c>
      <c r="G429" s="42">
        <v>0</v>
      </c>
      <c r="H429" s="52">
        <v>0</v>
      </c>
      <c r="I429" s="42">
        <v>0</v>
      </c>
      <c r="J429" s="42">
        <v>0</v>
      </c>
      <c r="K429" s="42">
        <v>0</v>
      </c>
      <c r="L429" s="46" t="b">
        <v>0</v>
      </c>
      <c r="M429" s="42">
        <v>0</v>
      </c>
      <c r="N429" s="42">
        <v>0</v>
      </c>
      <c r="O429" s="52">
        <v>0</v>
      </c>
      <c r="P429" s="42">
        <v>0</v>
      </c>
      <c r="Q429" s="42">
        <v>0</v>
      </c>
      <c r="R429" s="42"/>
      <c r="S429" s="42"/>
      <c r="T429" s="42" t="s">
        <v>616</v>
      </c>
      <c r="U429" t="str">
        <f>IFERROR(HYPERLINK("#'Main'!B"&amp;MATCH(TRIM(A429),Main!B:B,0),"Open"),HYPERLINK("#'Main'!B1","Open"))</f>
        <v>Open</v>
      </c>
    </row>
    <row r="430" spans="1:22" ht="30" customHeight="1" x14ac:dyDescent="0.25">
      <c r="A430" s="50" t="s">
        <v>209</v>
      </c>
      <c r="B430" s="33" t="s">
        <v>614</v>
      </c>
      <c r="C430" s="37" t="s">
        <v>636</v>
      </c>
      <c r="D430" s="33" t="s">
        <v>637</v>
      </c>
      <c r="E430" s="34">
        <v>404</v>
      </c>
      <c r="F430" s="33" t="b">
        <v>0</v>
      </c>
      <c r="G430" s="33">
        <v>0</v>
      </c>
      <c r="H430" s="52">
        <v>0</v>
      </c>
      <c r="I430" s="33">
        <v>0</v>
      </c>
      <c r="J430" s="33">
        <v>0</v>
      </c>
      <c r="K430" s="33">
        <v>0</v>
      </c>
      <c r="L430" s="40" t="b">
        <v>0</v>
      </c>
      <c r="M430" s="33">
        <v>0</v>
      </c>
      <c r="N430" s="33">
        <v>0</v>
      </c>
      <c r="O430" s="52">
        <v>0</v>
      </c>
      <c r="P430" s="33">
        <v>0</v>
      </c>
      <c r="Q430" s="33">
        <v>0</v>
      </c>
      <c r="R430" s="33"/>
      <c r="S430" s="33"/>
      <c r="T430" s="33" t="s">
        <v>616</v>
      </c>
      <c r="U430" s="41" t="str">
        <f>IFERROR(HYPERLINK("#'Main'!B"&amp;MATCH(TRIM(A430),Main!B:B,0),"Open"),HYPERLINK("#'Main'!B1","Open"))</f>
        <v>Open</v>
      </c>
      <c r="V430" s="41"/>
    </row>
    <row r="431" spans="1:22" ht="30" customHeight="1" x14ac:dyDescent="0.25">
      <c r="A431" s="51" t="s">
        <v>209</v>
      </c>
      <c r="B431" s="42" t="s">
        <v>614</v>
      </c>
      <c r="C431" s="44" t="s">
        <v>636</v>
      </c>
      <c r="D431" s="42" t="s">
        <v>638</v>
      </c>
      <c r="E431" s="34">
        <v>404</v>
      </c>
      <c r="F431" s="42" t="b">
        <v>0</v>
      </c>
      <c r="G431" s="42">
        <v>0</v>
      </c>
      <c r="H431" s="52">
        <v>0</v>
      </c>
      <c r="I431" s="42">
        <v>0</v>
      </c>
      <c r="J431" s="42">
        <v>0</v>
      </c>
      <c r="K431" s="42">
        <v>0</v>
      </c>
      <c r="L431" s="46" t="b">
        <v>0</v>
      </c>
      <c r="M431" s="42">
        <v>0</v>
      </c>
      <c r="N431" s="42">
        <v>0</v>
      </c>
      <c r="O431" s="52">
        <v>0</v>
      </c>
      <c r="P431" s="42">
        <v>0</v>
      </c>
      <c r="Q431" s="42">
        <v>0</v>
      </c>
      <c r="R431" s="42"/>
      <c r="S431" s="42"/>
      <c r="T431" s="42" t="s">
        <v>616</v>
      </c>
      <c r="U431" t="str">
        <f>IFERROR(HYPERLINK("#'Main'!B"&amp;MATCH(TRIM(A431),Main!B:B,0),"Open"),HYPERLINK("#'Main'!B1","Open"))</f>
        <v>Open</v>
      </c>
    </row>
    <row r="432" spans="1:22" ht="30" customHeight="1" x14ac:dyDescent="0.25">
      <c r="A432" s="50" t="s">
        <v>157</v>
      </c>
      <c r="B432" s="33" t="s">
        <v>614</v>
      </c>
      <c r="C432" s="37" t="s">
        <v>176</v>
      </c>
      <c r="D432" s="33" t="s">
        <v>781</v>
      </c>
      <c r="E432" s="52">
        <v>200</v>
      </c>
      <c r="F432" s="33" t="b">
        <v>1</v>
      </c>
      <c r="G432" s="33">
        <v>0</v>
      </c>
      <c r="H432" s="52">
        <v>0</v>
      </c>
      <c r="I432" s="33">
        <v>0</v>
      </c>
      <c r="J432" s="33">
        <v>0</v>
      </c>
      <c r="K432" s="33">
        <v>0</v>
      </c>
      <c r="L432" s="40" t="b">
        <v>0</v>
      </c>
      <c r="M432" s="33">
        <v>0</v>
      </c>
      <c r="N432" s="33">
        <v>0</v>
      </c>
      <c r="O432" s="52">
        <v>0</v>
      </c>
      <c r="P432" s="33">
        <v>0</v>
      </c>
      <c r="Q432" s="33">
        <v>0</v>
      </c>
      <c r="R432" s="33"/>
      <c r="S432" s="33"/>
      <c r="T432" s="33" t="s">
        <v>616</v>
      </c>
      <c r="U432" s="41" t="str">
        <f>IFERROR(HYPERLINK("#'Main'!B"&amp;MATCH(TRIM(A432),Main!B:B,0),"Open"),HYPERLINK("#'Main'!B1","Open"))</f>
        <v>Open</v>
      </c>
      <c r="V432" s="41"/>
    </row>
    <row r="433" spans="1:22" ht="30" customHeight="1" x14ac:dyDescent="0.25">
      <c r="A433" s="51" t="s">
        <v>157</v>
      </c>
      <c r="B433" s="42" t="s">
        <v>614</v>
      </c>
      <c r="C433" s="44" t="s">
        <v>209</v>
      </c>
      <c r="D433" s="42" t="s">
        <v>782</v>
      </c>
      <c r="E433" s="52">
        <v>200</v>
      </c>
      <c r="F433" s="42" t="b">
        <v>1</v>
      </c>
      <c r="G433" s="42">
        <v>0</v>
      </c>
      <c r="H433" s="52">
        <v>0</v>
      </c>
      <c r="I433" s="42">
        <v>0</v>
      </c>
      <c r="J433" s="42">
        <v>0</v>
      </c>
      <c r="K433" s="42">
        <v>0</v>
      </c>
      <c r="L433" s="46" t="b">
        <v>0</v>
      </c>
      <c r="M433" s="42">
        <v>0</v>
      </c>
      <c r="N433" s="42">
        <v>0</v>
      </c>
      <c r="O433" s="52">
        <v>0</v>
      </c>
      <c r="P433" s="42">
        <v>0</v>
      </c>
      <c r="Q433" s="42">
        <v>0</v>
      </c>
      <c r="R433" s="42"/>
      <c r="S433" s="42"/>
      <c r="T433" s="42" t="s">
        <v>616</v>
      </c>
      <c r="U433" t="str">
        <f>IFERROR(HYPERLINK("#'Main'!B"&amp;MATCH(TRIM(A433),Main!B:B,0),"Open"),HYPERLINK("#'Main'!B1","Open"))</f>
        <v>Open</v>
      </c>
    </row>
    <row r="434" spans="1:22" ht="30" customHeight="1" x14ac:dyDescent="0.25">
      <c r="A434" s="50" t="s">
        <v>157</v>
      </c>
      <c r="B434" s="33" t="s">
        <v>614</v>
      </c>
      <c r="C434" s="37" t="s">
        <v>217</v>
      </c>
      <c r="D434" s="33" t="s">
        <v>321</v>
      </c>
      <c r="E434" s="52">
        <v>200</v>
      </c>
      <c r="F434" s="33" t="b">
        <v>1</v>
      </c>
      <c r="G434" s="33">
        <v>0</v>
      </c>
      <c r="H434" s="52">
        <v>0</v>
      </c>
      <c r="I434" s="33">
        <v>0</v>
      </c>
      <c r="J434" s="33">
        <v>0</v>
      </c>
      <c r="K434" s="33">
        <v>0</v>
      </c>
      <c r="L434" s="40" t="b">
        <v>0</v>
      </c>
      <c r="M434" s="33">
        <v>0</v>
      </c>
      <c r="N434" s="33">
        <v>0</v>
      </c>
      <c r="O434" s="52">
        <v>0</v>
      </c>
      <c r="P434" s="33">
        <v>0</v>
      </c>
      <c r="Q434" s="33">
        <v>0</v>
      </c>
      <c r="R434" s="33"/>
      <c r="S434" s="33"/>
      <c r="T434" s="33" t="s">
        <v>616</v>
      </c>
      <c r="U434" s="41" t="str">
        <f>IFERROR(HYPERLINK("#'Main'!B"&amp;MATCH(TRIM(A434),Main!B:B,0),"Open"),HYPERLINK("#'Main'!B1","Open"))</f>
        <v>Open</v>
      </c>
      <c r="V434" s="41"/>
    </row>
    <row r="435" spans="1:22" ht="30" customHeight="1" x14ac:dyDescent="0.25">
      <c r="A435" s="51" t="s">
        <v>157</v>
      </c>
      <c r="B435" s="42" t="s">
        <v>614</v>
      </c>
      <c r="C435" s="44" t="s">
        <v>219</v>
      </c>
      <c r="D435" s="42" t="s">
        <v>327</v>
      </c>
      <c r="E435" s="52">
        <v>200</v>
      </c>
      <c r="F435" s="42" t="b">
        <v>1</v>
      </c>
      <c r="G435" s="42">
        <v>0</v>
      </c>
      <c r="H435" s="52">
        <v>0</v>
      </c>
      <c r="I435" s="42">
        <v>0</v>
      </c>
      <c r="J435" s="42">
        <v>0</v>
      </c>
      <c r="K435" s="42">
        <v>0</v>
      </c>
      <c r="L435" s="46" t="b">
        <v>0</v>
      </c>
      <c r="M435" s="42">
        <v>0</v>
      </c>
      <c r="N435" s="42">
        <v>0</v>
      </c>
      <c r="O435" s="52">
        <v>0</v>
      </c>
      <c r="P435" s="42">
        <v>0</v>
      </c>
      <c r="Q435" s="42">
        <v>0</v>
      </c>
      <c r="R435" s="42"/>
      <c r="S435" s="42"/>
      <c r="T435" s="42" t="s">
        <v>616</v>
      </c>
      <c r="U435" t="str">
        <f>IFERROR(HYPERLINK("#'Main'!B"&amp;MATCH(TRIM(A435),Main!B:B,0),"Open"),HYPERLINK("#'Main'!B1","Open"))</f>
        <v>Open</v>
      </c>
    </row>
    <row r="436" spans="1:22" ht="30" customHeight="1" x14ac:dyDescent="0.25">
      <c r="A436" s="50" t="s">
        <v>157</v>
      </c>
      <c r="B436" s="33" t="s">
        <v>614</v>
      </c>
      <c r="C436" s="37" t="s">
        <v>210</v>
      </c>
      <c r="D436" s="33" t="s">
        <v>292</v>
      </c>
      <c r="E436" s="52">
        <v>200</v>
      </c>
      <c r="F436" s="33" t="b">
        <v>1</v>
      </c>
      <c r="G436" s="33">
        <v>0</v>
      </c>
      <c r="H436" s="52">
        <v>0</v>
      </c>
      <c r="I436" s="33">
        <v>0</v>
      </c>
      <c r="J436" s="33">
        <v>0</v>
      </c>
      <c r="K436" s="33">
        <v>0</v>
      </c>
      <c r="L436" s="40" t="b">
        <v>0</v>
      </c>
      <c r="M436" s="33">
        <v>0</v>
      </c>
      <c r="N436" s="33">
        <v>0</v>
      </c>
      <c r="O436" s="52">
        <v>0</v>
      </c>
      <c r="P436" s="33">
        <v>0</v>
      </c>
      <c r="Q436" s="33">
        <v>0</v>
      </c>
      <c r="R436" s="33"/>
      <c r="S436" s="33"/>
      <c r="T436" s="33" t="s">
        <v>616</v>
      </c>
      <c r="U436" s="41" t="str">
        <f>IFERROR(HYPERLINK("#'Main'!B"&amp;MATCH(TRIM(A436),Main!B:B,0),"Open"),HYPERLINK("#'Main'!B1","Open"))</f>
        <v>Open</v>
      </c>
      <c r="V436" s="41"/>
    </row>
    <row r="437" spans="1:22" ht="30" customHeight="1" x14ac:dyDescent="0.25">
      <c r="A437" s="51" t="s">
        <v>157</v>
      </c>
      <c r="B437" s="42" t="s">
        <v>614</v>
      </c>
      <c r="C437" s="44" t="s">
        <v>215</v>
      </c>
      <c r="D437" s="42" t="s">
        <v>783</v>
      </c>
      <c r="E437" s="52">
        <v>200</v>
      </c>
      <c r="F437" s="42" t="b">
        <v>1</v>
      </c>
      <c r="G437" s="42">
        <v>0</v>
      </c>
      <c r="H437" s="52">
        <v>0</v>
      </c>
      <c r="I437" s="42">
        <v>0</v>
      </c>
      <c r="J437" s="42">
        <v>0</v>
      </c>
      <c r="K437" s="42">
        <v>0</v>
      </c>
      <c r="L437" s="46" t="b">
        <v>0</v>
      </c>
      <c r="M437" s="42">
        <v>0</v>
      </c>
      <c r="N437" s="42">
        <v>0</v>
      </c>
      <c r="O437" s="52">
        <v>0</v>
      </c>
      <c r="P437" s="42">
        <v>0</v>
      </c>
      <c r="Q437" s="42">
        <v>0</v>
      </c>
      <c r="R437" s="42"/>
      <c r="S437" s="42"/>
      <c r="T437" s="42" t="s">
        <v>616</v>
      </c>
      <c r="U437" t="str">
        <f>IFERROR(HYPERLINK("#'Main'!B"&amp;MATCH(TRIM(A437),Main!B:B,0),"Open"),HYPERLINK("#'Main'!B1","Open"))</f>
        <v>Open</v>
      </c>
    </row>
    <row r="438" spans="1:22" ht="30" customHeight="1" x14ac:dyDescent="0.25">
      <c r="A438" s="50" t="s">
        <v>157</v>
      </c>
      <c r="B438" s="33" t="s">
        <v>614</v>
      </c>
      <c r="C438" s="37" t="s">
        <v>214</v>
      </c>
      <c r="D438" s="33" t="s">
        <v>784</v>
      </c>
      <c r="E438" s="52">
        <v>200</v>
      </c>
      <c r="F438" s="33" t="b">
        <v>1</v>
      </c>
      <c r="G438" s="33">
        <v>0</v>
      </c>
      <c r="H438" s="52">
        <v>0</v>
      </c>
      <c r="I438" s="33">
        <v>0</v>
      </c>
      <c r="J438" s="33">
        <v>0</v>
      </c>
      <c r="K438" s="33">
        <v>0</v>
      </c>
      <c r="L438" s="40" t="b">
        <v>0</v>
      </c>
      <c r="M438" s="33">
        <v>0</v>
      </c>
      <c r="N438" s="33">
        <v>0</v>
      </c>
      <c r="O438" s="52">
        <v>0</v>
      </c>
      <c r="P438" s="33">
        <v>0</v>
      </c>
      <c r="Q438" s="33">
        <v>0</v>
      </c>
      <c r="R438" s="33"/>
      <c r="S438" s="33"/>
      <c r="T438" s="33" t="s">
        <v>616</v>
      </c>
      <c r="U438" s="41" t="str">
        <f>IFERROR(HYPERLINK("#'Main'!B"&amp;MATCH(TRIM(A438),Main!B:B,0),"Open"),HYPERLINK("#'Main'!B1","Open"))</f>
        <v>Open</v>
      </c>
      <c r="V438" s="41"/>
    </row>
    <row r="439" spans="1:22" ht="30" customHeight="1" x14ac:dyDescent="0.25">
      <c r="A439" s="51" t="s">
        <v>157</v>
      </c>
      <c r="B439" s="42" t="s">
        <v>614</v>
      </c>
      <c r="C439" s="44" t="s">
        <v>176</v>
      </c>
      <c r="D439" s="42" t="s">
        <v>781</v>
      </c>
      <c r="E439" s="52">
        <v>200</v>
      </c>
      <c r="F439" s="42" t="b">
        <v>1</v>
      </c>
      <c r="G439" s="42">
        <v>0</v>
      </c>
      <c r="H439" s="52">
        <v>0</v>
      </c>
      <c r="I439" s="42">
        <v>0</v>
      </c>
      <c r="J439" s="42">
        <v>0</v>
      </c>
      <c r="K439" s="42">
        <v>0</v>
      </c>
      <c r="L439" s="46" t="b">
        <v>0</v>
      </c>
      <c r="M439" s="42">
        <v>0</v>
      </c>
      <c r="N439" s="42">
        <v>0</v>
      </c>
      <c r="O439" s="52">
        <v>0</v>
      </c>
      <c r="P439" s="42">
        <v>0</v>
      </c>
      <c r="Q439" s="42">
        <v>0</v>
      </c>
      <c r="R439" s="42"/>
      <c r="S439" s="42"/>
      <c r="T439" s="42" t="s">
        <v>616</v>
      </c>
      <c r="U439" t="str">
        <f>IFERROR(HYPERLINK("#'Main'!B"&amp;MATCH(TRIM(A439),Main!B:B,0),"Open"),HYPERLINK("#'Main'!B1","Open"))</f>
        <v>Open</v>
      </c>
    </row>
    <row r="440" spans="1:22" ht="30" customHeight="1" x14ac:dyDescent="0.25">
      <c r="A440" s="50" t="s">
        <v>157</v>
      </c>
      <c r="B440" s="33" t="s">
        <v>614</v>
      </c>
      <c r="C440" s="37" t="s">
        <v>209</v>
      </c>
      <c r="D440" s="33" t="s">
        <v>782</v>
      </c>
      <c r="E440" s="52">
        <v>200</v>
      </c>
      <c r="F440" s="33" t="b">
        <v>1</v>
      </c>
      <c r="G440" s="33">
        <v>0</v>
      </c>
      <c r="H440" s="52">
        <v>0</v>
      </c>
      <c r="I440" s="33">
        <v>0</v>
      </c>
      <c r="J440" s="33">
        <v>0</v>
      </c>
      <c r="K440" s="33">
        <v>0</v>
      </c>
      <c r="L440" s="40" t="b">
        <v>0</v>
      </c>
      <c r="M440" s="33">
        <v>0</v>
      </c>
      <c r="N440" s="33">
        <v>0</v>
      </c>
      <c r="O440" s="52">
        <v>0</v>
      </c>
      <c r="P440" s="33">
        <v>0</v>
      </c>
      <c r="Q440" s="33">
        <v>0</v>
      </c>
      <c r="R440" s="33"/>
      <c r="S440" s="33"/>
      <c r="T440" s="33" t="s">
        <v>616</v>
      </c>
      <c r="U440" s="41" t="str">
        <f>IFERROR(HYPERLINK("#'Main'!B"&amp;MATCH(TRIM(A440),Main!B:B,0),"Open"),HYPERLINK("#'Main'!B1","Open"))</f>
        <v>Open</v>
      </c>
      <c r="V440" s="41"/>
    </row>
    <row r="441" spans="1:22" ht="30" customHeight="1" x14ac:dyDescent="0.25">
      <c r="A441" s="51" t="s">
        <v>157</v>
      </c>
      <c r="B441" s="42" t="s">
        <v>614</v>
      </c>
      <c r="C441" s="44" t="s">
        <v>217</v>
      </c>
      <c r="D441" s="42" t="s">
        <v>321</v>
      </c>
      <c r="E441" s="52">
        <v>200</v>
      </c>
      <c r="F441" s="42" t="b">
        <v>1</v>
      </c>
      <c r="G441" s="42">
        <v>0</v>
      </c>
      <c r="H441" s="52">
        <v>0</v>
      </c>
      <c r="I441" s="42">
        <v>0</v>
      </c>
      <c r="J441" s="42">
        <v>0</v>
      </c>
      <c r="K441" s="42">
        <v>0</v>
      </c>
      <c r="L441" s="46" t="b">
        <v>0</v>
      </c>
      <c r="M441" s="42">
        <v>0</v>
      </c>
      <c r="N441" s="42">
        <v>0</v>
      </c>
      <c r="O441" s="52">
        <v>0</v>
      </c>
      <c r="P441" s="42">
        <v>0</v>
      </c>
      <c r="Q441" s="42">
        <v>0</v>
      </c>
      <c r="R441" s="42"/>
      <c r="S441" s="42"/>
      <c r="T441" s="42" t="s">
        <v>616</v>
      </c>
      <c r="U441" t="str">
        <f>IFERROR(HYPERLINK("#'Main'!B"&amp;MATCH(TRIM(A441),Main!B:B,0),"Open"),HYPERLINK("#'Main'!B1","Open"))</f>
        <v>Open</v>
      </c>
    </row>
    <row r="442" spans="1:22" ht="30" customHeight="1" x14ac:dyDescent="0.25">
      <c r="A442" s="50" t="s">
        <v>157</v>
      </c>
      <c r="B442" s="33" t="s">
        <v>614</v>
      </c>
      <c r="C442" s="37" t="s">
        <v>219</v>
      </c>
      <c r="D442" s="33" t="s">
        <v>327</v>
      </c>
      <c r="E442" s="52">
        <v>200</v>
      </c>
      <c r="F442" s="33" t="b">
        <v>1</v>
      </c>
      <c r="G442" s="33">
        <v>0</v>
      </c>
      <c r="H442" s="52">
        <v>0</v>
      </c>
      <c r="I442" s="33">
        <v>0</v>
      </c>
      <c r="J442" s="33">
        <v>0</v>
      </c>
      <c r="K442" s="33">
        <v>0</v>
      </c>
      <c r="L442" s="40" t="b">
        <v>0</v>
      </c>
      <c r="M442" s="33">
        <v>0</v>
      </c>
      <c r="N442" s="33">
        <v>0</v>
      </c>
      <c r="O442" s="52">
        <v>0</v>
      </c>
      <c r="P442" s="33">
        <v>0</v>
      </c>
      <c r="Q442" s="33">
        <v>0</v>
      </c>
      <c r="R442" s="33"/>
      <c r="S442" s="33"/>
      <c r="T442" s="33" t="s">
        <v>616</v>
      </c>
      <c r="U442" s="41" t="str">
        <f>IFERROR(HYPERLINK("#'Main'!B"&amp;MATCH(TRIM(A442),Main!B:B,0),"Open"),HYPERLINK("#'Main'!B1","Open"))</f>
        <v>Open</v>
      </c>
      <c r="V442" s="41"/>
    </row>
    <row r="443" spans="1:22" ht="30" customHeight="1" x14ac:dyDescent="0.25">
      <c r="A443" s="51" t="s">
        <v>157</v>
      </c>
      <c r="B443" s="42" t="s">
        <v>614</v>
      </c>
      <c r="C443" s="44" t="s">
        <v>210</v>
      </c>
      <c r="D443" s="42" t="s">
        <v>292</v>
      </c>
      <c r="E443" s="52">
        <v>200</v>
      </c>
      <c r="F443" s="42" t="b">
        <v>1</v>
      </c>
      <c r="G443" s="42">
        <v>0</v>
      </c>
      <c r="H443" s="52">
        <v>0</v>
      </c>
      <c r="I443" s="42">
        <v>0</v>
      </c>
      <c r="J443" s="42">
        <v>0</v>
      </c>
      <c r="K443" s="42">
        <v>0</v>
      </c>
      <c r="L443" s="46" t="b">
        <v>0</v>
      </c>
      <c r="M443" s="42">
        <v>0</v>
      </c>
      <c r="N443" s="42">
        <v>0</v>
      </c>
      <c r="O443" s="52">
        <v>0</v>
      </c>
      <c r="P443" s="42">
        <v>0</v>
      </c>
      <c r="Q443" s="42">
        <v>0</v>
      </c>
      <c r="R443" s="42"/>
      <c r="S443" s="42"/>
      <c r="T443" s="42" t="s">
        <v>616</v>
      </c>
      <c r="U443" t="str">
        <f>IFERROR(HYPERLINK("#'Main'!B"&amp;MATCH(TRIM(A443),Main!B:B,0),"Open"),HYPERLINK("#'Main'!B1","Open"))</f>
        <v>Open</v>
      </c>
    </row>
    <row r="444" spans="1:22" ht="30" customHeight="1" x14ac:dyDescent="0.25">
      <c r="A444" s="50" t="s">
        <v>157</v>
      </c>
      <c r="B444" s="33" t="s">
        <v>614</v>
      </c>
      <c r="C444" s="37" t="s">
        <v>215</v>
      </c>
      <c r="D444" s="33" t="s">
        <v>783</v>
      </c>
      <c r="E444" s="52">
        <v>200</v>
      </c>
      <c r="F444" s="33" t="b">
        <v>1</v>
      </c>
      <c r="G444" s="33">
        <v>0</v>
      </c>
      <c r="H444" s="52">
        <v>0</v>
      </c>
      <c r="I444" s="33">
        <v>0</v>
      </c>
      <c r="J444" s="33">
        <v>0</v>
      </c>
      <c r="K444" s="33">
        <v>0</v>
      </c>
      <c r="L444" s="40" t="b">
        <v>0</v>
      </c>
      <c r="M444" s="33">
        <v>0</v>
      </c>
      <c r="N444" s="33">
        <v>0</v>
      </c>
      <c r="O444" s="52">
        <v>0</v>
      </c>
      <c r="P444" s="33">
        <v>0</v>
      </c>
      <c r="Q444" s="33">
        <v>0</v>
      </c>
      <c r="R444" s="33"/>
      <c r="S444" s="33"/>
      <c r="T444" s="33" t="s">
        <v>616</v>
      </c>
      <c r="U444" s="41" t="str">
        <f>IFERROR(HYPERLINK("#'Main'!B"&amp;MATCH(TRIM(A444),Main!B:B,0),"Open"),HYPERLINK("#'Main'!B1","Open"))</f>
        <v>Open</v>
      </c>
      <c r="V444" s="41"/>
    </row>
    <row r="445" spans="1:22" ht="30" customHeight="1" x14ac:dyDescent="0.25">
      <c r="A445" s="51" t="s">
        <v>157</v>
      </c>
      <c r="B445" s="42" t="s">
        <v>614</v>
      </c>
      <c r="C445" s="44" t="s">
        <v>214</v>
      </c>
      <c r="D445" s="42" t="s">
        <v>784</v>
      </c>
      <c r="E445" s="52">
        <v>200</v>
      </c>
      <c r="F445" s="42" t="b">
        <v>1</v>
      </c>
      <c r="G445" s="42">
        <v>0</v>
      </c>
      <c r="H445" s="52">
        <v>0</v>
      </c>
      <c r="I445" s="42">
        <v>0</v>
      </c>
      <c r="J445" s="42">
        <v>0</v>
      </c>
      <c r="K445" s="42">
        <v>0</v>
      </c>
      <c r="L445" s="46" t="b">
        <v>0</v>
      </c>
      <c r="M445" s="42">
        <v>0</v>
      </c>
      <c r="N445" s="42">
        <v>0</v>
      </c>
      <c r="O445" s="52">
        <v>0</v>
      </c>
      <c r="P445" s="42">
        <v>0</v>
      </c>
      <c r="Q445" s="42">
        <v>0</v>
      </c>
      <c r="R445" s="42"/>
      <c r="S445" s="42"/>
      <c r="T445" s="42" t="s">
        <v>616</v>
      </c>
      <c r="U445" t="str">
        <f>IFERROR(HYPERLINK("#'Main'!B"&amp;MATCH(TRIM(A445),Main!B:B,0),"Open"),HYPERLINK("#'Main'!B1","Open"))</f>
        <v>Open</v>
      </c>
    </row>
    <row r="446" spans="1:22" ht="30" customHeight="1" x14ac:dyDescent="0.25">
      <c r="A446" s="50" t="s">
        <v>157</v>
      </c>
      <c r="B446" s="33" t="s">
        <v>614</v>
      </c>
      <c r="C446" s="37" t="s">
        <v>209</v>
      </c>
      <c r="D446" s="33" t="s">
        <v>785</v>
      </c>
      <c r="E446" s="52">
        <v>200</v>
      </c>
      <c r="F446" s="33" t="b">
        <v>1</v>
      </c>
      <c r="G446" s="33">
        <v>0</v>
      </c>
      <c r="H446" s="52">
        <v>0</v>
      </c>
      <c r="I446" s="33">
        <v>0</v>
      </c>
      <c r="J446" s="33">
        <v>0</v>
      </c>
      <c r="K446" s="33">
        <v>0</v>
      </c>
      <c r="L446" s="40" t="b">
        <v>0</v>
      </c>
      <c r="M446" s="33">
        <v>0</v>
      </c>
      <c r="N446" s="33">
        <v>0</v>
      </c>
      <c r="O446" s="52">
        <v>0</v>
      </c>
      <c r="P446" s="33">
        <v>0</v>
      </c>
      <c r="Q446" s="33">
        <v>0</v>
      </c>
      <c r="R446" s="33"/>
      <c r="S446" s="33"/>
      <c r="T446" s="33" t="s">
        <v>616</v>
      </c>
      <c r="U446" s="41" t="str">
        <f>IFERROR(HYPERLINK("#'Main'!B"&amp;MATCH(TRIM(A446),Main!B:B,0),"Open"),HYPERLINK("#'Main'!B1","Open"))</f>
        <v>Open</v>
      </c>
      <c r="V446" s="41"/>
    </row>
    <row r="447" spans="1:22" ht="30" customHeight="1" x14ac:dyDescent="0.25">
      <c r="A447" s="51" t="s">
        <v>157</v>
      </c>
      <c r="B447" s="42" t="s">
        <v>614</v>
      </c>
      <c r="C447" s="44" t="s">
        <v>629</v>
      </c>
      <c r="D447" s="42" t="s">
        <v>630</v>
      </c>
      <c r="E447" s="52">
        <v>200</v>
      </c>
      <c r="F447" s="42" t="b">
        <v>1</v>
      </c>
      <c r="G447" s="42">
        <v>0</v>
      </c>
      <c r="H447" s="52">
        <v>0</v>
      </c>
      <c r="I447" s="42">
        <v>0</v>
      </c>
      <c r="J447" s="42">
        <v>0</v>
      </c>
      <c r="K447" s="42">
        <v>0</v>
      </c>
      <c r="L447" s="46" t="b">
        <v>0</v>
      </c>
      <c r="M447" s="42">
        <v>0</v>
      </c>
      <c r="N447" s="42">
        <v>0</v>
      </c>
      <c r="O447" s="52">
        <v>0</v>
      </c>
      <c r="P447" s="42">
        <v>0</v>
      </c>
      <c r="Q447" s="42">
        <v>0</v>
      </c>
      <c r="R447" s="42"/>
      <c r="S447" s="42"/>
      <c r="T447" s="42" t="s">
        <v>616</v>
      </c>
      <c r="U447" t="str">
        <f>IFERROR(HYPERLINK("#'Main'!B"&amp;MATCH(TRIM(A447),Main!B:B,0),"Open"),HYPERLINK("#'Main'!B1","Open"))</f>
        <v>Open</v>
      </c>
    </row>
    <row r="448" spans="1:22" ht="30" customHeight="1" x14ac:dyDescent="0.25">
      <c r="A448" s="50" t="s">
        <v>157</v>
      </c>
      <c r="B448" s="33" t="s">
        <v>614</v>
      </c>
      <c r="C448" s="37" t="s">
        <v>631</v>
      </c>
      <c r="D448" s="33"/>
      <c r="E448" s="52">
        <v>200</v>
      </c>
      <c r="F448" s="33" t="b">
        <v>1</v>
      </c>
      <c r="G448" s="33">
        <v>0</v>
      </c>
      <c r="H448" s="52">
        <v>0</v>
      </c>
      <c r="I448" s="33">
        <v>0</v>
      </c>
      <c r="J448" s="33">
        <v>0</v>
      </c>
      <c r="K448" s="33">
        <v>0</v>
      </c>
      <c r="L448" s="40" t="b">
        <v>0</v>
      </c>
      <c r="M448" s="33">
        <v>0</v>
      </c>
      <c r="N448" s="33">
        <v>0</v>
      </c>
      <c r="O448" s="52">
        <v>0</v>
      </c>
      <c r="P448" s="33">
        <v>0</v>
      </c>
      <c r="Q448" s="33">
        <v>0</v>
      </c>
      <c r="R448" s="33"/>
      <c r="S448" s="33"/>
      <c r="T448" s="33" t="s">
        <v>616</v>
      </c>
      <c r="U448" s="41" t="str">
        <f>IFERROR(HYPERLINK("#'Main'!B"&amp;MATCH(TRIM(A448),Main!B:B,0),"Open"),HYPERLINK("#'Main'!B1","Open"))</f>
        <v>Open</v>
      </c>
      <c r="V448" s="41"/>
    </row>
    <row r="449" spans="1:22" ht="30" customHeight="1" x14ac:dyDescent="0.25">
      <c r="A449" s="51" t="s">
        <v>157</v>
      </c>
      <c r="B449" s="42" t="s">
        <v>614</v>
      </c>
      <c r="C449" s="44" t="s">
        <v>632</v>
      </c>
      <c r="D449" s="42"/>
      <c r="E449" s="52">
        <v>200</v>
      </c>
      <c r="F449" s="42" t="b">
        <v>1</v>
      </c>
      <c r="G449" s="42">
        <v>0</v>
      </c>
      <c r="H449" s="52">
        <v>0</v>
      </c>
      <c r="I449" s="42">
        <v>0</v>
      </c>
      <c r="J449" s="42">
        <v>0</v>
      </c>
      <c r="K449" s="42">
        <v>0</v>
      </c>
      <c r="L449" s="46" t="b">
        <v>0</v>
      </c>
      <c r="M449" s="42">
        <v>0</v>
      </c>
      <c r="N449" s="42">
        <v>0</v>
      </c>
      <c r="O449" s="52">
        <v>0</v>
      </c>
      <c r="P449" s="42">
        <v>0</v>
      </c>
      <c r="Q449" s="42">
        <v>0</v>
      </c>
      <c r="R449" s="42"/>
      <c r="S449" s="42"/>
      <c r="T449" s="42" t="s">
        <v>616</v>
      </c>
      <c r="U449" t="str">
        <f>IFERROR(HYPERLINK("#'Main'!B"&amp;MATCH(TRIM(A449),Main!B:B,0),"Open"),HYPERLINK("#'Main'!B1","Open"))</f>
        <v>Open</v>
      </c>
    </row>
    <row r="450" spans="1:22" ht="30" customHeight="1" x14ac:dyDescent="0.25">
      <c r="A450" s="50" t="s">
        <v>157</v>
      </c>
      <c r="B450" s="33" t="s">
        <v>614</v>
      </c>
      <c r="C450" s="37" t="s">
        <v>634</v>
      </c>
      <c r="D450" s="33" t="s">
        <v>666</v>
      </c>
      <c r="E450" s="52">
        <v>200</v>
      </c>
      <c r="F450" s="33" t="b">
        <v>1</v>
      </c>
      <c r="G450" s="33">
        <v>0</v>
      </c>
      <c r="H450" s="52">
        <v>0</v>
      </c>
      <c r="I450" s="33">
        <v>0</v>
      </c>
      <c r="J450" s="33">
        <v>0</v>
      </c>
      <c r="K450" s="33">
        <v>0</v>
      </c>
      <c r="L450" s="40" t="b">
        <v>0</v>
      </c>
      <c r="M450" s="33">
        <v>0</v>
      </c>
      <c r="N450" s="33">
        <v>0</v>
      </c>
      <c r="O450" s="52">
        <v>0</v>
      </c>
      <c r="P450" s="33">
        <v>0</v>
      </c>
      <c r="Q450" s="33">
        <v>0</v>
      </c>
      <c r="R450" s="33"/>
      <c r="S450" s="33"/>
      <c r="T450" s="33" t="s">
        <v>616</v>
      </c>
      <c r="U450" s="41" t="str">
        <f>IFERROR(HYPERLINK("#'Main'!B"&amp;MATCH(TRIM(A450),Main!B:B,0),"Open"),HYPERLINK("#'Main'!B1","Open"))</f>
        <v>Open</v>
      </c>
      <c r="V450" s="41"/>
    </row>
    <row r="451" spans="1:22" ht="30" customHeight="1" x14ac:dyDescent="0.25">
      <c r="A451" s="51" t="s">
        <v>157</v>
      </c>
      <c r="B451" s="42" t="s">
        <v>614</v>
      </c>
      <c r="C451" s="44" t="s">
        <v>636</v>
      </c>
      <c r="D451" s="42" t="s">
        <v>637</v>
      </c>
      <c r="E451" s="34">
        <v>404</v>
      </c>
      <c r="F451" s="42" t="b">
        <v>0</v>
      </c>
      <c r="G451" s="42">
        <v>0</v>
      </c>
      <c r="H451" s="52">
        <v>0</v>
      </c>
      <c r="I451" s="42">
        <v>0</v>
      </c>
      <c r="J451" s="42">
        <v>0</v>
      </c>
      <c r="K451" s="42">
        <v>0</v>
      </c>
      <c r="L451" s="46" t="b">
        <v>0</v>
      </c>
      <c r="M451" s="42">
        <v>0</v>
      </c>
      <c r="N451" s="42">
        <v>0</v>
      </c>
      <c r="O451" s="52">
        <v>0</v>
      </c>
      <c r="P451" s="42">
        <v>0</v>
      </c>
      <c r="Q451" s="42">
        <v>0</v>
      </c>
      <c r="R451" s="42"/>
      <c r="S451" s="42"/>
      <c r="T451" s="42" t="s">
        <v>616</v>
      </c>
      <c r="U451" t="str">
        <f>IFERROR(HYPERLINK("#'Main'!B"&amp;MATCH(TRIM(A451),Main!B:B,0),"Open"),HYPERLINK("#'Main'!B1","Open"))</f>
        <v>Open</v>
      </c>
    </row>
    <row r="452" spans="1:22" ht="30" customHeight="1" x14ac:dyDescent="0.25">
      <c r="A452" s="50" t="s">
        <v>157</v>
      </c>
      <c r="B452" s="33" t="s">
        <v>614</v>
      </c>
      <c r="C452" s="37" t="s">
        <v>636</v>
      </c>
      <c r="D452" s="33" t="s">
        <v>638</v>
      </c>
      <c r="E452" s="34">
        <v>404</v>
      </c>
      <c r="F452" s="33" t="b">
        <v>0</v>
      </c>
      <c r="G452" s="33">
        <v>0</v>
      </c>
      <c r="H452" s="52">
        <v>0</v>
      </c>
      <c r="I452" s="33">
        <v>0</v>
      </c>
      <c r="J452" s="33">
        <v>0</v>
      </c>
      <c r="K452" s="33">
        <v>0</v>
      </c>
      <c r="L452" s="40" t="b">
        <v>0</v>
      </c>
      <c r="M452" s="33">
        <v>0</v>
      </c>
      <c r="N452" s="33">
        <v>0</v>
      </c>
      <c r="O452" s="52">
        <v>0</v>
      </c>
      <c r="P452" s="33">
        <v>0</v>
      </c>
      <c r="Q452" s="33">
        <v>0</v>
      </c>
      <c r="R452" s="33"/>
      <c r="S452" s="33"/>
      <c r="T452" s="33" t="s">
        <v>616</v>
      </c>
      <c r="U452" s="41" t="str">
        <f>IFERROR(HYPERLINK("#'Main'!B"&amp;MATCH(TRIM(A452),Main!B:B,0),"Open"),HYPERLINK("#'Main'!B1","Open"))</f>
        <v>Open</v>
      </c>
      <c r="V452" s="41"/>
    </row>
    <row r="453" spans="1:22" ht="30" customHeight="1" x14ac:dyDescent="0.25">
      <c r="A453" s="51" t="s">
        <v>210</v>
      </c>
      <c r="B453" s="42" t="s">
        <v>614</v>
      </c>
      <c r="C453" s="44" t="s">
        <v>176</v>
      </c>
      <c r="D453" s="42" t="s">
        <v>781</v>
      </c>
      <c r="E453" s="52">
        <v>200</v>
      </c>
      <c r="F453" s="42" t="b">
        <v>1</v>
      </c>
      <c r="G453" s="42">
        <v>0</v>
      </c>
      <c r="H453" s="52">
        <v>0</v>
      </c>
      <c r="I453" s="42">
        <v>0</v>
      </c>
      <c r="J453" s="42">
        <v>0</v>
      </c>
      <c r="K453" s="42">
        <v>0</v>
      </c>
      <c r="L453" s="46" t="b">
        <v>0</v>
      </c>
      <c r="M453" s="42">
        <v>0</v>
      </c>
      <c r="N453" s="42">
        <v>0</v>
      </c>
      <c r="O453" s="52">
        <v>0</v>
      </c>
      <c r="P453" s="42">
        <v>0</v>
      </c>
      <c r="Q453" s="42">
        <v>0</v>
      </c>
      <c r="R453" s="42"/>
      <c r="S453" s="42"/>
      <c r="T453" s="42" t="s">
        <v>616</v>
      </c>
      <c r="U453" t="str">
        <f>IFERROR(HYPERLINK("#'Main'!B"&amp;MATCH(TRIM(A453),Main!B:B,0),"Open"),HYPERLINK("#'Main'!B1","Open"))</f>
        <v>Open</v>
      </c>
    </row>
    <row r="454" spans="1:22" ht="30" customHeight="1" x14ac:dyDescent="0.25">
      <c r="A454" s="50" t="s">
        <v>210</v>
      </c>
      <c r="B454" s="33" t="s">
        <v>614</v>
      </c>
      <c r="C454" s="37" t="s">
        <v>209</v>
      </c>
      <c r="D454" s="33" t="s">
        <v>782</v>
      </c>
      <c r="E454" s="52">
        <v>200</v>
      </c>
      <c r="F454" s="33" t="b">
        <v>1</v>
      </c>
      <c r="G454" s="33">
        <v>0</v>
      </c>
      <c r="H454" s="52">
        <v>0</v>
      </c>
      <c r="I454" s="33">
        <v>0</v>
      </c>
      <c r="J454" s="33">
        <v>0</v>
      </c>
      <c r="K454" s="33">
        <v>0</v>
      </c>
      <c r="L454" s="40" t="b">
        <v>0</v>
      </c>
      <c r="M454" s="33">
        <v>0</v>
      </c>
      <c r="N454" s="33">
        <v>0</v>
      </c>
      <c r="O454" s="52">
        <v>0</v>
      </c>
      <c r="P454" s="33">
        <v>0</v>
      </c>
      <c r="Q454" s="33">
        <v>0</v>
      </c>
      <c r="R454" s="33"/>
      <c r="S454" s="33"/>
      <c r="T454" s="33" t="s">
        <v>616</v>
      </c>
      <c r="U454" s="41" t="str">
        <f>IFERROR(HYPERLINK("#'Main'!B"&amp;MATCH(TRIM(A454),Main!B:B,0),"Open"),HYPERLINK("#'Main'!B1","Open"))</f>
        <v>Open</v>
      </c>
      <c r="V454" s="41"/>
    </row>
    <row r="455" spans="1:22" ht="30" customHeight="1" x14ac:dyDescent="0.25">
      <c r="A455" s="51" t="s">
        <v>210</v>
      </c>
      <c r="B455" s="42" t="s">
        <v>614</v>
      </c>
      <c r="C455" s="44" t="s">
        <v>217</v>
      </c>
      <c r="D455" s="42" t="s">
        <v>321</v>
      </c>
      <c r="E455" s="52">
        <v>200</v>
      </c>
      <c r="F455" s="42" t="b">
        <v>1</v>
      </c>
      <c r="G455" s="42">
        <v>0</v>
      </c>
      <c r="H455" s="52">
        <v>0</v>
      </c>
      <c r="I455" s="42">
        <v>0</v>
      </c>
      <c r="J455" s="42">
        <v>0</v>
      </c>
      <c r="K455" s="42">
        <v>0</v>
      </c>
      <c r="L455" s="46" t="b">
        <v>0</v>
      </c>
      <c r="M455" s="42">
        <v>0</v>
      </c>
      <c r="N455" s="42">
        <v>0</v>
      </c>
      <c r="O455" s="52">
        <v>0</v>
      </c>
      <c r="P455" s="42">
        <v>0</v>
      </c>
      <c r="Q455" s="42">
        <v>0</v>
      </c>
      <c r="R455" s="42"/>
      <c r="S455" s="42"/>
      <c r="T455" s="42" t="s">
        <v>616</v>
      </c>
      <c r="U455" t="str">
        <f>IFERROR(HYPERLINK("#'Main'!B"&amp;MATCH(TRIM(A455),Main!B:B,0),"Open"),HYPERLINK("#'Main'!B1","Open"))</f>
        <v>Open</v>
      </c>
    </row>
    <row r="456" spans="1:22" ht="30" customHeight="1" x14ac:dyDescent="0.25">
      <c r="A456" s="50" t="s">
        <v>210</v>
      </c>
      <c r="B456" s="33" t="s">
        <v>614</v>
      </c>
      <c r="C456" s="37" t="s">
        <v>219</v>
      </c>
      <c r="D456" s="33" t="s">
        <v>327</v>
      </c>
      <c r="E456" s="52">
        <v>200</v>
      </c>
      <c r="F456" s="33" t="b">
        <v>1</v>
      </c>
      <c r="G456" s="33">
        <v>0</v>
      </c>
      <c r="H456" s="52">
        <v>0</v>
      </c>
      <c r="I456" s="33">
        <v>0</v>
      </c>
      <c r="J456" s="33">
        <v>0</v>
      </c>
      <c r="K456" s="33">
        <v>0</v>
      </c>
      <c r="L456" s="40" t="b">
        <v>0</v>
      </c>
      <c r="M456" s="33">
        <v>0</v>
      </c>
      <c r="N456" s="33">
        <v>0</v>
      </c>
      <c r="O456" s="52">
        <v>0</v>
      </c>
      <c r="P456" s="33">
        <v>0</v>
      </c>
      <c r="Q456" s="33">
        <v>0</v>
      </c>
      <c r="R456" s="33"/>
      <c r="S456" s="33"/>
      <c r="T456" s="33" t="s">
        <v>616</v>
      </c>
      <c r="U456" s="41" t="str">
        <f>IFERROR(HYPERLINK("#'Main'!B"&amp;MATCH(TRIM(A456),Main!B:B,0),"Open"),HYPERLINK("#'Main'!B1","Open"))</f>
        <v>Open</v>
      </c>
      <c r="V456" s="41"/>
    </row>
    <row r="457" spans="1:22" ht="30" customHeight="1" x14ac:dyDescent="0.25">
      <c r="A457" s="51" t="s">
        <v>210</v>
      </c>
      <c r="B457" s="42" t="s">
        <v>614</v>
      </c>
      <c r="C457" s="44" t="s">
        <v>210</v>
      </c>
      <c r="D457" s="42" t="s">
        <v>292</v>
      </c>
      <c r="E457" s="52">
        <v>200</v>
      </c>
      <c r="F457" s="42" t="b">
        <v>1</v>
      </c>
      <c r="G457" s="42">
        <v>0</v>
      </c>
      <c r="H457" s="52">
        <v>0</v>
      </c>
      <c r="I457" s="42">
        <v>0</v>
      </c>
      <c r="J457" s="42">
        <v>0</v>
      </c>
      <c r="K457" s="42">
        <v>0</v>
      </c>
      <c r="L457" s="46" t="b">
        <v>0</v>
      </c>
      <c r="M457" s="42">
        <v>0</v>
      </c>
      <c r="N457" s="42">
        <v>0</v>
      </c>
      <c r="O457" s="52">
        <v>0</v>
      </c>
      <c r="P457" s="42">
        <v>0</v>
      </c>
      <c r="Q457" s="42">
        <v>0</v>
      </c>
      <c r="R457" s="42"/>
      <c r="S457" s="42"/>
      <c r="T457" s="42" t="s">
        <v>616</v>
      </c>
      <c r="U457" t="str">
        <f>IFERROR(HYPERLINK("#'Main'!B"&amp;MATCH(TRIM(A457),Main!B:B,0),"Open"),HYPERLINK("#'Main'!B1","Open"))</f>
        <v>Open</v>
      </c>
    </row>
    <row r="458" spans="1:22" ht="30" customHeight="1" x14ac:dyDescent="0.25">
      <c r="A458" s="50" t="s">
        <v>210</v>
      </c>
      <c r="B458" s="33" t="s">
        <v>614</v>
      </c>
      <c r="C458" s="37" t="s">
        <v>215</v>
      </c>
      <c r="D458" s="33" t="s">
        <v>783</v>
      </c>
      <c r="E458" s="52">
        <v>200</v>
      </c>
      <c r="F458" s="33" t="b">
        <v>1</v>
      </c>
      <c r="G458" s="33">
        <v>0</v>
      </c>
      <c r="H458" s="52">
        <v>0</v>
      </c>
      <c r="I458" s="33">
        <v>0</v>
      </c>
      <c r="J458" s="33">
        <v>0</v>
      </c>
      <c r="K458" s="33">
        <v>0</v>
      </c>
      <c r="L458" s="40" t="b">
        <v>0</v>
      </c>
      <c r="M458" s="33">
        <v>0</v>
      </c>
      <c r="N458" s="33">
        <v>0</v>
      </c>
      <c r="O458" s="52">
        <v>0</v>
      </c>
      <c r="P458" s="33">
        <v>0</v>
      </c>
      <c r="Q458" s="33">
        <v>0</v>
      </c>
      <c r="R458" s="33"/>
      <c r="S458" s="33"/>
      <c r="T458" s="33" t="s">
        <v>616</v>
      </c>
      <c r="U458" s="41" t="str">
        <f>IFERROR(HYPERLINK("#'Main'!B"&amp;MATCH(TRIM(A458),Main!B:B,0),"Open"),HYPERLINK("#'Main'!B1","Open"))</f>
        <v>Open</v>
      </c>
      <c r="V458" s="41"/>
    </row>
    <row r="459" spans="1:22" ht="30" customHeight="1" x14ac:dyDescent="0.25">
      <c r="A459" s="51" t="s">
        <v>210</v>
      </c>
      <c r="B459" s="42" t="s">
        <v>614</v>
      </c>
      <c r="C459" s="44" t="s">
        <v>214</v>
      </c>
      <c r="D459" s="42" t="s">
        <v>784</v>
      </c>
      <c r="E459" s="52">
        <v>200</v>
      </c>
      <c r="F459" s="42" t="b">
        <v>1</v>
      </c>
      <c r="G459" s="42">
        <v>0</v>
      </c>
      <c r="H459" s="52">
        <v>0</v>
      </c>
      <c r="I459" s="42">
        <v>0</v>
      </c>
      <c r="J459" s="42">
        <v>0</v>
      </c>
      <c r="K459" s="42">
        <v>0</v>
      </c>
      <c r="L459" s="46" t="b">
        <v>0</v>
      </c>
      <c r="M459" s="42">
        <v>0</v>
      </c>
      <c r="N459" s="42">
        <v>0</v>
      </c>
      <c r="O459" s="52">
        <v>0</v>
      </c>
      <c r="P459" s="42">
        <v>0</v>
      </c>
      <c r="Q459" s="42">
        <v>0</v>
      </c>
      <c r="R459" s="42"/>
      <c r="S459" s="42"/>
      <c r="T459" s="42" t="s">
        <v>616</v>
      </c>
      <c r="U459" t="str">
        <f>IFERROR(HYPERLINK("#'Main'!B"&amp;MATCH(TRIM(A459),Main!B:B,0),"Open"),HYPERLINK("#'Main'!B1","Open"))</f>
        <v>Open</v>
      </c>
    </row>
    <row r="460" spans="1:22" ht="30" customHeight="1" x14ac:dyDescent="0.25">
      <c r="A460" s="50" t="s">
        <v>210</v>
      </c>
      <c r="B460" s="33" t="s">
        <v>614</v>
      </c>
      <c r="C460" s="37" t="s">
        <v>176</v>
      </c>
      <c r="D460" s="33" t="s">
        <v>781</v>
      </c>
      <c r="E460" s="52">
        <v>200</v>
      </c>
      <c r="F460" s="33" t="b">
        <v>1</v>
      </c>
      <c r="G460" s="33">
        <v>0</v>
      </c>
      <c r="H460" s="52">
        <v>0</v>
      </c>
      <c r="I460" s="33">
        <v>0</v>
      </c>
      <c r="J460" s="33">
        <v>0</v>
      </c>
      <c r="K460" s="33">
        <v>0</v>
      </c>
      <c r="L460" s="40" t="b">
        <v>0</v>
      </c>
      <c r="M460" s="33">
        <v>0</v>
      </c>
      <c r="N460" s="33">
        <v>0</v>
      </c>
      <c r="O460" s="52">
        <v>0</v>
      </c>
      <c r="P460" s="33">
        <v>0</v>
      </c>
      <c r="Q460" s="33">
        <v>0</v>
      </c>
      <c r="R460" s="33"/>
      <c r="S460" s="33"/>
      <c r="T460" s="33" t="s">
        <v>616</v>
      </c>
      <c r="U460" s="41" t="str">
        <f>IFERROR(HYPERLINK("#'Main'!B"&amp;MATCH(TRIM(A460),Main!B:B,0),"Open"),HYPERLINK("#'Main'!B1","Open"))</f>
        <v>Open</v>
      </c>
      <c r="V460" s="41"/>
    </row>
    <row r="461" spans="1:22" ht="30" customHeight="1" x14ac:dyDescent="0.25">
      <c r="A461" s="51" t="s">
        <v>210</v>
      </c>
      <c r="B461" s="42" t="s">
        <v>614</v>
      </c>
      <c r="C461" s="44" t="s">
        <v>209</v>
      </c>
      <c r="D461" s="42" t="s">
        <v>782</v>
      </c>
      <c r="E461" s="52">
        <v>200</v>
      </c>
      <c r="F461" s="42" t="b">
        <v>1</v>
      </c>
      <c r="G461" s="42">
        <v>0</v>
      </c>
      <c r="H461" s="52">
        <v>0</v>
      </c>
      <c r="I461" s="42">
        <v>0</v>
      </c>
      <c r="J461" s="42">
        <v>0</v>
      </c>
      <c r="K461" s="42">
        <v>0</v>
      </c>
      <c r="L461" s="46" t="b">
        <v>0</v>
      </c>
      <c r="M461" s="42">
        <v>0</v>
      </c>
      <c r="N461" s="42">
        <v>0</v>
      </c>
      <c r="O461" s="52">
        <v>0</v>
      </c>
      <c r="P461" s="42">
        <v>0</v>
      </c>
      <c r="Q461" s="42">
        <v>0</v>
      </c>
      <c r="R461" s="42"/>
      <c r="S461" s="42"/>
      <c r="T461" s="42" t="s">
        <v>616</v>
      </c>
      <c r="U461" t="str">
        <f>IFERROR(HYPERLINK("#'Main'!B"&amp;MATCH(TRIM(A461),Main!B:B,0),"Open"),HYPERLINK("#'Main'!B1","Open"))</f>
        <v>Open</v>
      </c>
    </row>
    <row r="462" spans="1:22" ht="30" customHeight="1" x14ac:dyDescent="0.25">
      <c r="A462" s="50" t="s">
        <v>210</v>
      </c>
      <c r="B462" s="33" t="s">
        <v>614</v>
      </c>
      <c r="C462" s="37" t="s">
        <v>217</v>
      </c>
      <c r="D462" s="33" t="s">
        <v>321</v>
      </c>
      <c r="E462" s="52">
        <v>200</v>
      </c>
      <c r="F462" s="33" t="b">
        <v>1</v>
      </c>
      <c r="G462" s="33">
        <v>0</v>
      </c>
      <c r="H462" s="52">
        <v>0</v>
      </c>
      <c r="I462" s="33">
        <v>0</v>
      </c>
      <c r="J462" s="33">
        <v>0</v>
      </c>
      <c r="K462" s="33">
        <v>0</v>
      </c>
      <c r="L462" s="40" t="b">
        <v>0</v>
      </c>
      <c r="M462" s="33">
        <v>0</v>
      </c>
      <c r="N462" s="33">
        <v>0</v>
      </c>
      <c r="O462" s="52">
        <v>0</v>
      </c>
      <c r="P462" s="33">
        <v>0</v>
      </c>
      <c r="Q462" s="33">
        <v>0</v>
      </c>
      <c r="R462" s="33"/>
      <c r="S462" s="33"/>
      <c r="T462" s="33" t="s">
        <v>616</v>
      </c>
      <c r="U462" s="41" t="str">
        <f>IFERROR(HYPERLINK("#'Main'!B"&amp;MATCH(TRIM(A462),Main!B:B,0),"Open"),HYPERLINK("#'Main'!B1","Open"))</f>
        <v>Open</v>
      </c>
      <c r="V462" s="41"/>
    </row>
    <row r="463" spans="1:22" ht="30" customHeight="1" x14ac:dyDescent="0.25">
      <c r="A463" s="51" t="s">
        <v>210</v>
      </c>
      <c r="B463" s="42" t="s">
        <v>614</v>
      </c>
      <c r="C463" s="44" t="s">
        <v>219</v>
      </c>
      <c r="D463" s="42" t="s">
        <v>327</v>
      </c>
      <c r="E463" s="52">
        <v>200</v>
      </c>
      <c r="F463" s="42" t="b">
        <v>1</v>
      </c>
      <c r="G463" s="42">
        <v>0</v>
      </c>
      <c r="H463" s="52">
        <v>0</v>
      </c>
      <c r="I463" s="42">
        <v>0</v>
      </c>
      <c r="J463" s="42">
        <v>0</v>
      </c>
      <c r="K463" s="42">
        <v>0</v>
      </c>
      <c r="L463" s="46" t="b">
        <v>0</v>
      </c>
      <c r="M463" s="42">
        <v>0</v>
      </c>
      <c r="N463" s="42">
        <v>0</v>
      </c>
      <c r="O463" s="52">
        <v>0</v>
      </c>
      <c r="P463" s="42">
        <v>0</v>
      </c>
      <c r="Q463" s="42">
        <v>0</v>
      </c>
      <c r="R463" s="42"/>
      <c r="S463" s="42"/>
      <c r="T463" s="42" t="s">
        <v>616</v>
      </c>
      <c r="U463" t="str">
        <f>IFERROR(HYPERLINK("#'Main'!B"&amp;MATCH(TRIM(A463),Main!B:B,0),"Open"),HYPERLINK("#'Main'!B1","Open"))</f>
        <v>Open</v>
      </c>
    </row>
    <row r="464" spans="1:22" ht="30" customHeight="1" x14ac:dyDescent="0.25">
      <c r="A464" s="50" t="s">
        <v>210</v>
      </c>
      <c r="B464" s="33" t="s">
        <v>614</v>
      </c>
      <c r="C464" s="37" t="s">
        <v>210</v>
      </c>
      <c r="D464" s="33" t="s">
        <v>292</v>
      </c>
      <c r="E464" s="52">
        <v>200</v>
      </c>
      <c r="F464" s="33" t="b">
        <v>1</v>
      </c>
      <c r="G464" s="33">
        <v>0</v>
      </c>
      <c r="H464" s="52">
        <v>0</v>
      </c>
      <c r="I464" s="33">
        <v>0</v>
      </c>
      <c r="J464" s="33">
        <v>0</v>
      </c>
      <c r="K464" s="33">
        <v>0</v>
      </c>
      <c r="L464" s="40" t="b">
        <v>0</v>
      </c>
      <c r="M464" s="33">
        <v>0</v>
      </c>
      <c r="N464" s="33">
        <v>0</v>
      </c>
      <c r="O464" s="52">
        <v>0</v>
      </c>
      <c r="P464" s="33">
        <v>0</v>
      </c>
      <c r="Q464" s="33">
        <v>0</v>
      </c>
      <c r="R464" s="33"/>
      <c r="S464" s="33"/>
      <c r="T464" s="33" t="s">
        <v>616</v>
      </c>
      <c r="U464" s="41" t="str">
        <f>IFERROR(HYPERLINK("#'Main'!B"&amp;MATCH(TRIM(A464),Main!B:B,0),"Open"),HYPERLINK("#'Main'!B1","Open"))</f>
        <v>Open</v>
      </c>
      <c r="V464" s="41"/>
    </row>
    <row r="465" spans="1:22" ht="30" customHeight="1" x14ac:dyDescent="0.25">
      <c r="A465" s="51" t="s">
        <v>210</v>
      </c>
      <c r="B465" s="42" t="s">
        <v>614</v>
      </c>
      <c r="C465" s="44" t="s">
        <v>215</v>
      </c>
      <c r="D465" s="42" t="s">
        <v>783</v>
      </c>
      <c r="E465" s="52">
        <v>200</v>
      </c>
      <c r="F465" s="42" t="b">
        <v>1</v>
      </c>
      <c r="G465" s="42">
        <v>0</v>
      </c>
      <c r="H465" s="52">
        <v>0</v>
      </c>
      <c r="I465" s="42">
        <v>0</v>
      </c>
      <c r="J465" s="42">
        <v>0</v>
      </c>
      <c r="K465" s="42">
        <v>0</v>
      </c>
      <c r="L465" s="46" t="b">
        <v>0</v>
      </c>
      <c r="M465" s="42">
        <v>0</v>
      </c>
      <c r="N465" s="42">
        <v>0</v>
      </c>
      <c r="O465" s="52">
        <v>0</v>
      </c>
      <c r="P465" s="42">
        <v>0</v>
      </c>
      <c r="Q465" s="42">
        <v>0</v>
      </c>
      <c r="R465" s="42"/>
      <c r="S465" s="42"/>
      <c r="T465" s="42" t="s">
        <v>616</v>
      </c>
      <c r="U465" t="str">
        <f>IFERROR(HYPERLINK("#'Main'!B"&amp;MATCH(TRIM(A465),Main!B:B,0),"Open"),HYPERLINK("#'Main'!B1","Open"))</f>
        <v>Open</v>
      </c>
    </row>
    <row r="466" spans="1:22" ht="30" customHeight="1" x14ac:dyDescent="0.25">
      <c r="A466" s="50" t="s">
        <v>210</v>
      </c>
      <c r="B466" s="33" t="s">
        <v>614</v>
      </c>
      <c r="C466" s="37" t="s">
        <v>214</v>
      </c>
      <c r="D466" s="33" t="s">
        <v>784</v>
      </c>
      <c r="E466" s="52">
        <v>200</v>
      </c>
      <c r="F466" s="33" t="b">
        <v>1</v>
      </c>
      <c r="G466" s="33">
        <v>0</v>
      </c>
      <c r="H466" s="52">
        <v>0</v>
      </c>
      <c r="I466" s="33">
        <v>0</v>
      </c>
      <c r="J466" s="33">
        <v>0</v>
      </c>
      <c r="K466" s="33">
        <v>0</v>
      </c>
      <c r="L466" s="40" t="b">
        <v>0</v>
      </c>
      <c r="M466" s="33">
        <v>0</v>
      </c>
      <c r="N466" s="33">
        <v>0</v>
      </c>
      <c r="O466" s="52">
        <v>0</v>
      </c>
      <c r="P466" s="33">
        <v>0</v>
      </c>
      <c r="Q466" s="33">
        <v>0</v>
      </c>
      <c r="R466" s="33"/>
      <c r="S466" s="33"/>
      <c r="T466" s="33" t="s">
        <v>616</v>
      </c>
      <c r="U466" s="41" t="str">
        <f>IFERROR(HYPERLINK("#'Main'!B"&amp;MATCH(TRIM(A466),Main!B:B,0),"Open"),HYPERLINK("#'Main'!B1","Open"))</f>
        <v>Open</v>
      </c>
      <c r="V466" s="41"/>
    </row>
    <row r="467" spans="1:22" ht="30" customHeight="1" x14ac:dyDescent="0.25">
      <c r="A467" s="51" t="s">
        <v>210</v>
      </c>
      <c r="B467" s="42" t="s">
        <v>614</v>
      </c>
      <c r="C467" s="44" t="s">
        <v>209</v>
      </c>
      <c r="D467" s="42" t="s">
        <v>785</v>
      </c>
      <c r="E467" s="52">
        <v>200</v>
      </c>
      <c r="F467" s="42" t="b">
        <v>1</v>
      </c>
      <c r="G467" s="42">
        <v>0</v>
      </c>
      <c r="H467" s="52">
        <v>0</v>
      </c>
      <c r="I467" s="42">
        <v>0</v>
      </c>
      <c r="J467" s="42">
        <v>0</v>
      </c>
      <c r="K467" s="42">
        <v>0</v>
      </c>
      <c r="L467" s="46" t="b">
        <v>0</v>
      </c>
      <c r="M467" s="42">
        <v>0</v>
      </c>
      <c r="N467" s="42">
        <v>0</v>
      </c>
      <c r="O467" s="52">
        <v>0</v>
      </c>
      <c r="P467" s="42">
        <v>0</v>
      </c>
      <c r="Q467" s="42">
        <v>0</v>
      </c>
      <c r="R467" s="42"/>
      <c r="S467" s="42"/>
      <c r="T467" s="42" t="s">
        <v>616</v>
      </c>
      <c r="U467" t="str">
        <f>IFERROR(HYPERLINK("#'Main'!B"&amp;MATCH(TRIM(A467),Main!B:B,0),"Open"),HYPERLINK("#'Main'!B1","Open"))</f>
        <v>Open</v>
      </c>
    </row>
    <row r="468" spans="1:22" ht="30" customHeight="1" x14ac:dyDescent="0.25">
      <c r="A468" s="50" t="s">
        <v>210</v>
      </c>
      <c r="B468" s="33" t="s">
        <v>614</v>
      </c>
      <c r="C468" s="37" t="s">
        <v>629</v>
      </c>
      <c r="D468" s="33" t="s">
        <v>630</v>
      </c>
      <c r="E468" s="52">
        <v>200</v>
      </c>
      <c r="F468" s="33" t="b">
        <v>1</v>
      </c>
      <c r="G468" s="33">
        <v>0</v>
      </c>
      <c r="H468" s="52">
        <v>0</v>
      </c>
      <c r="I468" s="33">
        <v>0</v>
      </c>
      <c r="J468" s="33">
        <v>0</v>
      </c>
      <c r="K468" s="33">
        <v>0</v>
      </c>
      <c r="L468" s="40" t="b">
        <v>0</v>
      </c>
      <c r="M468" s="33">
        <v>0</v>
      </c>
      <c r="N468" s="33">
        <v>0</v>
      </c>
      <c r="O468" s="52">
        <v>0</v>
      </c>
      <c r="P468" s="33">
        <v>0</v>
      </c>
      <c r="Q468" s="33">
        <v>0</v>
      </c>
      <c r="R468" s="33"/>
      <c r="S468" s="33"/>
      <c r="T468" s="33" t="s">
        <v>616</v>
      </c>
      <c r="U468" s="41" t="str">
        <f>IFERROR(HYPERLINK("#'Main'!B"&amp;MATCH(TRIM(A468),Main!B:B,0),"Open"),HYPERLINK("#'Main'!B1","Open"))</f>
        <v>Open</v>
      </c>
      <c r="V468" s="41"/>
    </row>
    <row r="469" spans="1:22" ht="30" customHeight="1" x14ac:dyDescent="0.25">
      <c r="A469" s="51" t="s">
        <v>210</v>
      </c>
      <c r="B469" s="42" t="s">
        <v>614</v>
      </c>
      <c r="C469" s="44" t="s">
        <v>631</v>
      </c>
      <c r="D469" s="42"/>
      <c r="E469" s="52">
        <v>200</v>
      </c>
      <c r="F469" s="42" t="b">
        <v>1</v>
      </c>
      <c r="G469" s="42">
        <v>0</v>
      </c>
      <c r="H469" s="52">
        <v>0</v>
      </c>
      <c r="I469" s="42">
        <v>0</v>
      </c>
      <c r="J469" s="42">
        <v>0</v>
      </c>
      <c r="K469" s="42">
        <v>0</v>
      </c>
      <c r="L469" s="46" t="b">
        <v>0</v>
      </c>
      <c r="M469" s="42">
        <v>0</v>
      </c>
      <c r="N469" s="42">
        <v>0</v>
      </c>
      <c r="O469" s="52">
        <v>0</v>
      </c>
      <c r="P469" s="42">
        <v>0</v>
      </c>
      <c r="Q469" s="42">
        <v>0</v>
      </c>
      <c r="R469" s="42"/>
      <c r="S469" s="42"/>
      <c r="T469" s="42" t="s">
        <v>616</v>
      </c>
      <c r="U469" t="str">
        <f>IFERROR(HYPERLINK("#'Main'!B"&amp;MATCH(TRIM(A469),Main!B:B,0),"Open"),HYPERLINK("#'Main'!B1","Open"))</f>
        <v>Open</v>
      </c>
    </row>
    <row r="470" spans="1:22" ht="30" customHeight="1" x14ac:dyDescent="0.25">
      <c r="A470" s="50" t="s">
        <v>210</v>
      </c>
      <c r="B470" s="33" t="s">
        <v>614</v>
      </c>
      <c r="C470" s="37" t="s">
        <v>632</v>
      </c>
      <c r="D470" s="33"/>
      <c r="E470" s="52">
        <v>200</v>
      </c>
      <c r="F470" s="33" t="b">
        <v>1</v>
      </c>
      <c r="G470" s="33">
        <v>0</v>
      </c>
      <c r="H470" s="52">
        <v>0</v>
      </c>
      <c r="I470" s="33">
        <v>0</v>
      </c>
      <c r="J470" s="33">
        <v>0</v>
      </c>
      <c r="K470" s="33">
        <v>0</v>
      </c>
      <c r="L470" s="40" t="b">
        <v>0</v>
      </c>
      <c r="M470" s="33">
        <v>0</v>
      </c>
      <c r="N470" s="33">
        <v>0</v>
      </c>
      <c r="O470" s="52">
        <v>0</v>
      </c>
      <c r="P470" s="33">
        <v>0</v>
      </c>
      <c r="Q470" s="33">
        <v>0</v>
      </c>
      <c r="R470" s="33"/>
      <c r="S470" s="33"/>
      <c r="T470" s="33" t="s">
        <v>616</v>
      </c>
      <c r="U470" s="41" t="str">
        <f>IFERROR(HYPERLINK("#'Main'!B"&amp;MATCH(TRIM(A470),Main!B:B,0),"Open"),HYPERLINK("#'Main'!B1","Open"))</f>
        <v>Open</v>
      </c>
      <c r="V470" s="41"/>
    </row>
    <row r="471" spans="1:22" ht="30" customHeight="1" x14ac:dyDescent="0.25">
      <c r="A471" s="51" t="s">
        <v>210</v>
      </c>
      <c r="B471" s="42" t="s">
        <v>614</v>
      </c>
      <c r="C471" s="44" t="s">
        <v>634</v>
      </c>
      <c r="D471" s="42" t="s">
        <v>666</v>
      </c>
      <c r="E471" s="52">
        <v>200</v>
      </c>
      <c r="F471" s="42" t="b">
        <v>1</v>
      </c>
      <c r="G471" s="42">
        <v>0</v>
      </c>
      <c r="H471" s="52">
        <v>0</v>
      </c>
      <c r="I471" s="42">
        <v>0</v>
      </c>
      <c r="J471" s="42">
        <v>0</v>
      </c>
      <c r="K471" s="42">
        <v>0</v>
      </c>
      <c r="L471" s="46" t="b">
        <v>0</v>
      </c>
      <c r="M471" s="42">
        <v>0</v>
      </c>
      <c r="N471" s="42">
        <v>0</v>
      </c>
      <c r="O471" s="52">
        <v>0</v>
      </c>
      <c r="P471" s="42">
        <v>0</v>
      </c>
      <c r="Q471" s="42">
        <v>0</v>
      </c>
      <c r="R471" s="42"/>
      <c r="S471" s="42"/>
      <c r="T471" s="42" t="s">
        <v>616</v>
      </c>
      <c r="U471" t="str">
        <f>IFERROR(HYPERLINK("#'Main'!B"&amp;MATCH(TRIM(A471),Main!B:B,0),"Open"),HYPERLINK("#'Main'!B1","Open"))</f>
        <v>Open</v>
      </c>
    </row>
    <row r="472" spans="1:22" ht="30" customHeight="1" x14ac:dyDescent="0.25">
      <c r="A472" s="50" t="s">
        <v>210</v>
      </c>
      <c r="B472" s="33" t="s">
        <v>614</v>
      </c>
      <c r="C472" s="37" t="s">
        <v>636</v>
      </c>
      <c r="D472" s="33" t="s">
        <v>637</v>
      </c>
      <c r="E472" s="34">
        <v>404</v>
      </c>
      <c r="F472" s="33" t="b">
        <v>0</v>
      </c>
      <c r="G472" s="33">
        <v>0</v>
      </c>
      <c r="H472" s="52">
        <v>0</v>
      </c>
      <c r="I472" s="33">
        <v>0</v>
      </c>
      <c r="J472" s="33">
        <v>0</v>
      </c>
      <c r="K472" s="33">
        <v>0</v>
      </c>
      <c r="L472" s="40" t="b">
        <v>0</v>
      </c>
      <c r="M472" s="33">
        <v>0</v>
      </c>
      <c r="N472" s="33">
        <v>0</v>
      </c>
      <c r="O472" s="52">
        <v>0</v>
      </c>
      <c r="P472" s="33">
        <v>0</v>
      </c>
      <c r="Q472" s="33">
        <v>0</v>
      </c>
      <c r="R472" s="33"/>
      <c r="S472" s="33"/>
      <c r="T472" s="33" t="s">
        <v>616</v>
      </c>
      <c r="U472" s="41" t="str">
        <f>IFERROR(HYPERLINK("#'Main'!B"&amp;MATCH(TRIM(A472),Main!B:B,0),"Open"),HYPERLINK("#'Main'!B1","Open"))</f>
        <v>Open</v>
      </c>
      <c r="V472" s="41"/>
    </row>
    <row r="473" spans="1:22" ht="30" customHeight="1" x14ac:dyDescent="0.25">
      <c r="A473" s="51" t="s">
        <v>210</v>
      </c>
      <c r="B473" s="42" t="s">
        <v>614</v>
      </c>
      <c r="C473" s="44" t="s">
        <v>636</v>
      </c>
      <c r="D473" s="42" t="s">
        <v>638</v>
      </c>
      <c r="E473" s="34">
        <v>404</v>
      </c>
      <c r="F473" s="42" t="b">
        <v>0</v>
      </c>
      <c r="G473" s="42">
        <v>0</v>
      </c>
      <c r="H473" s="52">
        <v>0</v>
      </c>
      <c r="I473" s="42">
        <v>0</v>
      </c>
      <c r="J473" s="42">
        <v>0</v>
      </c>
      <c r="K473" s="42">
        <v>0</v>
      </c>
      <c r="L473" s="46" t="b">
        <v>0</v>
      </c>
      <c r="M473" s="42">
        <v>0</v>
      </c>
      <c r="N473" s="42">
        <v>0</v>
      </c>
      <c r="O473" s="52">
        <v>0</v>
      </c>
      <c r="P473" s="42">
        <v>0</v>
      </c>
      <c r="Q473" s="42">
        <v>0</v>
      </c>
      <c r="R473" s="42"/>
      <c r="S473" s="42"/>
      <c r="T473" s="42" t="s">
        <v>616</v>
      </c>
      <c r="U473" t="str">
        <f>IFERROR(HYPERLINK("#'Main'!B"&amp;MATCH(TRIM(A473),Main!B:B,0),"Open"),HYPERLINK("#'Main'!B1","Open"))</f>
        <v>Open</v>
      </c>
    </row>
    <row r="474" spans="1:22" ht="30" customHeight="1" x14ac:dyDescent="0.25">
      <c r="A474" s="50" t="s">
        <v>211</v>
      </c>
      <c r="B474" s="33" t="s">
        <v>614</v>
      </c>
      <c r="C474" s="37" t="s">
        <v>636</v>
      </c>
      <c r="D474" s="33" t="s">
        <v>637</v>
      </c>
      <c r="E474" s="34">
        <v>404</v>
      </c>
      <c r="F474" s="33" t="b">
        <v>0</v>
      </c>
      <c r="G474" s="33">
        <v>0</v>
      </c>
      <c r="H474" s="52">
        <v>0</v>
      </c>
      <c r="I474" s="33">
        <v>0</v>
      </c>
      <c r="J474" s="33">
        <v>0</v>
      </c>
      <c r="K474" s="33">
        <v>0</v>
      </c>
      <c r="L474" s="40" t="b">
        <v>0</v>
      </c>
      <c r="M474" s="33">
        <v>0</v>
      </c>
      <c r="N474" s="33">
        <v>0</v>
      </c>
      <c r="O474" s="52">
        <v>0</v>
      </c>
      <c r="P474" s="33">
        <v>0</v>
      </c>
      <c r="Q474" s="33">
        <v>0</v>
      </c>
      <c r="R474" s="33"/>
      <c r="S474" s="33"/>
      <c r="T474" s="33" t="s">
        <v>616</v>
      </c>
      <c r="U474" s="41" t="str">
        <f>IFERROR(HYPERLINK("#'Main'!B"&amp;MATCH(TRIM(A474),Main!B:B,0),"Open"),HYPERLINK("#'Main'!B1","Open"))</f>
        <v>Open</v>
      </c>
      <c r="V474" s="41"/>
    </row>
    <row r="475" spans="1:22" ht="30" customHeight="1" x14ac:dyDescent="0.25">
      <c r="A475" s="51" t="s">
        <v>211</v>
      </c>
      <c r="B475" s="42" t="s">
        <v>614</v>
      </c>
      <c r="C475" s="44" t="s">
        <v>636</v>
      </c>
      <c r="D475" s="42" t="s">
        <v>638</v>
      </c>
      <c r="E475" s="34">
        <v>404</v>
      </c>
      <c r="F475" s="42" t="b">
        <v>0</v>
      </c>
      <c r="G475" s="42">
        <v>0</v>
      </c>
      <c r="H475" s="52">
        <v>0</v>
      </c>
      <c r="I475" s="42">
        <v>0</v>
      </c>
      <c r="J475" s="42">
        <v>0</v>
      </c>
      <c r="K475" s="42">
        <v>0</v>
      </c>
      <c r="L475" s="46" t="b">
        <v>0</v>
      </c>
      <c r="M475" s="42">
        <v>0</v>
      </c>
      <c r="N475" s="42">
        <v>0</v>
      </c>
      <c r="O475" s="52">
        <v>0</v>
      </c>
      <c r="P475" s="42">
        <v>0</v>
      </c>
      <c r="Q475" s="42">
        <v>0</v>
      </c>
      <c r="R475" s="42"/>
      <c r="S475" s="42"/>
      <c r="T475" s="42" t="s">
        <v>616</v>
      </c>
      <c r="U475" t="str">
        <f>IFERROR(HYPERLINK("#'Main'!B"&amp;MATCH(TRIM(A475),Main!B:B,0),"Open"),HYPERLINK("#'Main'!B1","Open"))</f>
        <v>Open</v>
      </c>
    </row>
    <row r="476" spans="1:22" ht="30" customHeight="1" x14ac:dyDescent="0.25">
      <c r="A476" s="50" t="s">
        <v>212</v>
      </c>
      <c r="B476" s="33" t="s">
        <v>614</v>
      </c>
      <c r="C476" s="37" t="s">
        <v>176</v>
      </c>
      <c r="D476" s="33" t="s">
        <v>781</v>
      </c>
      <c r="E476" s="52">
        <v>200</v>
      </c>
      <c r="F476" s="33" t="b">
        <v>1</v>
      </c>
      <c r="G476" s="33">
        <v>0</v>
      </c>
      <c r="H476" s="52">
        <v>0</v>
      </c>
      <c r="I476" s="33">
        <v>0</v>
      </c>
      <c r="J476" s="33">
        <v>0</v>
      </c>
      <c r="K476" s="33">
        <v>0</v>
      </c>
      <c r="L476" s="40" t="b">
        <v>0</v>
      </c>
      <c r="M476" s="33">
        <v>0</v>
      </c>
      <c r="N476" s="33">
        <v>0</v>
      </c>
      <c r="O476" s="52">
        <v>0</v>
      </c>
      <c r="P476" s="33">
        <v>0</v>
      </c>
      <c r="Q476" s="33">
        <v>0</v>
      </c>
      <c r="R476" s="33"/>
      <c r="S476" s="33"/>
      <c r="T476" s="33" t="s">
        <v>616</v>
      </c>
      <c r="U476" s="41" t="str">
        <f>IFERROR(HYPERLINK("#'Main'!B"&amp;MATCH(TRIM(A476),Main!B:B,0),"Open"),HYPERLINK("#'Main'!B1","Open"))</f>
        <v>Open</v>
      </c>
      <c r="V476" s="41"/>
    </row>
    <row r="477" spans="1:22" ht="30" customHeight="1" x14ac:dyDescent="0.25">
      <c r="A477" s="51" t="s">
        <v>212</v>
      </c>
      <c r="B477" s="42" t="s">
        <v>614</v>
      </c>
      <c r="C477" s="44" t="s">
        <v>209</v>
      </c>
      <c r="D477" s="42" t="s">
        <v>782</v>
      </c>
      <c r="E477" s="52">
        <v>200</v>
      </c>
      <c r="F477" s="42" t="b">
        <v>1</v>
      </c>
      <c r="G477" s="42">
        <v>0</v>
      </c>
      <c r="H477" s="52">
        <v>0</v>
      </c>
      <c r="I477" s="42">
        <v>0</v>
      </c>
      <c r="J477" s="42">
        <v>0</v>
      </c>
      <c r="K477" s="42">
        <v>0</v>
      </c>
      <c r="L477" s="46" t="b">
        <v>0</v>
      </c>
      <c r="M477" s="42">
        <v>0</v>
      </c>
      <c r="N477" s="42">
        <v>0</v>
      </c>
      <c r="O477" s="52">
        <v>0</v>
      </c>
      <c r="P477" s="42">
        <v>0</v>
      </c>
      <c r="Q477" s="42">
        <v>0</v>
      </c>
      <c r="R477" s="42"/>
      <c r="S477" s="42"/>
      <c r="T477" s="42" t="s">
        <v>616</v>
      </c>
      <c r="U477" t="str">
        <f>IFERROR(HYPERLINK("#'Main'!B"&amp;MATCH(TRIM(A477),Main!B:B,0),"Open"),HYPERLINK("#'Main'!B1","Open"))</f>
        <v>Open</v>
      </c>
    </row>
    <row r="478" spans="1:22" ht="30" customHeight="1" x14ac:dyDescent="0.25">
      <c r="A478" s="50" t="s">
        <v>212</v>
      </c>
      <c r="B478" s="33" t="s">
        <v>614</v>
      </c>
      <c r="C478" s="37" t="s">
        <v>217</v>
      </c>
      <c r="D478" s="33" t="s">
        <v>321</v>
      </c>
      <c r="E478" s="52">
        <v>200</v>
      </c>
      <c r="F478" s="33" t="b">
        <v>1</v>
      </c>
      <c r="G478" s="33">
        <v>0</v>
      </c>
      <c r="H478" s="52">
        <v>0</v>
      </c>
      <c r="I478" s="33">
        <v>0</v>
      </c>
      <c r="J478" s="33">
        <v>0</v>
      </c>
      <c r="K478" s="33">
        <v>0</v>
      </c>
      <c r="L478" s="40" t="b">
        <v>0</v>
      </c>
      <c r="M478" s="33">
        <v>0</v>
      </c>
      <c r="N478" s="33">
        <v>0</v>
      </c>
      <c r="O478" s="52">
        <v>0</v>
      </c>
      <c r="P478" s="33">
        <v>0</v>
      </c>
      <c r="Q478" s="33">
        <v>0</v>
      </c>
      <c r="R478" s="33"/>
      <c r="S478" s="33"/>
      <c r="T478" s="33" t="s">
        <v>616</v>
      </c>
      <c r="U478" s="41" t="str">
        <f>IFERROR(HYPERLINK("#'Main'!B"&amp;MATCH(TRIM(A478),Main!B:B,0),"Open"),HYPERLINK("#'Main'!B1","Open"))</f>
        <v>Open</v>
      </c>
      <c r="V478" s="41"/>
    </row>
    <row r="479" spans="1:22" ht="30" customHeight="1" x14ac:dyDescent="0.25">
      <c r="A479" s="51" t="s">
        <v>212</v>
      </c>
      <c r="B479" s="42" t="s">
        <v>614</v>
      </c>
      <c r="C479" s="44" t="s">
        <v>219</v>
      </c>
      <c r="D479" s="42" t="s">
        <v>327</v>
      </c>
      <c r="E479" s="52">
        <v>200</v>
      </c>
      <c r="F479" s="42" t="b">
        <v>1</v>
      </c>
      <c r="G479" s="42">
        <v>0</v>
      </c>
      <c r="H479" s="52">
        <v>0</v>
      </c>
      <c r="I479" s="42">
        <v>0</v>
      </c>
      <c r="J479" s="42">
        <v>0</v>
      </c>
      <c r="K479" s="42">
        <v>0</v>
      </c>
      <c r="L479" s="46" t="b">
        <v>0</v>
      </c>
      <c r="M479" s="42">
        <v>0</v>
      </c>
      <c r="N479" s="42">
        <v>0</v>
      </c>
      <c r="O479" s="52">
        <v>0</v>
      </c>
      <c r="P479" s="42">
        <v>0</v>
      </c>
      <c r="Q479" s="42">
        <v>0</v>
      </c>
      <c r="R479" s="42"/>
      <c r="S479" s="42"/>
      <c r="T479" s="42" t="s">
        <v>616</v>
      </c>
      <c r="U479" t="str">
        <f>IFERROR(HYPERLINK("#'Main'!B"&amp;MATCH(TRIM(A479),Main!B:B,0),"Open"),HYPERLINK("#'Main'!B1","Open"))</f>
        <v>Open</v>
      </c>
    </row>
    <row r="480" spans="1:22" ht="30" customHeight="1" x14ac:dyDescent="0.25">
      <c r="A480" s="50" t="s">
        <v>212</v>
      </c>
      <c r="B480" s="33" t="s">
        <v>614</v>
      </c>
      <c r="C480" s="37" t="s">
        <v>210</v>
      </c>
      <c r="D480" s="33" t="s">
        <v>292</v>
      </c>
      <c r="E480" s="52">
        <v>200</v>
      </c>
      <c r="F480" s="33" t="b">
        <v>1</v>
      </c>
      <c r="G480" s="33">
        <v>0</v>
      </c>
      <c r="H480" s="52">
        <v>0</v>
      </c>
      <c r="I480" s="33">
        <v>0</v>
      </c>
      <c r="J480" s="33">
        <v>0</v>
      </c>
      <c r="K480" s="33">
        <v>0</v>
      </c>
      <c r="L480" s="40" t="b">
        <v>0</v>
      </c>
      <c r="M480" s="33">
        <v>0</v>
      </c>
      <c r="N480" s="33">
        <v>0</v>
      </c>
      <c r="O480" s="52">
        <v>0</v>
      </c>
      <c r="P480" s="33">
        <v>0</v>
      </c>
      <c r="Q480" s="33">
        <v>0</v>
      </c>
      <c r="R480" s="33"/>
      <c r="S480" s="33"/>
      <c r="T480" s="33" t="s">
        <v>616</v>
      </c>
      <c r="U480" s="41" t="str">
        <f>IFERROR(HYPERLINK("#'Main'!B"&amp;MATCH(TRIM(A480),Main!B:B,0),"Open"),HYPERLINK("#'Main'!B1","Open"))</f>
        <v>Open</v>
      </c>
      <c r="V480" s="41"/>
    </row>
    <row r="481" spans="1:22" ht="30" customHeight="1" x14ac:dyDescent="0.25">
      <c r="A481" s="51" t="s">
        <v>212</v>
      </c>
      <c r="B481" s="42" t="s">
        <v>614</v>
      </c>
      <c r="C481" s="44" t="s">
        <v>215</v>
      </c>
      <c r="D481" s="42" t="s">
        <v>783</v>
      </c>
      <c r="E481" s="52">
        <v>200</v>
      </c>
      <c r="F481" s="42" t="b">
        <v>1</v>
      </c>
      <c r="G481" s="42">
        <v>0</v>
      </c>
      <c r="H481" s="52">
        <v>0</v>
      </c>
      <c r="I481" s="42">
        <v>0</v>
      </c>
      <c r="J481" s="42">
        <v>0</v>
      </c>
      <c r="K481" s="42">
        <v>0</v>
      </c>
      <c r="L481" s="46" t="b">
        <v>0</v>
      </c>
      <c r="M481" s="42">
        <v>0</v>
      </c>
      <c r="N481" s="42">
        <v>0</v>
      </c>
      <c r="O481" s="52">
        <v>0</v>
      </c>
      <c r="P481" s="42">
        <v>0</v>
      </c>
      <c r="Q481" s="42">
        <v>0</v>
      </c>
      <c r="R481" s="42"/>
      <c r="S481" s="42"/>
      <c r="T481" s="42" t="s">
        <v>616</v>
      </c>
      <c r="U481" t="str">
        <f>IFERROR(HYPERLINK("#'Main'!B"&amp;MATCH(TRIM(A481),Main!B:B,0),"Open"),HYPERLINK("#'Main'!B1","Open"))</f>
        <v>Open</v>
      </c>
    </row>
    <row r="482" spans="1:22" ht="30" customHeight="1" x14ac:dyDescent="0.25">
      <c r="A482" s="50" t="s">
        <v>212</v>
      </c>
      <c r="B482" s="33" t="s">
        <v>614</v>
      </c>
      <c r="C482" s="37" t="s">
        <v>214</v>
      </c>
      <c r="D482" s="33" t="s">
        <v>784</v>
      </c>
      <c r="E482" s="52">
        <v>200</v>
      </c>
      <c r="F482" s="33" t="b">
        <v>1</v>
      </c>
      <c r="G482" s="33">
        <v>0</v>
      </c>
      <c r="H482" s="52">
        <v>0</v>
      </c>
      <c r="I482" s="33">
        <v>0</v>
      </c>
      <c r="J482" s="33">
        <v>0</v>
      </c>
      <c r="K482" s="33">
        <v>0</v>
      </c>
      <c r="L482" s="40" t="b">
        <v>0</v>
      </c>
      <c r="M482" s="33">
        <v>0</v>
      </c>
      <c r="N482" s="33">
        <v>0</v>
      </c>
      <c r="O482" s="52">
        <v>0</v>
      </c>
      <c r="P482" s="33">
        <v>0</v>
      </c>
      <c r="Q482" s="33">
        <v>0</v>
      </c>
      <c r="R482" s="33"/>
      <c r="S482" s="33"/>
      <c r="T482" s="33" t="s">
        <v>616</v>
      </c>
      <c r="U482" s="41" t="str">
        <f>IFERROR(HYPERLINK("#'Main'!B"&amp;MATCH(TRIM(A482),Main!B:B,0),"Open"),HYPERLINK("#'Main'!B1","Open"))</f>
        <v>Open</v>
      </c>
      <c r="V482" s="41"/>
    </row>
    <row r="483" spans="1:22" ht="30" customHeight="1" x14ac:dyDescent="0.25">
      <c r="A483" s="51" t="s">
        <v>212</v>
      </c>
      <c r="B483" s="42" t="s">
        <v>614</v>
      </c>
      <c r="C483" s="44" t="s">
        <v>176</v>
      </c>
      <c r="D483" s="42" t="s">
        <v>781</v>
      </c>
      <c r="E483" s="52">
        <v>200</v>
      </c>
      <c r="F483" s="42" t="b">
        <v>1</v>
      </c>
      <c r="G483" s="42">
        <v>0</v>
      </c>
      <c r="H483" s="52">
        <v>0</v>
      </c>
      <c r="I483" s="42">
        <v>0</v>
      </c>
      <c r="J483" s="42">
        <v>0</v>
      </c>
      <c r="K483" s="42">
        <v>0</v>
      </c>
      <c r="L483" s="46" t="b">
        <v>0</v>
      </c>
      <c r="M483" s="42">
        <v>0</v>
      </c>
      <c r="N483" s="42">
        <v>0</v>
      </c>
      <c r="O483" s="52">
        <v>0</v>
      </c>
      <c r="P483" s="42">
        <v>0</v>
      </c>
      <c r="Q483" s="42">
        <v>0</v>
      </c>
      <c r="R483" s="42"/>
      <c r="S483" s="42"/>
      <c r="T483" s="42" t="s">
        <v>616</v>
      </c>
      <c r="U483" t="str">
        <f>IFERROR(HYPERLINK("#'Main'!B"&amp;MATCH(TRIM(A483),Main!B:B,0),"Open"),HYPERLINK("#'Main'!B1","Open"))</f>
        <v>Open</v>
      </c>
    </row>
    <row r="484" spans="1:22" ht="30" customHeight="1" x14ac:dyDescent="0.25">
      <c r="A484" s="50" t="s">
        <v>212</v>
      </c>
      <c r="B484" s="33" t="s">
        <v>614</v>
      </c>
      <c r="C484" s="37" t="s">
        <v>209</v>
      </c>
      <c r="D484" s="33" t="s">
        <v>782</v>
      </c>
      <c r="E484" s="52">
        <v>200</v>
      </c>
      <c r="F484" s="33" t="b">
        <v>1</v>
      </c>
      <c r="G484" s="33">
        <v>0</v>
      </c>
      <c r="H484" s="52">
        <v>0</v>
      </c>
      <c r="I484" s="33">
        <v>0</v>
      </c>
      <c r="J484" s="33">
        <v>0</v>
      </c>
      <c r="K484" s="33">
        <v>0</v>
      </c>
      <c r="L484" s="40" t="b">
        <v>0</v>
      </c>
      <c r="M484" s="33">
        <v>0</v>
      </c>
      <c r="N484" s="33">
        <v>0</v>
      </c>
      <c r="O484" s="52">
        <v>0</v>
      </c>
      <c r="P484" s="33">
        <v>0</v>
      </c>
      <c r="Q484" s="33">
        <v>0</v>
      </c>
      <c r="R484" s="33"/>
      <c r="S484" s="33"/>
      <c r="T484" s="33" t="s">
        <v>616</v>
      </c>
      <c r="U484" s="41" t="str">
        <f>IFERROR(HYPERLINK("#'Main'!B"&amp;MATCH(TRIM(A484),Main!B:B,0),"Open"),HYPERLINK("#'Main'!B1","Open"))</f>
        <v>Open</v>
      </c>
      <c r="V484" s="41"/>
    </row>
    <row r="485" spans="1:22" ht="30" customHeight="1" x14ac:dyDescent="0.25">
      <c r="A485" s="51" t="s">
        <v>212</v>
      </c>
      <c r="B485" s="42" t="s">
        <v>614</v>
      </c>
      <c r="C485" s="44" t="s">
        <v>217</v>
      </c>
      <c r="D485" s="42" t="s">
        <v>321</v>
      </c>
      <c r="E485" s="52">
        <v>200</v>
      </c>
      <c r="F485" s="42" t="b">
        <v>1</v>
      </c>
      <c r="G485" s="42">
        <v>0</v>
      </c>
      <c r="H485" s="52">
        <v>0</v>
      </c>
      <c r="I485" s="42">
        <v>0</v>
      </c>
      <c r="J485" s="42">
        <v>0</v>
      </c>
      <c r="K485" s="42">
        <v>0</v>
      </c>
      <c r="L485" s="46" t="b">
        <v>0</v>
      </c>
      <c r="M485" s="42">
        <v>0</v>
      </c>
      <c r="N485" s="42">
        <v>0</v>
      </c>
      <c r="O485" s="52">
        <v>0</v>
      </c>
      <c r="P485" s="42">
        <v>0</v>
      </c>
      <c r="Q485" s="42">
        <v>0</v>
      </c>
      <c r="R485" s="42"/>
      <c r="S485" s="42"/>
      <c r="T485" s="42" t="s">
        <v>616</v>
      </c>
      <c r="U485" t="str">
        <f>IFERROR(HYPERLINK("#'Main'!B"&amp;MATCH(TRIM(A485),Main!B:B,0),"Open"),HYPERLINK("#'Main'!B1","Open"))</f>
        <v>Open</v>
      </c>
    </row>
    <row r="486" spans="1:22" ht="30" customHeight="1" x14ac:dyDescent="0.25">
      <c r="A486" s="50" t="s">
        <v>212</v>
      </c>
      <c r="B486" s="33" t="s">
        <v>614</v>
      </c>
      <c r="C486" s="37" t="s">
        <v>219</v>
      </c>
      <c r="D486" s="33" t="s">
        <v>327</v>
      </c>
      <c r="E486" s="52">
        <v>200</v>
      </c>
      <c r="F486" s="33" t="b">
        <v>1</v>
      </c>
      <c r="G486" s="33">
        <v>0</v>
      </c>
      <c r="H486" s="52">
        <v>0</v>
      </c>
      <c r="I486" s="33">
        <v>0</v>
      </c>
      <c r="J486" s="33">
        <v>0</v>
      </c>
      <c r="K486" s="33">
        <v>0</v>
      </c>
      <c r="L486" s="40" t="b">
        <v>0</v>
      </c>
      <c r="M486" s="33">
        <v>0</v>
      </c>
      <c r="N486" s="33">
        <v>0</v>
      </c>
      <c r="O486" s="52">
        <v>0</v>
      </c>
      <c r="P486" s="33">
        <v>0</v>
      </c>
      <c r="Q486" s="33">
        <v>0</v>
      </c>
      <c r="R486" s="33"/>
      <c r="S486" s="33"/>
      <c r="T486" s="33" t="s">
        <v>616</v>
      </c>
      <c r="U486" s="41" t="str">
        <f>IFERROR(HYPERLINK("#'Main'!B"&amp;MATCH(TRIM(A486),Main!B:B,0),"Open"),HYPERLINK("#'Main'!B1","Open"))</f>
        <v>Open</v>
      </c>
      <c r="V486" s="41"/>
    </row>
    <row r="487" spans="1:22" ht="30" customHeight="1" x14ac:dyDescent="0.25">
      <c r="A487" s="51" t="s">
        <v>212</v>
      </c>
      <c r="B487" s="42" t="s">
        <v>614</v>
      </c>
      <c r="C487" s="44" t="s">
        <v>210</v>
      </c>
      <c r="D487" s="42" t="s">
        <v>292</v>
      </c>
      <c r="E487" s="52">
        <v>200</v>
      </c>
      <c r="F487" s="42" t="b">
        <v>1</v>
      </c>
      <c r="G487" s="42">
        <v>0</v>
      </c>
      <c r="H487" s="52">
        <v>0</v>
      </c>
      <c r="I487" s="42">
        <v>0</v>
      </c>
      <c r="J487" s="42">
        <v>0</v>
      </c>
      <c r="K487" s="42">
        <v>0</v>
      </c>
      <c r="L487" s="46" t="b">
        <v>0</v>
      </c>
      <c r="M487" s="42">
        <v>0</v>
      </c>
      <c r="N487" s="42">
        <v>0</v>
      </c>
      <c r="O487" s="52">
        <v>0</v>
      </c>
      <c r="P487" s="42">
        <v>0</v>
      </c>
      <c r="Q487" s="42">
        <v>0</v>
      </c>
      <c r="R487" s="42"/>
      <c r="S487" s="42"/>
      <c r="T487" s="42" t="s">
        <v>616</v>
      </c>
      <c r="U487" t="str">
        <f>IFERROR(HYPERLINK("#'Main'!B"&amp;MATCH(TRIM(A487),Main!B:B,0),"Open"),HYPERLINK("#'Main'!B1","Open"))</f>
        <v>Open</v>
      </c>
    </row>
    <row r="488" spans="1:22" ht="30" customHeight="1" x14ac:dyDescent="0.25">
      <c r="A488" s="50" t="s">
        <v>212</v>
      </c>
      <c r="B488" s="33" t="s">
        <v>614</v>
      </c>
      <c r="C488" s="37" t="s">
        <v>215</v>
      </c>
      <c r="D488" s="33" t="s">
        <v>783</v>
      </c>
      <c r="E488" s="52">
        <v>200</v>
      </c>
      <c r="F488" s="33" t="b">
        <v>1</v>
      </c>
      <c r="G488" s="33">
        <v>0</v>
      </c>
      <c r="H488" s="52">
        <v>0</v>
      </c>
      <c r="I488" s="33">
        <v>0</v>
      </c>
      <c r="J488" s="33">
        <v>0</v>
      </c>
      <c r="K488" s="33">
        <v>0</v>
      </c>
      <c r="L488" s="40" t="b">
        <v>0</v>
      </c>
      <c r="M488" s="33">
        <v>0</v>
      </c>
      <c r="N488" s="33">
        <v>0</v>
      </c>
      <c r="O488" s="52">
        <v>0</v>
      </c>
      <c r="P488" s="33">
        <v>0</v>
      </c>
      <c r="Q488" s="33">
        <v>0</v>
      </c>
      <c r="R488" s="33"/>
      <c r="S488" s="33"/>
      <c r="T488" s="33" t="s">
        <v>616</v>
      </c>
      <c r="U488" s="41" t="str">
        <f>IFERROR(HYPERLINK("#'Main'!B"&amp;MATCH(TRIM(A488),Main!B:B,0),"Open"),HYPERLINK("#'Main'!B1","Open"))</f>
        <v>Open</v>
      </c>
      <c r="V488" s="41"/>
    </row>
    <row r="489" spans="1:22" ht="30" customHeight="1" x14ac:dyDescent="0.25">
      <c r="A489" s="51" t="s">
        <v>212</v>
      </c>
      <c r="B489" s="42" t="s">
        <v>614</v>
      </c>
      <c r="C489" s="44" t="s">
        <v>214</v>
      </c>
      <c r="D489" s="42" t="s">
        <v>784</v>
      </c>
      <c r="E489" s="52">
        <v>200</v>
      </c>
      <c r="F489" s="42" t="b">
        <v>1</v>
      </c>
      <c r="G489" s="42">
        <v>0</v>
      </c>
      <c r="H489" s="52">
        <v>0</v>
      </c>
      <c r="I489" s="42">
        <v>0</v>
      </c>
      <c r="J489" s="42">
        <v>0</v>
      </c>
      <c r="K489" s="42">
        <v>0</v>
      </c>
      <c r="L489" s="46" t="b">
        <v>0</v>
      </c>
      <c r="M489" s="42">
        <v>0</v>
      </c>
      <c r="N489" s="42">
        <v>0</v>
      </c>
      <c r="O489" s="52">
        <v>0</v>
      </c>
      <c r="P489" s="42">
        <v>0</v>
      </c>
      <c r="Q489" s="42">
        <v>0</v>
      </c>
      <c r="R489" s="42"/>
      <c r="S489" s="42"/>
      <c r="T489" s="42" t="s">
        <v>616</v>
      </c>
      <c r="U489" t="str">
        <f>IFERROR(HYPERLINK("#'Main'!B"&amp;MATCH(TRIM(A489),Main!B:B,0),"Open"),HYPERLINK("#'Main'!B1","Open"))</f>
        <v>Open</v>
      </c>
    </row>
    <row r="490" spans="1:22" ht="30" customHeight="1" x14ac:dyDescent="0.25">
      <c r="A490" s="50" t="s">
        <v>212</v>
      </c>
      <c r="B490" s="33" t="s">
        <v>614</v>
      </c>
      <c r="C490" s="37" t="s">
        <v>209</v>
      </c>
      <c r="D490" s="33" t="s">
        <v>785</v>
      </c>
      <c r="E490" s="52">
        <v>200</v>
      </c>
      <c r="F490" s="33" t="b">
        <v>1</v>
      </c>
      <c r="G490" s="33">
        <v>0</v>
      </c>
      <c r="H490" s="52">
        <v>0</v>
      </c>
      <c r="I490" s="33">
        <v>0</v>
      </c>
      <c r="J490" s="33">
        <v>0</v>
      </c>
      <c r="K490" s="33">
        <v>0</v>
      </c>
      <c r="L490" s="40" t="b">
        <v>0</v>
      </c>
      <c r="M490" s="33">
        <v>0</v>
      </c>
      <c r="N490" s="33">
        <v>0</v>
      </c>
      <c r="O490" s="52">
        <v>0</v>
      </c>
      <c r="P490" s="33">
        <v>0</v>
      </c>
      <c r="Q490" s="33">
        <v>0</v>
      </c>
      <c r="R490" s="33"/>
      <c r="S490" s="33"/>
      <c r="T490" s="33" t="s">
        <v>616</v>
      </c>
      <c r="U490" s="41" t="str">
        <f>IFERROR(HYPERLINK("#'Main'!B"&amp;MATCH(TRIM(A490),Main!B:B,0),"Open"),HYPERLINK("#'Main'!B1","Open"))</f>
        <v>Open</v>
      </c>
      <c r="V490" s="41"/>
    </row>
    <row r="491" spans="1:22" ht="30" customHeight="1" x14ac:dyDescent="0.25">
      <c r="A491" s="51" t="s">
        <v>212</v>
      </c>
      <c r="B491" s="42" t="s">
        <v>614</v>
      </c>
      <c r="C491" s="44" t="s">
        <v>629</v>
      </c>
      <c r="D491" s="42" t="s">
        <v>630</v>
      </c>
      <c r="E491" s="52">
        <v>200</v>
      </c>
      <c r="F491" s="42" t="b">
        <v>1</v>
      </c>
      <c r="G491" s="42">
        <v>0</v>
      </c>
      <c r="H491" s="52">
        <v>0</v>
      </c>
      <c r="I491" s="42">
        <v>0</v>
      </c>
      <c r="J491" s="42">
        <v>0</v>
      </c>
      <c r="K491" s="42">
        <v>0</v>
      </c>
      <c r="L491" s="46" t="b">
        <v>0</v>
      </c>
      <c r="M491" s="42">
        <v>0</v>
      </c>
      <c r="N491" s="42">
        <v>0</v>
      </c>
      <c r="O491" s="52">
        <v>0</v>
      </c>
      <c r="P491" s="42">
        <v>0</v>
      </c>
      <c r="Q491" s="42">
        <v>0</v>
      </c>
      <c r="R491" s="42"/>
      <c r="S491" s="42"/>
      <c r="T491" s="42" t="s">
        <v>616</v>
      </c>
      <c r="U491" t="str">
        <f>IFERROR(HYPERLINK("#'Main'!B"&amp;MATCH(TRIM(A491),Main!B:B,0),"Open"),HYPERLINK("#'Main'!B1","Open"))</f>
        <v>Open</v>
      </c>
    </row>
    <row r="492" spans="1:22" ht="30" customHeight="1" x14ac:dyDescent="0.25">
      <c r="A492" s="50" t="s">
        <v>212</v>
      </c>
      <c r="B492" s="33" t="s">
        <v>614</v>
      </c>
      <c r="C492" s="37" t="s">
        <v>631</v>
      </c>
      <c r="D492" s="33"/>
      <c r="E492" s="52">
        <v>200</v>
      </c>
      <c r="F492" s="33" t="b">
        <v>1</v>
      </c>
      <c r="G492" s="33">
        <v>0</v>
      </c>
      <c r="H492" s="52">
        <v>0</v>
      </c>
      <c r="I492" s="33">
        <v>0</v>
      </c>
      <c r="J492" s="33">
        <v>0</v>
      </c>
      <c r="K492" s="33">
        <v>0</v>
      </c>
      <c r="L492" s="40" t="b">
        <v>0</v>
      </c>
      <c r="M492" s="33">
        <v>0</v>
      </c>
      <c r="N492" s="33">
        <v>0</v>
      </c>
      <c r="O492" s="52">
        <v>0</v>
      </c>
      <c r="P492" s="33">
        <v>0</v>
      </c>
      <c r="Q492" s="33">
        <v>0</v>
      </c>
      <c r="R492" s="33"/>
      <c r="S492" s="33"/>
      <c r="T492" s="33" t="s">
        <v>616</v>
      </c>
      <c r="U492" s="41" t="str">
        <f>IFERROR(HYPERLINK("#'Main'!B"&amp;MATCH(TRIM(A492),Main!B:B,0),"Open"),HYPERLINK("#'Main'!B1","Open"))</f>
        <v>Open</v>
      </c>
      <c r="V492" s="41"/>
    </row>
    <row r="493" spans="1:22" ht="30" customHeight="1" x14ac:dyDescent="0.25">
      <c r="A493" s="51" t="s">
        <v>212</v>
      </c>
      <c r="B493" s="42" t="s">
        <v>614</v>
      </c>
      <c r="C493" s="44" t="s">
        <v>632</v>
      </c>
      <c r="D493" s="42"/>
      <c r="E493" s="52">
        <v>200</v>
      </c>
      <c r="F493" s="42" t="b">
        <v>1</v>
      </c>
      <c r="G493" s="42">
        <v>0</v>
      </c>
      <c r="H493" s="52">
        <v>0</v>
      </c>
      <c r="I493" s="42">
        <v>0</v>
      </c>
      <c r="J493" s="42">
        <v>0</v>
      </c>
      <c r="K493" s="42">
        <v>0</v>
      </c>
      <c r="L493" s="46" t="b">
        <v>0</v>
      </c>
      <c r="M493" s="42">
        <v>0</v>
      </c>
      <c r="N493" s="42">
        <v>0</v>
      </c>
      <c r="O493" s="52">
        <v>0</v>
      </c>
      <c r="P493" s="42">
        <v>0</v>
      </c>
      <c r="Q493" s="42">
        <v>0</v>
      </c>
      <c r="R493" s="42"/>
      <c r="S493" s="42"/>
      <c r="T493" s="42" t="s">
        <v>616</v>
      </c>
      <c r="U493" t="str">
        <f>IFERROR(HYPERLINK("#'Main'!B"&amp;MATCH(TRIM(A493),Main!B:B,0),"Open"),HYPERLINK("#'Main'!B1","Open"))</f>
        <v>Open</v>
      </c>
    </row>
    <row r="494" spans="1:22" ht="30" customHeight="1" x14ac:dyDescent="0.25">
      <c r="A494" s="50" t="s">
        <v>212</v>
      </c>
      <c r="B494" s="33" t="s">
        <v>614</v>
      </c>
      <c r="C494" s="37" t="s">
        <v>634</v>
      </c>
      <c r="D494" s="33" t="s">
        <v>666</v>
      </c>
      <c r="E494" s="52">
        <v>200</v>
      </c>
      <c r="F494" s="33" t="b">
        <v>1</v>
      </c>
      <c r="G494" s="33">
        <v>0</v>
      </c>
      <c r="H494" s="52">
        <v>0</v>
      </c>
      <c r="I494" s="33">
        <v>0</v>
      </c>
      <c r="J494" s="33">
        <v>0</v>
      </c>
      <c r="K494" s="33">
        <v>0</v>
      </c>
      <c r="L494" s="40" t="b">
        <v>0</v>
      </c>
      <c r="M494" s="33">
        <v>0</v>
      </c>
      <c r="N494" s="33">
        <v>0</v>
      </c>
      <c r="O494" s="52">
        <v>0</v>
      </c>
      <c r="P494" s="33">
        <v>0</v>
      </c>
      <c r="Q494" s="33">
        <v>0</v>
      </c>
      <c r="R494" s="33"/>
      <c r="S494" s="33"/>
      <c r="T494" s="33" t="s">
        <v>616</v>
      </c>
      <c r="U494" s="41" t="str">
        <f>IFERROR(HYPERLINK("#'Main'!B"&amp;MATCH(TRIM(A494),Main!B:B,0),"Open"),HYPERLINK("#'Main'!B1","Open"))</f>
        <v>Open</v>
      </c>
      <c r="V494" s="41"/>
    </row>
    <row r="495" spans="1:22" ht="30" customHeight="1" x14ac:dyDescent="0.25">
      <c r="A495" s="51" t="s">
        <v>212</v>
      </c>
      <c r="B495" s="42" t="s">
        <v>614</v>
      </c>
      <c r="C495" s="44" t="s">
        <v>636</v>
      </c>
      <c r="D495" s="42" t="s">
        <v>637</v>
      </c>
      <c r="E495" s="34">
        <v>404</v>
      </c>
      <c r="F495" s="42" t="b">
        <v>0</v>
      </c>
      <c r="G495" s="42">
        <v>0</v>
      </c>
      <c r="H495" s="52">
        <v>0</v>
      </c>
      <c r="I495" s="42">
        <v>0</v>
      </c>
      <c r="J495" s="42">
        <v>0</v>
      </c>
      <c r="K495" s="42">
        <v>0</v>
      </c>
      <c r="L495" s="46" t="b">
        <v>0</v>
      </c>
      <c r="M495" s="42">
        <v>0</v>
      </c>
      <c r="N495" s="42">
        <v>0</v>
      </c>
      <c r="O495" s="52">
        <v>0</v>
      </c>
      <c r="P495" s="42">
        <v>0</v>
      </c>
      <c r="Q495" s="42">
        <v>0</v>
      </c>
      <c r="R495" s="42"/>
      <c r="S495" s="42"/>
      <c r="T495" s="42" t="s">
        <v>616</v>
      </c>
      <c r="U495" t="str">
        <f>IFERROR(HYPERLINK("#'Main'!B"&amp;MATCH(TRIM(A495),Main!B:B,0),"Open"),HYPERLINK("#'Main'!B1","Open"))</f>
        <v>Open</v>
      </c>
    </row>
    <row r="496" spans="1:22" ht="30" customHeight="1" x14ac:dyDescent="0.25">
      <c r="A496" s="50" t="s">
        <v>212</v>
      </c>
      <c r="B496" s="33" t="s">
        <v>614</v>
      </c>
      <c r="C496" s="37" t="s">
        <v>636</v>
      </c>
      <c r="D496" s="33" t="s">
        <v>638</v>
      </c>
      <c r="E496" s="34">
        <v>404</v>
      </c>
      <c r="F496" s="33" t="b">
        <v>0</v>
      </c>
      <c r="G496" s="33">
        <v>0</v>
      </c>
      <c r="H496" s="52">
        <v>0</v>
      </c>
      <c r="I496" s="33">
        <v>0</v>
      </c>
      <c r="J496" s="33">
        <v>0</v>
      </c>
      <c r="K496" s="33">
        <v>0</v>
      </c>
      <c r="L496" s="40" t="b">
        <v>0</v>
      </c>
      <c r="M496" s="33">
        <v>0</v>
      </c>
      <c r="N496" s="33">
        <v>0</v>
      </c>
      <c r="O496" s="52">
        <v>0</v>
      </c>
      <c r="P496" s="33">
        <v>0</v>
      </c>
      <c r="Q496" s="33">
        <v>0</v>
      </c>
      <c r="R496" s="33"/>
      <c r="S496" s="33"/>
      <c r="T496" s="33" t="s">
        <v>616</v>
      </c>
      <c r="U496" s="41" t="str">
        <f>IFERROR(HYPERLINK("#'Main'!B"&amp;MATCH(TRIM(A496),Main!B:B,0),"Open"),HYPERLINK("#'Main'!B1","Open"))</f>
        <v>Open</v>
      </c>
      <c r="V496" s="41"/>
    </row>
    <row r="497" spans="1:22" ht="30" customHeight="1" x14ac:dyDescent="0.25">
      <c r="A497" s="51" t="s">
        <v>213</v>
      </c>
      <c r="B497" s="42" t="s">
        <v>614</v>
      </c>
      <c r="C497" s="44" t="s">
        <v>176</v>
      </c>
      <c r="D497" s="42" t="s">
        <v>781</v>
      </c>
      <c r="E497" s="52">
        <v>200</v>
      </c>
      <c r="F497" s="42" t="b">
        <v>1</v>
      </c>
      <c r="G497" s="42">
        <v>0</v>
      </c>
      <c r="H497" s="52">
        <v>0</v>
      </c>
      <c r="I497" s="42">
        <v>0</v>
      </c>
      <c r="J497" s="42">
        <v>0</v>
      </c>
      <c r="K497" s="42">
        <v>0</v>
      </c>
      <c r="L497" s="46" t="b">
        <v>0</v>
      </c>
      <c r="M497" s="42">
        <v>0</v>
      </c>
      <c r="N497" s="42">
        <v>0</v>
      </c>
      <c r="O497" s="52">
        <v>0</v>
      </c>
      <c r="P497" s="42">
        <v>0</v>
      </c>
      <c r="Q497" s="42">
        <v>0</v>
      </c>
      <c r="R497" s="42"/>
      <c r="S497" s="42"/>
      <c r="T497" s="42" t="s">
        <v>616</v>
      </c>
      <c r="U497" t="str">
        <f>IFERROR(HYPERLINK("#'Main'!B"&amp;MATCH(TRIM(A497),Main!B:B,0),"Open"),HYPERLINK("#'Main'!B1","Open"))</f>
        <v>Open</v>
      </c>
    </row>
    <row r="498" spans="1:22" ht="30" customHeight="1" x14ac:dyDescent="0.25">
      <c r="A498" s="50" t="s">
        <v>213</v>
      </c>
      <c r="B498" s="33" t="s">
        <v>614</v>
      </c>
      <c r="C498" s="37" t="s">
        <v>209</v>
      </c>
      <c r="D498" s="33" t="s">
        <v>782</v>
      </c>
      <c r="E498" s="52">
        <v>200</v>
      </c>
      <c r="F498" s="33" t="b">
        <v>1</v>
      </c>
      <c r="G498" s="33">
        <v>0</v>
      </c>
      <c r="H498" s="52">
        <v>0</v>
      </c>
      <c r="I498" s="33">
        <v>0</v>
      </c>
      <c r="J498" s="33">
        <v>0</v>
      </c>
      <c r="K498" s="33">
        <v>0</v>
      </c>
      <c r="L498" s="40" t="b">
        <v>0</v>
      </c>
      <c r="M498" s="33">
        <v>0</v>
      </c>
      <c r="N498" s="33">
        <v>0</v>
      </c>
      <c r="O498" s="52">
        <v>0</v>
      </c>
      <c r="P498" s="33">
        <v>0</v>
      </c>
      <c r="Q498" s="33">
        <v>0</v>
      </c>
      <c r="R498" s="33"/>
      <c r="S498" s="33"/>
      <c r="T498" s="33" t="s">
        <v>616</v>
      </c>
      <c r="U498" s="41" t="str">
        <f>IFERROR(HYPERLINK("#'Main'!B"&amp;MATCH(TRIM(A498),Main!B:B,0),"Open"),HYPERLINK("#'Main'!B1","Open"))</f>
        <v>Open</v>
      </c>
      <c r="V498" s="41"/>
    </row>
    <row r="499" spans="1:22" ht="30" customHeight="1" x14ac:dyDescent="0.25">
      <c r="A499" s="51" t="s">
        <v>213</v>
      </c>
      <c r="B499" s="42" t="s">
        <v>614</v>
      </c>
      <c r="C499" s="44" t="s">
        <v>217</v>
      </c>
      <c r="D499" s="42" t="s">
        <v>321</v>
      </c>
      <c r="E499" s="52">
        <v>200</v>
      </c>
      <c r="F499" s="42" t="b">
        <v>1</v>
      </c>
      <c r="G499" s="42">
        <v>0</v>
      </c>
      <c r="H499" s="52">
        <v>0</v>
      </c>
      <c r="I499" s="42">
        <v>0</v>
      </c>
      <c r="J499" s="42">
        <v>0</v>
      </c>
      <c r="K499" s="42">
        <v>0</v>
      </c>
      <c r="L499" s="46" t="b">
        <v>0</v>
      </c>
      <c r="M499" s="42">
        <v>0</v>
      </c>
      <c r="N499" s="42">
        <v>0</v>
      </c>
      <c r="O499" s="52">
        <v>0</v>
      </c>
      <c r="P499" s="42">
        <v>0</v>
      </c>
      <c r="Q499" s="42">
        <v>0</v>
      </c>
      <c r="R499" s="42"/>
      <c r="S499" s="42"/>
      <c r="T499" s="42" t="s">
        <v>616</v>
      </c>
      <c r="U499" t="str">
        <f>IFERROR(HYPERLINK("#'Main'!B"&amp;MATCH(TRIM(A499),Main!B:B,0),"Open"),HYPERLINK("#'Main'!B1","Open"))</f>
        <v>Open</v>
      </c>
    </row>
    <row r="500" spans="1:22" ht="30" customHeight="1" x14ac:dyDescent="0.25">
      <c r="A500" s="50" t="s">
        <v>213</v>
      </c>
      <c r="B500" s="33" t="s">
        <v>614</v>
      </c>
      <c r="C500" s="37" t="s">
        <v>219</v>
      </c>
      <c r="D500" s="33" t="s">
        <v>327</v>
      </c>
      <c r="E500" s="52">
        <v>200</v>
      </c>
      <c r="F500" s="33" t="b">
        <v>1</v>
      </c>
      <c r="G500" s="33">
        <v>0</v>
      </c>
      <c r="H500" s="52">
        <v>0</v>
      </c>
      <c r="I500" s="33">
        <v>0</v>
      </c>
      <c r="J500" s="33">
        <v>0</v>
      </c>
      <c r="K500" s="33">
        <v>0</v>
      </c>
      <c r="L500" s="40" t="b">
        <v>0</v>
      </c>
      <c r="M500" s="33">
        <v>0</v>
      </c>
      <c r="N500" s="33">
        <v>0</v>
      </c>
      <c r="O500" s="52">
        <v>0</v>
      </c>
      <c r="P500" s="33">
        <v>0</v>
      </c>
      <c r="Q500" s="33">
        <v>0</v>
      </c>
      <c r="R500" s="33"/>
      <c r="S500" s="33"/>
      <c r="T500" s="33" t="s">
        <v>616</v>
      </c>
      <c r="U500" s="41" t="str">
        <f>IFERROR(HYPERLINK("#'Main'!B"&amp;MATCH(TRIM(A500),Main!B:B,0),"Open"),HYPERLINK("#'Main'!B1","Open"))</f>
        <v>Open</v>
      </c>
      <c r="V500" s="41"/>
    </row>
    <row r="501" spans="1:22" ht="30" customHeight="1" x14ac:dyDescent="0.25">
      <c r="A501" s="51" t="s">
        <v>213</v>
      </c>
      <c r="B501" s="42" t="s">
        <v>614</v>
      </c>
      <c r="C501" s="44" t="s">
        <v>210</v>
      </c>
      <c r="D501" s="42" t="s">
        <v>292</v>
      </c>
      <c r="E501" s="52">
        <v>200</v>
      </c>
      <c r="F501" s="42" t="b">
        <v>1</v>
      </c>
      <c r="G501" s="42">
        <v>0</v>
      </c>
      <c r="H501" s="52">
        <v>0</v>
      </c>
      <c r="I501" s="42">
        <v>0</v>
      </c>
      <c r="J501" s="42">
        <v>0</v>
      </c>
      <c r="K501" s="42">
        <v>0</v>
      </c>
      <c r="L501" s="46" t="b">
        <v>0</v>
      </c>
      <c r="M501" s="42">
        <v>0</v>
      </c>
      <c r="N501" s="42">
        <v>0</v>
      </c>
      <c r="O501" s="52">
        <v>0</v>
      </c>
      <c r="P501" s="42">
        <v>0</v>
      </c>
      <c r="Q501" s="42">
        <v>0</v>
      </c>
      <c r="R501" s="42"/>
      <c r="S501" s="42"/>
      <c r="T501" s="42" t="s">
        <v>616</v>
      </c>
      <c r="U501" t="str">
        <f>IFERROR(HYPERLINK("#'Main'!B"&amp;MATCH(TRIM(A501),Main!B:B,0),"Open"),HYPERLINK("#'Main'!B1","Open"))</f>
        <v>Open</v>
      </c>
    </row>
    <row r="502" spans="1:22" ht="30" customHeight="1" x14ac:dyDescent="0.25">
      <c r="A502" s="50" t="s">
        <v>213</v>
      </c>
      <c r="B502" s="33" t="s">
        <v>614</v>
      </c>
      <c r="C502" s="37" t="s">
        <v>215</v>
      </c>
      <c r="D502" s="33" t="s">
        <v>783</v>
      </c>
      <c r="E502" s="52">
        <v>200</v>
      </c>
      <c r="F502" s="33" t="b">
        <v>1</v>
      </c>
      <c r="G502" s="33">
        <v>0</v>
      </c>
      <c r="H502" s="52">
        <v>0</v>
      </c>
      <c r="I502" s="33">
        <v>0</v>
      </c>
      <c r="J502" s="33">
        <v>0</v>
      </c>
      <c r="K502" s="33">
        <v>0</v>
      </c>
      <c r="L502" s="40" t="b">
        <v>0</v>
      </c>
      <c r="M502" s="33">
        <v>0</v>
      </c>
      <c r="N502" s="33">
        <v>0</v>
      </c>
      <c r="O502" s="52">
        <v>0</v>
      </c>
      <c r="P502" s="33">
        <v>0</v>
      </c>
      <c r="Q502" s="33">
        <v>0</v>
      </c>
      <c r="R502" s="33"/>
      <c r="S502" s="33"/>
      <c r="T502" s="33" t="s">
        <v>616</v>
      </c>
      <c r="U502" s="41" t="str">
        <f>IFERROR(HYPERLINK("#'Main'!B"&amp;MATCH(TRIM(A502),Main!B:B,0),"Open"),HYPERLINK("#'Main'!B1","Open"))</f>
        <v>Open</v>
      </c>
      <c r="V502" s="41"/>
    </row>
    <row r="503" spans="1:22" ht="30" customHeight="1" x14ac:dyDescent="0.25">
      <c r="A503" s="51" t="s">
        <v>213</v>
      </c>
      <c r="B503" s="42" t="s">
        <v>614</v>
      </c>
      <c r="C503" s="44" t="s">
        <v>214</v>
      </c>
      <c r="D503" s="42" t="s">
        <v>784</v>
      </c>
      <c r="E503" s="52">
        <v>200</v>
      </c>
      <c r="F503" s="42" t="b">
        <v>1</v>
      </c>
      <c r="G503" s="42">
        <v>0</v>
      </c>
      <c r="H503" s="52">
        <v>0</v>
      </c>
      <c r="I503" s="42">
        <v>0</v>
      </c>
      <c r="J503" s="42">
        <v>0</v>
      </c>
      <c r="K503" s="42">
        <v>0</v>
      </c>
      <c r="L503" s="46" t="b">
        <v>0</v>
      </c>
      <c r="M503" s="42">
        <v>0</v>
      </c>
      <c r="N503" s="42">
        <v>0</v>
      </c>
      <c r="O503" s="52">
        <v>0</v>
      </c>
      <c r="P503" s="42">
        <v>0</v>
      </c>
      <c r="Q503" s="42">
        <v>0</v>
      </c>
      <c r="R503" s="42"/>
      <c r="S503" s="42"/>
      <c r="T503" s="42" t="s">
        <v>616</v>
      </c>
      <c r="U503" t="str">
        <f>IFERROR(HYPERLINK("#'Main'!B"&amp;MATCH(TRIM(A503),Main!B:B,0),"Open"),HYPERLINK("#'Main'!B1","Open"))</f>
        <v>Open</v>
      </c>
    </row>
    <row r="504" spans="1:22" ht="30" customHeight="1" x14ac:dyDescent="0.25">
      <c r="A504" s="50" t="s">
        <v>213</v>
      </c>
      <c r="B504" s="33" t="s">
        <v>614</v>
      </c>
      <c r="C504" s="37" t="s">
        <v>176</v>
      </c>
      <c r="D504" s="33" t="s">
        <v>781</v>
      </c>
      <c r="E504" s="52">
        <v>200</v>
      </c>
      <c r="F504" s="33" t="b">
        <v>1</v>
      </c>
      <c r="G504" s="33">
        <v>0</v>
      </c>
      <c r="H504" s="52">
        <v>0</v>
      </c>
      <c r="I504" s="33">
        <v>0</v>
      </c>
      <c r="J504" s="33">
        <v>0</v>
      </c>
      <c r="K504" s="33">
        <v>0</v>
      </c>
      <c r="L504" s="40" t="b">
        <v>0</v>
      </c>
      <c r="M504" s="33">
        <v>0</v>
      </c>
      <c r="N504" s="33">
        <v>0</v>
      </c>
      <c r="O504" s="52">
        <v>0</v>
      </c>
      <c r="P504" s="33">
        <v>0</v>
      </c>
      <c r="Q504" s="33">
        <v>0</v>
      </c>
      <c r="R504" s="33"/>
      <c r="S504" s="33"/>
      <c r="T504" s="33" t="s">
        <v>616</v>
      </c>
      <c r="U504" s="41" t="str">
        <f>IFERROR(HYPERLINK("#'Main'!B"&amp;MATCH(TRIM(A504),Main!B:B,0),"Open"),HYPERLINK("#'Main'!B1","Open"))</f>
        <v>Open</v>
      </c>
      <c r="V504" s="41"/>
    </row>
    <row r="505" spans="1:22" ht="30" customHeight="1" x14ac:dyDescent="0.25">
      <c r="A505" s="51" t="s">
        <v>213</v>
      </c>
      <c r="B505" s="42" t="s">
        <v>614</v>
      </c>
      <c r="C505" s="44" t="s">
        <v>209</v>
      </c>
      <c r="D505" s="42" t="s">
        <v>782</v>
      </c>
      <c r="E505" s="52">
        <v>200</v>
      </c>
      <c r="F505" s="42" t="b">
        <v>1</v>
      </c>
      <c r="G505" s="42">
        <v>0</v>
      </c>
      <c r="H505" s="52">
        <v>0</v>
      </c>
      <c r="I505" s="42">
        <v>0</v>
      </c>
      <c r="J505" s="42">
        <v>0</v>
      </c>
      <c r="K505" s="42">
        <v>0</v>
      </c>
      <c r="L505" s="46" t="b">
        <v>0</v>
      </c>
      <c r="M505" s="42">
        <v>0</v>
      </c>
      <c r="N505" s="42">
        <v>0</v>
      </c>
      <c r="O505" s="52">
        <v>0</v>
      </c>
      <c r="P505" s="42">
        <v>0</v>
      </c>
      <c r="Q505" s="42">
        <v>0</v>
      </c>
      <c r="R505" s="42"/>
      <c r="S505" s="42"/>
      <c r="T505" s="42" t="s">
        <v>616</v>
      </c>
      <c r="U505" t="str">
        <f>IFERROR(HYPERLINK("#'Main'!B"&amp;MATCH(TRIM(A505),Main!B:B,0),"Open"),HYPERLINK("#'Main'!B1","Open"))</f>
        <v>Open</v>
      </c>
    </row>
    <row r="506" spans="1:22" ht="30" customHeight="1" x14ac:dyDescent="0.25">
      <c r="A506" s="50" t="s">
        <v>213</v>
      </c>
      <c r="B506" s="33" t="s">
        <v>614</v>
      </c>
      <c r="C506" s="37" t="s">
        <v>217</v>
      </c>
      <c r="D506" s="33" t="s">
        <v>321</v>
      </c>
      <c r="E506" s="52">
        <v>200</v>
      </c>
      <c r="F506" s="33" t="b">
        <v>1</v>
      </c>
      <c r="G506" s="33">
        <v>0</v>
      </c>
      <c r="H506" s="52">
        <v>0</v>
      </c>
      <c r="I506" s="33">
        <v>0</v>
      </c>
      <c r="J506" s="33">
        <v>0</v>
      </c>
      <c r="K506" s="33">
        <v>0</v>
      </c>
      <c r="L506" s="40" t="b">
        <v>0</v>
      </c>
      <c r="M506" s="33">
        <v>0</v>
      </c>
      <c r="N506" s="33">
        <v>0</v>
      </c>
      <c r="O506" s="52">
        <v>0</v>
      </c>
      <c r="P506" s="33">
        <v>0</v>
      </c>
      <c r="Q506" s="33">
        <v>0</v>
      </c>
      <c r="R506" s="33"/>
      <c r="S506" s="33"/>
      <c r="T506" s="33" t="s">
        <v>616</v>
      </c>
      <c r="U506" s="41" t="str">
        <f>IFERROR(HYPERLINK("#'Main'!B"&amp;MATCH(TRIM(A506),Main!B:B,0),"Open"),HYPERLINK("#'Main'!B1","Open"))</f>
        <v>Open</v>
      </c>
      <c r="V506" s="41"/>
    </row>
    <row r="507" spans="1:22" ht="30" customHeight="1" x14ac:dyDescent="0.25">
      <c r="A507" s="51" t="s">
        <v>213</v>
      </c>
      <c r="B507" s="42" t="s">
        <v>614</v>
      </c>
      <c r="C507" s="44" t="s">
        <v>219</v>
      </c>
      <c r="D507" s="42" t="s">
        <v>327</v>
      </c>
      <c r="E507" s="52">
        <v>200</v>
      </c>
      <c r="F507" s="42" t="b">
        <v>1</v>
      </c>
      <c r="G507" s="42">
        <v>0</v>
      </c>
      <c r="H507" s="52">
        <v>0</v>
      </c>
      <c r="I507" s="42">
        <v>0</v>
      </c>
      <c r="J507" s="42">
        <v>0</v>
      </c>
      <c r="K507" s="42">
        <v>0</v>
      </c>
      <c r="L507" s="46" t="b">
        <v>0</v>
      </c>
      <c r="M507" s="42">
        <v>0</v>
      </c>
      <c r="N507" s="42">
        <v>0</v>
      </c>
      <c r="O507" s="52">
        <v>0</v>
      </c>
      <c r="P507" s="42">
        <v>0</v>
      </c>
      <c r="Q507" s="42">
        <v>0</v>
      </c>
      <c r="R507" s="42"/>
      <c r="S507" s="42"/>
      <c r="T507" s="42" t="s">
        <v>616</v>
      </c>
      <c r="U507" t="str">
        <f>IFERROR(HYPERLINK("#'Main'!B"&amp;MATCH(TRIM(A507),Main!B:B,0),"Open"),HYPERLINK("#'Main'!B1","Open"))</f>
        <v>Open</v>
      </c>
    </row>
    <row r="508" spans="1:22" ht="30" customHeight="1" x14ac:dyDescent="0.25">
      <c r="A508" s="50" t="s">
        <v>213</v>
      </c>
      <c r="B508" s="33" t="s">
        <v>614</v>
      </c>
      <c r="C508" s="37" t="s">
        <v>210</v>
      </c>
      <c r="D508" s="33" t="s">
        <v>292</v>
      </c>
      <c r="E508" s="52">
        <v>200</v>
      </c>
      <c r="F508" s="33" t="b">
        <v>1</v>
      </c>
      <c r="G508" s="33">
        <v>0</v>
      </c>
      <c r="H508" s="52">
        <v>0</v>
      </c>
      <c r="I508" s="33">
        <v>0</v>
      </c>
      <c r="J508" s="33">
        <v>0</v>
      </c>
      <c r="K508" s="33">
        <v>0</v>
      </c>
      <c r="L508" s="40" t="b">
        <v>0</v>
      </c>
      <c r="M508" s="33">
        <v>0</v>
      </c>
      <c r="N508" s="33">
        <v>0</v>
      </c>
      <c r="O508" s="52">
        <v>0</v>
      </c>
      <c r="P508" s="33">
        <v>0</v>
      </c>
      <c r="Q508" s="33">
        <v>0</v>
      </c>
      <c r="R508" s="33"/>
      <c r="S508" s="33"/>
      <c r="T508" s="33" t="s">
        <v>616</v>
      </c>
      <c r="U508" s="41" t="str">
        <f>IFERROR(HYPERLINK("#'Main'!B"&amp;MATCH(TRIM(A508),Main!B:B,0),"Open"),HYPERLINK("#'Main'!B1","Open"))</f>
        <v>Open</v>
      </c>
      <c r="V508" s="41"/>
    </row>
    <row r="509" spans="1:22" ht="30" customHeight="1" x14ac:dyDescent="0.25">
      <c r="A509" s="51" t="s">
        <v>213</v>
      </c>
      <c r="B509" s="42" t="s">
        <v>614</v>
      </c>
      <c r="C509" s="44" t="s">
        <v>215</v>
      </c>
      <c r="D509" s="42" t="s">
        <v>783</v>
      </c>
      <c r="E509" s="52">
        <v>200</v>
      </c>
      <c r="F509" s="42" t="b">
        <v>1</v>
      </c>
      <c r="G509" s="42">
        <v>0</v>
      </c>
      <c r="H509" s="52">
        <v>0</v>
      </c>
      <c r="I509" s="42">
        <v>0</v>
      </c>
      <c r="J509" s="42">
        <v>0</v>
      </c>
      <c r="K509" s="42">
        <v>0</v>
      </c>
      <c r="L509" s="46" t="b">
        <v>0</v>
      </c>
      <c r="M509" s="42">
        <v>0</v>
      </c>
      <c r="N509" s="42">
        <v>0</v>
      </c>
      <c r="O509" s="52">
        <v>0</v>
      </c>
      <c r="P509" s="42">
        <v>0</v>
      </c>
      <c r="Q509" s="42">
        <v>0</v>
      </c>
      <c r="R509" s="42"/>
      <c r="S509" s="42"/>
      <c r="T509" s="42" t="s">
        <v>616</v>
      </c>
      <c r="U509" t="str">
        <f>IFERROR(HYPERLINK("#'Main'!B"&amp;MATCH(TRIM(A509),Main!B:B,0),"Open"),HYPERLINK("#'Main'!B1","Open"))</f>
        <v>Open</v>
      </c>
    </row>
    <row r="510" spans="1:22" ht="30" customHeight="1" x14ac:dyDescent="0.25">
      <c r="A510" s="50" t="s">
        <v>213</v>
      </c>
      <c r="B510" s="33" t="s">
        <v>614</v>
      </c>
      <c r="C510" s="37" t="s">
        <v>214</v>
      </c>
      <c r="D510" s="33" t="s">
        <v>784</v>
      </c>
      <c r="E510" s="52">
        <v>200</v>
      </c>
      <c r="F510" s="33" t="b">
        <v>1</v>
      </c>
      <c r="G510" s="33">
        <v>0</v>
      </c>
      <c r="H510" s="52">
        <v>0</v>
      </c>
      <c r="I510" s="33">
        <v>0</v>
      </c>
      <c r="J510" s="33">
        <v>0</v>
      </c>
      <c r="K510" s="33">
        <v>0</v>
      </c>
      <c r="L510" s="40" t="b">
        <v>0</v>
      </c>
      <c r="M510" s="33">
        <v>0</v>
      </c>
      <c r="N510" s="33">
        <v>0</v>
      </c>
      <c r="O510" s="52">
        <v>0</v>
      </c>
      <c r="P510" s="33">
        <v>0</v>
      </c>
      <c r="Q510" s="33">
        <v>0</v>
      </c>
      <c r="R510" s="33"/>
      <c r="S510" s="33"/>
      <c r="T510" s="33" t="s">
        <v>616</v>
      </c>
      <c r="U510" s="41" t="str">
        <f>IFERROR(HYPERLINK("#'Main'!B"&amp;MATCH(TRIM(A510),Main!B:B,0),"Open"),HYPERLINK("#'Main'!B1","Open"))</f>
        <v>Open</v>
      </c>
      <c r="V510" s="41"/>
    </row>
    <row r="511" spans="1:22" ht="30" customHeight="1" x14ac:dyDescent="0.25">
      <c r="A511" s="51" t="s">
        <v>213</v>
      </c>
      <c r="B511" s="42" t="s">
        <v>614</v>
      </c>
      <c r="C511" s="44" t="s">
        <v>786</v>
      </c>
      <c r="D511" s="42" t="s">
        <v>692</v>
      </c>
      <c r="E511" s="52">
        <v>200</v>
      </c>
      <c r="F511" s="42" t="b">
        <v>1</v>
      </c>
      <c r="G511" s="42">
        <v>0</v>
      </c>
      <c r="H511" s="52">
        <v>0</v>
      </c>
      <c r="I511" s="42">
        <v>0</v>
      </c>
      <c r="J511" s="42">
        <v>0</v>
      </c>
      <c r="K511" s="42">
        <v>0</v>
      </c>
      <c r="L511" s="46" t="b">
        <v>0</v>
      </c>
      <c r="M511" s="42">
        <v>0</v>
      </c>
      <c r="N511" s="42">
        <v>0</v>
      </c>
      <c r="O511" s="52">
        <v>0</v>
      </c>
      <c r="P511" s="42">
        <v>0</v>
      </c>
      <c r="Q511" s="42">
        <v>0</v>
      </c>
      <c r="R511" s="42"/>
      <c r="S511" s="42"/>
      <c r="T511" s="42" t="s">
        <v>616</v>
      </c>
      <c r="U511" t="str">
        <f>IFERROR(HYPERLINK("#'Main'!B"&amp;MATCH(TRIM(A511),Main!B:B,0),"Open"),HYPERLINK("#'Main'!B1","Open"))</f>
        <v>Open</v>
      </c>
    </row>
    <row r="512" spans="1:22" ht="30" customHeight="1" x14ac:dyDescent="0.25">
      <c r="A512" s="50" t="s">
        <v>213</v>
      </c>
      <c r="B512" s="33" t="s">
        <v>614</v>
      </c>
      <c r="C512" s="37" t="s">
        <v>634</v>
      </c>
      <c r="D512" s="33" t="s">
        <v>787</v>
      </c>
      <c r="E512" s="52">
        <v>200</v>
      </c>
      <c r="F512" s="33" t="b">
        <v>1</v>
      </c>
      <c r="G512" s="33">
        <v>0</v>
      </c>
      <c r="H512" s="52">
        <v>0</v>
      </c>
      <c r="I512" s="33">
        <v>0</v>
      </c>
      <c r="J512" s="33">
        <v>0</v>
      </c>
      <c r="K512" s="33">
        <v>0</v>
      </c>
      <c r="L512" s="40" t="b">
        <v>0</v>
      </c>
      <c r="M512" s="33">
        <v>0</v>
      </c>
      <c r="N512" s="33">
        <v>0</v>
      </c>
      <c r="O512" s="52">
        <v>0</v>
      </c>
      <c r="P512" s="33">
        <v>0</v>
      </c>
      <c r="Q512" s="33">
        <v>0</v>
      </c>
      <c r="R512" s="33"/>
      <c r="S512" s="33"/>
      <c r="T512" s="33" t="s">
        <v>616</v>
      </c>
      <c r="U512" s="41" t="str">
        <f>IFERROR(HYPERLINK("#'Main'!B"&amp;MATCH(TRIM(A512),Main!B:B,0),"Open"),HYPERLINK("#'Main'!B1","Open"))</f>
        <v>Open</v>
      </c>
      <c r="V512" s="41"/>
    </row>
    <row r="513" spans="1:22" ht="30" customHeight="1" x14ac:dyDescent="0.25">
      <c r="A513" s="51" t="s">
        <v>213</v>
      </c>
      <c r="B513" s="42" t="s">
        <v>614</v>
      </c>
      <c r="C513" s="44" t="s">
        <v>629</v>
      </c>
      <c r="D513" s="42" t="s">
        <v>630</v>
      </c>
      <c r="E513" s="52">
        <v>200</v>
      </c>
      <c r="F513" s="42" t="b">
        <v>1</v>
      </c>
      <c r="G513" s="42">
        <v>0</v>
      </c>
      <c r="H513" s="52">
        <v>0</v>
      </c>
      <c r="I513" s="42">
        <v>0</v>
      </c>
      <c r="J513" s="42">
        <v>0</v>
      </c>
      <c r="K513" s="42">
        <v>0</v>
      </c>
      <c r="L513" s="46" t="b">
        <v>0</v>
      </c>
      <c r="M513" s="42">
        <v>0</v>
      </c>
      <c r="N513" s="42">
        <v>0</v>
      </c>
      <c r="O513" s="52">
        <v>0</v>
      </c>
      <c r="P513" s="42">
        <v>0</v>
      </c>
      <c r="Q513" s="42">
        <v>0</v>
      </c>
      <c r="R513" s="42"/>
      <c r="S513" s="42"/>
      <c r="T513" s="42" t="s">
        <v>616</v>
      </c>
      <c r="U513" t="str">
        <f>IFERROR(HYPERLINK("#'Main'!B"&amp;MATCH(TRIM(A513),Main!B:B,0),"Open"),HYPERLINK("#'Main'!B1","Open"))</f>
        <v>Open</v>
      </c>
    </row>
    <row r="514" spans="1:22" ht="30" customHeight="1" x14ac:dyDescent="0.25">
      <c r="A514" s="50" t="s">
        <v>213</v>
      </c>
      <c r="B514" s="33" t="s">
        <v>614</v>
      </c>
      <c r="C514" s="37" t="s">
        <v>631</v>
      </c>
      <c r="D514" s="33"/>
      <c r="E514" s="52">
        <v>200</v>
      </c>
      <c r="F514" s="33" t="b">
        <v>1</v>
      </c>
      <c r="G514" s="33">
        <v>0</v>
      </c>
      <c r="H514" s="52">
        <v>0</v>
      </c>
      <c r="I514" s="33">
        <v>0</v>
      </c>
      <c r="J514" s="33">
        <v>0</v>
      </c>
      <c r="K514" s="33">
        <v>0</v>
      </c>
      <c r="L514" s="40" t="b">
        <v>0</v>
      </c>
      <c r="M514" s="33">
        <v>0</v>
      </c>
      <c r="N514" s="33">
        <v>0</v>
      </c>
      <c r="O514" s="52">
        <v>0</v>
      </c>
      <c r="P514" s="33">
        <v>0</v>
      </c>
      <c r="Q514" s="33">
        <v>0</v>
      </c>
      <c r="R514" s="33"/>
      <c r="S514" s="33"/>
      <c r="T514" s="33" t="s">
        <v>616</v>
      </c>
      <c r="U514" s="41" t="str">
        <f>IFERROR(HYPERLINK("#'Main'!B"&amp;MATCH(TRIM(A514),Main!B:B,0),"Open"),HYPERLINK("#'Main'!B1","Open"))</f>
        <v>Open</v>
      </c>
      <c r="V514" s="41"/>
    </row>
    <row r="515" spans="1:22" ht="30" customHeight="1" x14ac:dyDescent="0.25">
      <c r="A515" s="51" t="s">
        <v>213</v>
      </c>
      <c r="B515" s="42" t="s">
        <v>614</v>
      </c>
      <c r="C515" s="44" t="s">
        <v>632</v>
      </c>
      <c r="D515" s="42"/>
      <c r="E515" s="52">
        <v>200</v>
      </c>
      <c r="F515" s="42" t="b">
        <v>1</v>
      </c>
      <c r="G515" s="42">
        <v>0</v>
      </c>
      <c r="H515" s="52">
        <v>0</v>
      </c>
      <c r="I515" s="42">
        <v>0</v>
      </c>
      <c r="J515" s="42">
        <v>0</v>
      </c>
      <c r="K515" s="42">
        <v>0</v>
      </c>
      <c r="L515" s="46" t="b">
        <v>0</v>
      </c>
      <c r="M515" s="42">
        <v>0</v>
      </c>
      <c r="N515" s="42">
        <v>0</v>
      </c>
      <c r="O515" s="52">
        <v>0</v>
      </c>
      <c r="P515" s="42">
        <v>0</v>
      </c>
      <c r="Q515" s="42">
        <v>0</v>
      </c>
      <c r="R515" s="42"/>
      <c r="S515" s="42"/>
      <c r="T515" s="42" t="s">
        <v>616</v>
      </c>
      <c r="U515" t="str">
        <f>IFERROR(HYPERLINK("#'Main'!B"&amp;MATCH(TRIM(A515),Main!B:B,0),"Open"),HYPERLINK("#'Main'!B1","Open"))</f>
        <v>Open</v>
      </c>
    </row>
    <row r="516" spans="1:22" ht="30" customHeight="1" x14ac:dyDescent="0.25">
      <c r="A516" s="50" t="s">
        <v>213</v>
      </c>
      <c r="B516" s="33" t="s">
        <v>614</v>
      </c>
      <c r="C516" s="37" t="s">
        <v>633</v>
      </c>
      <c r="D516" s="33"/>
      <c r="E516" s="34">
        <v>403</v>
      </c>
      <c r="F516" s="33" t="b">
        <v>0</v>
      </c>
      <c r="G516" s="33">
        <v>0</v>
      </c>
      <c r="H516" s="52">
        <v>0</v>
      </c>
      <c r="I516" s="33">
        <v>0</v>
      </c>
      <c r="J516" s="33">
        <v>0</v>
      </c>
      <c r="K516" s="33">
        <v>0</v>
      </c>
      <c r="L516" s="40" t="b">
        <v>0</v>
      </c>
      <c r="M516" s="33">
        <v>0</v>
      </c>
      <c r="N516" s="33">
        <v>0</v>
      </c>
      <c r="O516" s="52">
        <v>0</v>
      </c>
      <c r="P516" s="33">
        <v>0</v>
      </c>
      <c r="Q516" s="33">
        <v>0</v>
      </c>
      <c r="R516" s="33"/>
      <c r="S516" s="33"/>
      <c r="T516" s="33" t="s">
        <v>616</v>
      </c>
      <c r="U516" s="41" t="str">
        <f>IFERROR(HYPERLINK("#'Main'!B"&amp;MATCH(TRIM(A516),Main!B:B,0),"Open"),HYPERLINK("#'Main'!B1","Open"))</f>
        <v>Open</v>
      </c>
      <c r="V516" s="41"/>
    </row>
    <row r="517" spans="1:22" ht="30" customHeight="1" x14ac:dyDescent="0.25">
      <c r="A517" s="51" t="s">
        <v>213</v>
      </c>
      <c r="B517" s="42" t="s">
        <v>614</v>
      </c>
      <c r="C517" s="44" t="s">
        <v>779</v>
      </c>
      <c r="D517" s="42"/>
      <c r="E517" s="34">
        <v>404</v>
      </c>
      <c r="F517" s="42" t="b">
        <v>0</v>
      </c>
      <c r="G517" s="42">
        <v>0</v>
      </c>
      <c r="H517" s="52">
        <v>0</v>
      </c>
      <c r="I517" s="42">
        <v>0</v>
      </c>
      <c r="J517" s="42">
        <v>0</v>
      </c>
      <c r="K517" s="42">
        <v>0</v>
      </c>
      <c r="L517" s="46" t="b">
        <v>0</v>
      </c>
      <c r="M517" s="42">
        <v>0</v>
      </c>
      <c r="N517" s="42">
        <v>0</v>
      </c>
      <c r="O517" s="52">
        <v>0</v>
      </c>
      <c r="P517" s="42">
        <v>0</v>
      </c>
      <c r="Q517" s="42">
        <v>0</v>
      </c>
      <c r="R517" s="42"/>
      <c r="S517" s="42"/>
      <c r="T517" s="42" t="s">
        <v>616</v>
      </c>
      <c r="U517" t="str">
        <f>IFERROR(HYPERLINK("#'Main'!B"&amp;MATCH(TRIM(A517),Main!B:B,0),"Open"),HYPERLINK("#'Main'!B1","Open"))</f>
        <v>Open</v>
      </c>
    </row>
    <row r="518" spans="1:22" ht="30" customHeight="1" x14ac:dyDescent="0.25">
      <c r="A518" s="50" t="s">
        <v>213</v>
      </c>
      <c r="B518" s="33" t="s">
        <v>614</v>
      </c>
      <c r="C518" s="37" t="s">
        <v>779</v>
      </c>
      <c r="D518" s="33" t="s">
        <v>780</v>
      </c>
      <c r="E518" s="34">
        <v>404</v>
      </c>
      <c r="F518" s="33" t="b">
        <v>0</v>
      </c>
      <c r="G518" s="33">
        <v>0</v>
      </c>
      <c r="H518" s="52">
        <v>0</v>
      </c>
      <c r="I518" s="33">
        <v>0</v>
      </c>
      <c r="J518" s="33">
        <v>0</v>
      </c>
      <c r="K518" s="33">
        <v>0</v>
      </c>
      <c r="L518" s="40" t="b">
        <v>0</v>
      </c>
      <c r="M518" s="33">
        <v>0</v>
      </c>
      <c r="N518" s="33">
        <v>0</v>
      </c>
      <c r="O518" s="52">
        <v>0</v>
      </c>
      <c r="P518" s="33">
        <v>0</v>
      </c>
      <c r="Q518" s="33">
        <v>0</v>
      </c>
      <c r="R518" s="33"/>
      <c r="S518" s="33"/>
      <c r="T518" s="33" t="s">
        <v>616</v>
      </c>
      <c r="U518" s="41" t="str">
        <f>IFERROR(HYPERLINK("#'Main'!B"&amp;MATCH(TRIM(A518),Main!B:B,0),"Open"),HYPERLINK("#'Main'!B1","Open"))</f>
        <v>Open</v>
      </c>
      <c r="V518" s="41"/>
    </row>
    <row r="519" spans="1:22" ht="30" customHeight="1" x14ac:dyDescent="0.25">
      <c r="A519" s="51" t="s">
        <v>213</v>
      </c>
      <c r="B519" s="42" t="s">
        <v>614</v>
      </c>
      <c r="C519" s="44" t="s">
        <v>634</v>
      </c>
      <c r="D519" s="42" t="s">
        <v>635</v>
      </c>
      <c r="E519" s="52">
        <v>200</v>
      </c>
      <c r="F519" s="42" t="b">
        <v>1</v>
      </c>
      <c r="G519" s="42">
        <v>0</v>
      </c>
      <c r="H519" s="52">
        <v>0</v>
      </c>
      <c r="I519" s="42">
        <v>0</v>
      </c>
      <c r="J519" s="42">
        <v>0</v>
      </c>
      <c r="K519" s="42">
        <v>0</v>
      </c>
      <c r="L519" s="46" t="b">
        <v>0</v>
      </c>
      <c r="M519" s="42">
        <v>0</v>
      </c>
      <c r="N519" s="42">
        <v>0</v>
      </c>
      <c r="O519" s="52">
        <v>0</v>
      </c>
      <c r="P519" s="42">
        <v>0</v>
      </c>
      <c r="Q519" s="42">
        <v>0</v>
      </c>
      <c r="R519" s="42"/>
      <c r="S519" s="42"/>
      <c r="T519" s="42" t="s">
        <v>616</v>
      </c>
      <c r="U519" t="str">
        <f>IFERROR(HYPERLINK("#'Main'!B"&amp;MATCH(TRIM(A519),Main!B:B,0),"Open"),HYPERLINK("#'Main'!B1","Open"))</f>
        <v>Open</v>
      </c>
    </row>
    <row r="520" spans="1:22" ht="30" customHeight="1" x14ac:dyDescent="0.25">
      <c r="A520" s="50" t="s">
        <v>213</v>
      </c>
      <c r="B520" s="33" t="s">
        <v>614</v>
      </c>
      <c r="C520" s="37" t="s">
        <v>636</v>
      </c>
      <c r="D520" s="33" t="s">
        <v>637</v>
      </c>
      <c r="E520" s="34">
        <v>404</v>
      </c>
      <c r="F520" s="33" t="b">
        <v>0</v>
      </c>
      <c r="G520" s="33">
        <v>0</v>
      </c>
      <c r="H520" s="52">
        <v>0</v>
      </c>
      <c r="I520" s="33">
        <v>0</v>
      </c>
      <c r="J520" s="33">
        <v>0</v>
      </c>
      <c r="K520" s="33">
        <v>0</v>
      </c>
      <c r="L520" s="40" t="b">
        <v>0</v>
      </c>
      <c r="M520" s="33">
        <v>0</v>
      </c>
      <c r="N520" s="33">
        <v>0</v>
      </c>
      <c r="O520" s="52">
        <v>0</v>
      </c>
      <c r="P520" s="33">
        <v>0</v>
      </c>
      <c r="Q520" s="33">
        <v>0</v>
      </c>
      <c r="R520" s="33"/>
      <c r="S520" s="33"/>
      <c r="T520" s="33" t="s">
        <v>616</v>
      </c>
      <c r="U520" s="41" t="str">
        <f>IFERROR(HYPERLINK("#'Main'!B"&amp;MATCH(TRIM(A520),Main!B:B,0),"Open"),HYPERLINK("#'Main'!B1","Open"))</f>
        <v>Open</v>
      </c>
      <c r="V520" s="41"/>
    </row>
    <row r="521" spans="1:22" ht="30" customHeight="1" x14ac:dyDescent="0.25">
      <c r="A521" s="51" t="s">
        <v>213</v>
      </c>
      <c r="B521" s="42" t="s">
        <v>614</v>
      </c>
      <c r="C521" s="44" t="s">
        <v>636</v>
      </c>
      <c r="D521" s="42" t="s">
        <v>638</v>
      </c>
      <c r="E521" s="34">
        <v>404</v>
      </c>
      <c r="F521" s="42" t="b">
        <v>0</v>
      </c>
      <c r="G521" s="42">
        <v>0</v>
      </c>
      <c r="H521" s="52">
        <v>0</v>
      </c>
      <c r="I521" s="42">
        <v>0</v>
      </c>
      <c r="J521" s="42">
        <v>0</v>
      </c>
      <c r="K521" s="42">
        <v>0</v>
      </c>
      <c r="L521" s="46" t="b">
        <v>0</v>
      </c>
      <c r="M521" s="42">
        <v>0</v>
      </c>
      <c r="N521" s="42">
        <v>0</v>
      </c>
      <c r="O521" s="52">
        <v>0</v>
      </c>
      <c r="P521" s="42">
        <v>0</v>
      </c>
      <c r="Q521" s="42">
        <v>0</v>
      </c>
      <c r="R521" s="42"/>
      <c r="S521" s="42"/>
      <c r="T521" s="42" t="s">
        <v>616</v>
      </c>
      <c r="U521" t="str">
        <f>IFERROR(HYPERLINK("#'Main'!B"&amp;MATCH(TRIM(A521),Main!B:B,0),"Open"),HYPERLINK("#'Main'!B1","Open"))</f>
        <v>Open</v>
      </c>
    </row>
    <row r="522" spans="1:22" ht="30" customHeight="1" x14ac:dyDescent="0.25">
      <c r="A522" s="50" t="s">
        <v>214</v>
      </c>
      <c r="B522" s="33" t="s">
        <v>614</v>
      </c>
      <c r="C522" s="37" t="s">
        <v>176</v>
      </c>
      <c r="D522" s="33" t="s">
        <v>781</v>
      </c>
      <c r="E522" s="52">
        <v>200</v>
      </c>
      <c r="F522" s="33" t="b">
        <v>1</v>
      </c>
      <c r="G522" s="33">
        <v>0</v>
      </c>
      <c r="H522" s="52">
        <v>0</v>
      </c>
      <c r="I522" s="33">
        <v>0</v>
      </c>
      <c r="J522" s="33">
        <v>0</v>
      </c>
      <c r="K522" s="33">
        <v>0</v>
      </c>
      <c r="L522" s="40" t="b">
        <v>0</v>
      </c>
      <c r="M522" s="33">
        <v>0</v>
      </c>
      <c r="N522" s="33">
        <v>0</v>
      </c>
      <c r="O522" s="52">
        <v>0</v>
      </c>
      <c r="P522" s="33">
        <v>0</v>
      </c>
      <c r="Q522" s="33">
        <v>0</v>
      </c>
      <c r="R522" s="33"/>
      <c r="S522" s="33"/>
      <c r="T522" s="33" t="s">
        <v>616</v>
      </c>
      <c r="U522" s="41" t="str">
        <f>IFERROR(HYPERLINK("#'Main'!B"&amp;MATCH(TRIM(A522),Main!B:B,0),"Open"),HYPERLINK("#'Main'!B1","Open"))</f>
        <v>Open</v>
      </c>
      <c r="V522" s="41"/>
    </row>
    <row r="523" spans="1:22" ht="30" customHeight="1" x14ac:dyDescent="0.25">
      <c r="A523" s="51" t="s">
        <v>214</v>
      </c>
      <c r="B523" s="42" t="s">
        <v>614</v>
      </c>
      <c r="C523" s="44" t="s">
        <v>209</v>
      </c>
      <c r="D523" s="42" t="s">
        <v>782</v>
      </c>
      <c r="E523" s="52">
        <v>200</v>
      </c>
      <c r="F523" s="42" t="b">
        <v>1</v>
      </c>
      <c r="G523" s="42">
        <v>0</v>
      </c>
      <c r="H523" s="52">
        <v>0</v>
      </c>
      <c r="I523" s="42">
        <v>0</v>
      </c>
      <c r="J523" s="42">
        <v>0</v>
      </c>
      <c r="K523" s="42">
        <v>0</v>
      </c>
      <c r="L523" s="46" t="b">
        <v>0</v>
      </c>
      <c r="M523" s="42">
        <v>0</v>
      </c>
      <c r="N523" s="42">
        <v>0</v>
      </c>
      <c r="O523" s="52">
        <v>0</v>
      </c>
      <c r="P523" s="42">
        <v>0</v>
      </c>
      <c r="Q523" s="42">
        <v>0</v>
      </c>
      <c r="R523" s="42"/>
      <c r="S523" s="42"/>
      <c r="T523" s="42" t="s">
        <v>616</v>
      </c>
      <c r="U523" t="str">
        <f>IFERROR(HYPERLINK("#'Main'!B"&amp;MATCH(TRIM(A523),Main!B:B,0),"Open"),HYPERLINK("#'Main'!B1","Open"))</f>
        <v>Open</v>
      </c>
    </row>
    <row r="524" spans="1:22" ht="30" customHeight="1" x14ac:dyDescent="0.25">
      <c r="A524" s="50" t="s">
        <v>214</v>
      </c>
      <c r="B524" s="33" t="s">
        <v>614</v>
      </c>
      <c r="C524" s="37" t="s">
        <v>217</v>
      </c>
      <c r="D524" s="33" t="s">
        <v>321</v>
      </c>
      <c r="E524" s="52">
        <v>200</v>
      </c>
      <c r="F524" s="33" t="b">
        <v>1</v>
      </c>
      <c r="G524" s="33">
        <v>0</v>
      </c>
      <c r="H524" s="52">
        <v>0</v>
      </c>
      <c r="I524" s="33">
        <v>0</v>
      </c>
      <c r="J524" s="33">
        <v>0</v>
      </c>
      <c r="K524" s="33">
        <v>0</v>
      </c>
      <c r="L524" s="40" t="b">
        <v>0</v>
      </c>
      <c r="M524" s="33">
        <v>0</v>
      </c>
      <c r="N524" s="33">
        <v>0</v>
      </c>
      <c r="O524" s="52">
        <v>0</v>
      </c>
      <c r="P524" s="33">
        <v>0</v>
      </c>
      <c r="Q524" s="33">
        <v>0</v>
      </c>
      <c r="R524" s="33"/>
      <c r="S524" s="33"/>
      <c r="T524" s="33" t="s">
        <v>616</v>
      </c>
      <c r="U524" s="41" t="str">
        <f>IFERROR(HYPERLINK("#'Main'!B"&amp;MATCH(TRIM(A524),Main!B:B,0),"Open"),HYPERLINK("#'Main'!B1","Open"))</f>
        <v>Open</v>
      </c>
      <c r="V524" s="41"/>
    </row>
    <row r="525" spans="1:22" ht="30" customHeight="1" x14ac:dyDescent="0.25">
      <c r="A525" s="51" t="s">
        <v>214</v>
      </c>
      <c r="B525" s="42" t="s">
        <v>614</v>
      </c>
      <c r="C525" s="44" t="s">
        <v>219</v>
      </c>
      <c r="D525" s="42" t="s">
        <v>327</v>
      </c>
      <c r="E525" s="52">
        <v>200</v>
      </c>
      <c r="F525" s="42" t="b">
        <v>1</v>
      </c>
      <c r="G525" s="42">
        <v>0</v>
      </c>
      <c r="H525" s="52">
        <v>0</v>
      </c>
      <c r="I525" s="42">
        <v>0</v>
      </c>
      <c r="J525" s="42">
        <v>0</v>
      </c>
      <c r="K525" s="42">
        <v>0</v>
      </c>
      <c r="L525" s="46" t="b">
        <v>0</v>
      </c>
      <c r="M525" s="42">
        <v>0</v>
      </c>
      <c r="N525" s="42">
        <v>0</v>
      </c>
      <c r="O525" s="52">
        <v>0</v>
      </c>
      <c r="P525" s="42">
        <v>0</v>
      </c>
      <c r="Q525" s="42">
        <v>0</v>
      </c>
      <c r="R525" s="42"/>
      <c r="S525" s="42"/>
      <c r="T525" s="42" t="s">
        <v>616</v>
      </c>
      <c r="U525" t="str">
        <f>IFERROR(HYPERLINK("#'Main'!B"&amp;MATCH(TRIM(A525),Main!B:B,0),"Open"),HYPERLINK("#'Main'!B1","Open"))</f>
        <v>Open</v>
      </c>
    </row>
    <row r="526" spans="1:22" ht="30" customHeight="1" x14ac:dyDescent="0.25">
      <c r="A526" s="50" t="s">
        <v>214</v>
      </c>
      <c r="B526" s="33" t="s">
        <v>614</v>
      </c>
      <c r="C526" s="37" t="s">
        <v>210</v>
      </c>
      <c r="D526" s="33" t="s">
        <v>292</v>
      </c>
      <c r="E526" s="52">
        <v>200</v>
      </c>
      <c r="F526" s="33" t="b">
        <v>1</v>
      </c>
      <c r="G526" s="33">
        <v>0</v>
      </c>
      <c r="H526" s="52">
        <v>0</v>
      </c>
      <c r="I526" s="33">
        <v>0</v>
      </c>
      <c r="J526" s="33">
        <v>0</v>
      </c>
      <c r="K526" s="33">
        <v>0</v>
      </c>
      <c r="L526" s="40" t="b">
        <v>0</v>
      </c>
      <c r="M526" s="33">
        <v>0</v>
      </c>
      <c r="N526" s="33">
        <v>0</v>
      </c>
      <c r="O526" s="52">
        <v>0</v>
      </c>
      <c r="P526" s="33">
        <v>0</v>
      </c>
      <c r="Q526" s="33">
        <v>0</v>
      </c>
      <c r="R526" s="33"/>
      <c r="S526" s="33"/>
      <c r="T526" s="33" t="s">
        <v>616</v>
      </c>
      <c r="U526" s="41" t="str">
        <f>IFERROR(HYPERLINK("#'Main'!B"&amp;MATCH(TRIM(A526),Main!B:B,0),"Open"),HYPERLINK("#'Main'!B1","Open"))</f>
        <v>Open</v>
      </c>
      <c r="V526" s="41"/>
    </row>
    <row r="527" spans="1:22" ht="30" customHeight="1" x14ac:dyDescent="0.25">
      <c r="A527" s="51" t="s">
        <v>214</v>
      </c>
      <c r="B527" s="42" t="s">
        <v>614</v>
      </c>
      <c r="C527" s="44" t="s">
        <v>215</v>
      </c>
      <c r="D527" s="42" t="s">
        <v>783</v>
      </c>
      <c r="E527" s="52">
        <v>200</v>
      </c>
      <c r="F527" s="42" t="b">
        <v>1</v>
      </c>
      <c r="G527" s="42">
        <v>0</v>
      </c>
      <c r="H527" s="52">
        <v>0</v>
      </c>
      <c r="I527" s="42">
        <v>0</v>
      </c>
      <c r="J527" s="42">
        <v>0</v>
      </c>
      <c r="K527" s="42">
        <v>0</v>
      </c>
      <c r="L527" s="46" t="b">
        <v>0</v>
      </c>
      <c r="M527" s="42">
        <v>0</v>
      </c>
      <c r="N527" s="42">
        <v>0</v>
      </c>
      <c r="O527" s="52">
        <v>0</v>
      </c>
      <c r="P527" s="42">
        <v>0</v>
      </c>
      <c r="Q527" s="42">
        <v>0</v>
      </c>
      <c r="R527" s="42"/>
      <c r="S527" s="42"/>
      <c r="T527" s="42" t="s">
        <v>616</v>
      </c>
      <c r="U527" t="str">
        <f>IFERROR(HYPERLINK("#'Main'!B"&amp;MATCH(TRIM(A527),Main!B:B,0),"Open"),HYPERLINK("#'Main'!B1","Open"))</f>
        <v>Open</v>
      </c>
    </row>
    <row r="528" spans="1:22" ht="30" customHeight="1" x14ac:dyDescent="0.25">
      <c r="A528" s="50" t="s">
        <v>214</v>
      </c>
      <c r="B528" s="33" t="s">
        <v>614</v>
      </c>
      <c r="C528" s="37" t="s">
        <v>214</v>
      </c>
      <c r="D528" s="33" t="s">
        <v>784</v>
      </c>
      <c r="E528" s="52">
        <v>200</v>
      </c>
      <c r="F528" s="33" t="b">
        <v>1</v>
      </c>
      <c r="G528" s="33">
        <v>0</v>
      </c>
      <c r="H528" s="52">
        <v>0</v>
      </c>
      <c r="I528" s="33">
        <v>0</v>
      </c>
      <c r="J528" s="33">
        <v>0</v>
      </c>
      <c r="K528" s="33">
        <v>0</v>
      </c>
      <c r="L528" s="40" t="b">
        <v>0</v>
      </c>
      <c r="M528" s="33">
        <v>0</v>
      </c>
      <c r="N528" s="33">
        <v>0</v>
      </c>
      <c r="O528" s="52">
        <v>0</v>
      </c>
      <c r="P528" s="33">
        <v>0</v>
      </c>
      <c r="Q528" s="33">
        <v>0</v>
      </c>
      <c r="R528" s="33"/>
      <c r="S528" s="33"/>
      <c r="T528" s="33" t="s">
        <v>616</v>
      </c>
      <c r="U528" s="41" t="str">
        <f>IFERROR(HYPERLINK("#'Main'!B"&amp;MATCH(TRIM(A528),Main!B:B,0),"Open"),HYPERLINK("#'Main'!B1","Open"))</f>
        <v>Open</v>
      </c>
      <c r="V528" s="41"/>
    </row>
    <row r="529" spans="1:22" ht="30" customHeight="1" x14ac:dyDescent="0.25">
      <c r="A529" s="51" t="s">
        <v>214</v>
      </c>
      <c r="B529" s="42" t="s">
        <v>614</v>
      </c>
      <c r="C529" s="44" t="s">
        <v>176</v>
      </c>
      <c r="D529" s="42" t="s">
        <v>781</v>
      </c>
      <c r="E529" s="52">
        <v>200</v>
      </c>
      <c r="F529" s="42" t="b">
        <v>1</v>
      </c>
      <c r="G529" s="42">
        <v>0</v>
      </c>
      <c r="H529" s="52">
        <v>0</v>
      </c>
      <c r="I529" s="42">
        <v>0</v>
      </c>
      <c r="J529" s="42">
        <v>0</v>
      </c>
      <c r="K529" s="42">
        <v>0</v>
      </c>
      <c r="L529" s="46" t="b">
        <v>0</v>
      </c>
      <c r="M529" s="42">
        <v>0</v>
      </c>
      <c r="N529" s="42">
        <v>0</v>
      </c>
      <c r="O529" s="52">
        <v>0</v>
      </c>
      <c r="P529" s="42">
        <v>0</v>
      </c>
      <c r="Q529" s="42">
        <v>0</v>
      </c>
      <c r="R529" s="42"/>
      <c r="S529" s="42"/>
      <c r="T529" s="42" t="s">
        <v>616</v>
      </c>
      <c r="U529" t="str">
        <f>IFERROR(HYPERLINK("#'Main'!B"&amp;MATCH(TRIM(A529),Main!B:B,0),"Open"),HYPERLINK("#'Main'!B1","Open"))</f>
        <v>Open</v>
      </c>
    </row>
    <row r="530" spans="1:22" ht="30" customHeight="1" x14ac:dyDescent="0.25">
      <c r="A530" s="50" t="s">
        <v>214</v>
      </c>
      <c r="B530" s="33" t="s">
        <v>614</v>
      </c>
      <c r="C530" s="37" t="s">
        <v>209</v>
      </c>
      <c r="D530" s="33" t="s">
        <v>782</v>
      </c>
      <c r="E530" s="52">
        <v>200</v>
      </c>
      <c r="F530" s="33" t="b">
        <v>1</v>
      </c>
      <c r="G530" s="33">
        <v>0</v>
      </c>
      <c r="H530" s="52">
        <v>0</v>
      </c>
      <c r="I530" s="33">
        <v>0</v>
      </c>
      <c r="J530" s="33">
        <v>0</v>
      </c>
      <c r="K530" s="33">
        <v>0</v>
      </c>
      <c r="L530" s="40" t="b">
        <v>0</v>
      </c>
      <c r="M530" s="33">
        <v>0</v>
      </c>
      <c r="N530" s="33">
        <v>0</v>
      </c>
      <c r="O530" s="52">
        <v>0</v>
      </c>
      <c r="P530" s="33">
        <v>0</v>
      </c>
      <c r="Q530" s="33">
        <v>0</v>
      </c>
      <c r="R530" s="33"/>
      <c r="S530" s="33"/>
      <c r="T530" s="33" t="s">
        <v>616</v>
      </c>
      <c r="U530" s="41" t="str">
        <f>IFERROR(HYPERLINK("#'Main'!B"&amp;MATCH(TRIM(A530),Main!B:B,0),"Open"),HYPERLINK("#'Main'!B1","Open"))</f>
        <v>Open</v>
      </c>
      <c r="V530" s="41"/>
    </row>
    <row r="531" spans="1:22" ht="30" customHeight="1" x14ac:dyDescent="0.25">
      <c r="A531" s="51" t="s">
        <v>214</v>
      </c>
      <c r="B531" s="42" t="s">
        <v>614</v>
      </c>
      <c r="C531" s="44" t="s">
        <v>217</v>
      </c>
      <c r="D531" s="42" t="s">
        <v>321</v>
      </c>
      <c r="E531" s="52">
        <v>200</v>
      </c>
      <c r="F531" s="42" t="b">
        <v>1</v>
      </c>
      <c r="G531" s="42">
        <v>0</v>
      </c>
      <c r="H531" s="52">
        <v>0</v>
      </c>
      <c r="I531" s="42">
        <v>0</v>
      </c>
      <c r="J531" s="42">
        <v>0</v>
      </c>
      <c r="K531" s="42">
        <v>0</v>
      </c>
      <c r="L531" s="46" t="b">
        <v>0</v>
      </c>
      <c r="M531" s="42">
        <v>0</v>
      </c>
      <c r="N531" s="42">
        <v>0</v>
      </c>
      <c r="O531" s="52">
        <v>0</v>
      </c>
      <c r="P531" s="42">
        <v>0</v>
      </c>
      <c r="Q531" s="42">
        <v>0</v>
      </c>
      <c r="R531" s="42"/>
      <c r="S531" s="42"/>
      <c r="T531" s="42" t="s">
        <v>616</v>
      </c>
      <c r="U531" t="str">
        <f>IFERROR(HYPERLINK("#'Main'!B"&amp;MATCH(TRIM(A531),Main!B:B,0),"Open"),HYPERLINK("#'Main'!B1","Open"))</f>
        <v>Open</v>
      </c>
    </row>
    <row r="532" spans="1:22" ht="30" customHeight="1" x14ac:dyDescent="0.25">
      <c r="A532" s="50" t="s">
        <v>214</v>
      </c>
      <c r="B532" s="33" t="s">
        <v>614</v>
      </c>
      <c r="C532" s="37" t="s">
        <v>219</v>
      </c>
      <c r="D532" s="33" t="s">
        <v>327</v>
      </c>
      <c r="E532" s="52">
        <v>200</v>
      </c>
      <c r="F532" s="33" t="b">
        <v>1</v>
      </c>
      <c r="G532" s="33">
        <v>0</v>
      </c>
      <c r="H532" s="52">
        <v>0</v>
      </c>
      <c r="I532" s="33">
        <v>0</v>
      </c>
      <c r="J532" s="33">
        <v>0</v>
      </c>
      <c r="K532" s="33">
        <v>0</v>
      </c>
      <c r="L532" s="40" t="b">
        <v>0</v>
      </c>
      <c r="M532" s="33">
        <v>0</v>
      </c>
      <c r="N532" s="33">
        <v>0</v>
      </c>
      <c r="O532" s="52">
        <v>0</v>
      </c>
      <c r="P532" s="33">
        <v>0</v>
      </c>
      <c r="Q532" s="33">
        <v>0</v>
      </c>
      <c r="R532" s="33"/>
      <c r="S532" s="33"/>
      <c r="T532" s="33" t="s">
        <v>616</v>
      </c>
      <c r="U532" s="41" t="str">
        <f>IFERROR(HYPERLINK("#'Main'!B"&amp;MATCH(TRIM(A532),Main!B:B,0),"Open"),HYPERLINK("#'Main'!B1","Open"))</f>
        <v>Open</v>
      </c>
      <c r="V532" s="41"/>
    </row>
    <row r="533" spans="1:22" ht="30" customHeight="1" x14ac:dyDescent="0.25">
      <c r="A533" s="51" t="s">
        <v>214</v>
      </c>
      <c r="B533" s="42" t="s">
        <v>614</v>
      </c>
      <c r="C533" s="44" t="s">
        <v>210</v>
      </c>
      <c r="D533" s="42" t="s">
        <v>292</v>
      </c>
      <c r="E533" s="52">
        <v>200</v>
      </c>
      <c r="F533" s="42" t="b">
        <v>1</v>
      </c>
      <c r="G533" s="42">
        <v>0</v>
      </c>
      <c r="H533" s="52">
        <v>0</v>
      </c>
      <c r="I533" s="42">
        <v>0</v>
      </c>
      <c r="J533" s="42">
        <v>0</v>
      </c>
      <c r="K533" s="42">
        <v>0</v>
      </c>
      <c r="L533" s="46" t="b">
        <v>0</v>
      </c>
      <c r="M533" s="42">
        <v>0</v>
      </c>
      <c r="N533" s="42">
        <v>0</v>
      </c>
      <c r="O533" s="52">
        <v>0</v>
      </c>
      <c r="P533" s="42">
        <v>0</v>
      </c>
      <c r="Q533" s="42">
        <v>0</v>
      </c>
      <c r="R533" s="42"/>
      <c r="S533" s="42"/>
      <c r="T533" s="42" t="s">
        <v>616</v>
      </c>
      <c r="U533" t="str">
        <f>IFERROR(HYPERLINK("#'Main'!B"&amp;MATCH(TRIM(A533),Main!B:B,0),"Open"),HYPERLINK("#'Main'!B1","Open"))</f>
        <v>Open</v>
      </c>
    </row>
    <row r="534" spans="1:22" ht="30" customHeight="1" x14ac:dyDescent="0.25">
      <c r="A534" s="50" t="s">
        <v>214</v>
      </c>
      <c r="B534" s="33" t="s">
        <v>614</v>
      </c>
      <c r="C534" s="37" t="s">
        <v>215</v>
      </c>
      <c r="D534" s="33" t="s">
        <v>783</v>
      </c>
      <c r="E534" s="52">
        <v>200</v>
      </c>
      <c r="F534" s="33" t="b">
        <v>1</v>
      </c>
      <c r="G534" s="33">
        <v>0</v>
      </c>
      <c r="H534" s="52">
        <v>0</v>
      </c>
      <c r="I534" s="33">
        <v>0</v>
      </c>
      <c r="J534" s="33">
        <v>0</v>
      </c>
      <c r="K534" s="33">
        <v>0</v>
      </c>
      <c r="L534" s="40" t="b">
        <v>0</v>
      </c>
      <c r="M534" s="33">
        <v>0</v>
      </c>
      <c r="N534" s="33">
        <v>0</v>
      </c>
      <c r="O534" s="52">
        <v>0</v>
      </c>
      <c r="P534" s="33">
        <v>0</v>
      </c>
      <c r="Q534" s="33">
        <v>0</v>
      </c>
      <c r="R534" s="33"/>
      <c r="S534" s="33"/>
      <c r="T534" s="33" t="s">
        <v>616</v>
      </c>
      <c r="U534" s="41" t="str">
        <f>IFERROR(HYPERLINK("#'Main'!B"&amp;MATCH(TRIM(A534),Main!B:B,0),"Open"),HYPERLINK("#'Main'!B1","Open"))</f>
        <v>Open</v>
      </c>
      <c r="V534" s="41"/>
    </row>
    <row r="535" spans="1:22" ht="30" customHeight="1" x14ac:dyDescent="0.25">
      <c r="A535" s="51" t="s">
        <v>214</v>
      </c>
      <c r="B535" s="42" t="s">
        <v>614</v>
      </c>
      <c r="C535" s="44" t="s">
        <v>214</v>
      </c>
      <c r="D535" s="42" t="s">
        <v>784</v>
      </c>
      <c r="E535" s="52">
        <v>200</v>
      </c>
      <c r="F535" s="42" t="b">
        <v>1</v>
      </c>
      <c r="G535" s="42">
        <v>0</v>
      </c>
      <c r="H535" s="52">
        <v>0</v>
      </c>
      <c r="I535" s="42">
        <v>0</v>
      </c>
      <c r="J535" s="42">
        <v>0</v>
      </c>
      <c r="K535" s="42">
        <v>0</v>
      </c>
      <c r="L535" s="46" t="b">
        <v>0</v>
      </c>
      <c r="M535" s="42">
        <v>0</v>
      </c>
      <c r="N535" s="42">
        <v>0</v>
      </c>
      <c r="O535" s="52">
        <v>0</v>
      </c>
      <c r="P535" s="42">
        <v>0</v>
      </c>
      <c r="Q535" s="42">
        <v>0</v>
      </c>
      <c r="R535" s="42"/>
      <c r="S535" s="42"/>
      <c r="T535" s="42" t="s">
        <v>616</v>
      </c>
      <c r="U535" t="str">
        <f>IFERROR(HYPERLINK("#'Main'!B"&amp;MATCH(TRIM(A535),Main!B:B,0),"Open"),HYPERLINK("#'Main'!B1","Open"))</f>
        <v>Open</v>
      </c>
    </row>
    <row r="536" spans="1:22" ht="30" customHeight="1" x14ac:dyDescent="0.25">
      <c r="A536" s="50" t="s">
        <v>214</v>
      </c>
      <c r="B536" s="33" t="s">
        <v>614</v>
      </c>
      <c r="C536" s="37" t="s">
        <v>209</v>
      </c>
      <c r="D536" s="33" t="s">
        <v>785</v>
      </c>
      <c r="E536" s="52">
        <v>200</v>
      </c>
      <c r="F536" s="33" t="b">
        <v>1</v>
      </c>
      <c r="G536" s="33">
        <v>0</v>
      </c>
      <c r="H536" s="52">
        <v>0</v>
      </c>
      <c r="I536" s="33">
        <v>0</v>
      </c>
      <c r="J536" s="33">
        <v>0</v>
      </c>
      <c r="K536" s="33">
        <v>0</v>
      </c>
      <c r="L536" s="40" t="b">
        <v>0</v>
      </c>
      <c r="M536" s="33">
        <v>0</v>
      </c>
      <c r="N536" s="33">
        <v>0</v>
      </c>
      <c r="O536" s="52">
        <v>0</v>
      </c>
      <c r="P536" s="33">
        <v>0</v>
      </c>
      <c r="Q536" s="33">
        <v>0</v>
      </c>
      <c r="R536" s="33"/>
      <c r="S536" s="33"/>
      <c r="T536" s="33" t="s">
        <v>616</v>
      </c>
      <c r="U536" s="41" t="str">
        <f>IFERROR(HYPERLINK("#'Main'!B"&amp;MATCH(TRIM(A536),Main!B:B,0),"Open"),HYPERLINK("#'Main'!B1","Open"))</f>
        <v>Open</v>
      </c>
      <c r="V536" s="41"/>
    </row>
    <row r="537" spans="1:22" ht="30" customHeight="1" x14ac:dyDescent="0.25">
      <c r="A537" s="51" t="s">
        <v>214</v>
      </c>
      <c r="B537" s="42" t="s">
        <v>614</v>
      </c>
      <c r="C537" s="44" t="s">
        <v>788</v>
      </c>
      <c r="D537" s="42"/>
      <c r="E537" s="52">
        <v>200</v>
      </c>
      <c r="F537" s="42" t="b">
        <v>1</v>
      </c>
      <c r="G537" s="42">
        <v>0</v>
      </c>
      <c r="H537" s="52">
        <v>0</v>
      </c>
      <c r="I537" s="42">
        <v>0</v>
      </c>
      <c r="J537" s="42">
        <v>0</v>
      </c>
      <c r="K537" s="42">
        <v>0</v>
      </c>
      <c r="L537" s="46" t="b">
        <v>0</v>
      </c>
      <c r="M537" s="42">
        <v>0</v>
      </c>
      <c r="N537" s="42">
        <v>0</v>
      </c>
      <c r="O537" s="52">
        <v>0</v>
      </c>
      <c r="P537" s="42">
        <v>0</v>
      </c>
      <c r="Q537" s="42">
        <v>0</v>
      </c>
      <c r="R537" s="42"/>
      <c r="S537" s="42"/>
      <c r="T537" s="42" t="s">
        <v>616</v>
      </c>
      <c r="U537" t="str">
        <f>IFERROR(HYPERLINK("#'Main'!B"&amp;MATCH(TRIM(A537),Main!B:B,0),"Open"),HYPERLINK("#'Main'!B1","Open"))</f>
        <v>Open</v>
      </c>
    </row>
    <row r="538" spans="1:22" ht="30" customHeight="1" x14ac:dyDescent="0.25">
      <c r="A538" s="50" t="s">
        <v>214</v>
      </c>
      <c r="B538" s="33" t="s">
        <v>614</v>
      </c>
      <c r="C538" s="37" t="s">
        <v>789</v>
      </c>
      <c r="D538" s="33"/>
      <c r="E538" s="52">
        <v>200</v>
      </c>
      <c r="F538" s="33" t="b">
        <v>1</v>
      </c>
      <c r="G538" s="33">
        <v>0</v>
      </c>
      <c r="H538" s="52">
        <v>0</v>
      </c>
      <c r="I538" s="33">
        <v>0</v>
      </c>
      <c r="J538" s="33">
        <v>0</v>
      </c>
      <c r="K538" s="33">
        <v>0</v>
      </c>
      <c r="L538" s="40" t="b">
        <v>0</v>
      </c>
      <c r="M538" s="33">
        <v>0</v>
      </c>
      <c r="N538" s="33">
        <v>0</v>
      </c>
      <c r="O538" s="52">
        <v>0</v>
      </c>
      <c r="P538" s="33">
        <v>0</v>
      </c>
      <c r="Q538" s="33">
        <v>0</v>
      </c>
      <c r="R538" s="33"/>
      <c r="S538" s="33"/>
      <c r="T538" s="33" t="s">
        <v>616</v>
      </c>
      <c r="U538" s="41" t="str">
        <f>IFERROR(HYPERLINK("#'Main'!B"&amp;MATCH(TRIM(A538),Main!B:B,0),"Open"),HYPERLINK("#'Main'!B1","Open"))</f>
        <v>Open</v>
      </c>
      <c r="V538" s="41"/>
    </row>
    <row r="539" spans="1:22" ht="30" customHeight="1" x14ac:dyDescent="0.25">
      <c r="A539" s="51" t="s">
        <v>214</v>
      </c>
      <c r="B539" s="42" t="s">
        <v>614</v>
      </c>
      <c r="C539" s="44" t="s">
        <v>790</v>
      </c>
      <c r="D539" s="42"/>
      <c r="E539" s="52">
        <v>200</v>
      </c>
      <c r="F539" s="42" t="b">
        <v>1</v>
      </c>
      <c r="G539" s="42">
        <v>0</v>
      </c>
      <c r="H539" s="52">
        <v>0</v>
      </c>
      <c r="I539" s="42">
        <v>0</v>
      </c>
      <c r="J539" s="42">
        <v>0</v>
      </c>
      <c r="K539" s="42">
        <v>0</v>
      </c>
      <c r="L539" s="46" t="b">
        <v>0</v>
      </c>
      <c r="M539" s="42">
        <v>0</v>
      </c>
      <c r="N539" s="42">
        <v>0</v>
      </c>
      <c r="O539" s="52">
        <v>0</v>
      </c>
      <c r="P539" s="42">
        <v>0</v>
      </c>
      <c r="Q539" s="42">
        <v>0</v>
      </c>
      <c r="R539" s="42"/>
      <c r="S539" s="42"/>
      <c r="T539" s="42" t="s">
        <v>616</v>
      </c>
      <c r="U539" t="str">
        <f>IFERROR(HYPERLINK("#'Main'!B"&amp;MATCH(TRIM(A539),Main!B:B,0),"Open"),HYPERLINK("#'Main'!B1","Open"))</f>
        <v>Open</v>
      </c>
    </row>
    <row r="540" spans="1:22" ht="30" customHeight="1" x14ac:dyDescent="0.25">
      <c r="A540" s="50" t="s">
        <v>214</v>
      </c>
      <c r="B540" s="33" t="s">
        <v>614</v>
      </c>
      <c r="C540" s="37" t="s">
        <v>791</v>
      </c>
      <c r="D540" s="33"/>
      <c r="E540" s="52">
        <v>200</v>
      </c>
      <c r="F540" s="33" t="b">
        <v>1</v>
      </c>
      <c r="G540" s="33">
        <v>0</v>
      </c>
      <c r="H540" s="52">
        <v>0</v>
      </c>
      <c r="I540" s="33">
        <v>0</v>
      </c>
      <c r="J540" s="33">
        <v>0</v>
      </c>
      <c r="K540" s="33">
        <v>0</v>
      </c>
      <c r="L540" s="40" t="b">
        <v>0</v>
      </c>
      <c r="M540" s="33">
        <v>0</v>
      </c>
      <c r="N540" s="33">
        <v>0</v>
      </c>
      <c r="O540" s="52">
        <v>0</v>
      </c>
      <c r="P540" s="33">
        <v>0</v>
      </c>
      <c r="Q540" s="33">
        <v>0</v>
      </c>
      <c r="R540" s="33"/>
      <c r="S540" s="33"/>
      <c r="T540" s="33" t="s">
        <v>616</v>
      </c>
      <c r="U540" s="41" t="str">
        <f>IFERROR(HYPERLINK("#'Main'!B"&amp;MATCH(TRIM(A540),Main!B:B,0),"Open"),HYPERLINK("#'Main'!B1","Open"))</f>
        <v>Open</v>
      </c>
      <c r="V540" s="41"/>
    </row>
    <row r="541" spans="1:22" ht="30" customHeight="1" x14ac:dyDescent="0.25">
      <c r="A541" s="51" t="s">
        <v>214</v>
      </c>
      <c r="B541" s="42" t="s">
        <v>614</v>
      </c>
      <c r="C541" s="44" t="s">
        <v>792</v>
      </c>
      <c r="D541" s="42"/>
      <c r="E541" s="52">
        <v>200</v>
      </c>
      <c r="F541" s="42" t="b">
        <v>1</v>
      </c>
      <c r="G541" s="42">
        <v>0</v>
      </c>
      <c r="H541" s="52">
        <v>0</v>
      </c>
      <c r="I541" s="42">
        <v>0</v>
      </c>
      <c r="J541" s="42">
        <v>0</v>
      </c>
      <c r="K541" s="42">
        <v>0</v>
      </c>
      <c r="L541" s="46" t="b">
        <v>0</v>
      </c>
      <c r="M541" s="42">
        <v>0</v>
      </c>
      <c r="N541" s="42">
        <v>0</v>
      </c>
      <c r="O541" s="52">
        <v>0</v>
      </c>
      <c r="P541" s="42">
        <v>0</v>
      </c>
      <c r="Q541" s="42">
        <v>0</v>
      </c>
      <c r="R541" s="42"/>
      <c r="S541" s="42"/>
      <c r="T541" s="42" t="s">
        <v>616</v>
      </c>
      <c r="U541" t="str">
        <f>IFERROR(HYPERLINK("#'Main'!B"&amp;MATCH(TRIM(A541),Main!B:B,0),"Open"),HYPERLINK("#'Main'!B1","Open"))</f>
        <v>Open</v>
      </c>
    </row>
    <row r="542" spans="1:22" ht="30" customHeight="1" x14ac:dyDescent="0.25">
      <c r="A542" s="50" t="s">
        <v>214</v>
      </c>
      <c r="B542" s="33" t="s">
        <v>614</v>
      </c>
      <c r="C542" s="37" t="s">
        <v>793</v>
      </c>
      <c r="D542" s="33"/>
      <c r="E542" s="52">
        <v>200</v>
      </c>
      <c r="F542" s="33" t="b">
        <v>1</v>
      </c>
      <c r="G542" s="33">
        <v>0</v>
      </c>
      <c r="H542" s="52">
        <v>0</v>
      </c>
      <c r="I542" s="33">
        <v>0</v>
      </c>
      <c r="J542" s="33">
        <v>0</v>
      </c>
      <c r="K542" s="33">
        <v>0</v>
      </c>
      <c r="L542" s="40" t="b">
        <v>0</v>
      </c>
      <c r="M542" s="33">
        <v>0</v>
      </c>
      <c r="N542" s="33">
        <v>0</v>
      </c>
      <c r="O542" s="52">
        <v>0</v>
      </c>
      <c r="P542" s="33">
        <v>0</v>
      </c>
      <c r="Q542" s="33">
        <v>0</v>
      </c>
      <c r="R542" s="33"/>
      <c r="S542" s="33"/>
      <c r="T542" s="33" t="s">
        <v>616</v>
      </c>
      <c r="U542" s="41" t="str">
        <f>IFERROR(HYPERLINK("#'Main'!B"&amp;MATCH(TRIM(A542),Main!B:B,0),"Open"),HYPERLINK("#'Main'!B1","Open"))</f>
        <v>Open</v>
      </c>
      <c r="V542" s="41"/>
    </row>
    <row r="543" spans="1:22" ht="30" customHeight="1" x14ac:dyDescent="0.25">
      <c r="A543" s="51" t="s">
        <v>214</v>
      </c>
      <c r="B543" s="42" t="s">
        <v>614</v>
      </c>
      <c r="C543" s="44" t="s">
        <v>794</v>
      </c>
      <c r="D543" s="42"/>
      <c r="E543" s="52">
        <v>200</v>
      </c>
      <c r="F543" s="42" t="b">
        <v>1</v>
      </c>
      <c r="G543" s="42">
        <v>0</v>
      </c>
      <c r="H543" s="52">
        <v>0</v>
      </c>
      <c r="I543" s="42">
        <v>0</v>
      </c>
      <c r="J543" s="42">
        <v>0</v>
      </c>
      <c r="K543" s="42">
        <v>0</v>
      </c>
      <c r="L543" s="46" t="b">
        <v>0</v>
      </c>
      <c r="M543" s="42">
        <v>0</v>
      </c>
      <c r="N543" s="42">
        <v>0</v>
      </c>
      <c r="O543" s="52">
        <v>0</v>
      </c>
      <c r="P543" s="42">
        <v>0</v>
      </c>
      <c r="Q543" s="42">
        <v>0</v>
      </c>
      <c r="R543" s="42"/>
      <c r="S543" s="42"/>
      <c r="T543" s="42" t="s">
        <v>616</v>
      </c>
      <c r="U543" t="str">
        <f>IFERROR(HYPERLINK("#'Main'!B"&amp;MATCH(TRIM(A543),Main!B:B,0),"Open"),HYPERLINK("#'Main'!B1","Open"))</f>
        <v>Open</v>
      </c>
    </row>
    <row r="544" spans="1:22" ht="30" customHeight="1" x14ac:dyDescent="0.25">
      <c r="A544" s="50" t="s">
        <v>214</v>
      </c>
      <c r="B544" s="33" t="s">
        <v>614</v>
      </c>
      <c r="C544" s="37" t="s">
        <v>795</v>
      </c>
      <c r="D544" s="33"/>
      <c r="E544" s="52">
        <v>200</v>
      </c>
      <c r="F544" s="33" t="b">
        <v>1</v>
      </c>
      <c r="G544" s="33">
        <v>0</v>
      </c>
      <c r="H544" s="52">
        <v>0</v>
      </c>
      <c r="I544" s="33">
        <v>0</v>
      </c>
      <c r="J544" s="33">
        <v>0</v>
      </c>
      <c r="K544" s="33">
        <v>0</v>
      </c>
      <c r="L544" s="40" t="b">
        <v>0</v>
      </c>
      <c r="M544" s="33">
        <v>0</v>
      </c>
      <c r="N544" s="33">
        <v>0</v>
      </c>
      <c r="O544" s="52">
        <v>0</v>
      </c>
      <c r="P544" s="33">
        <v>0</v>
      </c>
      <c r="Q544" s="33">
        <v>0</v>
      </c>
      <c r="R544" s="33"/>
      <c r="S544" s="33"/>
      <c r="T544" s="33" t="s">
        <v>616</v>
      </c>
      <c r="U544" s="41" t="str">
        <f>IFERROR(HYPERLINK("#'Main'!B"&amp;MATCH(TRIM(A544),Main!B:B,0),"Open"),HYPERLINK("#'Main'!B1","Open"))</f>
        <v>Open</v>
      </c>
      <c r="V544" s="41"/>
    </row>
    <row r="545" spans="1:22" ht="30" customHeight="1" x14ac:dyDescent="0.25">
      <c r="A545" s="51" t="s">
        <v>214</v>
      </c>
      <c r="B545" s="42" t="s">
        <v>614</v>
      </c>
      <c r="C545" s="44" t="s">
        <v>796</v>
      </c>
      <c r="D545" s="42"/>
      <c r="E545" s="52">
        <v>200</v>
      </c>
      <c r="F545" s="42" t="b">
        <v>1</v>
      </c>
      <c r="G545" s="42">
        <v>0</v>
      </c>
      <c r="H545" s="52">
        <v>0</v>
      </c>
      <c r="I545" s="42">
        <v>0</v>
      </c>
      <c r="J545" s="42">
        <v>0</v>
      </c>
      <c r="K545" s="42">
        <v>0</v>
      </c>
      <c r="L545" s="46" t="b">
        <v>0</v>
      </c>
      <c r="M545" s="42">
        <v>0</v>
      </c>
      <c r="N545" s="42">
        <v>0</v>
      </c>
      <c r="O545" s="52">
        <v>0</v>
      </c>
      <c r="P545" s="42">
        <v>0</v>
      </c>
      <c r="Q545" s="42">
        <v>0</v>
      </c>
      <c r="R545" s="42"/>
      <c r="S545" s="42"/>
      <c r="T545" s="42" t="s">
        <v>616</v>
      </c>
      <c r="U545" t="str">
        <f>IFERROR(HYPERLINK("#'Main'!B"&amp;MATCH(TRIM(A545),Main!B:B,0),"Open"),HYPERLINK("#'Main'!B1","Open"))</f>
        <v>Open</v>
      </c>
    </row>
    <row r="546" spans="1:22" ht="30" customHeight="1" x14ac:dyDescent="0.25">
      <c r="A546" s="50" t="s">
        <v>214</v>
      </c>
      <c r="B546" s="33" t="s">
        <v>614</v>
      </c>
      <c r="C546" s="37" t="s">
        <v>797</v>
      </c>
      <c r="D546" s="33"/>
      <c r="E546" s="52">
        <v>200</v>
      </c>
      <c r="F546" s="33" t="b">
        <v>1</v>
      </c>
      <c r="G546" s="33">
        <v>0</v>
      </c>
      <c r="H546" s="52">
        <v>0</v>
      </c>
      <c r="I546" s="33">
        <v>0</v>
      </c>
      <c r="J546" s="33">
        <v>0</v>
      </c>
      <c r="K546" s="33">
        <v>0</v>
      </c>
      <c r="L546" s="40" t="b">
        <v>0</v>
      </c>
      <c r="M546" s="33">
        <v>0</v>
      </c>
      <c r="N546" s="33">
        <v>0</v>
      </c>
      <c r="O546" s="52">
        <v>0</v>
      </c>
      <c r="P546" s="33">
        <v>0</v>
      </c>
      <c r="Q546" s="33">
        <v>0</v>
      </c>
      <c r="R546" s="33"/>
      <c r="S546" s="33"/>
      <c r="T546" s="33" t="s">
        <v>616</v>
      </c>
      <c r="U546" s="41" t="str">
        <f>IFERROR(HYPERLINK("#'Main'!B"&amp;MATCH(TRIM(A546),Main!B:B,0),"Open"),HYPERLINK("#'Main'!B1","Open"))</f>
        <v>Open</v>
      </c>
      <c r="V546" s="41"/>
    </row>
    <row r="547" spans="1:22" ht="30" customHeight="1" x14ac:dyDescent="0.25">
      <c r="A547" s="51" t="s">
        <v>214</v>
      </c>
      <c r="B547" s="42" t="s">
        <v>614</v>
      </c>
      <c r="C547" s="44" t="s">
        <v>798</v>
      </c>
      <c r="D547" s="42"/>
      <c r="E547" s="52">
        <v>200</v>
      </c>
      <c r="F547" s="42" t="b">
        <v>1</v>
      </c>
      <c r="G547" s="42">
        <v>0</v>
      </c>
      <c r="H547" s="52">
        <v>0</v>
      </c>
      <c r="I547" s="42">
        <v>0</v>
      </c>
      <c r="J547" s="42">
        <v>0</v>
      </c>
      <c r="K547" s="42">
        <v>0</v>
      </c>
      <c r="L547" s="46" t="b">
        <v>0</v>
      </c>
      <c r="M547" s="42">
        <v>0</v>
      </c>
      <c r="N547" s="42">
        <v>0</v>
      </c>
      <c r="O547" s="52">
        <v>0</v>
      </c>
      <c r="P547" s="42">
        <v>0</v>
      </c>
      <c r="Q547" s="42">
        <v>0</v>
      </c>
      <c r="R547" s="42"/>
      <c r="S547" s="42"/>
      <c r="T547" s="42" t="s">
        <v>616</v>
      </c>
      <c r="U547" t="str">
        <f>IFERROR(HYPERLINK("#'Main'!B"&amp;MATCH(TRIM(A547),Main!B:B,0),"Open"),HYPERLINK("#'Main'!B1","Open"))</f>
        <v>Open</v>
      </c>
    </row>
    <row r="548" spans="1:22" ht="30" customHeight="1" x14ac:dyDescent="0.25">
      <c r="A548" s="50" t="s">
        <v>214</v>
      </c>
      <c r="B548" s="33" t="s">
        <v>614</v>
      </c>
      <c r="C548" s="37" t="s">
        <v>799</v>
      </c>
      <c r="D548" s="33"/>
      <c r="E548" s="52">
        <v>200</v>
      </c>
      <c r="F548" s="33" t="b">
        <v>1</v>
      </c>
      <c r="G548" s="33">
        <v>0</v>
      </c>
      <c r="H548" s="52">
        <v>0</v>
      </c>
      <c r="I548" s="33">
        <v>0</v>
      </c>
      <c r="J548" s="33">
        <v>0</v>
      </c>
      <c r="K548" s="33">
        <v>0</v>
      </c>
      <c r="L548" s="40" t="b">
        <v>0</v>
      </c>
      <c r="M548" s="33">
        <v>0</v>
      </c>
      <c r="N548" s="33">
        <v>0</v>
      </c>
      <c r="O548" s="52">
        <v>0</v>
      </c>
      <c r="P548" s="33">
        <v>0</v>
      </c>
      <c r="Q548" s="33">
        <v>0</v>
      </c>
      <c r="R548" s="33"/>
      <c r="S548" s="33"/>
      <c r="T548" s="33" t="s">
        <v>616</v>
      </c>
      <c r="U548" s="41" t="str">
        <f>IFERROR(HYPERLINK("#'Main'!B"&amp;MATCH(TRIM(A548),Main!B:B,0),"Open"),HYPERLINK("#'Main'!B1","Open"))</f>
        <v>Open</v>
      </c>
      <c r="V548" s="41"/>
    </row>
    <row r="549" spans="1:22" ht="30" customHeight="1" x14ac:dyDescent="0.25">
      <c r="A549" s="51" t="s">
        <v>214</v>
      </c>
      <c r="B549" s="42" t="s">
        <v>614</v>
      </c>
      <c r="C549" s="44" t="s">
        <v>800</v>
      </c>
      <c r="D549" s="42"/>
      <c r="E549" s="52">
        <v>200</v>
      </c>
      <c r="F549" s="42" t="b">
        <v>1</v>
      </c>
      <c r="G549" s="42">
        <v>0</v>
      </c>
      <c r="H549" s="52">
        <v>0</v>
      </c>
      <c r="I549" s="42">
        <v>0</v>
      </c>
      <c r="J549" s="42">
        <v>0</v>
      </c>
      <c r="K549" s="42">
        <v>0</v>
      </c>
      <c r="L549" s="46" t="b">
        <v>0</v>
      </c>
      <c r="M549" s="42">
        <v>0</v>
      </c>
      <c r="N549" s="42">
        <v>0</v>
      </c>
      <c r="O549" s="52">
        <v>0</v>
      </c>
      <c r="P549" s="42">
        <v>0</v>
      </c>
      <c r="Q549" s="42">
        <v>0</v>
      </c>
      <c r="R549" s="42"/>
      <c r="S549" s="42"/>
      <c r="T549" s="42" t="s">
        <v>616</v>
      </c>
      <c r="U549" t="str">
        <f>IFERROR(HYPERLINK("#'Main'!B"&amp;MATCH(TRIM(A549),Main!B:B,0),"Open"),HYPERLINK("#'Main'!B1","Open"))</f>
        <v>Open</v>
      </c>
    </row>
    <row r="550" spans="1:22" ht="30" customHeight="1" x14ac:dyDescent="0.25">
      <c r="A550" s="50" t="s">
        <v>214</v>
      </c>
      <c r="B550" s="33" t="s">
        <v>614</v>
      </c>
      <c r="C550" s="37" t="s">
        <v>801</v>
      </c>
      <c r="D550" s="33"/>
      <c r="E550" s="52">
        <v>200</v>
      </c>
      <c r="F550" s="33" t="b">
        <v>1</v>
      </c>
      <c r="G550" s="33">
        <v>0</v>
      </c>
      <c r="H550" s="52">
        <v>0</v>
      </c>
      <c r="I550" s="33">
        <v>0</v>
      </c>
      <c r="J550" s="33">
        <v>0</v>
      </c>
      <c r="K550" s="33">
        <v>0</v>
      </c>
      <c r="L550" s="40" t="b">
        <v>0</v>
      </c>
      <c r="M550" s="33">
        <v>0</v>
      </c>
      <c r="N550" s="33">
        <v>0</v>
      </c>
      <c r="O550" s="52">
        <v>0</v>
      </c>
      <c r="P550" s="33">
        <v>0</v>
      </c>
      <c r="Q550" s="33">
        <v>0</v>
      </c>
      <c r="R550" s="33"/>
      <c r="S550" s="33"/>
      <c r="T550" s="33" t="s">
        <v>616</v>
      </c>
      <c r="U550" s="41" t="str">
        <f>IFERROR(HYPERLINK("#'Main'!B"&amp;MATCH(TRIM(A550),Main!B:B,0),"Open"),HYPERLINK("#'Main'!B1","Open"))</f>
        <v>Open</v>
      </c>
      <c r="V550" s="41"/>
    </row>
    <row r="551" spans="1:22" ht="30" customHeight="1" x14ac:dyDescent="0.25">
      <c r="A551" s="51" t="s">
        <v>214</v>
      </c>
      <c r="B551" s="42" t="s">
        <v>614</v>
      </c>
      <c r="C551" s="44" t="s">
        <v>802</v>
      </c>
      <c r="D551" s="42"/>
      <c r="E551" s="52">
        <v>200</v>
      </c>
      <c r="F551" s="42" t="b">
        <v>1</v>
      </c>
      <c r="G551" s="42">
        <v>0</v>
      </c>
      <c r="H551" s="52">
        <v>0</v>
      </c>
      <c r="I551" s="42">
        <v>0</v>
      </c>
      <c r="J551" s="42">
        <v>0</v>
      </c>
      <c r="K551" s="42">
        <v>0</v>
      </c>
      <c r="L551" s="46" t="b">
        <v>0</v>
      </c>
      <c r="M551" s="42">
        <v>0</v>
      </c>
      <c r="N551" s="42">
        <v>0</v>
      </c>
      <c r="O551" s="52">
        <v>0</v>
      </c>
      <c r="P551" s="42">
        <v>0</v>
      </c>
      <c r="Q551" s="42">
        <v>0</v>
      </c>
      <c r="R551" s="42"/>
      <c r="S551" s="42"/>
      <c r="T551" s="42" t="s">
        <v>616</v>
      </c>
      <c r="U551" t="str">
        <f>IFERROR(HYPERLINK("#'Main'!B"&amp;MATCH(TRIM(A551),Main!B:B,0),"Open"),HYPERLINK("#'Main'!B1","Open"))</f>
        <v>Open</v>
      </c>
    </row>
    <row r="552" spans="1:22" ht="30" customHeight="1" x14ac:dyDescent="0.25">
      <c r="A552" s="50" t="s">
        <v>214</v>
      </c>
      <c r="B552" s="33" t="s">
        <v>614</v>
      </c>
      <c r="C552" s="37" t="s">
        <v>803</v>
      </c>
      <c r="D552" s="33"/>
      <c r="E552" s="52">
        <v>200</v>
      </c>
      <c r="F552" s="33" t="b">
        <v>1</v>
      </c>
      <c r="G552" s="33">
        <v>0</v>
      </c>
      <c r="H552" s="52">
        <v>0</v>
      </c>
      <c r="I552" s="33">
        <v>0</v>
      </c>
      <c r="J552" s="33">
        <v>0</v>
      </c>
      <c r="K552" s="33">
        <v>0</v>
      </c>
      <c r="L552" s="40" t="b">
        <v>0</v>
      </c>
      <c r="M552" s="33">
        <v>0</v>
      </c>
      <c r="N552" s="33">
        <v>0</v>
      </c>
      <c r="O552" s="52">
        <v>0</v>
      </c>
      <c r="P552" s="33">
        <v>0</v>
      </c>
      <c r="Q552" s="33">
        <v>0</v>
      </c>
      <c r="R552" s="33"/>
      <c r="S552" s="33"/>
      <c r="T552" s="33" t="s">
        <v>616</v>
      </c>
      <c r="U552" s="41" t="str">
        <f>IFERROR(HYPERLINK("#'Main'!B"&amp;MATCH(TRIM(A552),Main!B:B,0),"Open"),HYPERLINK("#'Main'!B1","Open"))</f>
        <v>Open</v>
      </c>
      <c r="V552" s="41"/>
    </row>
    <row r="553" spans="1:22" ht="30" customHeight="1" x14ac:dyDescent="0.25">
      <c r="A553" s="51" t="s">
        <v>214</v>
      </c>
      <c r="B553" s="42" t="s">
        <v>614</v>
      </c>
      <c r="C553" s="44" t="s">
        <v>804</v>
      </c>
      <c r="D553" s="42"/>
      <c r="E553" s="52">
        <v>200</v>
      </c>
      <c r="F553" s="42" t="b">
        <v>1</v>
      </c>
      <c r="G553" s="42">
        <v>0</v>
      </c>
      <c r="H553" s="52">
        <v>0</v>
      </c>
      <c r="I553" s="42">
        <v>0</v>
      </c>
      <c r="J553" s="42">
        <v>0</v>
      </c>
      <c r="K553" s="42">
        <v>0</v>
      </c>
      <c r="L553" s="46" t="b">
        <v>0</v>
      </c>
      <c r="M553" s="42">
        <v>0</v>
      </c>
      <c r="N553" s="42">
        <v>0</v>
      </c>
      <c r="O553" s="52">
        <v>0</v>
      </c>
      <c r="P553" s="42">
        <v>0</v>
      </c>
      <c r="Q553" s="42">
        <v>0</v>
      </c>
      <c r="R553" s="42"/>
      <c r="S553" s="42"/>
      <c r="T553" s="42" t="s">
        <v>616</v>
      </c>
      <c r="U553" t="str">
        <f>IFERROR(HYPERLINK("#'Main'!B"&amp;MATCH(TRIM(A553),Main!B:B,0),"Open"),HYPERLINK("#'Main'!B1","Open"))</f>
        <v>Open</v>
      </c>
    </row>
    <row r="554" spans="1:22" ht="30" customHeight="1" x14ac:dyDescent="0.25">
      <c r="A554" s="50" t="s">
        <v>214</v>
      </c>
      <c r="B554" s="33" t="s">
        <v>614</v>
      </c>
      <c r="C554" s="37" t="s">
        <v>805</v>
      </c>
      <c r="D554" s="33"/>
      <c r="E554" s="52">
        <v>200</v>
      </c>
      <c r="F554" s="33" t="b">
        <v>1</v>
      </c>
      <c r="G554" s="33">
        <v>0</v>
      </c>
      <c r="H554" s="52">
        <v>0</v>
      </c>
      <c r="I554" s="33">
        <v>0</v>
      </c>
      <c r="J554" s="33">
        <v>0</v>
      </c>
      <c r="K554" s="33">
        <v>0</v>
      </c>
      <c r="L554" s="40" t="b">
        <v>0</v>
      </c>
      <c r="M554" s="33">
        <v>0</v>
      </c>
      <c r="N554" s="33">
        <v>0</v>
      </c>
      <c r="O554" s="52">
        <v>0</v>
      </c>
      <c r="P554" s="33">
        <v>0</v>
      </c>
      <c r="Q554" s="33">
        <v>0</v>
      </c>
      <c r="R554" s="33"/>
      <c r="S554" s="33"/>
      <c r="T554" s="33" t="s">
        <v>616</v>
      </c>
      <c r="U554" s="41" t="str">
        <f>IFERROR(HYPERLINK("#'Main'!B"&amp;MATCH(TRIM(A554),Main!B:B,0),"Open"),HYPERLINK("#'Main'!B1","Open"))</f>
        <v>Open</v>
      </c>
      <c r="V554" s="41"/>
    </row>
    <row r="555" spans="1:22" ht="30" customHeight="1" x14ac:dyDescent="0.25">
      <c r="A555" s="51" t="s">
        <v>214</v>
      </c>
      <c r="B555" s="42" t="s">
        <v>614</v>
      </c>
      <c r="C555" s="44" t="s">
        <v>806</v>
      </c>
      <c r="D555" s="42"/>
      <c r="E555" s="52">
        <v>200</v>
      </c>
      <c r="F555" s="42" t="b">
        <v>1</v>
      </c>
      <c r="G555" s="42">
        <v>0</v>
      </c>
      <c r="H555" s="52">
        <v>0</v>
      </c>
      <c r="I555" s="42">
        <v>0</v>
      </c>
      <c r="J555" s="42">
        <v>0</v>
      </c>
      <c r="K555" s="42">
        <v>0</v>
      </c>
      <c r="L555" s="46" t="b">
        <v>0</v>
      </c>
      <c r="M555" s="42">
        <v>0</v>
      </c>
      <c r="N555" s="42">
        <v>0</v>
      </c>
      <c r="O555" s="52">
        <v>0</v>
      </c>
      <c r="P555" s="42">
        <v>0</v>
      </c>
      <c r="Q555" s="42">
        <v>0</v>
      </c>
      <c r="R555" s="42"/>
      <c r="S555" s="42"/>
      <c r="T555" s="42" t="s">
        <v>616</v>
      </c>
      <c r="U555" t="str">
        <f>IFERROR(HYPERLINK("#'Main'!B"&amp;MATCH(TRIM(A555),Main!B:B,0),"Open"),HYPERLINK("#'Main'!B1","Open"))</f>
        <v>Open</v>
      </c>
    </row>
    <row r="556" spans="1:22" ht="30" customHeight="1" x14ac:dyDescent="0.25">
      <c r="A556" s="50" t="s">
        <v>214</v>
      </c>
      <c r="B556" s="33" t="s">
        <v>614</v>
      </c>
      <c r="C556" s="37" t="s">
        <v>807</v>
      </c>
      <c r="D556" s="33"/>
      <c r="E556" s="52">
        <v>200</v>
      </c>
      <c r="F556" s="33" t="b">
        <v>1</v>
      </c>
      <c r="G556" s="33">
        <v>0</v>
      </c>
      <c r="H556" s="52">
        <v>0</v>
      </c>
      <c r="I556" s="33">
        <v>0</v>
      </c>
      <c r="J556" s="33">
        <v>0</v>
      </c>
      <c r="K556" s="33">
        <v>0</v>
      </c>
      <c r="L556" s="40" t="b">
        <v>0</v>
      </c>
      <c r="M556" s="33">
        <v>0</v>
      </c>
      <c r="N556" s="33">
        <v>0</v>
      </c>
      <c r="O556" s="52">
        <v>0</v>
      </c>
      <c r="P556" s="33">
        <v>0</v>
      </c>
      <c r="Q556" s="33">
        <v>0</v>
      </c>
      <c r="R556" s="33"/>
      <c r="S556" s="33"/>
      <c r="T556" s="33" t="s">
        <v>616</v>
      </c>
      <c r="U556" s="41" t="str">
        <f>IFERROR(HYPERLINK("#'Main'!B"&amp;MATCH(TRIM(A556),Main!B:B,0),"Open"),HYPERLINK("#'Main'!B1","Open"))</f>
        <v>Open</v>
      </c>
      <c r="V556" s="41"/>
    </row>
    <row r="557" spans="1:22" ht="30" customHeight="1" x14ac:dyDescent="0.25">
      <c r="A557" s="51" t="s">
        <v>214</v>
      </c>
      <c r="B557" s="42" t="s">
        <v>614</v>
      </c>
      <c r="C557" s="44" t="s">
        <v>808</v>
      </c>
      <c r="D557" s="42"/>
      <c r="E557" s="52">
        <v>200</v>
      </c>
      <c r="F557" s="42" t="b">
        <v>1</v>
      </c>
      <c r="G557" s="42">
        <v>0</v>
      </c>
      <c r="H557" s="52">
        <v>0</v>
      </c>
      <c r="I557" s="42">
        <v>0</v>
      </c>
      <c r="J557" s="42">
        <v>0</v>
      </c>
      <c r="K557" s="42">
        <v>0</v>
      </c>
      <c r="L557" s="46" t="b">
        <v>0</v>
      </c>
      <c r="M557" s="42">
        <v>0</v>
      </c>
      <c r="N557" s="42">
        <v>0</v>
      </c>
      <c r="O557" s="52">
        <v>0</v>
      </c>
      <c r="P557" s="42">
        <v>0</v>
      </c>
      <c r="Q557" s="42">
        <v>0</v>
      </c>
      <c r="R557" s="42"/>
      <c r="S557" s="42"/>
      <c r="T557" s="42" t="s">
        <v>616</v>
      </c>
      <c r="U557" t="str">
        <f>IFERROR(HYPERLINK("#'Main'!B"&amp;MATCH(TRIM(A557),Main!B:B,0),"Open"),HYPERLINK("#'Main'!B1","Open"))</f>
        <v>Open</v>
      </c>
    </row>
    <row r="558" spans="1:22" ht="30" customHeight="1" x14ac:dyDescent="0.25">
      <c r="A558" s="50" t="s">
        <v>214</v>
      </c>
      <c r="B558" s="33" t="s">
        <v>614</v>
      </c>
      <c r="C558" s="37" t="s">
        <v>809</v>
      </c>
      <c r="D558" s="33"/>
      <c r="E558" s="52">
        <v>200</v>
      </c>
      <c r="F558" s="33" t="b">
        <v>1</v>
      </c>
      <c r="G558" s="33">
        <v>0</v>
      </c>
      <c r="H558" s="52">
        <v>0</v>
      </c>
      <c r="I558" s="33">
        <v>0</v>
      </c>
      <c r="J558" s="33">
        <v>0</v>
      </c>
      <c r="K558" s="33">
        <v>0</v>
      </c>
      <c r="L558" s="40" t="b">
        <v>0</v>
      </c>
      <c r="M558" s="33">
        <v>0</v>
      </c>
      <c r="N558" s="33">
        <v>0</v>
      </c>
      <c r="O558" s="52">
        <v>0</v>
      </c>
      <c r="P558" s="33">
        <v>0</v>
      </c>
      <c r="Q558" s="33">
        <v>0</v>
      </c>
      <c r="R558" s="33"/>
      <c r="S558" s="33"/>
      <c r="T558" s="33" t="s">
        <v>616</v>
      </c>
      <c r="U558" s="41" t="str">
        <f>IFERROR(HYPERLINK("#'Main'!B"&amp;MATCH(TRIM(A558),Main!B:B,0),"Open"),HYPERLINK("#'Main'!B1","Open"))</f>
        <v>Open</v>
      </c>
      <c r="V558" s="41"/>
    </row>
    <row r="559" spans="1:22" ht="30" customHeight="1" x14ac:dyDescent="0.25">
      <c r="A559" s="51" t="s">
        <v>214</v>
      </c>
      <c r="B559" s="42" t="s">
        <v>614</v>
      </c>
      <c r="C559" s="44" t="s">
        <v>810</v>
      </c>
      <c r="D559" s="42"/>
      <c r="E559" s="52">
        <v>200</v>
      </c>
      <c r="F559" s="42" t="b">
        <v>1</v>
      </c>
      <c r="G559" s="42">
        <v>0</v>
      </c>
      <c r="H559" s="52">
        <v>0</v>
      </c>
      <c r="I559" s="42">
        <v>0</v>
      </c>
      <c r="J559" s="42">
        <v>0</v>
      </c>
      <c r="K559" s="42">
        <v>0</v>
      </c>
      <c r="L559" s="46" t="b">
        <v>0</v>
      </c>
      <c r="M559" s="42">
        <v>0</v>
      </c>
      <c r="N559" s="42">
        <v>0</v>
      </c>
      <c r="O559" s="52">
        <v>0</v>
      </c>
      <c r="P559" s="42">
        <v>0</v>
      </c>
      <c r="Q559" s="42">
        <v>0</v>
      </c>
      <c r="R559" s="42"/>
      <c r="S559" s="42"/>
      <c r="T559" s="42" t="s">
        <v>616</v>
      </c>
      <c r="U559" t="str">
        <f>IFERROR(HYPERLINK("#'Main'!B"&amp;MATCH(TRIM(A559),Main!B:B,0),"Open"),HYPERLINK("#'Main'!B1","Open"))</f>
        <v>Open</v>
      </c>
    </row>
    <row r="560" spans="1:22" ht="30" customHeight="1" x14ac:dyDescent="0.25">
      <c r="A560" s="50" t="s">
        <v>214</v>
      </c>
      <c r="B560" s="33" t="s">
        <v>614</v>
      </c>
      <c r="C560" s="37" t="s">
        <v>811</v>
      </c>
      <c r="D560" s="33"/>
      <c r="E560" s="52">
        <v>200</v>
      </c>
      <c r="F560" s="33" t="b">
        <v>1</v>
      </c>
      <c r="G560" s="33">
        <v>0</v>
      </c>
      <c r="H560" s="52">
        <v>0</v>
      </c>
      <c r="I560" s="33">
        <v>0</v>
      </c>
      <c r="J560" s="33">
        <v>0</v>
      </c>
      <c r="K560" s="33">
        <v>0</v>
      </c>
      <c r="L560" s="40" t="b">
        <v>0</v>
      </c>
      <c r="M560" s="33">
        <v>0</v>
      </c>
      <c r="N560" s="33">
        <v>0</v>
      </c>
      <c r="O560" s="52">
        <v>0</v>
      </c>
      <c r="P560" s="33">
        <v>0</v>
      </c>
      <c r="Q560" s="33">
        <v>0</v>
      </c>
      <c r="R560" s="33"/>
      <c r="S560" s="33"/>
      <c r="T560" s="33" t="s">
        <v>616</v>
      </c>
      <c r="U560" s="41" t="str">
        <f>IFERROR(HYPERLINK("#'Main'!B"&amp;MATCH(TRIM(A560),Main!B:B,0),"Open"),HYPERLINK("#'Main'!B1","Open"))</f>
        <v>Open</v>
      </c>
      <c r="V560" s="41"/>
    </row>
    <row r="561" spans="1:22" ht="30" customHeight="1" x14ac:dyDescent="0.25">
      <c r="A561" s="51" t="s">
        <v>214</v>
      </c>
      <c r="B561" s="42" t="s">
        <v>614</v>
      </c>
      <c r="C561" s="44" t="s">
        <v>812</v>
      </c>
      <c r="D561" s="42"/>
      <c r="E561" s="52">
        <v>200</v>
      </c>
      <c r="F561" s="42" t="b">
        <v>1</v>
      </c>
      <c r="G561" s="42">
        <v>0</v>
      </c>
      <c r="H561" s="52">
        <v>0</v>
      </c>
      <c r="I561" s="42">
        <v>0</v>
      </c>
      <c r="J561" s="42">
        <v>0</v>
      </c>
      <c r="K561" s="42">
        <v>0</v>
      </c>
      <c r="L561" s="46" t="b">
        <v>0</v>
      </c>
      <c r="M561" s="42">
        <v>0</v>
      </c>
      <c r="N561" s="42">
        <v>0</v>
      </c>
      <c r="O561" s="52">
        <v>0</v>
      </c>
      <c r="P561" s="42">
        <v>0</v>
      </c>
      <c r="Q561" s="42">
        <v>0</v>
      </c>
      <c r="R561" s="42"/>
      <c r="S561" s="42"/>
      <c r="T561" s="42" t="s">
        <v>616</v>
      </c>
      <c r="U561" t="str">
        <f>IFERROR(HYPERLINK("#'Main'!B"&amp;MATCH(TRIM(A561),Main!B:B,0),"Open"),HYPERLINK("#'Main'!B1","Open"))</f>
        <v>Open</v>
      </c>
    </row>
    <row r="562" spans="1:22" ht="30" customHeight="1" x14ac:dyDescent="0.25">
      <c r="A562" s="50" t="s">
        <v>214</v>
      </c>
      <c r="B562" s="33" t="s">
        <v>614</v>
      </c>
      <c r="C562" s="37" t="s">
        <v>813</v>
      </c>
      <c r="D562" s="33"/>
      <c r="E562" s="52">
        <v>200</v>
      </c>
      <c r="F562" s="33" t="b">
        <v>1</v>
      </c>
      <c r="G562" s="33">
        <v>0</v>
      </c>
      <c r="H562" s="52">
        <v>0</v>
      </c>
      <c r="I562" s="33">
        <v>0</v>
      </c>
      <c r="J562" s="33">
        <v>0</v>
      </c>
      <c r="K562" s="33">
        <v>0</v>
      </c>
      <c r="L562" s="40" t="b">
        <v>0</v>
      </c>
      <c r="M562" s="33">
        <v>0</v>
      </c>
      <c r="N562" s="33">
        <v>0</v>
      </c>
      <c r="O562" s="52">
        <v>0</v>
      </c>
      <c r="P562" s="33">
        <v>0</v>
      </c>
      <c r="Q562" s="33">
        <v>0</v>
      </c>
      <c r="R562" s="33"/>
      <c r="S562" s="33"/>
      <c r="T562" s="33" t="s">
        <v>616</v>
      </c>
      <c r="U562" s="41" t="str">
        <f>IFERROR(HYPERLINK("#'Main'!B"&amp;MATCH(TRIM(A562),Main!B:B,0),"Open"),HYPERLINK("#'Main'!B1","Open"))</f>
        <v>Open</v>
      </c>
      <c r="V562" s="41"/>
    </row>
    <row r="563" spans="1:22" ht="30" customHeight="1" x14ac:dyDescent="0.25">
      <c r="A563" s="51" t="s">
        <v>214</v>
      </c>
      <c r="B563" s="42" t="s">
        <v>614</v>
      </c>
      <c r="C563" s="44" t="s">
        <v>814</v>
      </c>
      <c r="D563" s="42"/>
      <c r="E563" s="52">
        <v>200</v>
      </c>
      <c r="F563" s="42" t="b">
        <v>1</v>
      </c>
      <c r="G563" s="42">
        <v>0</v>
      </c>
      <c r="H563" s="52">
        <v>0</v>
      </c>
      <c r="I563" s="42">
        <v>0</v>
      </c>
      <c r="J563" s="42">
        <v>0</v>
      </c>
      <c r="K563" s="42">
        <v>0</v>
      </c>
      <c r="L563" s="46" t="b">
        <v>0</v>
      </c>
      <c r="M563" s="42">
        <v>0</v>
      </c>
      <c r="N563" s="42">
        <v>0</v>
      </c>
      <c r="O563" s="52">
        <v>0</v>
      </c>
      <c r="P563" s="42">
        <v>0</v>
      </c>
      <c r="Q563" s="42">
        <v>0</v>
      </c>
      <c r="R563" s="42"/>
      <c r="S563" s="42"/>
      <c r="T563" s="42" t="s">
        <v>616</v>
      </c>
      <c r="U563" t="str">
        <f>IFERROR(HYPERLINK("#'Main'!B"&amp;MATCH(TRIM(A563),Main!B:B,0),"Open"),HYPERLINK("#'Main'!B1","Open"))</f>
        <v>Open</v>
      </c>
    </row>
    <row r="564" spans="1:22" ht="30" customHeight="1" x14ac:dyDescent="0.25">
      <c r="A564" s="50" t="s">
        <v>214</v>
      </c>
      <c r="B564" s="33" t="s">
        <v>614</v>
      </c>
      <c r="C564" s="37" t="s">
        <v>815</v>
      </c>
      <c r="D564" s="33"/>
      <c r="E564" s="52">
        <v>200</v>
      </c>
      <c r="F564" s="33" t="b">
        <v>1</v>
      </c>
      <c r="G564" s="33">
        <v>0</v>
      </c>
      <c r="H564" s="52">
        <v>0</v>
      </c>
      <c r="I564" s="33">
        <v>0</v>
      </c>
      <c r="J564" s="33">
        <v>0</v>
      </c>
      <c r="K564" s="33">
        <v>0</v>
      </c>
      <c r="L564" s="40" t="b">
        <v>0</v>
      </c>
      <c r="M564" s="33">
        <v>0</v>
      </c>
      <c r="N564" s="33">
        <v>0</v>
      </c>
      <c r="O564" s="52">
        <v>0</v>
      </c>
      <c r="P564" s="33">
        <v>0</v>
      </c>
      <c r="Q564" s="33">
        <v>0</v>
      </c>
      <c r="R564" s="33"/>
      <c r="S564" s="33"/>
      <c r="T564" s="33" t="s">
        <v>616</v>
      </c>
      <c r="U564" s="41" t="str">
        <f>IFERROR(HYPERLINK("#'Main'!B"&amp;MATCH(TRIM(A564),Main!B:B,0),"Open"),HYPERLINK("#'Main'!B1","Open"))</f>
        <v>Open</v>
      </c>
      <c r="V564" s="41"/>
    </row>
    <row r="565" spans="1:22" ht="30" customHeight="1" x14ac:dyDescent="0.25">
      <c r="A565" s="51" t="s">
        <v>214</v>
      </c>
      <c r="B565" s="42" t="s">
        <v>614</v>
      </c>
      <c r="C565" s="44" t="s">
        <v>816</v>
      </c>
      <c r="D565" s="42"/>
      <c r="E565" s="52">
        <v>200</v>
      </c>
      <c r="F565" s="42" t="b">
        <v>1</v>
      </c>
      <c r="G565" s="42">
        <v>0</v>
      </c>
      <c r="H565" s="52">
        <v>0</v>
      </c>
      <c r="I565" s="42">
        <v>0</v>
      </c>
      <c r="J565" s="42">
        <v>0</v>
      </c>
      <c r="K565" s="42">
        <v>0</v>
      </c>
      <c r="L565" s="46" t="b">
        <v>0</v>
      </c>
      <c r="M565" s="42">
        <v>0</v>
      </c>
      <c r="N565" s="42">
        <v>0</v>
      </c>
      <c r="O565" s="52">
        <v>0</v>
      </c>
      <c r="P565" s="42">
        <v>0</v>
      </c>
      <c r="Q565" s="42">
        <v>0</v>
      </c>
      <c r="R565" s="42"/>
      <c r="S565" s="42"/>
      <c r="T565" s="42" t="s">
        <v>616</v>
      </c>
      <c r="U565" t="str">
        <f>IFERROR(HYPERLINK("#'Main'!B"&amp;MATCH(TRIM(A565),Main!B:B,0),"Open"),HYPERLINK("#'Main'!B1","Open"))</f>
        <v>Open</v>
      </c>
    </row>
    <row r="566" spans="1:22" ht="30" customHeight="1" x14ac:dyDescent="0.25">
      <c r="A566" s="50" t="s">
        <v>214</v>
      </c>
      <c r="B566" s="33" t="s">
        <v>614</v>
      </c>
      <c r="C566" s="37" t="s">
        <v>817</v>
      </c>
      <c r="D566" s="33"/>
      <c r="E566" s="52">
        <v>200</v>
      </c>
      <c r="F566" s="33" t="b">
        <v>1</v>
      </c>
      <c r="G566" s="33">
        <v>0</v>
      </c>
      <c r="H566" s="52">
        <v>0</v>
      </c>
      <c r="I566" s="33">
        <v>0</v>
      </c>
      <c r="J566" s="33">
        <v>0</v>
      </c>
      <c r="K566" s="33">
        <v>0</v>
      </c>
      <c r="L566" s="40" t="b">
        <v>0</v>
      </c>
      <c r="M566" s="33">
        <v>0</v>
      </c>
      <c r="N566" s="33">
        <v>0</v>
      </c>
      <c r="O566" s="52">
        <v>0</v>
      </c>
      <c r="P566" s="33">
        <v>0</v>
      </c>
      <c r="Q566" s="33">
        <v>0</v>
      </c>
      <c r="R566" s="33"/>
      <c r="S566" s="33"/>
      <c r="T566" s="33" t="s">
        <v>616</v>
      </c>
      <c r="U566" s="41" t="str">
        <f>IFERROR(HYPERLINK("#'Main'!B"&amp;MATCH(TRIM(A566),Main!B:B,0),"Open"),HYPERLINK("#'Main'!B1","Open"))</f>
        <v>Open</v>
      </c>
      <c r="V566" s="41"/>
    </row>
    <row r="567" spans="1:22" ht="30" customHeight="1" x14ac:dyDescent="0.25">
      <c r="A567" s="51" t="s">
        <v>214</v>
      </c>
      <c r="B567" s="42" t="s">
        <v>614</v>
      </c>
      <c r="C567" s="44" t="s">
        <v>818</v>
      </c>
      <c r="D567" s="42"/>
      <c r="E567" s="52">
        <v>200</v>
      </c>
      <c r="F567" s="42" t="b">
        <v>1</v>
      </c>
      <c r="G567" s="42">
        <v>0</v>
      </c>
      <c r="H567" s="52">
        <v>0</v>
      </c>
      <c r="I567" s="42">
        <v>0</v>
      </c>
      <c r="J567" s="42">
        <v>0</v>
      </c>
      <c r="K567" s="42">
        <v>0</v>
      </c>
      <c r="L567" s="46" t="b">
        <v>0</v>
      </c>
      <c r="M567" s="42">
        <v>0</v>
      </c>
      <c r="N567" s="42">
        <v>0</v>
      </c>
      <c r="O567" s="52">
        <v>0</v>
      </c>
      <c r="P567" s="42">
        <v>0</v>
      </c>
      <c r="Q567" s="42">
        <v>0</v>
      </c>
      <c r="R567" s="42"/>
      <c r="S567" s="42"/>
      <c r="T567" s="42" t="s">
        <v>616</v>
      </c>
      <c r="U567" t="str">
        <f>IFERROR(HYPERLINK("#'Main'!B"&amp;MATCH(TRIM(A567),Main!B:B,0),"Open"),HYPERLINK("#'Main'!B1","Open"))</f>
        <v>Open</v>
      </c>
    </row>
    <row r="568" spans="1:22" ht="30" customHeight="1" x14ac:dyDescent="0.25">
      <c r="A568" s="50" t="s">
        <v>214</v>
      </c>
      <c r="B568" s="33" t="s">
        <v>614</v>
      </c>
      <c r="C568" s="37" t="s">
        <v>819</v>
      </c>
      <c r="D568" s="33"/>
      <c r="E568" s="52">
        <v>200</v>
      </c>
      <c r="F568" s="33" t="b">
        <v>1</v>
      </c>
      <c r="G568" s="33">
        <v>0</v>
      </c>
      <c r="H568" s="52">
        <v>0</v>
      </c>
      <c r="I568" s="33">
        <v>0</v>
      </c>
      <c r="J568" s="33">
        <v>0</v>
      </c>
      <c r="K568" s="33">
        <v>0</v>
      </c>
      <c r="L568" s="40" t="b">
        <v>0</v>
      </c>
      <c r="M568" s="33">
        <v>0</v>
      </c>
      <c r="N568" s="33">
        <v>0</v>
      </c>
      <c r="O568" s="52">
        <v>0</v>
      </c>
      <c r="P568" s="33">
        <v>0</v>
      </c>
      <c r="Q568" s="33">
        <v>0</v>
      </c>
      <c r="R568" s="33"/>
      <c r="S568" s="33"/>
      <c r="T568" s="33" t="s">
        <v>616</v>
      </c>
      <c r="U568" s="41" t="str">
        <f>IFERROR(HYPERLINK("#'Main'!B"&amp;MATCH(TRIM(A568),Main!B:B,0),"Open"),HYPERLINK("#'Main'!B1","Open"))</f>
        <v>Open</v>
      </c>
      <c r="V568" s="41"/>
    </row>
    <row r="569" spans="1:22" ht="30" customHeight="1" x14ac:dyDescent="0.25">
      <c r="A569" s="51" t="s">
        <v>214</v>
      </c>
      <c r="B569" s="42" t="s">
        <v>614</v>
      </c>
      <c r="C569" s="44" t="s">
        <v>820</v>
      </c>
      <c r="D569" s="42"/>
      <c r="E569" s="52">
        <v>200</v>
      </c>
      <c r="F569" s="42" t="b">
        <v>1</v>
      </c>
      <c r="G569" s="42">
        <v>0</v>
      </c>
      <c r="H569" s="52">
        <v>0</v>
      </c>
      <c r="I569" s="42">
        <v>0</v>
      </c>
      <c r="J569" s="42">
        <v>0</v>
      </c>
      <c r="K569" s="42">
        <v>0</v>
      </c>
      <c r="L569" s="46" t="b">
        <v>0</v>
      </c>
      <c r="M569" s="42">
        <v>0</v>
      </c>
      <c r="N569" s="42">
        <v>0</v>
      </c>
      <c r="O569" s="52">
        <v>0</v>
      </c>
      <c r="P569" s="42">
        <v>0</v>
      </c>
      <c r="Q569" s="42">
        <v>0</v>
      </c>
      <c r="R569" s="42"/>
      <c r="S569" s="42"/>
      <c r="T569" s="42" t="s">
        <v>616</v>
      </c>
      <c r="U569" t="str">
        <f>IFERROR(HYPERLINK("#'Main'!B"&amp;MATCH(TRIM(A569),Main!B:B,0),"Open"),HYPERLINK("#'Main'!B1","Open"))</f>
        <v>Open</v>
      </c>
    </row>
    <row r="570" spans="1:22" ht="30" customHeight="1" x14ac:dyDescent="0.25">
      <c r="A570" s="50" t="s">
        <v>214</v>
      </c>
      <c r="B570" s="33" t="s">
        <v>614</v>
      </c>
      <c r="C570" s="37" t="s">
        <v>821</v>
      </c>
      <c r="D570" s="33"/>
      <c r="E570" s="52">
        <v>200</v>
      </c>
      <c r="F570" s="33" t="b">
        <v>1</v>
      </c>
      <c r="G570" s="33">
        <v>0</v>
      </c>
      <c r="H570" s="52">
        <v>0</v>
      </c>
      <c r="I570" s="33">
        <v>0</v>
      </c>
      <c r="J570" s="33">
        <v>0</v>
      </c>
      <c r="K570" s="33">
        <v>0</v>
      </c>
      <c r="L570" s="40" t="b">
        <v>0</v>
      </c>
      <c r="M570" s="33">
        <v>0</v>
      </c>
      <c r="N570" s="33">
        <v>0</v>
      </c>
      <c r="O570" s="52">
        <v>0</v>
      </c>
      <c r="P570" s="33">
        <v>0</v>
      </c>
      <c r="Q570" s="33">
        <v>0</v>
      </c>
      <c r="R570" s="33"/>
      <c r="S570" s="33"/>
      <c r="T570" s="33" t="s">
        <v>616</v>
      </c>
      <c r="U570" s="41" t="str">
        <f>IFERROR(HYPERLINK("#'Main'!B"&amp;MATCH(TRIM(A570),Main!B:B,0),"Open"),HYPERLINK("#'Main'!B1","Open"))</f>
        <v>Open</v>
      </c>
      <c r="V570" s="41"/>
    </row>
    <row r="571" spans="1:22" ht="30" customHeight="1" x14ac:dyDescent="0.25">
      <c r="A571" s="51" t="s">
        <v>214</v>
      </c>
      <c r="B571" s="42" t="s">
        <v>614</v>
      </c>
      <c r="C571" s="44" t="s">
        <v>822</v>
      </c>
      <c r="D571" s="42"/>
      <c r="E571" s="52">
        <v>200</v>
      </c>
      <c r="F571" s="42" t="b">
        <v>1</v>
      </c>
      <c r="G571" s="42">
        <v>0</v>
      </c>
      <c r="H571" s="52">
        <v>0</v>
      </c>
      <c r="I571" s="42">
        <v>0</v>
      </c>
      <c r="J571" s="42">
        <v>0</v>
      </c>
      <c r="K571" s="42">
        <v>0</v>
      </c>
      <c r="L571" s="46" t="b">
        <v>0</v>
      </c>
      <c r="M571" s="42">
        <v>0</v>
      </c>
      <c r="N571" s="42">
        <v>0</v>
      </c>
      <c r="O571" s="52">
        <v>0</v>
      </c>
      <c r="P571" s="42">
        <v>0</v>
      </c>
      <c r="Q571" s="42">
        <v>0</v>
      </c>
      <c r="R571" s="42"/>
      <c r="S571" s="42"/>
      <c r="T571" s="42" t="s">
        <v>616</v>
      </c>
      <c r="U571" t="str">
        <f>IFERROR(HYPERLINK("#'Main'!B"&amp;MATCH(TRIM(A571),Main!B:B,0),"Open"),HYPERLINK("#'Main'!B1","Open"))</f>
        <v>Open</v>
      </c>
    </row>
    <row r="572" spans="1:22" ht="30" customHeight="1" x14ac:dyDescent="0.25">
      <c r="A572" s="50" t="s">
        <v>214</v>
      </c>
      <c r="B572" s="33" t="s">
        <v>614</v>
      </c>
      <c r="C572" s="37" t="s">
        <v>823</v>
      </c>
      <c r="D572" s="33"/>
      <c r="E572" s="52">
        <v>200</v>
      </c>
      <c r="F572" s="33" t="b">
        <v>1</v>
      </c>
      <c r="G572" s="33">
        <v>0</v>
      </c>
      <c r="H572" s="52">
        <v>0</v>
      </c>
      <c r="I572" s="33">
        <v>0</v>
      </c>
      <c r="J572" s="33">
        <v>0</v>
      </c>
      <c r="K572" s="33">
        <v>0</v>
      </c>
      <c r="L572" s="40" t="b">
        <v>0</v>
      </c>
      <c r="M572" s="33">
        <v>0</v>
      </c>
      <c r="N572" s="33">
        <v>0</v>
      </c>
      <c r="O572" s="52">
        <v>0</v>
      </c>
      <c r="P572" s="33">
        <v>0</v>
      </c>
      <c r="Q572" s="33">
        <v>0</v>
      </c>
      <c r="R572" s="33"/>
      <c r="S572" s="33"/>
      <c r="T572" s="33" t="s">
        <v>616</v>
      </c>
      <c r="U572" s="41" t="str">
        <f>IFERROR(HYPERLINK("#'Main'!B"&amp;MATCH(TRIM(A572),Main!B:B,0),"Open"),HYPERLINK("#'Main'!B1","Open"))</f>
        <v>Open</v>
      </c>
      <c r="V572" s="41"/>
    </row>
    <row r="573" spans="1:22" ht="30" customHeight="1" x14ac:dyDescent="0.25">
      <c r="A573" s="51" t="s">
        <v>214</v>
      </c>
      <c r="B573" s="42" t="s">
        <v>614</v>
      </c>
      <c r="C573" s="44" t="s">
        <v>824</v>
      </c>
      <c r="D573" s="42"/>
      <c r="E573" s="52">
        <v>200</v>
      </c>
      <c r="F573" s="42" t="b">
        <v>1</v>
      </c>
      <c r="G573" s="42">
        <v>0</v>
      </c>
      <c r="H573" s="52">
        <v>0</v>
      </c>
      <c r="I573" s="42">
        <v>0</v>
      </c>
      <c r="J573" s="42">
        <v>0</v>
      </c>
      <c r="K573" s="42">
        <v>0</v>
      </c>
      <c r="L573" s="46" t="b">
        <v>0</v>
      </c>
      <c r="M573" s="42">
        <v>0</v>
      </c>
      <c r="N573" s="42">
        <v>0</v>
      </c>
      <c r="O573" s="52">
        <v>0</v>
      </c>
      <c r="P573" s="42">
        <v>0</v>
      </c>
      <c r="Q573" s="42">
        <v>0</v>
      </c>
      <c r="R573" s="42"/>
      <c r="S573" s="42"/>
      <c r="T573" s="42" t="s">
        <v>616</v>
      </c>
      <c r="U573" t="str">
        <f>IFERROR(HYPERLINK("#'Main'!B"&amp;MATCH(TRIM(A573),Main!B:B,0),"Open"),HYPERLINK("#'Main'!B1","Open"))</f>
        <v>Open</v>
      </c>
    </row>
    <row r="574" spans="1:22" ht="30" customHeight="1" x14ac:dyDescent="0.25">
      <c r="A574" s="50" t="s">
        <v>214</v>
      </c>
      <c r="B574" s="33" t="s">
        <v>614</v>
      </c>
      <c r="C574" s="37" t="s">
        <v>825</v>
      </c>
      <c r="D574" s="33"/>
      <c r="E574" s="52">
        <v>200</v>
      </c>
      <c r="F574" s="33" t="b">
        <v>1</v>
      </c>
      <c r="G574" s="33">
        <v>0</v>
      </c>
      <c r="H574" s="52">
        <v>0</v>
      </c>
      <c r="I574" s="33">
        <v>0</v>
      </c>
      <c r="J574" s="33">
        <v>0</v>
      </c>
      <c r="K574" s="33">
        <v>0</v>
      </c>
      <c r="L574" s="40" t="b">
        <v>0</v>
      </c>
      <c r="M574" s="33">
        <v>0</v>
      </c>
      <c r="N574" s="33">
        <v>0</v>
      </c>
      <c r="O574" s="52">
        <v>0</v>
      </c>
      <c r="P574" s="33">
        <v>0</v>
      </c>
      <c r="Q574" s="33">
        <v>0</v>
      </c>
      <c r="R574" s="33"/>
      <c r="S574" s="33"/>
      <c r="T574" s="33" t="s">
        <v>616</v>
      </c>
      <c r="U574" s="41" t="str">
        <f>IFERROR(HYPERLINK("#'Main'!B"&amp;MATCH(TRIM(A574),Main!B:B,0),"Open"),HYPERLINK("#'Main'!B1","Open"))</f>
        <v>Open</v>
      </c>
      <c r="V574" s="41"/>
    </row>
    <row r="575" spans="1:22" ht="30" customHeight="1" x14ac:dyDescent="0.25">
      <c r="A575" s="51" t="s">
        <v>214</v>
      </c>
      <c r="B575" s="42" t="s">
        <v>614</v>
      </c>
      <c r="C575" s="44" t="s">
        <v>826</v>
      </c>
      <c r="D575" s="42"/>
      <c r="E575" s="52">
        <v>200</v>
      </c>
      <c r="F575" s="42" t="b">
        <v>1</v>
      </c>
      <c r="G575" s="42">
        <v>0</v>
      </c>
      <c r="H575" s="52">
        <v>0</v>
      </c>
      <c r="I575" s="42">
        <v>0</v>
      </c>
      <c r="J575" s="42">
        <v>0</v>
      </c>
      <c r="K575" s="42">
        <v>0</v>
      </c>
      <c r="L575" s="46" t="b">
        <v>0</v>
      </c>
      <c r="M575" s="42">
        <v>0</v>
      </c>
      <c r="N575" s="42">
        <v>0</v>
      </c>
      <c r="O575" s="52">
        <v>0</v>
      </c>
      <c r="P575" s="42">
        <v>0</v>
      </c>
      <c r="Q575" s="42">
        <v>0</v>
      </c>
      <c r="R575" s="42"/>
      <c r="S575" s="42"/>
      <c r="T575" s="42" t="s">
        <v>616</v>
      </c>
      <c r="U575" t="str">
        <f>IFERROR(HYPERLINK("#'Main'!B"&amp;MATCH(TRIM(A575),Main!B:B,0),"Open"),HYPERLINK("#'Main'!B1","Open"))</f>
        <v>Open</v>
      </c>
    </row>
    <row r="576" spans="1:22" ht="30" customHeight="1" x14ac:dyDescent="0.25">
      <c r="A576" s="50" t="s">
        <v>214</v>
      </c>
      <c r="B576" s="33" t="s">
        <v>614</v>
      </c>
      <c r="C576" s="37" t="s">
        <v>827</v>
      </c>
      <c r="D576" s="33"/>
      <c r="E576" s="52">
        <v>200</v>
      </c>
      <c r="F576" s="33" t="b">
        <v>1</v>
      </c>
      <c r="G576" s="33">
        <v>0</v>
      </c>
      <c r="H576" s="52">
        <v>0</v>
      </c>
      <c r="I576" s="33">
        <v>0</v>
      </c>
      <c r="J576" s="33">
        <v>0</v>
      </c>
      <c r="K576" s="33">
        <v>0</v>
      </c>
      <c r="L576" s="40" t="b">
        <v>0</v>
      </c>
      <c r="M576" s="33">
        <v>0</v>
      </c>
      <c r="N576" s="33">
        <v>0</v>
      </c>
      <c r="O576" s="52">
        <v>0</v>
      </c>
      <c r="P576" s="33">
        <v>0</v>
      </c>
      <c r="Q576" s="33">
        <v>0</v>
      </c>
      <c r="R576" s="33"/>
      <c r="S576" s="33"/>
      <c r="T576" s="33" t="s">
        <v>616</v>
      </c>
      <c r="U576" s="41" t="str">
        <f>IFERROR(HYPERLINK("#'Main'!B"&amp;MATCH(TRIM(A576),Main!B:B,0),"Open"),HYPERLINK("#'Main'!B1","Open"))</f>
        <v>Open</v>
      </c>
      <c r="V576" s="41"/>
    </row>
    <row r="577" spans="1:22" ht="30" customHeight="1" x14ac:dyDescent="0.25">
      <c r="A577" s="51" t="s">
        <v>214</v>
      </c>
      <c r="B577" s="42" t="s">
        <v>614</v>
      </c>
      <c r="C577" s="44" t="s">
        <v>828</v>
      </c>
      <c r="D577" s="42"/>
      <c r="E577" s="52">
        <v>200</v>
      </c>
      <c r="F577" s="42" t="b">
        <v>1</v>
      </c>
      <c r="G577" s="42">
        <v>0</v>
      </c>
      <c r="H577" s="52">
        <v>0</v>
      </c>
      <c r="I577" s="42">
        <v>0</v>
      </c>
      <c r="J577" s="42">
        <v>0</v>
      </c>
      <c r="K577" s="42">
        <v>0</v>
      </c>
      <c r="L577" s="46" t="b">
        <v>0</v>
      </c>
      <c r="M577" s="42">
        <v>0</v>
      </c>
      <c r="N577" s="42">
        <v>0</v>
      </c>
      <c r="O577" s="52">
        <v>0</v>
      </c>
      <c r="P577" s="42">
        <v>0</v>
      </c>
      <c r="Q577" s="42">
        <v>0</v>
      </c>
      <c r="R577" s="42"/>
      <c r="S577" s="42"/>
      <c r="T577" s="42" t="s">
        <v>616</v>
      </c>
      <c r="U577" t="str">
        <f>IFERROR(HYPERLINK("#'Main'!B"&amp;MATCH(TRIM(A577),Main!B:B,0),"Open"),HYPERLINK("#'Main'!B1","Open"))</f>
        <v>Open</v>
      </c>
    </row>
    <row r="578" spans="1:22" ht="30" customHeight="1" x14ac:dyDescent="0.25">
      <c r="A578" s="50" t="s">
        <v>214</v>
      </c>
      <c r="B578" s="33" t="s">
        <v>614</v>
      </c>
      <c r="C578" s="37" t="s">
        <v>829</v>
      </c>
      <c r="D578" s="33"/>
      <c r="E578" s="52">
        <v>200</v>
      </c>
      <c r="F578" s="33" t="b">
        <v>1</v>
      </c>
      <c r="G578" s="33">
        <v>0</v>
      </c>
      <c r="H578" s="52">
        <v>0</v>
      </c>
      <c r="I578" s="33">
        <v>0</v>
      </c>
      <c r="J578" s="33">
        <v>0</v>
      </c>
      <c r="K578" s="33">
        <v>0</v>
      </c>
      <c r="L578" s="40" t="b">
        <v>0</v>
      </c>
      <c r="M578" s="33">
        <v>0</v>
      </c>
      <c r="N578" s="33">
        <v>0</v>
      </c>
      <c r="O578" s="52">
        <v>0</v>
      </c>
      <c r="P578" s="33">
        <v>0</v>
      </c>
      <c r="Q578" s="33">
        <v>0</v>
      </c>
      <c r="R578" s="33"/>
      <c r="S578" s="33"/>
      <c r="T578" s="33" t="s">
        <v>616</v>
      </c>
      <c r="U578" s="41" t="str">
        <f>IFERROR(HYPERLINK("#'Main'!B"&amp;MATCH(TRIM(A578),Main!B:B,0),"Open"),HYPERLINK("#'Main'!B1","Open"))</f>
        <v>Open</v>
      </c>
      <c r="V578" s="41"/>
    </row>
    <row r="579" spans="1:22" ht="30" customHeight="1" x14ac:dyDescent="0.25">
      <c r="A579" s="51" t="s">
        <v>214</v>
      </c>
      <c r="B579" s="42" t="s">
        <v>614</v>
      </c>
      <c r="C579" s="44" t="s">
        <v>830</v>
      </c>
      <c r="D579" s="42"/>
      <c r="E579" s="52">
        <v>200</v>
      </c>
      <c r="F579" s="42" t="b">
        <v>1</v>
      </c>
      <c r="G579" s="42">
        <v>0</v>
      </c>
      <c r="H579" s="52">
        <v>0</v>
      </c>
      <c r="I579" s="42">
        <v>0</v>
      </c>
      <c r="J579" s="42">
        <v>0</v>
      </c>
      <c r="K579" s="42">
        <v>0</v>
      </c>
      <c r="L579" s="46" t="b">
        <v>0</v>
      </c>
      <c r="M579" s="42">
        <v>0</v>
      </c>
      <c r="N579" s="42">
        <v>0</v>
      </c>
      <c r="O579" s="52">
        <v>0</v>
      </c>
      <c r="P579" s="42">
        <v>0</v>
      </c>
      <c r="Q579" s="42">
        <v>0</v>
      </c>
      <c r="R579" s="42"/>
      <c r="S579" s="42"/>
      <c r="T579" s="42" t="s">
        <v>616</v>
      </c>
      <c r="U579" t="str">
        <f>IFERROR(HYPERLINK("#'Main'!B"&amp;MATCH(TRIM(A579),Main!B:B,0),"Open"),HYPERLINK("#'Main'!B1","Open"))</f>
        <v>Open</v>
      </c>
    </row>
    <row r="580" spans="1:22" ht="30" customHeight="1" x14ac:dyDescent="0.25">
      <c r="A580" s="50" t="s">
        <v>214</v>
      </c>
      <c r="B580" s="33" t="s">
        <v>614</v>
      </c>
      <c r="C580" s="37" t="s">
        <v>831</v>
      </c>
      <c r="D580" s="33"/>
      <c r="E580" s="52">
        <v>200</v>
      </c>
      <c r="F580" s="33" t="b">
        <v>1</v>
      </c>
      <c r="G580" s="33">
        <v>0</v>
      </c>
      <c r="H580" s="52">
        <v>0</v>
      </c>
      <c r="I580" s="33">
        <v>0</v>
      </c>
      <c r="J580" s="33">
        <v>0</v>
      </c>
      <c r="K580" s="33">
        <v>0</v>
      </c>
      <c r="L580" s="40" t="b">
        <v>0</v>
      </c>
      <c r="M580" s="33">
        <v>0</v>
      </c>
      <c r="N580" s="33">
        <v>0</v>
      </c>
      <c r="O580" s="52">
        <v>0</v>
      </c>
      <c r="P580" s="33">
        <v>0</v>
      </c>
      <c r="Q580" s="33">
        <v>0</v>
      </c>
      <c r="R580" s="33"/>
      <c r="S580" s="33"/>
      <c r="T580" s="33" t="s">
        <v>616</v>
      </c>
      <c r="U580" s="41" t="str">
        <f>IFERROR(HYPERLINK("#'Main'!B"&amp;MATCH(TRIM(A580),Main!B:B,0),"Open"),HYPERLINK("#'Main'!B1","Open"))</f>
        <v>Open</v>
      </c>
      <c r="V580" s="41"/>
    </row>
    <row r="581" spans="1:22" ht="30" customHeight="1" x14ac:dyDescent="0.25">
      <c r="A581" s="51" t="s">
        <v>214</v>
      </c>
      <c r="B581" s="42" t="s">
        <v>614</v>
      </c>
      <c r="C581" s="44" t="s">
        <v>832</v>
      </c>
      <c r="D581" s="42"/>
      <c r="E581" s="52">
        <v>200</v>
      </c>
      <c r="F581" s="42" t="b">
        <v>1</v>
      </c>
      <c r="G581" s="42">
        <v>0</v>
      </c>
      <c r="H581" s="52">
        <v>0</v>
      </c>
      <c r="I581" s="42">
        <v>0</v>
      </c>
      <c r="J581" s="42">
        <v>0</v>
      </c>
      <c r="K581" s="42">
        <v>0</v>
      </c>
      <c r="L581" s="46" t="b">
        <v>0</v>
      </c>
      <c r="M581" s="42">
        <v>0</v>
      </c>
      <c r="N581" s="42">
        <v>0</v>
      </c>
      <c r="O581" s="52">
        <v>0</v>
      </c>
      <c r="P581" s="42">
        <v>0</v>
      </c>
      <c r="Q581" s="42">
        <v>0</v>
      </c>
      <c r="R581" s="42"/>
      <c r="S581" s="42"/>
      <c r="T581" s="42" t="s">
        <v>616</v>
      </c>
      <c r="U581" t="str">
        <f>IFERROR(HYPERLINK("#'Main'!B"&amp;MATCH(TRIM(A581),Main!B:B,0),"Open"),HYPERLINK("#'Main'!B1","Open"))</f>
        <v>Open</v>
      </c>
    </row>
    <row r="582" spans="1:22" ht="30" customHeight="1" x14ac:dyDescent="0.25">
      <c r="A582" s="50" t="s">
        <v>214</v>
      </c>
      <c r="B582" s="33" t="s">
        <v>614</v>
      </c>
      <c r="C582" s="37" t="s">
        <v>833</v>
      </c>
      <c r="D582" s="33"/>
      <c r="E582" s="52">
        <v>200</v>
      </c>
      <c r="F582" s="33" t="b">
        <v>1</v>
      </c>
      <c r="G582" s="33">
        <v>0</v>
      </c>
      <c r="H582" s="52">
        <v>0</v>
      </c>
      <c r="I582" s="33">
        <v>0</v>
      </c>
      <c r="J582" s="33">
        <v>0</v>
      </c>
      <c r="K582" s="33">
        <v>0</v>
      </c>
      <c r="L582" s="40" t="b">
        <v>0</v>
      </c>
      <c r="M582" s="33">
        <v>0</v>
      </c>
      <c r="N582" s="33">
        <v>0</v>
      </c>
      <c r="O582" s="52">
        <v>0</v>
      </c>
      <c r="P582" s="33">
        <v>0</v>
      </c>
      <c r="Q582" s="33">
        <v>0</v>
      </c>
      <c r="R582" s="33"/>
      <c r="S582" s="33"/>
      <c r="T582" s="33" t="s">
        <v>616</v>
      </c>
      <c r="U582" s="41" t="str">
        <f>IFERROR(HYPERLINK("#'Main'!B"&amp;MATCH(TRIM(A582),Main!B:B,0),"Open"),HYPERLINK("#'Main'!B1","Open"))</f>
        <v>Open</v>
      </c>
      <c r="V582" s="41"/>
    </row>
    <row r="583" spans="1:22" ht="30" customHeight="1" x14ac:dyDescent="0.25">
      <c r="A583" s="51" t="s">
        <v>214</v>
      </c>
      <c r="B583" s="42" t="s">
        <v>614</v>
      </c>
      <c r="C583" s="44" t="s">
        <v>834</v>
      </c>
      <c r="D583" s="42"/>
      <c r="E583" s="52">
        <v>200</v>
      </c>
      <c r="F583" s="42" t="b">
        <v>1</v>
      </c>
      <c r="G583" s="42">
        <v>0</v>
      </c>
      <c r="H583" s="52">
        <v>0</v>
      </c>
      <c r="I583" s="42">
        <v>0</v>
      </c>
      <c r="J583" s="42">
        <v>0</v>
      </c>
      <c r="K583" s="42">
        <v>0</v>
      </c>
      <c r="L583" s="46" t="b">
        <v>0</v>
      </c>
      <c r="M583" s="42">
        <v>0</v>
      </c>
      <c r="N583" s="42">
        <v>0</v>
      </c>
      <c r="O583" s="52">
        <v>0</v>
      </c>
      <c r="P583" s="42">
        <v>0</v>
      </c>
      <c r="Q583" s="42">
        <v>0</v>
      </c>
      <c r="R583" s="42"/>
      <c r="S583" s="42"/>
      <c r="T583" s="42" t="s">
        <v>616</v>
      </c>
      <c r="U583" t="str">
        <f>IFERROR(HYPERLINK("#'Main'!B"&amp;MATCH(TRIM(A583),Main!B:B,0),"Open"),HYPERLINK("#'Main'!B1","Open"))</f>
        <v>Open</v>
      </c>
    </row>
    <row r="584" spans="1:22" ht="30" customHeight="1" x14ac:dyDescent="0.25">
      <c r="A584" s="50" t="s">
        <v>214</v>
      </c>
      <c r="B584" s="33" t="s">
        <v>614</v>
      </c>
      <c r="C584" s="37" t="s">
        <v>835</v>
      </c>
      <c r="D584" s="33"/>
      <c r="E584" s="52">
        <v>200</v>
      </c>
      <c r="F584" s="33" t="b">
        <v>1</v>
      </c>
      <c r="G584" s="33">
        <v>0</v>
      </c>
      <c r="H584" s="52">
        <v>0</v>
      </c>
      <c r="I584" s="33">
        <v>0</v>
      </c>
      <c r="J584" s="33">
        <v>0</v>
      </c>
      <c r="K584" s="33">
        <v>0</v>
      </c>
      <c r="L584" s="40" t="b">
        <v>0</v>
      </c>
      <c r="M584" s="33">
        <v>0</v>
      </c>
      <c r="N584" s="33">
        <v>0</v>
      </c>
      <c r="O584" s="52">
        <v>0</v>
      </c>
      <c r="P584" s="33">
        <v>0</v>
      </c>
      <c r="Q584" s="33">
        <v>0</v>
      </c>
      <c r="R584" s="33"/>
      <c r="S584" s="33"/>
      <c r="T584" s="33" t="s">
        <v>616</v>
      </c>
      <c r="U584" s="41" t="str">
        <f>IFERROR(HYPERLINK("#'Main'!B"&amp;MATCH(TRIM(A584),Main!B:B,0),"Open"),HYPERLINK("#'Main'!B1","Open"))</f>
        <v>Open</v>
      </c>
      <c r="V584" s="41"/>
    </row>
    <row r="585" spans="1:22" ht="30" customHeight="1" x14ac:dyDescent="0.25">
      <c r="A585" s="51" t="s">
        <v>214</v>
      </c>
      <c r="B585" s="42" t="s">
        <v>614</v>
      </c>
      <c r="C585" s="44" t="s">
        <v>836</v>
      </c>
      <c r="D585" s="42"/>
      <c r="E585" s="52">
        <v>200</v>
      </c>
      <c r="F585" s="42" t="b">
        <v>1</v>
      </c>
      <c r="G585" s="42">
        <v>0</v>
      </c>
      <c r="H585" s="52">
        <v>0</v>
      </c>
      <c r="I585" s="42">
        <v>0</v>
      </c>
      <c r="J585" s="42">
        <v>0</v>
      </c>
      <c r="K585" s="42">
        <v>0</v>
      </c>
      <c r="L585" s="46" t="b">
        <v>0</v>
      </c>
      <c r="M585" s="42">
        <v>0</v>
      </c>
      <c r="N585" s="42">
        <v>0</v>
      </c>
      <c r="O585" s="52">
        <v>0</v>
      </c>
      <c r="P585" s="42">
        <v>0</v>
      </c>
      <c r="Q585" s="42">
        <v>0</v>
      </c>
      <c r="R585" s="42"/>
      <c r="S585" s="42"/>
      <c r="T585" s="42" t="s">
        <v>616</v>
      </c>
      <c r="U585" t="str">
        <f>IFERROR(HYPERLINK("#'Main'!B"&amp;MATCH(TRIM(A585),Main!B:B,0),"Open"),HYPERLINK("#'Main'!B1","Open"))</f>
        <v>Open</v>
      </c>
    </row>
    <row r="586" spans="1:22" ht="30" customHeight="1" x14ac:dyDescent="0.25">
      <c r="A586" s="50" t="s">
        <v>214</v>
      </c>
      <c r="B586" s="33" t="s">
        <v>614</v>
      </c>
      <c r="C586" s="37" t="s">
        <v>837</v>
      </c>
      <c r="D586" s="33"/>
      <c r="E586" s="52">
        <v>200</v>
      </c>
      <c r="F586" s="33" t="b">
        <v>1</v>
      </c>
      <c r="G586" s="33">
        <v>0</v>
      </c>
      <c r="H586" s="52">
        <v>0</v>
      </c>
      <c r="I586" s="33">
        <v>0</v>
      </c>
      <c r="J586" s="33">
        <v>0</v>
      </c>
      <c r="K586" s="33">
        <v>0</v>
      </c>
      <c r="L586" s="40" t="b">
        <v>0</v>
      </c>
      <c r="M586" s="33">
        <v>0</v>
      </c>
      <c r="N586" s="33">
        <v>0</v>
      </c>
      <c r="O586" s="52">
        <v>0</v>
      </c>
      <c r="P586" s="33">
        <v>0</v>
      </c>
      <c r="Q586" s="33">
        <v>0</v>
      </c>
      <c r="R586" s="33"/>
      <c r="S586" s="33"/>
      <c r="T586" s="33" t="s">
        <v>616</v>
      </c>
      <c r="U586" s="41" t="str">
        <f>IFERROR(HYPERLINK("#'Main'!B"&amp;MATCH(TRIM(A586),Main!B:B,0),"Open"),HYPERLINK("#'Main'!B1","Open"))</f>
        <v>Open</v>
      </c>
      <c r="V586" s="41"/>
    </row>
    <row r="587" spans="1:22" ht="30" customHeight="1" x14ac:dyDescent="0.25">
      <c r="A587" s="51" t="s">
        <v>214</v>
      </c>
      <c r="B587" s="42" t="s">
        <v>614</v>
      </c>
      <c r="C587" s="44" t="s">
        <v>838</v>
      </c>
      <c r="D587" s="42"/>
      <c r="E587" s="52">
        <v>200</v>
      </c>
      <c r="F587" s="42" t="b">
        <v>1</v>
      </c>
      <c r="G587" s="42">
        <v>0</v>
      </c>
      <c r="H587" s="52">
        <v>0</v>
      </c>
      <c r="I587" s="42">
        <v>0</v>
      </c>
      <c r="J587" s="42">
        <v>0</v>
      </c>
      <c r="K587" s="42">
        <v>0</v>
      </c>
      <c r="L587" s="46" t="b">
        <v>0</v>
      </c>
      <c r="M587" s="42">
        <v>0</v>
      </c>
      <c r="N587" s="42">
        <v>0</v>
      </c>
      <c r="O587" s="52">
        <v>0</v>
      </c>
      <c r="P587" s="42">
        <v>0</v>
      </c>
      <c r="Q587" s="42">
        <v>0</v>
      </c>
      <c r="R587" s="42"/>
      <c r="S587" s="42"/>
      <c r="T587" s="42" t="s">
        <v>616</v>
      </c>
      <c r="U587" t="str">
        <f>IFERROR(HYPERLINK("#'Main'!B"&amp;MATCH(TRIM(A587),Main!B:B,0),"Open"),HYPERLINK("#'Main'!B1","Open"))</f>
        <v>Open</v>
      </c>
    </row>
    <row r="588" spans="1:22" ht="30" customHeight="1" x14ac:dyDescent="0.25">
      <c r="A588" s="50" t="s">
        <v>214</v>
      </c>
      <c r="B588" s="33" t="s">
        <v>614</v>
      </c>
      <c r="C588" s="37" t="s">
        <v>839</v>
      </c>
      <c r="D588" s="33"/>
      <c r="E588" s="52">
        <v>200</v>
      </c>
      <c r="F588" s="33" t="b">
        <v>1</v>
      </c>
      <c r="G588" s="33">
        <v>0</v>
      </c>
      <c r="H588" s="52">
        <v>0</v>
      </c>
      <c r="I588" s="33">
        <v>0</v>
      </c>
      <c r="J588" s="33">
        <v>0</v>
      </c>
      <c r="K588" s="33">
        <v>0</v>
      </c>
      <c r="L588" s="40" t="b">
        <v>0</v>
      </c>
      <c r="M588" s="33">
        <v>0</v>
      </c>
      <c r="N588" s="33">
        <v>0</v>
      </c>
      <c r="O588" s="52">
        <v>0</v>
      </c>
      <c r="P588" s="33">
        <v>0</v>
      </c>
      <c r="Q588" s="33">
        <v>0</v>
      </c>
      <c r="R588" s="33"/>
      <c r="S588" s="33"/>
      <c r="T588" s="33" t="s">
        <v>616</v>
      </c>
      <c r="U588" s="41" t="str">
        <f>IFERROR(HYPERLINK("#'Main'!B"&amp;MATCH(TRIM(A588),Main!B:B,0),"Open"),HYPERLINK("#'Main'!B1","Open"))</f>
        <v>Open</v>
      </c>
      <c r="V588" s="41"/>
    </row>
    <row r="589" spans="1:22" ht="30" customHeight="1" x14ac:dyDescent="0.25">
      <c r="A589" s="51" t="s">
        <v>214</v>
      </c>
      <c r="B589" s="42" t="s">
        <v>614</v>
      </c>
      <c r="C589" s="44" t="s">
        <v>840</v>
      </c>
      <c r="D589" s="42"/>
      <c r="E589" s="52">
        <v>200</v>
      </c>
      <c r="F589" s="42" t="b">
        <v>1</v>
      </c>
      <c r="G589" s="42">
        <v>0</v>
      </c>
      <c r="H589" s="52">
        <v>0</v>
      </c>
      <c r="I589" s="42">
        <v>0</v>
      </c>
      <c r="J589" s="42">
        <v>0</v>
      </c>
      <c r="K589" s="42">
        <v>0</v>
      </c>
      <c r="L589" s="46" t="b">
        <v>0</v>
      </c>
      <c r="M589" s="42">
        <v>0</v>
      </c>
      <c r="N589" s="42">
        <v>0</v>
      </c>
      <c r="O589" s="52">
        <v>0</v>
      </c>
      <c r="P589" s="42">
        <v>0</v>
      </c>
      <c r="Q589" s="42">
        <v>0</v>
      </c>
      <c r="R589" s="42"/>
      <c r="S589" s="42"/>
      <c r="T589" s="42" t="s">
        <v>616</v>
      </c>
      <c r="U589" t="str">
        <f>IFERROR(HYPERLINK("#'Main'!B"&amp;MATCH(TRIM(A589),Main!B:B,0),"Open"),HYPERLINK("#'Main'!B1","Open"))</f>
        <v>Open</v>
      </c>
    </row>
    <row r="590" spans="1:22" ht="30" customHeight="1" x14ac:dyDescent="0.25">
      <c r="A590" s="50" t="s">
        <v>214</v>
      </c>
      <c r="B590" s="33" t="s">
        <v>614</v>
      </c>
      <c r="C590" s="37" t="s">
        <v>841</v>
      </c>
      <c r="D590" s="33"/>
      <c r="E590" s="52">
        <v>200</v>
      </c>
      <c r="F590" s="33" t="b">
        <v>1</v>
      </c>
      <c r="G590" s="33">
        <v>0</v>
      </c>
      <c r="H590" s="52">
        <v>0</v>
      </c>
      <c r="I590" s="33">
        <v>0</v>
      </c>
      <c r="J590" s="33">
        <v>0</v>
      </c>
      <c r="K590" s="33">
        <v>0</v>
      </c>
      <c r="L590" s="40" t="b">
        <v>0</v>
      </c>
      <c r="M590" s="33">
        <v>0</v>
      </c>
      <c r="N590" s="33">
        <v>0</v>
      </c>
      <c r="O590" s="52">
        <v>0</v>
      </c>
      <c r="P590" s="33">
        <v>0</v>
      </c>
      <c r="Q590" s="33">
        <v>0</v>
      </c>
      <c r="R590" s="33"/>
      <c r="S590" s="33"/>
      <c r="T590" s="33" t="s">
        <v>616</v>
      </c>
      <c r="U590" s="41" t="str">
        <f>IFERROR(HYPERLINK("#'Main'!B"&amp;MATCH(TRIM(A590),Main!B:B,0),"Open"),HYPERLINK("#'Main'!B1","Open"))</f>
        <v>Open</v>
      </c>
      <c r="V590" s="41"/>
    </row>
    <row r="591" spans="1:22" ht="30" customHeight="1" x14ac:dyDescent="0.25">
      <c r="A591" s="51" t="s">
        <v>214</v>
      </c>
      <c r="B591" s="42" t="s">
        <v>614</v>
      </c>
      <c r="C591" s="44" t="s">
        <v>842</v>
      </c>
      <c r="D591" s="42"/>
      <c r="E591" s="52">
        <v>200</v>
      </c>
      <c r="F591" s="42" t="b">
        <v>1</v>
      </c>
      <c r="G591" s="42">
        <v>0</v>
      </c>
      <c r="H591" s="52">
        <v>0</v>
      </c>
      <c r="I591" s="42">
        <v>0</v>
      </c>
      <c r="J591" s="42">
        <v>0</v>
      </c>
      <c r="K591" s="42">
        <v>0</v>
      </c>
      <c r="L591" s="46" t="b">
        <v>0</v>
      </c>
      <c r="M591" s="42">
        <v>0</v>
      </c>
      <c r="N591" s="42">
        <v>0</v>
      </c>
      <c r="O591" s="52">
        <v>0</v>
      </c>
      <c r="P591" s="42">
        <v>0</v>
      </c>
      <c r="Q591" s="42">
        <v>0</v>
      </c>
      <c r="R591" s="42"/>
      <c r="S591" s="42"/>
      <c r="T591" s="42" t="s">
        <v>616</v>
      </c>
      <c r="U591" t="str">
        <f>IFERROR(HYPERLINK("#'Main'!B"&amp;MATCH(TRIM(A591),Main!B:B,0),"Open"),HYPERLINK("#'Main'!B1","Open"))</f>
        <v>Open</v>
      </c>
    </row>
    <row r="592" spans="1:22" ht="30" customHeight="1" x14ac:dyDescent="0.25">
      <c r="A592" s="50" t="s">
        <v>214</v>
      </c>
      <c r="B592" s="33" t="s">
        <v>614</v>
      </c>
      <c r="C592" s="37" t="s">
        <v>843</v>
      </c>
      <c r="D592" s="33"/>
      <c r="E592" s="52">
        <v>200</v>
      </c>
      <c r="F592" s="33" t="b">
        <v>1</v>
      </c>
      <c r="G592" s="33">
        <v>0</v>
      </c>
      <c r="H592" s="52">
        <v>0</v>
      </c>
      <c r="I592" s="33">
        <v>0</v>
      </c>
      <c r="J592" s="33">
        <v>0</v>
      </c>
      <c r="K592" s="33">
        <v>0</v>
      </c>
      <c r="L592" s="40" t="b">
        <v>0</v>
      </c>
      <c r="M592" s="33">
        <v>0</v>
      </c>
      <c r="N592" s="33">
        <v>0</v>
      </c>
      <c r="O592" s="52">
        <v>0</v>
      </c>
      <c r="P592" s="33">
        <v>0</v>
      </c>
      <c r="Q592" s="33">
        <v>0</v>
      </c>
      <c r="R592" s="33"/>
      <c r="S592" s="33"/>
      <c r="T592" s="33" t="s">
        <v>616</v>
      </c>
      <c r="U592" s="41" t="str">
        <f>IFERROR(HYPERLINK("#'Main'!B"&amp;MATCH(TRIM(A592),Main!B:B,0),"Open"),HYPERLINK("#'Main'!B1","Open"))</f>
        <v>Open</v>
      </c>
      <c r="V592" s="41"/>
    </row>
    <row r="593" spans="1:22" ht="30" customHeight="1" x14ac:dyDescent="0.25">
      <c r="A593" s="51" t="s">
        <v>214</v>
      </c>
      <c r="B593" s="42" t="s">
        <v>614</v>
      </c>
      <c r="C593" s="44" t="s">
        <v>844</v>
      </c>
      <c r="D593" s="42"/>
      <c r="E593" s="52">
        <v>200</v>
      </c>
      <c r="F593" s="42" t="b">
        <v>1</v>
      </c>
      <c r="G593" s="42">
        <v>0</v>
      </c>
      <c r="H593" s="52">
        <v>0</v>
      </c>
      <c r="I593" s="42">
        <v>0</v>
      </c>
      <c r="J593" s="42">
        <v>0</v>
      </c>
      <c r="K593" s="42">
        <v>0</v>
      </c>
      <c r="L593" s="46" t="b">
        <v>0</v>
      </c>
      <c r="M593" s="42">
        <v>0</v>
      </c>
      <c r="N593" s="42">
        <v>0</v>
      </c>
      <c r="O593" s="52">
        <v>0</v>
      </c>
      <c r="P593" s="42">
        <v>0</v>
      </c>
      <c r="Q593" s="42">
        <v>0</v>
      </c>
      <c r="R593" s="42"/>
      <c r="S593" s="42"/>
      <c r="T593" s="42" t="s">
        <v>616</v>
      </c>
      <c r="U593" t="str">
        <f>IFERROR(HYPERLINK("#'Main'!B"&amp;MATCH(TRIM(A593),Main!B:B,0),"Open"),HYPERLINK("#'Main'!B1","Open"))</f>
        <v>Open</v>
      </c>
    </row>
    <row r="594" spans="1:22" ht="30" customHeight="1" x14ac:dyDescent="0.25">
      <c r="A594" s="50" t="s">
        <v>214</v>
      </c>
      <c r="B594" s="33" t="s">
        <v>614</v>
      </c>
      <c r="C594" s="37" t="s">
        <v>845</v>
      </c>
      <c r="D594" s="33"/>
      <c r="E594" s="52">
        <v>200</v>
      </c>
      <c r="F594" s="33" t="b">
        <v>1</v>
      </c>
      <c r="G594" s="33">
        <v>0</v>
      </c>
      <c r="H594" s="52">
        <v>0</v>
      </c>
      <c r="I594" s="33">
        <v>0</v>
      </c>
      <c r="J594" s="33">
        <v>0</v>
      </c>
      <c r="K594" s="33">
        <v>0</v>
      </c>
      <c r="L594" s="40" t="b">
        <v>0</v>
      </c>
      <c r="M594" s="33">
        <v>0</v>
      </c>
      <c r="N594" s="33">
        <v>0</v>
      </c>
      <c r="O594" s="52">
        <v>0</v>
      </c>
      <c r="P594" s="33">
        <v>0</v>
      </c>
      <c r="Q594" s="33">
        <v>0</v>
      </c>
      <c r="R594" s="33"/>
      <c r="S594" s="33"/>
      <c r="T594" s="33" t="s">
        <v>616</v>
      </c>
      <c r="U594" s="41" t="str">
        <f>IFERROR(HYPERLINK("#'Main'!B"&amp;MATCH(TRIM(A594),Main!B:B,0),"Open"),HYPERLINK("#'Main'!B1","Open"))</f>
        <v>Open</v>
      </c>
      <c r="V594" s="41"/>
    </row>
    <row r="595" spans="1:22" ht="30" customHeight="1" x14ac:dyDescent="0.25">
      <c r="A595" s="51" t="s">
        <v>214</v>
      </c>
      <c r="B595" s="42" t="s">
        <v>614</v>
      </c>
      <c r="C595" s="44" t="s">
        <v>846</v>
      </c>
      <c r="D595" s="42"/>
      <c r="E595" s="52">
        <v>200</v>
      </c>
      <c r="F595" s="42" t="b">
        <v>1</v>
      </c>
      <c r="G595" s="42">
        <v>0</v>
      </c>
      <c r="H595" s="52">
        <v>0</v>
      </c>
      <c r="I595" s="42">
        <v>0</v>
      </c>
      <c r="J595" s="42">
        <v>0</v>
      </c>
      <c r="K595" s="42">
        <v>0</v>
      </c>
      <c r="L595" s="46" t="b">
        <v>0</v>
      </c>
      <c r="M595" s="42">
        <v>0</v>
      </c>
      <c r="N595" s="42">
        <v>0</v>
      </c>
      <c r="O595" s="52">
        <v>0</v>
      </c>
      <c r="P595" s="42">
        <v>0</v>
      </c>
      <c r="Q595" s="42">
        <v>0</v>
      </c>
      <c r="R595" s="42"/>
      <c r="S595" s="42"/>
      <c r="T595" s="42" t="s">
        <v>616</v>
      </c>
      <c r="U595" t="str">
        <f>IFERROR(HYPERLINK("#'Main'!B"&amp;MATCH(TRIM(A595),Main!B:B,0),"Open"),HYPERLINK("#'Main'!B1","Open"))</f>
        <v>Open</v>
      </c>
    </row>
    <row r="596" spans="1:22" ht="30" customHeight="1" x14ac:dyDescent="0.25">
      <c r="A596" s="50" t="s">
        <v>214</v>
      </c>
      <c r="B596" s="33" t="s">
        <v>614</v>
      </c>
      <c r="C596" s="37" t="s">
        <v>847</v>
      </c>
      <c r="D596" s="33"/>
      <c r="E596" s="52">
        <v>200</v>
      </c>
      <c r="F596" s="33" t="b">
        <v>1</v>
      </c>
      <c r="G596" s="33">
        <v>0</v>
      </c>
      <c r="H596" s="52">
        <v>0</v>
      </c>
      <c r="I596" s="33">
        <v>0</v>
      </c>
      <c r="J596" s="33">
        <v>0</v>
      </c>
      <c r="K596" s="33">
        <v>0</v>
      </c>
      <c r="L596" s="40" t="b">
        <v>0</v>
      </c>
      <c r="M596" s="33">
        <v>0</v>
      </c>
      <c r="N596" s="33">
        <v>0</v>
      </c>
      <c r="O596" s="52">
        <v>0</v>
      </c>
      <c r="P596" s="33">
        <v>0</v>
      </c>
      <c r="Q596" s="33">
        <v>0</v>
      </c>
      <c r="R596" s="33"/>
      <c r="S596" s="33"/>
      <c r="T596" s="33" t="s">
        <v>616</v>
      </c>
      <c r="U596" s="41" t="str">
        <f>IFERROR(HYPERLINK("#'Main'!B"&amp;MATCH(TRIM(A596),Main!B:B,0),"Open"),HYPERLINK("#'Main'!B1","Open"))</f>
        <v>Open</v>
      </c>
      <c r="V596" s="41"/>
    </row>
    <row r="597" spans="1:22" ht="30" customHeight="1" x14ac:dyDescent="0.25">
      <c r="A597" s="51" t="s">
        <v>214</v>
      </c>
      <c r="B597" s="42" t="s">
        <v>614</v>
      </c>
      <c r="C597" s="44" t="s">
        <v>848</v>
      </c>
      <c r="D597" s="42"/>
      <c r="E597" s="52">
        <v>200</v>
      </c>
      <c r="F597" s="42" t="b">
        <v>1</v>
      </c>
      <c r="G597" s="42">
        <v>0</v>
      </c>
      <c r="H597" s="52">
        <v>0</v>
      </c>
      <c r="I597" s="42">
        <v>0</v>
      </c>
      <c r="J597" s="42">
        <v>0</v>
      </c>
      <c r="K597" s="42">
        <v>0</v>
      </c>
      <c r="L597" s="46" t="b">
        <v>0</v>
      </c>
      <c r="M597" s="42">
        <v>0</v>
      </c>
      <c r="N597" s="42">
        <v>0</v>
      </c>
      <c r="O597" s="52">
        <v>0</v>
      </c>
      <c r="P597" s="42">
        <v>0</v>
      </c>
      <c r="Q597" s="42">
        <v>0</v>
      </c>
      <c r="R597" s="42"/>
      <c r="S597" s="42"/>
      <c r="T597" s="42" t="s">
        <v>616</v>
      </c>
      <c r="U597" t="str">
        <f>IFERROR(HYPERLINK("#'Main'!B"&amp;MATCH(TRIM(A597),Main!B:B,0),"Open"),HYPERLINK("#'Main'!B1","Open"))</f>
        <v>Open</v>
      </c>
    </row>
    <row r="598" spans="1:22" ht="30" customHeight="1" x14ac:dyDescent="0.25">
      <c r="A598" s="50" t="s">
        <v>214</v>
      </c>
      <c r="B598" s="33" t="s">
        <v>614</v>
      </c>
      <c r="C598" s="37" t="s">
        <v>849</v>
      </c>
      <c r="D598" s="33"/>
      <c r="E598" s="52">
        <v>200</v>
      </c>
      <c r="F598" s="33" t="b">
        <v>1</v>
      </c>
      <c r="G598" s="33">
        <v>0</v>
      </c>
      <c r="H598" s="52">
        <v>0</v>
      </c>
      <c r="I598" s="33">
        <v>0</v>
      </c>
      <c r="J598" s="33">
        <v>0</v>
      </c>
      <c r="K598" s="33">
        <v>0</v>
      </c>
      <c r="L598" s="40" t="b">
        <v>0</v>
      </c>
      <c r="M598" s="33">
        <v>0</v>
      </c>
      <c r="N598" s="33">
        <v>0</v>
      </c>
      <c r="O598" s="52">
        <v>0</v>
      </c>
      <c r="P598" s="33">
        <v>0</v>
      </c>
      <c r="Q598" s="33">
        <v>0</v>
      </c>
      <c r="R598" s="33"/>
      <c r="S598" s="33"/>
      <c r="T598" s="33" t="s">
        <v>616</v>
      </c>
      <c r="U598" s="41" t="str">
        <f>IFERROR(HYPERLINK("#'Main'!B"&amp;MATCH(TRIM(A598),Main!B:B,0),"Open"),HYPERLINK("#'Main'!B1","Open"))</f>
        <v>Open</v>
      </c>
      <c r="V598" s="41"/>
    </row>
    <row r="599" spans="1:22" ht="30" customHeight="1" x14ac:dyDescent="0.25">
      <c r="A599" s="51" t="s">
        <v>214</v>
      </c>
      <c r="B599" s="42" t="s">
        <v>614</v>
      </c>
      <c r="C599" s="44" t="s">
        <v>850</v>
      </c>
      <c r="D599" s="42"/>
      <c r="E599" s="52">
        <v>200</v>
      </c>
      <c r="F599" s="42" t="b">
        <v>1</v>
      </c>
      <c r="G599" s="42">
        <v>0</v>
      </c>
      <c r="H599" s="52">
        <v>0</v>
      </c>
      <c r="I599" s="42">
        <v>0</v>
      </c>
      <c r="J599" s="42">
        <v>0</v>
      </c>
      <c r="K599" s="42">
        <v>0</v>
      </c>
      <c r="L599" s="46" t="b">
        <v>0</v>
      </c>
      <c r="M599" s="42">
        <v>0</v>
      </c>
      <c r="N599" s="42">
        <v>0</v>
      </c>
      <c r="O599" s="52">
        <v>0</v>
      </c>
      <c r="P599" s="42">
        <v>0</v>
      </c>
      <c r="Q599" s="42">
        <v>0</v>
      </c>
      <c r="R599" s="42"/>
      <c r="S599" s="42"/>
      <c r="T599" s="42" t="s">
        <v>616</v>
      </c>
      <c r="U599" t="str">
        <f>IFERROR(HYPERLINK("#'Main'!B"&amp;MATCH(TRIM(A599),Main!B:B,0),"Open"),HYPERLINK("#'Main'!B1","Open"))</f>
        <v>Open</v>
      </c>
    </row>
    <row r="600" spans="1:22" ht="30" customHeight="1" x14ac:dyDescent="0.25">
      <c r="A600" s="50" t="s">
        <v>214</v>
      </c>
      <c r="B600" s="33" t="s">
        <v>614</v>
      </c>
      <c r="C600" s="37" t="s">
        <v>851</v>
      </c>
      <c r="D600" s="33"/>
      <c r="E600" s="52">
        <v>200</v>
      </c>
      <c r="F600" s="33" t="b">
        <v>1</v>
      </c>
      <c r="G600" s="33">
        <v>0</v>
      </c>
      <c r="H600" s="52">
        <v>0</v>
      </c>
      <c r="I600" s="33">
        <v>0</v>
      </c>
      <c r="J600" s="33">
        <v>0</v>
      </c>
      <c r="K600" s="33">
        <v>0</v>
      </c>
      <c r="L600" s="40" t="b">
        <v>0</v>
      </c>
      <c r="M600" s="33">
        <v>0</v>
      </c>
      <c r="N600" s="33">
        <v>0</v>
      </c>
      <c r="O600" s="52">
        <v>0</v>
      </c>
      <c r="P600" s="33">
        <v>0</v>
      </c>
      <c r="Q600" s="33">
        <v>0</v>
      </c>
      <c r="R600" s="33"/>
      <c r="S600" s="33"/>
      <c r="T600" s="33" t="s">
        <v>616</v>
      </c>
      <c r="U600" s="41" t="str">
        <f>IFERROR(HYPERLINK("#'Main'!B"&amp;MATCH(TRIM(A600),Main!B:B,0),"Open"),HYPERLINK("#'Main'!B1","Open"))</f>
        <v>Open</v>
      </c>
      <c r="V600" s="41"/>
    </row>
    <row r="601" spans="1:22" ht="30" customHeight="1" x14ac:dyDescent="0.25">
      <c r="A601" s="51" t="s">
        <v>214</v>
      </c>
      <c r="B601" s="42" t="s">
        <v>614</v>
      </c>
      <c r="C601" s="44" t="s">
        <v>852</v>
      </c>
      <c r="D601" s="42"/>
      <c r="E601" s="52">
        <v>200</v>
      </c>
      <c r="F601" s="42" t="b">
        <v>1</v>
      </c>
      <c r="G601" s="42">
        <v>0</v>
      </c>
      <c r="H601" s="52">
        <v>0</v>
      </c>
      <c r="I601" s="42">
        <v>0</v>
      </c>
      <c r="J601" s="42">
        <v>0</v>
      </c>
      <c r="K601" s="42">
        <v>0</v>
      </c>
      <c r="L601" s="46" t="b">
        <v>0</v>
      </c>
      <c r="M601" s="42">
        <v>0</v>
      </c>
      <c r="N601" s="42">
        <v>0</v>
      </c>
      <c r="O601" s="52">
        <v>0</v>
      </c>
      <c r="P601" s="42">
        <v>0</v>
      </c>
      <c r="Q601" s="42">
        <v>0</v>
      </c>
      <c r="R601" s="42"/>
      <c r="S601" s="42"/>
      <c r="T601" s="42" t="s">
        <v>616</v>
      </c>
      <c r="U601" t="str">
        <f>IFERROR(HYPERLINK("#'Main'!B"&amp;MATCH(TRIM(A601),Main!B:B,0),"Open"),HYPERLINK("#'Main'!B1","Open"))</f>
        <v>Open</v>
      </c>
    </row>
    <row r="602" spans="1:22" ht="30" customHeight="1" x14ac:dyDescent="0.25">
      <c r="A602" s="50" t="s">
        <v>214</v>
      </c>
      <c r="B602" s="33" t="s">
        <v>614</v>
      </c>
      <c r="C602" s="37" t="s">
        <v>853</v>
      </c>
      <c r="D602" s="33"/>
      <c r="E602" s="52">
        <v>200</v>
      </c>
      <c r="F602" s="33" t="b">
        <v>1</v>
      </c>
      <c r="G602" s="33">
        <v>0</v>
      </c>
      <c r="H602" s="52">
        <v>0</v>
      </c>
      <c r="I602" s="33">
        <v>0</v>
      </c>
      <c r="J602" s="33">
        <v>0</v>
      </c>
      <c r="K602" s="33">
        <v>0</v>
      </c>
      <c r="L602" s="40" t="b">
        <v>0</v>
      </c>
      <c r="M602" s="33">
        <v>0</v>
      </c>
      <c r="N602" s="33">
        <v>0</v>
      </c>
      <c r="O602" s="52">
        <v>0</v>
      </c>
      <c r="P602" s="33">
        <v>0</v>
      </c>
      <c r="Q602" s="33">
        <v>0</v>
      </c>
      <c r="R602" s="33"/>
      <c r="S602" s="33"/>
      <c r="T602" s="33" t="s">
        <v>616</v>
      </c>
      <c r="U602" s="41" t="str">
        <f>IFERROR(HYPERLINK("#'Main'!B"&amp;MATCH(TRIM(A602),Main!B:B,0),"Open"),HYPERLINK("#'Main'!B1","Open"))</f>
        <v>Open</v>
      </c>
      <c r="V602" s="41"/>
    </row>
    <row r="603" spans="1:22" ht="30" customHeight="1" x14ac:dyDescent="0.25">
      <c r="A603" s="51" t="s">
        <v>214</v>
      </c>
      <c r="B603" s="42" t="s">
        <v>614</v>
      </c>
      <c r="C603" s="44" t="s">
        <v>854</v>
      </c>
      <c r="D603" s="42"/>
      <c r="E603" s="52">
        <v>200</v>
      </c>
      <c r="F603" s="42" t="b">
        <v>1</v>
      </c>
      <c r="G603" s="42">
        <v>0</v>
      </c>
      <c r="H603" s="52">
        <v>0</v>
      </c>
      <c r="I603" s="42">
        <v>0</v>
      </c>
      <c r="J603" s="42">
        <v>0</v>
      </c>
      <c r="K603" s="42">
        <v>0</v>
      </c>
      <c r="L603" s="46" t="b">
        <v>0</v>
      </c>
      <c r="M603" s="42">
        <v>0</v>
      </c>
      <c r="N603" s="42">
        <v>0</v>
      </c>
      <c r="O603" s="52">
        <v>0</v>
      </c>
      <c r="P603" s="42">
        <v>0</v>
      </c>
      <c r="Q603" s="42">
        <v>0</v>
      </c>
      <c r="R603" s="42"/>
      <c r="S603" s="42"/>
      <c r="T603" s="42" t="s">
        <v>616</v>
      </c>
      <c r="U603" t="str">
        <f>IFERROR(HYPERLINK("#'Main'!B"&amp;MATCH(TRIM(A603),Main!B:B,0),"Open"),HYPERLINK("#'Main'!B1","Open"))</f>
        <v>Open</v>
      </c>
    </row>
    <row r="604" spans="1:22" ht="30" customHeight="1" x14ac:dyDescent="0.25">
      <c r="A604" s="50" t="s">
        <v>214</v>
      </c>
      <c r="B604" s="33" t="s">
        <v>614</v>
      </c>
      <c r="C604" s="37" t="s">
        <v>855</v>
      </c>
      <c r="D604" s="33"/>
      <c r="E604" s="52">
        <v>200</v>
      </c>
      <c r="F604" s="33" t="b">
        <v>1</v>
      </c>
      <c r="G604" s="33">
        <v>0</v>
      </c>
      <c r="H604" s="52">
        <v>0</v>
      </c>
      <c r="I604" s="33">
        <v>0</v>
      </c>
      <c r="J604" s="33">
        <v>0</v>
      </c>
      <c r="K604" s="33">
        <v>0</v>
      </c>
      <c r="L604" s="40" t="b">
        <v>0</v>
      </c>
      <c r="M604" s="33">
        <v>0</v>
      </c>
      <c r="N604" s="33">
        <v>0</v>
      </c>
      <c r="O604" s="52">
        <v>0</v>
      </c>
      <c r="P604" s="33">
        <v>0</v>
      </c>
      <c r="Q604" s="33">
        <v>0</v>
      </c>
      <c r="R604" s="33"/>
      <c r="S604" s="33"/>
      <c r="T604" s="33" t="s">
        <v>616</v>
      </c>
      <c r="U604" s="41" t="str">
        <f>IFERROR(HYPERLINK("#'Main'!B"&amp;MATCH(TRIM(A604),Main!B:B,0),"Open"),HYPERLINK("#'Main'!B1","Open"))</f>
        <v>Open</v>
      </c>
      <c r="V604" s="41"/>
    </row>
    <row r="605" spans="1:22" ht="30" customHeight="1" x14ac:dyDescent="0.25">
      <c r="A605" s="51" t="s">
        <v>214</v>
      </c>
      <c r="B605" s="42" t="s">
        <v>614</v>
      </c>
      <c r="C605" s="44" t="s">
        <v>856</v>
      </c>
      <c r="D605" s="42"/>
      <c r="E605" s="52">
        <v>200</v>
      </c>
      <c r="F605" s="42" t="b">
        <v>1</v>
      </c>
      <c r="G605" s="42">
        <v>0</v>
      </c>
      <c r="H605" s="52">
        <v>0</v>
      </c>
      <c r="I605" s="42">
        <v>0</v>
      </c>
      <c r="J605" s="42">
        <v>0</v>
      </c>
      <c r="K605" s="42">
        <v>0</v>
      </c>
      <c r="L605" s="46" t="b">
        <v>0</v>
      </c>
      <c r="M605" s="42">
        <v>0</v>
      </c>
      <c r="N605" s="42">
        <v>0</v>
      </c>
      <c r="O605" s="52">
        <v>0</v>
      </c>
      <c r="P605" s="42">
        <v>0</v>
      </c>
      <c r="Q605" s="42">
        <v>0</v>
      </c>
      <c r="R605" s="42"/>
      <c r="S605" s="42"/>
      <c r="T605" s="42" t="s">
        <v>616</v>
      </c>
      <c r="U605" t="str">
        <f>IFERROR(HYPERLINK("#'Main'!B"&amp;MATCH(TRIM(A605),Main!B:B,0),"Open"),HYPERLINK("#'Main'!B1","Open"))</f>
        <v>Open</v>
      </c>
    </row>
    <row r="606" spans="1:22" ht="30" customHeight="1" x14ac:dyDescent="0.25">
      <c r="A606" s="50" t="s">
        <v>214</v>
      </c>
      <c r="B606" s="33" t="s">
        <v>614</v>
      </c>
      <c r="C606" s="37" t="s">
        <v>857</v>
      </c>
      <c r="D606" s="33"/>
      <c r="E606" s="52">
        <v>200</v>
      </c>
      <c r="F606" s="33" t="b">
        <v>1</v>
      </c>
      <c r="G606" s="33">
        <v>0</v>
      </c>
      <c r="H606" s="52">
        <v>0</v>
      </c>
      <c r="I606" s="33">
        <v>0</v>
      </c>
      <c r="J606" s="33">
        <v>0</v>
      </c>
      <c r="K606" s="33">
        <v>0</v>
      </c>
      <c r="L606" s="40" t="b">
        <v>0</v>
      </c>
      <c r="M606" s="33">
        <v>0</v>
      </c>
      <c r="N606" s="33">
        <v>0</v>
      </c>
      <c r="O606" s="52">
        <v>0</v>
      </c>
      <c r="P606" s="33">
        <v>0</v>
      </c>
      <c r="Q606" s="33">
        <v>0</v>
      </c>
      <c r="R606" s="33"/>
      <c r="S606" s="33"/>
      <c r="T606" s="33" t="s">
        <v>616</v>
      </c>
      <c r="U606" s="41" t="str">
        <f>IFERROR(HYPERLINK("#'Main'!B"&amp;MATCH(TRIM(A606),Main!B:B,0),"Open"),HYPERLINK("#'Main'!B1","Open"))</f>
        <v>Open</v>
      </c>
      <c r="V606" s="41"/>
    </row>
    <row r="607" spans="1:22" ht="30" customHeight="1" x14ac:dyDescent="0.25">
      <c r="A607" s="51" t="s">
        <v>214</v>
      </c>
      <c r="B607" s="42" t="s">
        <v>614</v>
      </c>
      <c r="C607" s="44" t="s">
        <v>858</v>
      </c>
      <c r="D607" s="42"/>
      <c r="E607" s="52">
        <v>200</v>
      </c>
      <c r="F607" s="42" t="b">
        <v>1</v>
      </c>
      <c r="G607" s="42">
        <v>0</v>
      </c>
      <c r="H607" s="52">
        <v>0</v>
      </c>
      <c r="I607" s="42">
        <v>0</v>
      </c>
      <c r="J607" s="42">
        <v>0</v>
      </c>
      <c r="K607" s="42">
        <v>0</v>
      </c>
      <c r="L607" s="46" t="b">
        <v>0</v>
      </c>
      <c r="M607" s="42">
        <v>0</v>
      </c>
      <c r="N607" s="42">
        <v>0</v>
      </c>
      <c r="O607" s="52">
        <v>0</v>
      </c>
      <c r="P607" s="42">
        <v>0</v>
      </c>
      <c r="Q607" s="42">
        <v>0</v>
      </c>
      <c r="R607" s="42"/>
      <c r="S607" s="42"/>
      <c r="T607" s="42" t="s">
        <v>616</v>
      </c>
      <c r="U607" t="str">
        <f>IFERROR(HYPERLINK("#'Main'!B"&amp;MATCH(TRIM(A607),Main!B:B,0),"Open"),HYPERLINK("#'Main'!B1","Open"))</f>
        <v>Open</v>
      </c>
    </row>
    <row r="608" spans="1:22" ht="30" customHeight="1" x14ac:dyDescent="0.25">
      <c r="A608" s="50" t="s">
        <v>214</v>
      </c>
      <c r="B608" s="33" t="s">
        <v>614</v>
      </c>
      <c r="C608" s="37" t="s">
        <v>859</v>
      </c>
      <c r="D608" s="33"/>
      <c r="E608" s="52">
        <v>200</v>
      </c>
      <c r="F608" s="33" t="b">
        <v>1</v>
      </c>
      <c r="G608" s="33">
        <v>0</v>
      </c>
      <c r="H608" s="52">
        <v>0</v>
      </c>
      <c r="I608" s="33">
        <v>0</v>
      </c>
      <c r="J608" s="33">
        <v>0</v>
      </c>
      <c r="K608" s="33">
        <v>0</v>
      </c>
      <c r="L608" s="40" t="b">
        <v>0</v>
      </c>
      <c r="M608" s="33">
        <v>0</v>
      </c>
      <c r="N608" s="33">
        <v>0</v>
      </c>
      <c r="O608" s="52">
        <v>0</v>
      </c>
      <c r="P608" s="33">
        <v>0</v>
      </c>
      <c r="Q608" s="33">
        <v>0</v>
      </c>
      <c r="R608" s="33"/>
      <c r="S608" s="33"/>
      <c r="T608" s="33" t="s">
        <v>616</v>
      </c>
      <c r="U608" s="41" t="str">
        <f>IFERROR(HYPERLINK("#'Main'!B"&amp;MATCH(TRIM(A608),Main!B:B,0),"Open"),HYPERLINK("#'Main'!B1","Open"))</f>
        <v>Open</v>
      </c>
      <c r="V608" s="41"/>
    </row>
    <row r="609" spans="1:22" ht="30" customHeight="1" x14ac:dyDescent="0.25">
      <c r="A609" s="51" t="s">
        <v>214</v>
      </c>
      <c r="B609" s="42" t="s">
        <v>614</v>
      </c>
      <c r="C609" s="44" t="s">
        <v>860</v>
      </c>
      <c r="D609" s="42"/>
      <c r="E609" s="52">
        <v>200</v>
      </c>
      <c r="F609" s="42" t="b">
        <v>1</v>
      </c>
      <c r="G609" s="42">
        <v>0</v>
      </c>
      <c r="H609" s="52">
        <v>0</v>
      </c>
      <c r="I609" s="42">
        <v>0</v>
      </c>
      <c r="J609" s="42">
        <v>0</v>
      </c>
      <c r="K609" s="42">
        <v>0</v>
      </c>
      <c r="L609" s="46" t="b">
        <v>0</v>
      </c>
      <c r="M609" s="42">
        <v>0</v>
      </c>
      <c r="N609" s="42">
        <v>0</v>
      </c>
      <c r="O609" s="52">
        <v>0</v>
      </c>
      <c r="P609" s="42">
        <v>0</v>
      </c>
      <c r="Q609" s="42">
        <v>0</v>
      </c>
      <c r="R609" s="42"/>
      <c r="S609" s="42"/>
      <c r="T609" s="42" t="s">
        <v>616</v>
      </c>
      <c r="U609" t="str">
        <f>IFERROR(HYPERLINK("#'Main'!B"&amp;MATCH(TRIM(A609),Main!B:B,0),"Open"),HYPERLINK("#'Main'!B1","Open"))</f>
        <v>Open</v>
      </c>
    </row>
    <row r="610" spans="1:22" ht="30" customHeight="1" x14ac:dyDescent="0.25">
      <c r="A610" s="50" t="s">
        <v>214</v>
      </c>
      <c r="B610" s="33" t="s">
        <v>614</v>
      </c>
      <c r="C610" s="37" t="s">
        <v>861</v>
      </c>
      <c r="D610" s="33"/>
      <c r="E610" s="52">
        <v>200</v>
      </c>
      <c r="F610" s="33" t="b">
        <v>1</v>
      </c>
      <c r="G610" s="33">
        <v>0</v>
      </c>
      <c r="H610" s="52">
        <v>0</v>
      </c>
      <c r="I610" s="33">
        <v>0</v>
      </c>
      <c r="J610" s="33">
        <v>0</v>
      </c>
      <c r="K610" s="33">
        <v>0</v>
      </c>
      <c r="L610" s="40" t="b">
        <v>0</v>
      </c>
      <c r="M610" s="33">
        <v>0</v>
      </c>
      <c r="N610" s="33">
        <v>0</v>
      </c>
      <c r="O610" s="52">
        <v>0</v>
      </c>
      <c r="P610" s="33">
        <v>0</v>
      </c>
      <c r="Q610" s="33">
        <v>0</v>
      </c>
      <c r="R610" s="33"/>
      <c r="S610" s="33"/>
      <c r="T610" s="33" t="s">
        <v>616</v>
      </c>
      <c r="U610" s="41" t="str">
        <f>IFERROR(HYPERLINK("#'Main'!B"&amp;MATCH(TRIM(A610),Main!B:B,0),"Open"),HYPERLINK("#'Main'!B1","Open"))</f>
        <v>Open</v>
      </c>
      <c r="V610" s="41"/>
    </row>
    <row r="611" spans="1:22" ht="30" customHeight="1" x14ac:dyDescent="0.25">
      <c r="A611" s="51" t="s">
        <v>214</v>
      </c>
      <c r="B611" s="42" t="s">
        <v>614</v>
      </c>
      <c r="C611" s="44" t="s">
        <v>862</v>
      </c>
      <c r="D611" s="42"/>
      <c r="E611" s="52">
        <v>200</v>
      </c>
      <c r="F611" s="42" t="b">
        <v>1</v>
      </c>
      <c r="G611" s="42">
        <v>0</v>
      </c>
      <c r="H611" s="52">
        <v>0</v>
      </c>
      <c r="I611" s="42">
        <v>0</v>
      </c>
      <c r="J611" s="42">
        <v>0</v>
      </c>
      <c r="K611" s="42">
        <v>0</v>
      </c>
      <c r="L611" s="46" t="b">
        <v>0</v>
      </c>
      <c r="M611" s="42">
        <v>0</v>
      </c>
      <c r="N611" s="42">
        <v>0</v>
      </c>
      <c r="O611" s="52">
        <v>0</v>
      </c>
      <c r="P611" s="42">
        <v>0</v>
      </c>
      <c r="Q611" s="42">
        <v>0</v>
      </c>
      <c r="R611" s="42"/>
      <c r="S611" s="42"/>
      <c r="T611" s="42" t="s">
        <v>616</v>
      </c>
      <c r="U611" t="str">
        <f>IFERROR(HYPERLINK("#'Main'!B"&amp;MATCH(TRIM(A611),Main!B:B,0),"Open"),HYPERLINK("#'Main'!B1","Open"))</f>
        <v>Open</v>
      </c>
    </row>
    <row r="612" spans="1:22" ht="30" customHeight="1" x14ac:dyDescent="0.25">
      <c r="A612" s="50" t="s">
        <v>214</v>
      </c>
      <c r="B612" s="33" t="s">
        <v>614</v>
      </c>
      <c r="C612" s="37" t="s">
        <v>863</v>
      </c>
      <c r="D612" s="33"/>
      <c r="E612" s="52">
        <v>200</v>
      </c>
      <c r="F612" s="33" t="b">
        <v>1</v>
      </c>
      <c r="G612" s="33">
        <v>0</v>
      </c>
      <c r="H612" s="52">
        <v>0</v>
      </c>
      <c r="I612" s="33">
        <v>0</v>
      </c>
      <c r="J612" s="33">
        <v>0</v>
      </c>
      <c r="K612" s="33">
        <v>0</v>
      </c>
      <c r="L612" s="40" t="b">
        <v>0</v>
      </c>
      <c r="M612" s="33">
        <v>0</v>
      </c>
      <c r="N612" s="33">
        <v>0</v>
      </c>
      <c r="O612" s="52">
        <v>0</v>
      </c>
      <c r="P612" s="33">
        <v>0</v>
      </c>
      <c r="Q612" s="33">
        <v>0</v>
      </c>
      <c r="R612" s="33"/>
      <c r="S612" s="33"/>
      <c r="T612" s="33" t="s">
        <v>616</v>
      </c>
      <c r="U612" s="41" t="str">
        <f>IFERROR(HYPERLINK("#'Main'!B"&amp;MATCH(TRIM(A612),Main!B:B,0),"Open"),HYPERLINK("#'Main'!B1","Open"))</f>
        <v>Open</v>
      </c>
      <c r="V612" s="41"/>
    </row>
    <row r="613" spans="1:22" ht="30" customHeight="1" x14ac:dyDescent="0.25">
      <c r="A613" s="51" t="s">
        <v>214</v>
      </c>
      <c r="B613" s="42" t="s">
        <v>614</v>
      </c>
      <c r="C613" s="44" t="s">
        <v>864</v>
      </c>
      <c r="D613" s="42"/>
      <c r="E613" s="52">
        <v>200</v>
      </c>
      <c r="F613" s="42" t="b">
        <v>1</v>
      </c>
      <c r="G613" s="42">
        <v>0</v>
      </c>
      <c r="H613" s="52">
        <v>0</v>
      </c>
      <c r="I613" s="42">
        <v>0</v>
      </c>
      <c r="J613" s="42">
        <v>0</v>
      </c>
      <c r="K613" s="42">
        <v>0</v>
      </c>
      <c r="L613" s="46" t="b">
        <v>0</v>
      </c>
      <c r="M613" s="42">
        <v>0</v>
      </c>
      <c r="N613" s="42">
        <v>0</v>
      </c>
      <c r="O613" s="52">
        <v>0</v>
      </c>
      <c r="P613" s="42">
        <v>0</v>
      </c>
      <c r="Q613" s="42">
        <v>0</v>
      </c>
      <c r="R613" s="42"/>
      <c r="S613" s="42"/>
      <c r="T613" s="42" t="s">
        <v>616</v>
      </c>
      <c r="U613" t="str">
        <f>IFERROR(HYPERLINK("#'Main'!B"&amp;MATCH(TRIM(A613),Main!B:B,0),"Open"),HYPERLINK("#'Main'!B1","Open"))</f>
        <v>Open</v>
      </c>
    </row>
    <row r="614" spans="1:22" ht="30" customHeight="1" x14ac:dyDescent="0.25">
      <c r="A614" s="50" t="s">
        <v>214</v>
      </c>
      <c r="B614" s="33" t="s">
        <v>614</v>
      </c>
      <c r="C614" s="37" t="s">
        <v>865</v>
      </c>
      <c r="D614" s="33"/>
      <c r="E614" s="52">
        <v>200</v>
      </c>
      <c r="F614" s="33" t="b">
        <v>1</v>
      </c>
      <c r="G614" s="33">
        <v>0</v>
      </c>
      <c r="H614" s="52">
        <v>0</v>
      </c>
      <c r="I614" s="33">
        <v>0</v>
      </c>
      <c r="J614" s="33">
        <v>0</v>
      </c>
      <c r="K614" s="33">
        <v>0</v>
      </c>
      <c r="L614" s="40" t="b">
        <v>0</v>
      </c>
      <c r="M614" s="33">
        <v>0</v>
      </c>
      <c r="N614" s="33">
        <v>0</v>
      </c>
      <c r="O614" s="52">
        <v>0</v>
      </c>
      <c r="P614" s="33">
        <v>0</v>
      </c>
      <c r="Q614" s="33">
        <v>0</v>
      </c>
      <c r="R614" s="33"/>
      <c r="S614" s="33"/>
      <c r="T614" s="33" t="s">
        <v>616</v>
      </c>
      <c r="U614" s="41" t="str">
        <f>IFERROR(HYPERLINK("#'Main'!B"&amp;MATCH(TRIM(A614),Main!B:B,0),"Open"),HYPERLINK("#'Main'!B1","Open"))</f>
        <v>Open</v>
      </c>
      <c r="V614" s="41"/>
    </row>
    <row r="615" spans="1:22" ht="30" customHeight="1" x14ac:dyDescent="0.25">
      <c r="A615" s="51" t="s">
        <v>214</v>
      </c>
      <c r="B615" s="42" t="s">
        <v>614</v>
      </c>
      <c r="C615" s="44" t="s">
        <v>866</v>
      </c>
      <c r="D615" s="42"/>
      <c r="E615" s="52">
        <v>200</v>
      </c>
      <c r="F615" s="42" t="b">
        <v>1</v>
      </c>
      <c r="G615" s="42">
        <v>0</v>
      </c>
      <c r="H615" s="52">
        <v>0</v>
      </c>
      <c r="I615" s="42">
        <v>0</v>
      </c>
      <c r="J615" s="42">
        <v>0</v>
      </c>
      <c r="K615" s="42">
        <v>0</v>
      </c>
      <c r="L615" s="46" t="b">
        <v>0</v>
      </c>
      <c r="M615" s="42">
        <v>0</v>
      </c>
      <c r="N615" s="42">
        <v>0</v>
      </c>
      <c r="O615" s="52">
        <v>0</v>
      </c>
      <c r="P615" s="42">
        <v>0</v>
      </c>
      <c r="Q615" s="42">
        <v>0</v>
      </c>
      <c r="R615" s="42"/>
      <c r="S615" s="42"/>
      <c r="T615" s="42" t="s">
        <v>616</v>
      </c>
      <c r="U615" t="str">
        <f>IFERROR(HYPERLINK("#'Main'!B"&amp;MATCH(TRIM(A615),Main!B:B,0),"Open"),HYPERLINK("#'Main'!B1","Open"))</f>
        <v>Open</v>
      </c>
    </row>
    <row r="616" spans="1:22" ht="30" customHeight="1" x14ac:dyDescent="0.25">
      <c r="A616" s="50" t="s">
        <v>214</v>
      </c>
      <c r="B616" s="33" t="s">
        <v>614</v>
      </c>
      <c r="C616" s="37" t="s">
        <v>867</v>
      </c>
      <c r="D616" s="33"/>
      <c r="E616" s="52">
        <v>200</v>
      </c>
      <c r="F616" s="33" t="b">
        <v>1</v>
      </c>
      <c r="G616" s="33">
        <v>0</v>
      </c>
      <c r="H616" s="52">
        <v>0</v>
      </c>
      <c r="I616" s="33">
        <v>0</v>
      </c>
      <c r="J616" s="33">
        <v>0</v>
      </c>
      <c r="K616" s="33">
        <v>0</v>
      </c>
      <c r="L616" s="40" t="b">
        <v>0</v>
      </c>
      <c r="M616" s="33">
        <v>0</v>
      </c>
      <c r="N616" s="33">
        <v>0</v>
      </c>
      <c r="O616" s="52">
        <v>0</v>
      </c>
      <c r="P616" s="33">
        <v>0</v>
      </c>
      <c r="Q616" s="33">
        <v>0</v>
      </c>
      <c r="R616" s="33"/>
      <c r="S616" s="33"/>
      <c r="T616" s="33" t="s">
        <v>616</v>
      </c>
      <c r="U616" s="41" t="str">
        <f>IFERROR(HYPERLINK("#'Main'!B"&amp;MATCH(TRIM(A616),Main!B:B,0),"Open"),HYPERLINK("#'Main'!B1","Open"))</f>
        <v>Open</v>
      </c>
      <c r="V616" s="41"/>
    </row>
    <row r="617" spans="1:22" ht="30" customHeight="1" x14ac:dyDescent="0.25">
      <c r="A617" s="51" t="s">
        <v>214</v>
      </c>
      <c r="B617" s="42" t="s">
        <v>614</v>
      </c>
      <c r="C617" s="44" t="s">
        <v>868</v>
      </c>
      <c r="D617" s="42"/>
      <c r="E617" s="52">
        <v>200</v>
      </c>
      <c r="F617" s="42" t="b">
        <v>1</v>
      </c>
      <c r="G617" s="42">
        <v>0</v>
      </c>
      <c r="H617" s="52">
        <v>0</v>
      </c>
      <c r="I617" s="42">
        <v>0</v>
      </c>
      <c r="J617" s="42">
        <v>0</v>
      </c>
      <c r="K617" s="42">
        <v>0</v>
      </c>
      <c r="L617" s="46" t="b">
        <v>0</v>
      </c>
      <c r="M617" s="42">
        <v>0</v>
      </c>
      <c r="N617" s="42">
        <v>0</v>
      </c>
      <c r="O617" s="52">
        <v>0</v>
      </c>
      <c r="P617" s="42">
        <v>0</v>
      </c>
      <c r="Q617" s="42">
        <v>0</v>
      </c>
      <c r="R617" s="42"/>
      <c r="S617" s="42"/>
      <c r="T617" s="42" t="s">
        <v>616</v>
      </c>
      <c r="U617" t="str">
        <f>IFERROR(HYPERLINK("#'Main'!B"&amp;MATCH(TRIM(A617),Main!B:B,0),"Open"),HYPERLINK("#'Main'!B1","Open"))</f>
        <v>Open</v>
      </c>
    </row>
    <row r="618" spans="1:22" ht="30" customHeight="1" x14ac:dyDescent="0.25">
      <c r="A618" s="50" t="s">
        <v>214</v>
      </c>
      <c r="B618" s="33" t="s">
        <v>614</v>
      </c>
      <c r="C618" s="37" t="s">
        <v>869</v>
      </c>
      <c r="D618" s="33"/>
      <c r="E618" s="52">
        <v>200</v>
      </c>
      <c r="F618" s="33" t="b">
        <v>1</v>
      </c>
      <c r="G618" s="33">
        <v>0</v>
      </c>
      <c r="H618" s="52">
        <v>0</v>
      </c>
      <c r="I618" s="33">
        <v>0</v>
      </c>
      <c r="J618" s="33">
        <v>0</v>
      </c>
      <c r="K618" s="33">
        <v>0</v>
      </c>
      <c r="L618" s="40" t="b">
        <v>0</v>
      </c>
      <c r="M618" s="33">
        <v>0</v>
      </c>
      <c r="N618" s="33">
        <v>0</v>
      </c>
      <c r="O618" s="52">
        <v>0</v>
      </c>
      <c r="P618" s="33">
        <v>0</v>
      </c>
      <c r="Q618" s="33">
        <v>0</v>
      </c>
      <c r="R618" s="33"/>
      <c r="S618" s="33"/>
      <c r="T618" s="33" t="s">
        <v>616</v>
      </c>
      <c r="U618" s="41" t="str">
        <f>IFERROR(HYPERLINK("#'Main'!B"&amp;MATCH(TRIM(A618),Main!B:B,0),"Open"),HYPERLINK("#'Main'!B1","Open"))</f>
        <v>Open</v>
      </c>
      <c r="V618" s="41"/>
    </row>
    <row r="619" spans="1:22" ht="30" customHeight="1" x14ac:dyDescent="0.25">
      <c r="A619" s="51" t="s">
        <v>214</v>
      </c>
      <c r="B619" s="42" t="s">
        <v>614</v>
      </c>
      <c r="C619" s="44" t="s">
        <v>870</v>
      </c>
      <c r="D619" s="42"/>
      <c r="E619" s="52">
        <v>200</v>
      </c>
      <c r="F619" s="42" t="b">
        <v>1</v>
      </c>
      <c r="G619" s="42">
        <v>0</v>
      </c>
      <c r="H619" s="52">
        <v>0</v>
      </c>
      <c r="I619" s="42">
        <v>0</v>
      </c>
      <c r="J619" s="42">
        <v>0</v>
      </c>
      <c r="K619" s="42">
        <v>0</v>
      </c>
      <c r="L619" s="46" t="b">
        <v>0</v>
      </c>
      <c r="M619" s="42">
        <v>0</v>
      </c>
      <c r="N619" s="42">
        <v>0</v>
      </c>
      <c r="O619" s="52">
        <v>0</v>
      </c>
      <c r="P619" s="42">
        <v>0</v>
      </c>
      <c r="Q619" s="42">
        <v>0</v>
      </c>
      <c r="R619" s="42"/>
      <c r="S619" s="42"/>
      <c r="T619" s="42" t="s">
        <v>616</v>
      </c>
      <c r="U619" t="str">
        <f>IFERROR(HYPERLINK("#'Main'!B"&amp;MATCH(TRIM(A619),Main!B:B,0),"Open"),HYPERLINK("#'Main'!B1","Open"))</f>
        <v>Open</v>
      </c>
    </row>
    <row r="620" spans="1:22" ht="30" customHeight="1" x14ac:dyDescent="0.25">
      <c r="A620" s="50" t="s">
        <v>214</v>
      </c>
      <c r="B620" s="33" t="s">
        <v>614</v>
      </c>
      <c r="C620" s="37" t="s">
        <v>871</v>
      </c>
      <c r="D620" s="33"/>
      <c r="E620" s="52">
        <v>200</v>
      </c>
      <c r="F620" s="33" t="b">
        <v>1</v>
      </c>
      <c r="G620" s="33">
        <v>0</v>
      </c>
      <c r="H620" s="52">
        <v>0</v>
      </c>
      <c r="I620" s="33">
        <v>0</v>
      </c>
      <c r="J620" s="33">
        <v>0</v>
      </c>
      <c r="K620" s="33">
        <v>0</v>
      </c>
      <c r="L620" s="40" t="b">
        <v>0</v>
      </c>
      <c r="M620" s="33">
        <v>0</v>
      </c>
      <c r="N620" s="33">
        <v>0</v>
      </c>
      <c r="O620" s="52">
        <v>0</v>
      </c>
      <c r="P620" s="33">
        <v>0</v>
      </c>
      <c r="Q620" s="33">
        <v>0</v>
      </c>
      <c r="R620" s="33"/>
      <c r="S620" s="33"/>
      <c r="T620" s="33" t="s">
        <v>616</v>
      </c>
      <c r="U620" s="41" t="str">
        <f>IFERROR(HYPERLINK("#'Main'!B"&amp;MATCH(TRIM(A620),Main!B:B,0),"Open"),HYPERLINK("#'Main'!B1","Open"))</f>
        <v>Open</v>
      </c>
      <c r="V620" s="41"/>
    </row>
    <row r="621" spans="1:22" ht="30" customHeight="1" x14ac:dyDescent="0.25">
      <c r="A621" s="51" t="s">
        <v>214</v>
      </c>
      <c r="B621" s="42" t="s">
        <v>614</v>
      </c>
      <c r="C621" s="44" t="s">
        <v>872</v>
      </c>
      <c r="D621" s="42"/>
      <c r="E621" s="52">
        <v>200</v>
      </c>
      <c r="F621" s="42" t="b">
        <v>1</v>
      </c>
      <c r="G621" s="42">
        <v>0</v>
      </c>
      <c r="H621" s="52">
        <v>0</v>
      </c>
      <c r="I621" s="42">
        <v>0</v>
      </c>
      <c r="J621" s="42">
        <v>0</v>
      </c>
      <c r="K621" s="42">
        <v>0</v>
      </c>
      <c r="L621" s="46" t="b">
        <v>0</v>
      </c>
      <c r="M621" s="42">
        <v>0</v>
      </c>
      <c r="N621" s="42">
        <v>0</v>
      </c>
      <c r="O621" s="52">
        <v>0</v>
      </c>
      <c r="P621" s="42">
        <v>0</v>
      </c>
      <c r="Q621" s="42">
        <v>0</v>
      </c>
      <c r="R621" s="42"/>
      <c r="S621" s="42"/>
      <c r="T621" s="42" t="s">
        <v>616</v>
      </c>
      <c r="U621" t="str">
        <f>IFERROR(HYPERLINK("#'Main'!B"&amp;MATCH(TRIM(A621),Main!B:B,0),"Open"),HYPERLINK("#'Main'!B1","Open"))</f>
        <v>Open</v>
      </c>
    </row>
    <row r="622" spans="1:22" ht="30" customHeight="1" x14ac:dyDescent="0.25">
      <c r="A622" s="50" t="s">
        <v>214</v>
      </c>
      <c r="B622" s="33" t="s">
        <v>614</v>
      </c>
      <c r="C622" s="37" t="s">
        <v>873</v>
      </c>
      <c r="D622" s="33"/>
      <c r="E622" s="52">
        <v>200</v>
      </c>
      <c r="F622" s="33" t="b">
        <v>1</v>
      </c>
      <c r="G622" s="33">
        <v>0</v>
      </c>
      <c r="H622" s="52">
        <v>0</v>
      </c>
      <c r="I622" s="33">
        <v>0</v>
      </c>
      <c r="J622" s="33">
        <v>0</v>
      </c>
      <c r="K622" s="33">
        <v>0</v>
      </c>
      <c r="L622" s="40" t="b">
        <v>0</v>
      </c>
      <c r="M622" s="33">
        <v>0</v>
      </c>
      <c r="N622" s="33">
        <v>0</v>
      </c>
      <c r="O622" s="52">
        <v>0</v>
      </c>
      <c r="P622" s="33">
        <v>0</v>
      </c>
      <c r="Q622" s="33">
        <v>0</v>
      </c>
      <c r="R622" s="33"/>
      <c r="S622" s="33"/>
      <c r="T622" s="33" t="s">
        <v>616</v>
      </c>
      <c r="U622" s="41" t="str">
        <f>IFERROR(HYPERLINK("#'Main'!B"&amp;MATCH(TRIM(A622),Main!B:B,0),"Open"),HYPERLINK("#'Main'!B1","Open"))</f>
        <v>Open</v>
      </c>
      <c r="V622" s="41"/>
    </row>
    <row r="623" spans="1:22" ht="30" customHeight="1" x14ac:dyDescent="0.25">
      <c r="A623" s="51" t="s">
        <v>214</v>
      </c>
      <c r="B623" s="42" t="s">
        <v>614</v>
      </c>
      <c r="C623" s="44" t="s">
        <v>874</v>
      </c>
      <c r="D623" s="42"/>
      <c r="E623" s="52">
        <v>200</v>
      </c>
      <c r="F623" s="42" t="b">
        <v>1</v>
      </c>
      <c r="G623" s="42">
        <v>0</v>
      </c>
      <c r="H623" s="52">
        <v>0</v>
      </c>
      <c r="I623" s="42">
        <v>0</v>
      </c>
      <c r="J623" s="42">
        <v>0</v>
      </c>
      <c r="K623" s="42">
        <v>0</v>
      </c>
      <c r="L623" s="46" t="b">
        <v>0</v>
      </c>
      <c r="M623" s="42">
        <v>0</v>
      </c>
      <c r="N623" s="42">
        <v>0</v>
      </c>
      <c r="O623" s="52">
        <v>0</v>
      </c>
      <c r="P623" s="42">
        <v>0</v>
      </c>
      <c r="Q623" s="42">
        <v>0</v>
      </c>
      <c r="R623" s="42"/>
      <c r="S623" s="42"/>
      <c r="T623" s="42" t="s">
        <v>616</v>
      </c>
      <c r="U623" t="str">
        <f>IFERROR(HYPERLINK("#'Main'!B"&amp;MATCH(TRIM(A623),Main!B:B,0),"Open"),HYPERLINK("#'Main'!B1","Open"))</f>
        <v>Open</v>
      </c>
    </row>
    <row r="624" spans="1:22" ht="30" customHeight="1" x14ac:dyDescent="0.25">
      <c r="A624" s="50" t="s">
        <v>214</v>
      </c>
      <c r="B624" s="33" t="s">
        <v>614</v>
      </c>
      <c r="C624" s="37" t="s">
        <v>875</v>
      </c>
      <c r="D624" s="33"/>
      <c r="E624" s="52">
        <v>200</v>
      </c>
      <c r="F624" s="33" t="b">
        <v>1</v>
      </c>
      <c r="G624" s="33">
        <v>0</v>
      </c>
      <c r="H624" s="52">
        <v>0</v>
      </c>
      <c r="I624" s="33">
        <v>0</v>
      </c>
      <c r="J624" s="33">
        <v>0</v>
      </c>
      <c r="K624" s="33">
        <v>0</v>
      </c>
      <c r="L624" s="40" t="b">
        <v>0</v>
      </c>
      <c r="M624" s="33">
        <v>0</v>
      </c>
      <c r="N624" s="33">
        <v>0</v>
      </c>
      <c r="O624" s="52">
        <v>0</v>
      </c>
      <c r="P624" s="33">
        <v>0</v>
      </c>
      <c r="Q624" s="33">
        <v>0</v>
      </c>
      <c r="R624" s="33"/>
      <c r="S624" s="33"/>
      <c r="T624" s="33" t="s">
        <v>616</v>
      </c>
      <c r="U624" s="41" t="str">
        <f>IFERROR(HYPERLINK("#'Main'!B"&amp;MATCH(TRIM(A624),Main!B:B,0),"Open"),HYPERLINK("#'Main'!B1","Open"))</f>
        <v>Open</v>
      </c>
      <c r="V624" s="41"/>
    </row>
    <row r="625" spans="1:22" ht="30" customHeight="1" x14ac:dyDescent="0.25">
      <c r="A625" s="51" t="s">
        <v>214</v>
      </c>
      <c r="B625" s="42" t="s">
        <v>614</v>
      </c>
      <c r="C625" s="44" t="s">
        <v>876</v>
      </c>
      <c r="D625" s="42"/>
      <c r="E625" s="52">
        <v>200</v>
      </c>
      <c r="F625" s="42" t="b">
        <v>1</v>
      </c>
      <c r="G625" s="42">
        <v>0</v>
      </c>
      <c r="H625" s="52">
        <v>0</v>
      </c>
      <c r="I625" s="42">
        <v>0</v>
      </c>
      <c r="J625" s="42">
        <v>0</v>
      </c>
      <c r="K625" s="42">
        <v>0</v>
      </c>
      <c r="L625" s="46" t="b">
        <v>0</v>
      </c>
      <c r="M625" s="42">
        <v>0</v>
      </c>
      <c r="N625" s="42">
        <v>0</v>
      </c>
      <c r="O625" s="52">
        <v>0</v>
      </c>
      <c r="P625" s="42">
        <v>0</v>
      </c>
      <c r="Q625" s="42">
        <v>0</v>
      </c>
      <c r="R625" s="42"/>
      <c r="S625" s="42"/>
      <c r="T625" s="42" t="s">
        <v>616</v>
      </c>
      <c r="U625" t="str">
        <f>IFERROR(HYPERLINK("#'Main'!B"&amp;MATCH(TRIM(A625),Main!B:B,0),"Open"),HYPERLINK("#'Main'!B1","Open"))</f>
        <v>Open</v>
      </c>
    </row>
    <row r="626" spans="1:22" ht="30" customHeight="1" x14ac:dyDescent="0.25">
      <c r="A626" s="50" t="s">
        <v>214</v>
      </c>
      <c r="B626" s="33" t="s">
        <v>614</v>
      </c>
      <c r="C626" s="37" t="s">
        <v>877</v>
      </c>
      <c r="D626" s="33"/>
      <c r="E626" s="52">
        <v>200</v>
      </c>
      <c r="F626" s="33" t="b">
        <v>1</v>
      </c>
      <c r="G626" s="33">
        <v>0</v>
      </c>
      <c r="H626" s="52">
        <v>0</v>
      </c>
      <c r="I626" s="33">
        <v>0</v>
      </c>
      <c r="J626" s="33">
        <v>0</v>
      </c>
      <c r="K626" s="33">
        <v>0</v>
      </c>
      <c r="L626" s="40" t="b">
        <v>0</v>
      </c>
      <c r="M626" s="33">
        <v>0</v>
      </c>
      <c r="N626" s="33">
        <v>0</v>
      </c>
      <c r="O626" s="52">
        <v>0</v>
      </c>
      <c r="P626" s="33">
        <v>0</v>
      </c>
      <c r="Q626" s="33">
        <v>0</v>
      </c>
      <c r="R626" s="33"/>
      <c r="S626" s="33"/>
      <c r="T626" s="33" t="s">
        <v>616</v>
      </c>
      <c r="U626" s="41" t="str">
        <f>IFERROR(HYPERLINK("#'Main'!B"&amp;MATCH(TRIM(A626),Main!B:B,0),"Open"),HYPERLINK("#'Main'!B1","Open"))</f>
        <v>Open</v>
      </c>
      <c r="V626" s="41"/>
    </row>
    <row r="627" spans="1:22" ht="30" customHeight="1" x14ac:dyDescent="0.25">
      <c r="A627" s="51" t="s">
        <v>214</v>
      </c>
      <c r="B627" s="42" t="s">
        <v>614</v>
      </c>
      <c r="C627" s="44" t="s">
        <v>878</v>
      </c>
      <c r="D627" s="42"/>
      <c r="E627" s="52">
        <v>200</v>
      </c>
      <c r="F627" s="42" t="b">
        <v>1</v>
      </c>
      <c r="G627" s="42">
        <v>0</v>
      </c>
      <c r="H627" s="52">
        <v>0</v>
      </c>
      <c r="I627" s="42">
        <v>0</v>
      </c>
      <c r="J627" s="42">
        <v>0</v>
      </c>
      <c r="K627" s="42">
        <v>0</v>
      </c>
      <c r="L627" s="46" t="b">
        <v>0</v>
      </c>
      <c r="M627" s="42">
        <v>0</v>
      </c>
      <c r="N627" s="42">
        <v>0</v>
      </c>
      <c r="O627" s="52">
        <v>0</v>
      </c>
      <c r="P627" s="42">
        <v>0</v>
      </c>
      <c r="Q627" s="42">
        <v>0</v>
      </c>
      <c r="R627" s="42"/>
      <c r="S627" s="42"/>
      <c r="T627" s="42" t="s">
        <v>616</v>
      </c>
      <c r="U627" t="str">
        <f>IFERROR(HYPERLINK("#'Main'!B"&amp;MATCH(TRIM(A627),Main!B:B,0),"Open"),HYPERLINK("#'Main'!B1","Open"))</f>
        <v>Open</v>
      </c>
    </row>
    <row r="628" spans="1:22" ht="30" customHeight="1" x14ac:dyDescent="0.25">
      <c r="A628" s="50" t="s">
        <v>214</v>
      </c>
      <c r="B628" s="33" t="s">
        <v>614</v>
      </c>
      <c r="C628" s="37" t="s">
        <v>879</v>
      </c>
      <c r="D628" s="33"/>
      <c r="E628" s="52">
        <v>200</v>
      </c>
      <c r="F628" s="33" t="b">
        <v>1</v>
      </c>
      <c r="G628" s="33">
        <v>0</v>
      </c>
      <c r="H628" s="52">
        <v>0</v>
      </c>
      <c r="I628" s="33">
        <v>0</v>
      </c>
      <c r="J628" s="33">
        <v>0</v>
      </c>
      <c r="K628" s="33">
        <v>0</v>
      </c>
      <c r="L628" s="40" t="b">
        <v>0</v>
      </c>
      <c r="M628" s="33">
        <v>0</v>
      </c>
      <c r="N628" s="33">
        <v>0</v>
      </c>
      <c r="O628" s="52">
        <v>0</v>
      </c>
      <c r="P628" s="33">
        <v>0</v>
      </c>
      <c r="Q628" s="33">
        <v>0</v>
      </c>
      <c r="R628" s="33"/>
      <c r="S628" s="33"/>
      <c r="T628" s="33" t="s">
        <v>616</v>
      </c>
      <c r="U628" s="41" t="str">
        <f>IFERROR(HYPERLINK("#'Main'!B"&amp;MATCH(TRIM(A628),Main!B:B,0),"Open"),HYPERLINK("#'Main'!B1","Open"))</f>
        <v>Open</v>
      </c>
      <c r="V628" s="41"/>
    </row>
    <row r="629" spans="1:22" ht="30" customHeight="1" x14ac:dyDescent="0.25">
      <c r="A629" s="51" t="s">
        <v>214</v>
      </c>
      <c r="B629" s="42" t="s">
        <v>614</v>
      </c>
      <c r="C629" s="44" t="s">
        <v>880</v>
      </c>
      <c r="D629" s="42"/>
      <c r="E629" s="52">
        <v>200</v>
      </c>
      <c r="F629" s="42" t="b">
        <v>1</v>
      </c>
      <c r="G629" s="42">
        <v>0</v>
      </c>
      <c r="H629" s="52">
        <v>0</v>
      </c>
      <c r="I629" s="42">
        <v>0</v>
      </c>
      <c r="J629" s="42">
        <v>0</v>
      </c>
      <c r="K629" s="42">
        <v>0</v>
      </c>
      <c r="L629" s="46" t="b">
        <v>0</v>
      </c>
      <c r="M629" s="42">
        <v>0</v>
      </c>
      <c r="N629" s="42">
        <v>0</v>
      </c>
      <c r="O629" s="52">
        <v>0</v>
      </c>
      <c r="P629" s="42">
        <v>0</v>
      </c>
      <c r="Q629" s="42">
        <v>0</v>
      </c>
      <c r="R629" s="42"/>
      <c r="S629" s="42"/>
      <c r="T629" s="42" t="s">
        <v>616</v>
      </c>
      <c r="U629" t="str">
        <f>IFERROR(HYPERLINK("#'Main'!B"&amp;MATCH(TRIM(A629),Main!B:B,0),"Open"),HYPERLINK("#'Main'!B1","Open"))</f>
        <v>Open</v>
      </c>
    </row>
    <row r="630" spans="1:22" ht="30" customHeight="1" x14ac:dyDescent="0.25">
      <c r="A630" s="50" t="s">
        <v>214</v>
      </c>
      <c r="B630" s="33" t="s">
        <v>614</v>
      </c>
      <c r="C630" s="37" t="s">
        <v>881</v>
      </c>
      <c r="D630" s="33"/>
      <c r="E630" s="52">
        <v>200</v>
      </c>
      <c r="F630" s="33" t="b">
        <v>1</v>
      </c>
      <c r="G630" s="33">
        <v>0</v>
      </c>
      <c r="H630" s="52">
        <v>0</v>
      </c>
      <c r="I630" s="33">
        <v>0</v>
      </c>
      <c r="J630" s="33">
        <v>0</v>
      </c>
      <c r="K630" s="33">
        <v>0</v>
      </c>
      <c r="L630" s="40" t="b">
        <v>0</v>
      </c>
      <c r="M630" s="33">
        <v>0</v>
      </c>
      <c r="N630" s="33">
        <v>0</v>
      </c>
      <c r="O630" s="52">
        <v>0</v>
      </c>
      <c r="P630" s="33">
        <v>0</v>
      </c>
      <c r="Q630" s="33">
        <v>0</v>
      </c>
      <c r="R630" s="33"/>
      <c r="S630" s="33"/>
      <c r="T630" s="33" t="s">
        <v>616</v>
      </c>
      <c r="U630" s="41" t="str">
        <f>IFERROR(HYPERLINK("#'Main'!B"&amp;MATCH(TRIM(A630),Main!B:B,0),"Open"),HYPERLINK("#'Main'!B1","Open"))</f>
        <v>Open</v>
      </c>
      <c r="V630" s="41"/>
    </row>
    <row r="631" spans="1:22" ht="30" customHeight="1" x14ac:dyDescent="0.25">
      <c r="A631" s="51" t="s">
        <v>214</v>
      </c>
      <c r="B631" s="42" t="s">
        <v>614</v>
      </c>
      <c r="C631" s="44" t="s">
        <v>882</v>
      </c>
      <c r="D631" s="42"/>
      <c r="E631" s="52">
        <v>200</v>
      </c>
      <c r="F631" s="42" t="b">
        <v>1</v>
      </c>
      <c r="G631" s="42">
        <v>0</v>
      </c>
      <c r="H631" s="52">
        <v>0</v>
      </c>
      <c r="I631" s="42">
        <v>0</v>
      </c>
      <c r="J631" s="42">
        <v>0</v>
      </c>
      <c r="K631" s="42">
        <v>0</v>
      </c>
      <c r="L631" s="46" t="b">
        <v>0</v>
      </c>
      <c r="M631" s="42">
        <v>0</v>
      </c>
      <c r="N631" s="42">
        <v>0</v>
      </c>
      <c r="O631" s="52">
        <v>0</v>
      </c>
      <c r="P631" s="42">
        <v>0</v>
      </c>
      <c r="Q631" s="42">
        <v>0</v>
      </c>
      <c r="R631" s="42"/>
      <c r="S631" s="42"/>
      <c r="T631" s="42" t="s">
        <v>616</v>
      </c>
      <c r="U631" t="str">
        <f>IFERROR(HYPERLINK("#'Main'!B"&amp;MATCH(TRIM(A631),Main!B:B,0),"Open"),HYPERLINK("#'Main'!B1","Open"))</f>
        <v>Open</v>
      </c>
    </row>
    <row r="632" spans="1:22" ht="30" customHeight="1" x14ac:dyDescent="0.25">
      <c r="A632" s="50" t="s">
        <v>214</v>
      </c>
      <c r="B632" s="33" t="s">
        <v>614</v>
      </c>
      <c r="C632" s="37" t="s">
        <v>883</v>
      </c>
      <c r="D632" s="33"/>
      <c r="E632" s="52">
        <v>200</v>
      </c>
      <c r="F632" s="33" t="b">
        <v>1</v>
      </c>
      <c r="G632" s="33">
        <v>0</v>
      </c>
      <c r="H632" s="52">
        <v>0</v>
      </c>
      <c r="I632" s="33">
        <v>0</v>
      </c>
      <c r="J632" s="33">
        <v>0</v>
      </c>
      <c r="K632" s="33">
        <v>0</v>
      </c>
      <c r="L632" s="40" t="b">
        <v>0</v>
      </c>
      <c r="M632" s="33">
        <v>0</v>
      </c>
      <c r="N632" s="33">
        <v>0</v>
      </c>
      <c r="O632" s="52">
        <v>0</v>
      </c>
      <c r="P632" s="33">
        <v>0</v>
      </c>
      <c r="Q632" s="33">
        <v>0</v>
      </c>
      <c r="R632" s="33"/>
      <c r="S632" s="33"/>
      <c r="T632" s="33" t="s">
        <v>616</v>
      </c>
      <c r="U632" s="41" t="str">
        <f>IFERROR(HYPERLINK("#'Main'!B"&amp;MATCH(TRIM(A632),Main!B:B,0),"Open"),HYPERLINK("#'Main'!B1","Open"))</f>
        <v>Open</v>
      </c>
      <c r="V632" s="41"/>
    </row>
    <row r="633" spans="1:22" ht="30" customHeight="1" x14ac:dyDescent="0.25">
      <c r="A633" s="51" t="s">
        <v>214</v>
      </c>
      <c r="B633" s="42" t="s">
        <v>614</v>
      </c>
      <c r="C633" s="44" t="s">
        <v>884</v>
      </c>
      <c r="D633" s="42"/>
      <c r="E633" s="52">
        <v>200</v>
      </c>
      <c r="F633" s="42" t="b">
        <v>1</v>
      </c>
      <c r="G633" s="42">
        <v>0</v>
      </c>
      <c r="H633" s="52">
        <v>0</v>
      </c>
      <c r="I633" s="42">
        <v>0</v>
      </c>
      <c r="J633" s="42">
        <v>0</v>
      </c>
      <c r="K633" s="42">
        <v>0</v>
      </c>
      <c r="L633" s="46" t="b">
        <v>0</v>
      </c>
      <c r="M633" s="42">
        <v>0</v>
      </c>
      <c r="N633" s="42">
        <v>0</v>
      </c>
      <c r="O633" s="52">
        <v>0</v>
      </c>
      <c r="P633" s="42">
        <v>0</v>
      </c>
      <c r="Q633" s="42">
        <v>0</v>
      </c>
      <c r="R633" s="42"/>
      <c r="S633" s="42"/>
      <c r="T633" s="42" t="s">
        <v>616</v>
      </c>
      <c r="U633" t="str">
        <f>IFERROR(HYPERLINK("#'Main'!B"&amp;MATCH(TRIM(A633),Main!B:B,0),"Open"),HYPERLINK("#'Main'!B1","Open"))</f>
        <v>Open</v>
      </c>
    </row>
    <row r="634" spans="1:22" ht="30" customHeight="1" x14ac:dyDescent="0.25">
      <c r="A634" s="50" t="s">
        <v>214</v>
      </c>
      <c r="B634" s="33" t="s">
        <v>614</v>
      </c>
      <c r="C634" s="37" t="s">
        <v>885</v>
      </c>
      <c r="D634" s="33"/>
      <c r="E634" s="52">
        <v>200</v>
      </c>
      <c r="F634" s="33" t="b">
        <v>1</v>
      </c>
      <c r="G634" s="33">
        <v>0</v>
      </c>
      <c r="H634" s="52">
        <v>0</v>
      </c>
      <c r="I634" s="33">
        <v>0</v>
      </c>
      <c r="J634" s="33">
        <v>0</v>
      </c>
      <c r="K634" s="33">
        <v>0</v>
      </c>
      <c r="L634" s="40" t="b">
        <v>0</v>
      </c>
      <c r="M634" s="33">
        <v>0</v>
      </c>
      <c r="N634" s="33">
        <v>0</v>
      </c>
      <c r="O634" s="52">
        <v>0</v>
      </c>
      <c r="P634" s="33">
        <v>0</v>
      </c>
      <c r="Q634" s="33">
        <v>0</v>
      </c>
      <c r="R634" s="33"/>
      <c r="S634" s="33"/>
      <c r="T634" s="33" t="s">
        <v>616</v>
      </c>
      <c r="U634" s="41" t="str">
        <f>IFERROR(HYPERLINK("#'Main'!B"&amp;MATCH(TRIM(A634),Main!B:B,0),"Open"),HYPERLINK("#'Main'!B1","Open"))</f>
        <v>Open</v>
      </c>
      <c r="V634" s="41"/>
    </row>
    <row r="635" spans="1:22" ht="30" customHeight="1" x14ac:dyDescent="0.25">
      <c r="A635" s="51" t="s">
        <v>214</v>
      </c>
      <c r="B635" s="42" t="s">
        <v>614</v>
      </c>
      <c r="C635" s="44" t="s">
        <v>886</v>
      </c>
      <c r="D635" s="42"/>
      <c r="E635" s="52">
        <v>200</v>
      </c>
      <c r="F635" s="42" t="b">
        <v>1</v>
      </c>
      <c r="G635" s="42">
        <v>0</v>
      </c>
      <c r="H635" s="52">
        <v>0</v>
      </c>
      <c r="I635" s="42">
        <v>0</v>
      </c>
      <c r="J635" s="42">
        <v>0</v>
      </c>
      <c r="K635" s="42">
        <v>0</v>
      </c>
      <c r="L635" s="46" t="b">
        <v>0</v>
      </c>
      <c r="M635" s="42">
        <v>0</v>
      </c>
      <c r="N635" s="42">
        <v>0</v>
      </c>
      <c r="O635" s="52">
        <v>0</v>
      </c>
      <c r="P635" s="42">
        <v>0</v>
      </c>
      <c r="Q635" s="42">
        <v>0</v>
      </c>
      <c r="R635" s="42"/>
      <c r="S635" s="42"/>
      <c r="T635" s="42" t="s">
        <v>616</v>
      </c>
      <c r="U635" t="str">
        <f>IFERROR(HYPERLINK("#'Main'!B"&amp;MATCH(TRIM(A635),Main!B:B,0),"Open"),HYPERLINK("#'Main'!B1","Open"))</f>
        <v>Open</v>
      </c>
    </row>
    <row r="636" spans="1:22" ht="30" customHeight="1" x14ac:dyDescent="0.25">
      <c r="A636" s="50" t="s">
        <v>214</v>
      </c>
      <c r="B636" s="33" t="s">
        <v>614</v>
      </c>
      <c r="C636" s="37" t="s">
        <v>887</v>
      </c>
      <c r="D636" s="33"/>
      <c r="E636" s="52">
        <v>200</v>
      </c>
      <c r="F636" s="33" t="b">
        <v>1</v>
      </c>
      <c r="G636" s="33">
        <v>0</v>
      </c>
      <c r="H636" s="52">
        <v>0</v>
      </c>
      <c r="I636" s="33">
        <v>0</v>
      </c>
      <c r="J636" s="33">
        <v>0</v>
      </c>
      <c r="K636" s="33">
        <v>0</v>
      </c>
      <c r="L636" s="40" t="b">
        <v>0</v>
      </c>
      <c r="M636" s="33">
        <v>0</v>
      </c>
      <c r="N636" s="33">
        <v>0</v>
      </c>
      <c r="O636" s="52">
        <v>0</v>
      </c>
      <c r="P636" s="33">
        <v>0</v>
      </c>
      <c r="Q636" s="33">
        <v>0</v>
      </c>
      <c r="R636" s="33"/>
      <c r="S636" s="33"/>
      <c r="T636" s="33" t="s">
        <v>616</v>
      </c>
      <c r="U636" s="41" t="str">
        <f>IFERROR(HYPERLINK("#'Main'!B"&amp;MATCH(TRIM(A636),Main!B:B,0),"Open"),HYPERLINK("#'Main'!B1","Open"))</f>
        <v>Open</v>
      </c>
      <c r="V636" s="41"/>
    </row>
    <row r="637" spans="1:22" ht="30" customHeight="1" x14ac:dyDescent="0.25">
      <c r="A637" s="51" t="s">
        <v>214</v>
      </c>
      <c r="B637" s="42" t="s">
        <v>614</v>
      </c>
      <c r="C637" s="44" t="s">
        <v>888</v>
      </c>
      <c r="D637" s="42"/>
      <c r="E637" s="52">
        <v>200</v>
      </c>
      <c r="F637" s="42" t="b">
        <v>1</v>
      </c>
      <c r="G637" s="42">
        <v>0</v>
      </c>
      <c r="H637" s="52">
        <v>0</v>
      </c>
      <c r="I637" s="42">
        <v>0</v>
      </c>
      <c r="J637" s="42">
        <v>0</v>
      </c>
      <c r="K637" s="42">
        <v>0</v>
      </c>
      <c r="L637" s="46" t="b">
        <v>0</v>
      </c>
      <c r="M637" s="42">
        <v>0</v>
      </c>
      <c r="N637" s="42">
        <v>0</v>
      </c>
      <c r="O637" s="52">
        <v>0</v>
      </c>
      <c r="P637" s="42">
        <v>0</v>
      </c>
      <c r="Q637" s="42">
        <v>0</v>
      </c>
      <c r="R637" s="42"/>
      <c r="S637" s="42"/>
      <c r="T637" s="42" t="s">
        <v>616</v>
      </c>
      <c r="U637" t="str">
        <f>IFERROR(HYPERLINK("#'Main'!B"&amp;MATCH(TRIM(A637),Main!B:B,0),"Open"),HYPERLINK("#'Main'!B1","Open"))</f>
        <v>Open</v>
      </c>
    </row>
    <row r="638" spans="1:22" ht="30" customHeight="1" x14ac:dyDescent="0.25">
      <c r="A638" s="50" t="s">
        <v>214</v>
      </c>
      <c r="B638" s="33" t="s">
        <v>614</v>
      </c>
      <c r="C638" s="37" t="s">
        <v>889</v>
      </c>
      <c r="D638" s="33"/>
      <c r="E638" s="52">
        <v>200</v>
      </c>
      <c r="F638" s="33" t="b">
        <v>1</v>
      </c>
      <c r="G638" s="33">
        <v>0</v>
      </c>
      <c r="H638" s="52">
        <v>0</v>
      </c>
      <c r="I638" s="33">
        <v>0</v>
      </c>
      <c r="J638" s="33">
        <v>0</v>
      </c>
      <c r="K638" s="33">
        <v>0</v>
      </c>
      <c r="L638" s="40" t="b">
        <v>0</v>
      </c>
      <c r="M638" s="33">
        <v>0</v>
      </c>
      <c r="N638" s="33">
        <v>0</v>
      </c>
      <c r="O638" s="52">
        <v>0</v>
      </c>
      <c r="P638" s="33">
        <v>0</v>
      </c>
      <c r="Q638" s="33">
        <v>0</v>
      </c>
      <c r="R638" s="33"/>
      <c r="S638" s="33"/>
      <c r="T638" s="33" t="s">
        <v>616</v>
      </c>
      <c r="U638" s="41" t="str">
        <f>IFERROR(HYPERLINK("#'Main'!B"&amp;MATCH(TRIM(A638),Main!B:B,0),"Open"),HYPERLINK("#'Main'!B1","Open"))</f>
        <v>Open</v>
      </c>
      <c r="V638" s="41"/>
    </row>
    <row r="639" spans="1:22" ht="30" customHeight="1" x14ac:dyDescent="0.25">
      <c r="A639" s="51" t="s">
        <v>214</v>
      </c>
      <c r="B639" s="42" t="s">
        <v>614</v>
      </c>
      <c r="C639" s="44" t="s">
        <v>890</v>
      </c>
      <c r="D639" s="42"/>
      <c r="E639" s="52">
        <v>200</v>
      </c>
      <c r="F639" s="42" t="b">
        <v>1</v>
      </c>
      <c r="G639" s="42">
        <v>0</v>
      </c>
      <c r="H639" s="52">
        <v>0</v>
      </c>
      <c r="I639" s="42">
        <v>0</v>
      </c>
      <c r="J639" s="42">
        <v>0</v>
      </c>
      <c r="K639" s="42">
        <v>0</v>
      </c>
      <c r="L639" s="46" t="b">
        <v>0</v>
      </c>
      <c r="M639" s="42">
        <v>0</v>
      </c>
      <c r="N639" s="42">
        <v>0</v>
      </c>
      <c r="O639" s="52">
        <v>0</v>
      </c>
      <c r="P639" s="42">
        <v>0</v>
      </c>
      <c r="Q639" s="42">
        <v>0</v>
      </c>
      <c r="R639" s="42"/>
      <c r="S639" s="42"/>
      <c r="T639" s="42" t="s">
        <v>616</v>
      </c>
      <c r="U639" t="str">
        <f>IFERROR(HYPERLINK("#'Main'!B"&amp;MATCH(TRIM(A639),Main!B:B,0),"Open"),HYPERLINK("#'Main'!B1","Open"))</f>
        <v>Open</v>
      </c>
    </row>
    <row r="640" spans="1:22" ht="30" customHeight="1" x14ac:dyDescent="0.25">
      <c r="A640" s="50" t="s">
        <v>214</v>
      </c>
      <c r="B640" s="33" t="s">
        <v>614</v>
      </c>
      <c r="C640" s="37" t="s">
        <v>891</v>
      </c>
      <c r="D640" s="33"/>
      <c r="E640" s="52">
        <v>200</v>
      </c>
      <c r="F640" s="33" t="b">
        <v>1</v>
      </c>
      <c r="G640" s="33">
        <v>0</v>
      </c>
      <c r="H640" s="52">
        <v>0</v>
      </c>
      <c r="I640" s="33">
        <v>0</v>
      </c>
      <c r="J640" s="33">
        <v>0</v>
      </c>
      <c r="K640" s="33">
        <v>0</v>
      </c>
      <c r="L640" s="40" t="b">
        <v>0</v>
      </c>
      <c r="M640" s="33">
        <v>0</v>
      </c>
      <c r="N640" s="33">
        <v>0</v>
      </c>
      <c r="O640" s="52">
        <v>0</v>
      </c>
      <c r="P640" s="33">
        <v>0</v>
      </c>
      <c r="Q640" s="33">
        <v>0</v>
      </c>
      <c r="R640" s="33"/>
      <c r="S640" s="33"/>
      <c r="T640" s="33" t="s">
        <v>616</v>
      </c>
      <c r="U640" s="41" t="str">
        <f>IFERROR(HYPERLINK("#'Main'!B"&amp;MATCH(TRIM(A640),Main!B:B,0),"Open"),HYPERLINK("#'Main'!B1","Open"))</f>
        <v>Open</v>
      </c>
      <c r="V640" s="41"/>
    </row>
    <row r="641" spans="1:22" ht="30" customHeight="1" x14ac:dyDescent="0.25">
      <c r="A641" s="51" t="s">
        <v>214</v>
      </c>
      <c r="B641" s="42" t="s">
        <v>614</v>
      </c>
      <c r="C641" s="44" t="s">
        <v>892</v>
      </c>
      <c r="D641" s="42"/>
      <c r="E641" s="52">
        <v>200</v>
      </c>
      <c r="F641" s="42" t="b">
        <v>1</v>
      </c>
      <c r="G641" s="42">
        <v>0</v>
      </c>
      <c r="H641" s="52">
        <v>0</v>
      </c>
      <c r="I641" s="42">
        <v>0</v>
      </c>
      <c r="J641" s="42">
        <v>0</v>
      </c>
      <c r="K641" s="42">
        <v>0</v>
      </c>
      <c r="L641" s="46" t="b">
        <v>0</v>
      </c>
      <c r="M641" s="42">
        <v>0</v>
      </c>
      <c r="N641" s="42">
        <v>0</v>
      </c>
      <c r="O641" s="52">
        <v>0</v>
      </c>
      <c r="P641" s="42">
        <v>0</v>
      </c>
      <c r="Q641" s="42">
        <v>0</v>
      </c>
      <c r="R641" s="42"/>
      <c r="S641" s="42"/>
      <c r="T641" s="42" t="s">
        <v>616</v>
      </c>
      <c r="U641" t="str">
        <f>IFERROR(HYPERLINK("#'Main'!B"&amp;MATCH(TRIM(A641),Main!B:B,0),"Open"),HYPERLINK("#'Main'!B1","Open"))</f>
        <v>Open</v>
      </c>
    </row>
    <row r="642" spans="1:22" ht="30" customHeight="1" x14ac:dyDescent="0.25">
      <c r="A642" s="50" t="s">
        <v>214</v>
      </c>
      <c r="B642" s="33" t="s">
        <v>614</v>
      </c>
      <c r="C642" s="37" t="s">
        <v>893</v>
      </c>
      <c r="D642" s="33"/>
      <c r="E642" s="52">
        <v>200</v>
      </c>
      <c r="F642" s="33" t="b">
        <v>1</v>
      </c>
      <c r="G642" s="33">
        <v>0</v>
      </c>
      <c r="H642" s="52">
        <v>0</v>
      </c>
      <c r="I642" s="33">
        <v>0</v>
      </c>
      <c r="J642" s="33">
        <v>0</v>
      </c>
      <c r="K642" s="33">
        <v>0</v>
      </c>
      <c r="L642" s="40" t="b">
        <v>0</v>
      </c>
      <c r="M642" s="33">
        <v>0</v>
      </c>
      <c r="N642" s="33">
        <v>0</v>
      </c>
      <c r="O642" s="52">
        <v>0</v>
      </c>
      <c r="P642" s="33">
        <v>0</v>
      </c>
      <c r="Q642" s="33">
        <v>0</v>
      </c>
      <c r="R642" s="33"/>
      <c r="S642" s="33"/>
      <c r="T642" s="33" t="s">
        <v>616</v>
      </c>
      <c r="U642" s="41" t="str">
        <f>IFERROR(HYPERLINK("#'Main'!B"&amp;MATCH(TRIM(A642),Main!B:B,0),"Open"),HYPERLINK("#'Main'!B1","Open"))</f>
        <v>Open</v>
      </c>
      <c r="V642" s="41"/>
    </row>
    <row r="643" spans="1:22" ht="30" customHeight="1" x14ac:dyDescent="0.25">
      <c r="A643" s="51" t="s">
        <v>214</v>
      </c>
      <c r="B643" s="42" t="s">
        <v>614</v>
      </c>
      <c r="C643" s="44" t="s">
        <v>894</v>
      </c>
      <c r="D643" s="42"/>
      <c r="E643" s="52">
        <v>200</v>
      </c>
      <c r="F643" s="42" t="b">
        <v>1</v>
      </c>
      <c r="G643" s="42">
        <v>0</v>
      </c>
      <c r="H643" s="52">
        <v>0</v>
      </c>
      <c r="I643" s="42">
        <v>0</v>
      </c>
      <c r="J643" s="42">
        <v>0</v>
      </c>
      <c r="K643" s="42">
        <v>0</v>
      </c>
      <c r="L643" s="46" t="b">
        <v>0</v>
      </c>
      <c r="M643" s="42">
        <v>0</v>
      </c>
      <c r="N643" s="42">
        <v>0</v>
      </c>
      <c r="O643" s="52">
        <v>0</v>
      </c>
      <c r="P643" s="42">
        <v>0</v>
      </c>
      <c r="Q643" s="42">
        <v>0</v>
      </c>
      <c r="R643" s="42"/>
      <c r="S643" s="42"/>
      <c r="T643" s="42" t="s">
        <v>616</v>
      </c>
      <c r="U643" t="str">
        <f>IFERROR(HYPERLINK("#'Main'!B"&amp;MATCH(TRIM(A643),Main!B:B,0),"Open"),HYPERLINK("#'Main'!B1","Open"))</f>
        <v>Open</v>
      </c>
    </row>
    <row r="644" spans="1:22" ht="30" customHeight="1" x14ac:dyDescent="0.25">
      <c r="A644" s="50" t="s">
        <v>214</v>
      </c>
      <c r="B644" s="33" t="s">
        <v>614</v>
      </c>
      <c r="C644" s="37" t="s">
        <v>895</v>
      </c>
      <c r="D644" s="33"/>
      <c r="E644" s="52">
        <v>200</v>
      </c>
      <c r="F644" s="33" t="b">
        <v>1</v>
      </c>
      <c r="G644" s="33">
        <v>0</v>
      </c>
      <c r="H644" s="52">
        <v>0</v>
      </c>
      <c r="I644" s="33">
        <v>0</v>
      </c>
      <c r="J644" s="33">
        <v>0</v>
      </c>
      <c r="K644" s="33">
        <v>0</v>
      </c>
      <c r="L644" s="40" t="b">
        <v>0</v>
      </c>
      <c r="M644" s="33">
        <v>0</v>
      </c>
      <c r="N644" s="33">
        <v>0</v>
      </c>
      <c r="O644" s="52">
        <v>0</v>
      </c>
      <c r="P644" s="33">
        <v>0</v>
      </c>
      <c r="Q644" s="33">
        <v>0</v>
      </c>
      <c r="R644" s="33"/>
      <c r="S644" s="33"/>
      <c r="T644" s="33" t="s">
        <v>616</v>
      </c>
      <c r="U644" s="41" t="str">
        <f>IFERROR(HYPERLINK("#'Main'!B"&amp;MATCH(TRIM(A644),Main!B:B,0),"Open"),HYPERLINK("#'Main'!B1","Open"))</f>
        <v>Open</v>
      </c>
      <c r="V644" s="41"/>
    </row>
    <row r="645" spans="1:22" ht="30" customHeight="1" x14ac:dyDescent="0.25">
      <c r="A645" s="51" t="s">
        <v>214</v>
      </c>
      <c r="B645" s="42" t="s">
        <v>614</v>
      </c>
      <c r="C645" s="44" t="s">
        <v>896</v>
      </c>
      <c r="D645" s="42"/>
      <c r="E645" s="52">
        <v>200</v>
      </c>
      <c r="F645" s="42" t="b">
        <v>1</v>
      </c>
      <c r="G645" s="42">
        <v>0</v>
      </c>
      <c r="H645" s="52">
        <v>0</v>
      </c>
      <c r="I645" s="42">
        <v>0</v>
      </c>
      <c r="J645" s="42">
        <v>0</v>
      </c>
      <c r="K645" s="42">
        <v>0</v>
      </c>
      <c r="L645" s="46" t="b">
        <v>0</v>
      </c>
      <c r="M645" s="42">
        <v>0</v>
      </c>
      <c r="N645" s="42">
        <v>0</v>
      </c>
      <c r="O645" s="52">
        <v>0</v>
      </c>
      <c r="P645" s="42">
        <v>0</v>
      </c>
      <c r="Q645" s="42">
        <v>0</v>
      </c>
      <c r="R645" s="42"/>
      <c r="S645" s="42"/>
      <c r="T645" s="42" t="s">
        <v>616</v>
      </c>
      <c r="U645" t="str">
        <f>IFERROR(HYPERLINK("#'Main'!B"&amp;MATCH(TRIM(A645),Main!B:B,0),"Open"),HYPERLINK("#'Main'!B1","Open"))</f>
        <v>Open</v>
      </c>
    </row>
    <row r="646" spans="1:22" ht="30" customHeight="1" x14ac:dyDescent="0.25">
      <c r="A646" s="50" t="s">
        <v>214</v>
      </c>
      <c r="B646" s="33" t="s">
        <v>614</v>
      </c>
      <c r="C646" s="37" t="s">
        <v>897</v>
      </c>
      <c r="D646" s="33"/>
      <c r="E646" s="52">
        <v>200</v>
      </c>
      <c r="F646" s="33" t="b">
        <v>1</v>
      </c>
      <c r="G646" s="33">
        <v>0</v>
      </c>
      <c r="H646" s="52">
        <v>0</v>
      </c>
      <c r="I646" s="33">
        <v>0</v>
      </c>
      <c r="J646" s="33">
        <v>0</v>
      </c>
      <c r="K646" s="33">
        <v>0</v>
      </c>
      <c r="L646" s="40" t="b">
        <v>0</v>
      </c>
      <c r="M646" s="33">
        <v>0</v>
      </c>
      <c r="N646" s="33">
        <v>0</v>
      </c>
      <c r="O646" s="52">
        <v>0</v>
      </c>
      <c r="P646" s="33">
        <v>0</v>
      </c>
      <c r="Q646" s="33">
        <v>0</v>
      </c>
      <c r="R646" s="33"/>
      <c r="S646" s="33"/>
      <c r="T646" s="33" t="s">
        <v>616</v>
      </c>
      <c r="U646" s="41" t="str">
        <f>IFERROR(HYPERLINK("#'Main'!B"&amp;MATCH(TRIM(A646),Main!B:B,0),"Open"),HYPERLINK("#'Main'!B1","Open"))</f>
        <v>Open</v>
      </c>
      <c r="V646" s="41"/>
    </row>
    <row r="647" spans="1:22" ht="30" customHeight="1" x14ac:dyDescent="0.25">
      <c r="A647" s="51" t="s">
        <v>214</v>
      </c>
      <c r="B647" s="42" t="s">
        <v>614</v>
      </c>
      <c r="C647" s="44" t="s">
        <v>898</v>
      </c>
      <c r="D647" s="42"/>
      <c r="E647" s="52">
        <v>200</v>
      </c>
      <c r="F647" s="42" t="b">
        <v>1</v>
      </c>
      <c r="G647" s="42">
        <v>0</v>
      </c>
      <c r="H647" s="52">
        <v>0</v>
      </c>
      <c r="I647" s="42">
        <v>0</v>
      </c>
      <c r="J647" s="42">
        <v>0</v>
      </c>
      <c r="K647" s="42">
        <v>0</v>
      </c>
      <c r="L647" s="46" t="b">
        <v>0</v>
      </c>
      <c r="M647" s="42">
        <v>0</v>
      </c>
      <c r="N647" s="42">
        <v>0</v>
      </c>
      <c r="O647" s="52">
        <v>0</v>
      </c>
      <c r="P647" s="42">
        <v>0</v>
      </c>
      <c r="Q647" s="42">
        <v>0</v>
      </c>
      <c r="R647" s="42"/>
      <c r="S647" s="42"/>
      <c r="T647" s="42" t="s">
        <v>616</v>
      </c>
      <c r="U647" t="str">
        <f>IFERROR(HYPERLINK("#'Main'!B"&amp;MATCH(TRIM(A647),Main!B:B,0),"Open"),HYPERLINK("#'Main'!B1","Open"))</f>
        <v>Open</v>
      </c>
    </row>
    <row r="648" spans="1:22" ht="30" customHeight="1" x14ac:dyDescent="0.25">
      <c r="A648" s="50" t="s">
        <v>214</v>
      </c>
      <c r="B648" s="33" t="s">
        <v>614</v>
      </c>
      <c r="C648" s="37" t="s">
        <v>899</v>
      </c>
      <c r="D648" s="33"/>
      <c r="E648" s="52">
        <v>200</v>
      </c>
      <c r="F648" s="33" t="b">
        <v>1</v>
      </c>
      <c r="G648" s="33">
        <v>0</v>
      </c>
      <c r="H648" s="52">
        <v>0</v>
      </c>
      <c r="I648" s="33">
        <v>0</v>
      </c>
      <c r="J648" s="33">
        <v>0</v>
      </c>
      <c r="K648" s="33">
        <v>0</v>
      </c>
      <c r="L648" s="40" t="b">
        <v>0</v>
      </c>
      <c r="M648" s="33">
        <v>0</v>
      </c>
      <c r="N648" s="33">
        <v>0</v>
      </c>
      <c r="O648" s="52">
        <v>0</v>
      </c>
      <c r="P648" s="33">
        <v>0</v>
      </c>
      <c r="Q648" s="33">
        <v>0</v>
      </c>
      <c r="R648" s="33"/>
      <c r="S648" s="33"/>
      <c r="T648" s="33" t="s">
        <v>616</v>
      </c>
      <c r="U648" s="41" t="str">
        <f>IFERROR(HYPERLINK("#'Main'!B"&amp;MATCH(TRIM(A648),Main!B:B,0),"Open"),HYPERLINK("#'Main'!B1","Open"))</f>
        <v>Open</v>
      </c>
      <c r="V648" s="41"/>
    </row>
    <row r="649" spans="1:22" ht="30" customHeight="1" x14ac:dyDescent="0.25">
      <c r="A649" s="51" t="s">
        <v>214</v>
      </c>
      <c r="B649" s="42" t="s">
        <v>614</v>
      </c>
      <c r="C649" s="44" t="s">
        <v>900</v>
      </c>
      <c r="D649" s="42"/>
      <c r="E649" s="52">
        <v>200</v>
      </c>
      <c r="F649" s="42" t="b">
        <v>1</v>
      </c>
      <c r="G649" s="42">
        <v>0</v>
      </c>
      <c r="H649" s="52">
        <v>0</v>
      </c>
      <c r="I649" s="42">
        <v>0</v>
      </c>
      <c r="J649" s="42">
        <v>0</v>
      </c>
      <c r="K649" s="42">
        <v>0</v>
      </c>
      <c r="L649" s="46" t="b">
        <v>0</v>
      </c>
      <c r="M649" s="42">
        <v>0</v>
      </c>
      <c r="N649" s="42">
        <v>0</v>
      </c>
      <c r="O649" s="52">
        <v>0</v>
      </c>
      <c r="P649" s="42">
        <v>0</v>
      </c>
      <c r="Q649" s="42">
        <v>0</v>
      </c>
      <c r="R649" s="42"/>
      <c r="S649" s="42"/>
      <c r="T649" s="42" t="s">
        <v>616</v>
      </c>
      <c r="U649" t="str">
        <f>IFERROR(HYPERLINK("#'Main'!B"&amp;MATCH(TRIM(A649),Main!B:B,0),"Open"),HYPERLINK("#'Main'!B1","Open"))</f>
        <v>Open</v>
      </c>
    </row>
    <row r="650" spans="1:22" ht="30" customHeight="1" x14ac:dyDescent="0.25">
      <c r="A650" s="50" t="s">
        <v>214</v>
      </c>
      <c r="B650" s="33" t="s">
        <v>614</v>
      </c>
      <c r="C650" s="37" t="s">
        <v>901</v>
      </c>
      <c r="D650" s="33"/>
      <c r="E650" s="52">
        <v>200</v>
      </c>
      <c r="F650" s="33" t="b">
        <v>1</v>
      </c>
      <c r="G650" s="33">
        <v>0</v>
      </c>
      <c r="H650" s="52">
        <v>0</v>
      </c>
      <c r="I650" s="33">
        <v>0</v>
      </c>
      <c r="J650" s="33">
        <v>0</v>
      </c>
      <c r="K650" s="33">
        <v>0</v>
      </c>
      <c r="L650" s="40" t="b">
        <v>0</v>
      </c>
      <c r="M650" s="33">
        <v>0</v>
      </c>
      <c r="N650" s="33">
        <v>0</v>
      </c>
      <c r="O650" s="52">
        <v>0</v>
      </c>
      <c r="P650" s="33">
        <v>0</v>
      </c>
      <c r="Q650" s="33">
        <v>0</v>
      </c>
      <c r="R650" s="33"/>
      <c r="S650" s="33"/>
      <c r="T650" s="33" t="s">
        <v>616</v>
      </c>
      <c r="U650" s="41" t="str">
        <f>IFERROR(HYPERLINK("#'Main'!B"&amp;MATCH(TRIM(A650),Main!B:B,0),"Open"),HYPERLINK("#'Main'!B1","Open"))</f>
        <v>Open</v>
      </c>
      <c r="V650" s="41"/>
    </row>
    <row r="651" spans="1:22" ht="30" customHeight="1" x14ac:dyDescent="0.25">
      <c r="A651" s="51" t="s">
        <v>214</v>
      </c>
      <c r="B651" s="42" t="s">
        <v>614</v>
      </c>
      <c r="C651" s="44" t="s">
        <v>902</v>
      </c>
      <c r="D651" s="42"/>
      <c r="E651" s="52">
        <v>200</v>
      </c>
      <c r="F651" s="42" t="b">
        <v>1</v>
      </c>
      <c r="G651" s="42">
        <v>0</v>
      </c>
      <c r="H651" s="52">
        <v>0</v>
      </c>
      <c r="I651" s="42">
        <v>0</v>
      </c>
      <c r="J651" s="42">
        <v>0</v>
      </c>
      <c r="K651" s="42">
        <v>0</v>
      </c>
      <c r="L651" s="46" t="b">
        <v>0</v>
      </c>
      <c r="M651" s="42">
        <v>0</v>
      </c>
      <c r="N651" s="42">
        <v>0</v>
      </c>
      <c r="O651" s="52">
        <v>0</v>
      </c>
      <c r="P651" s="42">
        <v>0</v>
      </c>
      <c r="Q651" s="42">
        <v>0</v>
      </c>
      <c r="R651" s="42"/>
      <c r="S651" s="42"/>
      <c r="T651" s="42" t="s">
        <v>616</v>
      </c>
      <c r="U651" t="str">
        <f>IFERROR(HYPERLINK("#'Main'!B"&amp;MATCH(TRIM(A651),Main!B:B,0),"Open"),HYPERLINK("#'Main'!B1","Open"))</f>
        <v>Open</v>
      </c>
    </row>
    <row r="652" spans="1:22" ht="30" customHeight="1" x14ac:dyDescent="0.25">
      <c r="A652" s="50" t="s">
        <v>214</v>
      </c>
      <c r="B652" s="33" t="s">
        <v>614</v>
      </c>
      <c r="C652" s="37" t="s">
        <v>903</v>
      </c>
      <c r="D652" s="33"/>
      <c r="E652" s="52">
        <v>200</v>
      </c>
      <c r="F652" s="33" t="b">
        <v>1</v>
      </c>
      <c r="G652" s="33">
        <v>0</v>
      </c>
      <c r="H652" s="52">
        <v>0</v>
      </c>
      <c r="I652" s="33">
        <v>0</v>
      </c>
      <c r="J652" s="33">
        <v>0</v>
      </c>
      <c r="K652" s="33">
        <v>0</v>
      </c>
      <c r="L652" s="40" t="b">
        <v>0</v>
      </c>
      <c r="M652" s="33">
        <v>0</v>
      </c>
      <c r="N652" s="33">
        <v>0</v>
      </c>
      <c r="O652" s="52">
        <v>0</v>
      </c>
      <c r="P652" s="33">
        <v>0</v>
      </c>
      <c r="Q652" s="33">
        <v>0</v>
      </c>
      <c r="R652" s="33"/>
      <c r="S652" s="33"/>
      <c r="T652" s="33" t="s">
        <v>616</v>
      </c>
      <c r="U652" s="41" t="str">
        <f>IFERROR(HYPERLINK("#'Main'!B"&amp;MATCH(TRIM(A652),Main!B:B,0),"Open"),HYPERLINK("#'Main'!B1","Open"))</f>
        <v>Open</v>
      </c>
      <c r="V652" s="41"/>
    </row>
    <row r="653" spans="1:22" ht="30" customHeight="1" x14ac:dyDescent="0.25">
      <c r="A653" s="51" t="s">
        <v>214</v>
      </c>
      <c r="B653" s="42" t="s">
        <v>614</v>
      </c>
      <c r="C653" s="44" t="s">
        <v>904</v>
      </c>
      <c r="D653" s="42"/>
      <c r="E653" s="52">
        <v>200</v>
      </c>
      <c r="F653" s="42" t="b">
        <v>1</v>
      </c>
      <c r="G653" s="42">
        <v>0</v>
      </c>
      <c r="H653" s="52">
        <v>0</v>
      </c>
      <c r="I653" s="42">
        <v>0</v>
      </c>
      <c r="J653" s="42">
        <v>0</v>
      </c>
      <c r="K653" s="42">
        <v>0</v>
      </c>
      <c r="L653" s="46" t="b">
        <v>0</v>
      </c>
      <c r="M653" s="42">
        <v>0</v>
      </c>
      <c r="N653" s="42">
        <v>0</v>
      </c>
      <c r="O653" s="52">
        <v>0</v>
      </c>
      <c r="P653" s="42">
        <v>0</v>
      </c>
      <c r="Q653" s="42">
        <v>0</v>
      </c>
      <c r="R653" s="42"/>
      <c r="S653" s="42"/>
      <c r="T653" s="42" t="s">
        <v>616</v>
      </c>
      <c r="U653" t="str">
        <f>IFERROR(HYPERLINK("#'Main'!B"&amp;MATCH(TRIM(A653),Main!B:B,0),"Open"),HYPERLINK("#'Main'!B1","Open"))</f>
        <v>Open</v>
      </c>
    </row>
    <row r="654" spans="1:22" ht="30" customHeight="1" x14ac:dyDescent="0.25">
      <c r="A654" s="50" t="s">
        <v>214</v>
      </c>
      <c r="B654" s="33" t="s">
        <v>614</v>
      </c>
      <c r="C654" s="37" t="s">
        <v>905</v>
      </c>
      <c r="D654" s="33"/>
      <c r="E654" s="52">
        <v>200</v>
      </c>
      <c r="F654" s="33" t="b">
        <v>1</v>
      </c>
      <c r="G654" s="33">
        <v>0</v>
      </c>
      <c r="H654" s="52">
        <v>0</v>
      </c>
      <c r="I654" s="33">
        <v>0</v>
      </c>
      <c r="J654" s="33">
        <v>0</v>
      </c>
      <c r="K654" s="33">
        <v>0</v>
      </c>
      <c r="L654" s="40" t="b">
        <v>0</v>
      </c>
      <c r="M654" s="33">
        <v>0</v>
      </c>
      <c r="N654" s="33">
        <v>0</v>
      </c>
      <c r="O654" s="52">
        <v>0</v>
      </c>
      <c r="P654" s="33">
        <v>0</v>
      </c>
      <c r="Q654" s="33">
        <v>0</v>
      </c>
      <c r="R654" s="33"/>
      <c r="S654" s="33"/>
      <c r="T654" s="33" t="s">
        <v>616</v>
      </c>
      <c r="U654" s="41" t="str">
        <f>IFERROR(HYPERLINK("#'Main'!B"&amp;MATCH(TRIM(A654),Main!B:B,0),"Open"),HYPERLINK("#'Main'!B1","Open"))</f>
        <v>Open</v>
      </c>
      <c r="V654" s="41"/>
    </row>
    <row r="655" spans="1:22" ht="30" customHeight="1" x14ac:dyDescent="0.25">
      <c r="A655" s="51" t="s">
        <v>214</v>
      </c>
      <c r="B655" s="42" t="s">
        <v>614</v>
      </c>
      <c r="C655" s="44" t="s">
        <v>906</v>
      </c>
      <c r="D655" s="42"/>
      <c r="E655" s="52">
        <v>200</v>
      </c>
      <c r="F655" s="42" t="b">
        <v>1</v>
      </c>
      <c r="G655" s="42">
        <v>0</v>
      </c>
      <c r="H655" s="52">
        <v>0</v>
      </c>
      <c r="I655" s="42">
        <v>0</v>
      </c>
      <c r="J655" s="42">
        <v>0</v>
      </c>
      <c r="K655" s="42">
        <v>0</v>
      </c>
      <c r="L655" s="46" t="b">
        <v>0</v>
      </c>
      <c r="M655" s="42">
        <v>0</v>
      </c>
      <c r="N655" s="42">
        <v>0</v>
      </c>
      <c r="O655" s="52">
        <v>0</v>
      </c>
      <c r="P655" s="42">
        <v>0</v>
      </c>
      <c r="Q655" s="42">
        <v>0</v>
      </c>
      <c r="R655" s="42"/>
      <c r="S655" s="42"/>
      <c r="T655" s="42" t="s">
        <v>616</v>
      </c>
      <c r="U655" t="str">
        <f>IFERROR(HYPERLINK("#'Main'!B"&amp;MATCH(TRIM(A655),Main!B:B,0),"Open"),HYPERLINK("#'Main'!B1","Open"))</f>
        <v>Open</v>
      </c>
    </row>
    <row r="656" spans="1:22" ht="30" customHeight="1" x14ac:dyDescent="0.25">
      <c r="A656" s="50" t="s">
        <v>214</v>
      </c>
      <c r="B656" s="33" t="s">
        <v>614</v>
      </c>
      <c r="C656" s="37" t="s">
        <v>907</v>
      </c>
      <c r="D656" s="33"/>
      <c r="E656" s="52">
        <v>200</v>
      </c>
      <c r="F656" s="33" t="b">
        <v>1</v>
      </c>
      <c r="G656" s="33">
        <v>0</v>
      </c>
      <c r="H656" s="52">
        <v>0</v>
      </c>
      <c r="I656" s="33">
        <v>0</v>
      </c>
      <c r="J656" s="33">
        <v>0</v>
      </c>
      <c r="K656" s="33">
        <v>0</v>
      </c>
      <c r="L656" s="40" t="b">
        <v>0</v>
      </c>
      <c r="M656" s="33">
        <v>0</v>
      </c>
      <c r="N656" s="33">
        <v>0</v>
      </c>
      <c r="O656" s="52">
        <v>0</v>
      </c>
      <c r="P656" s="33">
        <v>0</v>
      </c>
      <c r="Q656" s="33">
        <v>0</v>
      </c>
      <c r="R656" s="33"/>
      <c r="S656" s="33"/>
      <c r="T656" s="33" t="s">
        <v>616</v>
      </c>
      <c r="U656" s="41" t="str">
        <f>IFERROR(HYPERLINK("#'Main'!B"&amp;MATCH(TRIM(A656),Main!B:B,0),"Open"),HYPERLINK("#'Main'!B1","Open"))</f>
        <v>Open</v>
      </c>
      <c r="V656" s="41"/>
    </row>
    <row r="657" spans="1:22" ht="30" customHeight="1" x14ac:dyDescent="0.25">
      <c r="A657" s="51" t="s">
        <v>214</v>
      </c>
      <c r="B657" s="42" t="s">
        <v>614</v>
      </c>
      <c r="C657" s="44" t="s">
        <v>908</v>
      </c>
      <c r="D657" s="42"/>
      <c r="E657" s="52">
        <v>200</v>
      </c>
      <c r="F657" s="42" t="b">
        <v>1</v>
      </c>
      <c r="G657" s="42">
        <v>0</v>
      </c>
      <c r="H657" s="52">
        <v>0</v>
      </c>
      <c r="I657" s="42">
        <v>0</v>
      </c>
      <c r="J657" s="42">
        <v>0</v>
      </c>
      <c r="K657" s="42">
        <v>0</v>
      </c>
      <c r="L657" s="46" t="b">
        <v>0</v>
      </c>
      <c r="M657" s="42">
        <v>0</v>
      </c>
      <c r="N657" s="42">
        <v>0</v>
      </c>
      <c r="O657" s="52">
        <v>0</v>
      </c>
      <c r="P657" s="42">
        <v>0</v>
      </c>
      <c r="Q657" s="42">
        <v>0</v>
      </c>
      <c r="R657" s="42"/>
      <c r="S657" s="42"/>
      <c r="T657" s="42" t="s">
        <v>616</v>
      </c>
      <c r="U657" t="str">
        <f>IFERROR(HYPERLINK("#'Main'!B"&amp;MATCH(TRIM(A657),Main!B:B,0),"Open"),HYPERLINK("#'Main'!B1","Open"))</f>
        <v>Open</v>
      </c>
    </row>
    <row r="658" spans="1:22" ht="30" customHeight="1" x14ac:dyDescent="0.25">
      <c r="A658" s="50" t="s">
        <v>214</v>
      </c>
      <c r="B658" s="33" t="s">
        <v>614</v>
      </c>
      <c r="C658" s="37" t="s">
        <v>909</v>
      </c>
      <c r="D658" s="33"/>
      <c r="E658" s="52">
        <v>200</v>
      </c>
      <c r="F658" s="33" t="b">
        <v>1</v>
      </c>
      <c r="G658" s="33">
        <v>0</v>
      </c>
      <c r="H658" s="52">
        <v>0</v>
      </c>
      <c r="I658" s="33">
        <v>0</v>
      </c>
      <c r="J658" s="33">
        <v>0</v>
      </c>
      <c r="K658" s="33">
        <v>0</v>
      </c>
      <c r="L658" s="40" t="b">
        <v>0</v>
      </c>
      <c r="M658" s="33">
        <v>0</v>
      </c>
      <c r="N658" s="33">
        <v>0</v>
      </c>
      <c r="O658" s="52">
        <v>0</v>
      </c>
      <c r="P658" s="33">
        <v>0</v>
      </c>
      <c r="Q658" s="33">
        <v>0</v>
      </c>
      <c r="R658" s="33"/>
      <c r="S658" s="33"/>
      <c r="T658" s="33" t="s">
        <v>616</v>
      </c>
      <c r="U658" s="41" t="str">
        <f>IFERROR(HYPERLINK("#'Main'!B"&amp;MATCH(TRIM(A658),Main!B:B,0),"Open"),HYPERLINK("#'Main'!B1","Open"))</f>
        <v>Open</v>
      </c>
      <c r="V658" s="41"/>
    </row>
    <row r="659" spans="1:22" ht="30" customHeight="1" x14ac:dyDescent="0.25">
      <c r="A659" s="51" t="s">
        <v>214</v>
      </c>
      <c r="B659" s="42" t="s">
        <v>614</v>
      </c>
      <c r="C659" s="44" t="s">
        <v>910</v>
      </c>
      <c r="D659" s="42"/>
      <c r="E659" s="52">
        <v>200</v>
      </c>
      <c r="F659" s="42" t="b">
        <v>1</v>
      </c>
      <c r="G659" s="42">
        <v>0</v>
      </c>
      <c r="H659" s="52">
        <v>0</v>
      </c>
      <c r="I659" s="42">
        <v>0</v>
      </c>
      <c r="J659" s="42">
        <v>0</v>
      </c>
      <c r="K659" s="42">
        <v>0</v>
      </c>
      <c r="L659" s="46" t="b">
        <v>0</v>
      </c>
      <c r="M659" s="42">
        <v>0</v>
      </c>
      <c r="N659" s="42">
        <v>0</v>
      </c>
      <c r="O659" s="52">
        <v>0</v>
      </c>
      <c r="P659" s="42">
        <v>0</v>
      </c>
      <c r="Q659" s="42">
        <v>0</v>
      </c>
      <c r="R659" s="42"/>
      <c r="S659" s="42"/>
      <c r="T659" s="42" t="s">
        <v>616</v>
      </c>
      <c r="U659" t="str">
        <f>IFERROR(HYPERLINK("#'Main'!B"&amp;MATCH(TRIM(A659),Main!B:B,0),"Open"),HYPERLINK("#'Main'!B1","Open"))</f>
        <v>Open</v>
      </c>
    </row>
    <row r="660" spans="1:22" ht="30" customHeight="1" x14ac:dyDescent="0.25">
      <c r="A660" s="50" t="s">
        <v>214</v>
      </c>
      <c r="B660" s="33" t="s">
        <v>614</v>
      </c>
      <c r="C660" s="37" t="s">
        <v>765</v>
      </c>
      <c r="D660" s="33"/>
      <c r="E660" s="52">
        <v>200</v>
      </c>
      <c r="F660" s="33" t="b">
        <v>1</v>
      </c>
      <c r="G660" s="33">
        <v>0</v>
      </c>
      <c r="H660" s="52">
        <v>0</v>
      </c>
      <c r="I660" s="33">
        <v>0</v>
      </c>
      <c r="J660" s="33">
        <v>0</v>
      </c>
      <c r="K660" s="33">
        <v>0</v>
      </c>
      <c r="L660" s="40" t="b">
        <v>0</v>
      </c>
      <c r="M660" s="33">
        <v>0</v>
      </c>
      <c r="N660" s="33">
        <v>0</v>
      </c>
      <c r="O660" s="52">
        <v>0</v>
      </c>
      <c r="P660" s="33">
        <v>0</v>
      </c>
      <c r="Q660" s="33">
        <v>0</v>
      </c>
      <c r="R660" s="33"/>
      <c r="S660" s="33"/>
      <c r="T660" s="33" t="s">
        <v>616</v>
      </c>
      <c r="U660" s="41" t="str">
        <f>IFERROR(HYPERLINK("#'Main'!B"&amp;MATCH(TRIM(A660),Main!B:B,0),"Open"),HYPERLINK("#'Main'!B1","Open"))</f>
        <v>Open</v>
      </c>
      <c r="V660" s="41"/>
    </row>
    <row r="661" spans="1:22" ht="30" customHeight="1" x14ac:dyDescent="0.25">
      <c r="A661" s="51" t="s">
        <v>214</v>
      </c>
      <c r="B661" s="42" t="s">
        <v>614</v>
      </c>
      <c r="C661" s="44" t="s">
        <v>911</v>
      </c>
      <c r="D661" s="42"/>
      <c r="E661" s="52">
        <v>200</v>
      </c>
      <c r="F661" s="42" t="b">
        <v>1</v>
      </c>
      <c r="G661" s="42">
        <v>0</v>
      </c>
      <c r="H661" s="52">
        <v>0</v>
      </c>
      <c r="I661" s="42">
        <v>0</v>
      </c>
      <c r="J661" s="42">
        <v>0</v>
      </c>
      <c r="K661" s="42">
        <v>0</v>
      </c>
      <c r="L661" s="46" t="b">
        <v>0</v>
      </c>
      <c r="M661" s="42">
        <v>0</v>
      </c>
      <c r="N661" s="42">
        <v>0</v>
      </c>
      <c r="O661" s="52">
        <v>0</v>
      </c>
      <c r="P661" s="42">
        <v>0</v>
      </c>
      <c r="Q661" s="42">
        <v>0</v>
      </c>
      <c r="R661" s="42"/>
      <c r="S661" s="42"/>
      <c r="T661" s="42" t="s">
        <v>616</v>
      </c>
      <c r="U661" t="str">
        <f>IFERROR(HYPERLINK("#'Main'!B"&amp;MATCH(TRIM(A661),Main!B:B,0),"Open"),HYPERLINK("#'Main'!B1","Open"))</f>
        <v>Open</v>
      </c>
    </row>
    <row r="662" spans="1:22" ht="30" customHeight="1" x14ac:dyDescent="0.25">
      <c r="A662" s="50" t="s">
        <v>214</v>
      </c>
      <c r="B662" s="33" t="s">
        <v>614</v>
      </c>
      <c r="C662" s="37" t="s">
        <v>912</v>
      </c>
      <c r="D662" s="33"/>
      <c r="E662" s="52">
        <v>200</v>
      </c>
      <c r="F662" s="33" t="b">
        <v>1</v>
      </c>
      <c r="G662" s="33">
        <v>0</v>
      </c>
      <c r="H662" s="52">
        <v>0</v>
      </c>
      <c r="I662" s="33">
        <v>0</v>
      </c>
      <c r="J662" s="33">
        <v>0</v>
      </c>
      <c r="K662" s="33">
        <v>0</v>
      </c>
      <c r="L662" s="40" t="b">
        <v>0</v>
      </c>
      <c r="M662" s="33">
        <v>0</v>
      </c>
      <c r="N662" s="33">
        <v>0</v>
      </c>
      <c r="O662" s="52">
        <v>0</v>
      </c>
      <c r="P662" s="33">
        <v>0</v>
      </c>
      <c r="Q662" s="33">
        <v>0</v>
      </c>
      <c r="R662" s="33"/>
      <c r="S662" s="33"/>
      <c r="T662" s="33" t="s">
        <v>616</v>
      </c>
      <c r="U662" s="41" t="str">
        <f>IFERROR(HYPERLINK("#'Main'!B"&amp;MATCH(TRIM(A662),Main!B:B,0),"Open"),HYPERLINK("#'Main'!B1","Open"))</f>
        <v>Open</v>
      </c>
      <c r="V662" s="41"/>
    </row>
    <row r="663" spans="1:22" ht="30" customHeight="1" x14ac:dyDescent="0.25">
      <c r="A663" s="51" t="s">
        <v>214</v>
      </c>
      <c r="B663" s="42" t="s">
        <v>614</v>
      </c>
      <c r="C663" s="44" t="s">
        <v>913</v>
      </c>
      <c r="D663" s="42"/>
      <c r="E663" s="52">
        <v>200</v>
      </c>
      <c r="F663" s="42" t="b">
        <v>1</v>
      </c>
      <c r="G663" s="42">
        <v>0</v>
      </c>
      <c r="H663" s="52">
        <v>0</v>
      </c>
      <c r="I663" s="42">
        <v>0</v>
      </c>
      <c r="J663" s="42">
        <v>0</v>
      </c>
      <c r="K663" s="42">
        <v>0</v>
      </c>
      <c r="L663" s="46" t="b">
        <v>0</v>
      </c>
      <c r="M663" s="42">
        <v>0</v>
      </c>
      <c r="N663" s="42">
        <v>0</v>
      </c>
      <c r="O663" s="52">
        <v>0</v>
      </c>
      <c r="P663" s="42">
        <v>0</v>
      </c>
      <c r="Q663" s="42">
        <v>0</v>
      </c>
      <c r="R663" s="42"/>
      <c r="S663" s="42"/>
      <c r="T663" s="42" t="s">
        <v>616</v>
      </c>
      <c r="U663" t="str">
        <f>IFERROR(HYPERLINK("#'Main'!B"&amp;MATCH(TRIM(A663),Main!B:B,0),"Open"),HYPERLINK("#'Main'!B1","Open"))</f>
        <v>Open</v>
      </c>
    </row>
    <row r="664" spans="1:22" ht="30" customHeight="1" x14ac:dyDescent="0.25">
      <c r="A664" s="50" t="s">
        <v>214</v>
      </c>
      <c r="B664" s="33" t="s">
        <v>614</v>
      </c>
      <c r="C664" s="37" t="s">
        <v>914</v>
      </c>
      <c r="D664" s="33"/>
      <c r="E664" s="52">
        <v>200</v>
      </c>
      <c r="F664" s="33" t="b">
        <v>1</v>
      </c>
      <c r="G664" s="33">
        <v>0</v>
      </c>
      <c r="H664" s="52">
        <v>0</v>
      </c>
      <c r="I664" s="33">
        <v>0</v>
      </c>
      <c r="J664" s="33">
        <v>0</v>
      </c>
      <c r="K664" s="33">
        <v>0</v>
      </c>
      <c r="L664" s="40" t="b">
        <v>0</v>
      </c>
      <c r="M664" s="33">
        <v>0</v>
      </c>
      <c r="N664" s="33">
        <v>0</v>
      </c>
      <c r="O664" s="52">
        <v>0</v>
      </c>
      <c r="P664" s="33">
        <v>0</v>
      </c>
      <c r="Q664" s="33">
        <v>0</v>
      </c>
      <c r="R664" s="33"/>
      <c r="S664" s="33"/>
      <c r="T664" s="33" t="s">
        <v>616</v>
      </c>
      <c r="U664" s="41" t="str">
        <f>IFERROR(HYPERLINK("#'Main'!B"&amp;MATCH(TRIM(A664),Main!B:B,0),"Open"),HYPERLINK("#'Main'!B1","Open"))</f>
        <v>Open</v>
      </c>
      <c r="V664" s="41"/>
    </row>
    <row r="665" spans="1:22" ht="30" customHeight="1" x14ac:dyDescent="0.25">
      <c r="A665" s="51" t="s">
        <v>214</v>
      </c>
      <c r="B665" s="42" t="s">
        <v>614</v>
      </c>
      <c r="C665" s="44" t="s">
        <v>915</v>
      </c>
      <c r="D665" s="42"/>
      <c r="E665" s="52">
        <v>200</v>
      </c>
      <c r="F665" s="42" t="b">
        <v>1</v>
      </c>
      <c r="G665" s="42">
        <v>0</v>
      </c>
      <c r="H665" s="52">
        <v>0</v>
      </c>
      <c r="I665" s="42">
        <v>0</v>
      </c>
      <c r="J665" s="42">
        <v>0</v>
      </c>
      <c r="K665" s="42">
        <v>0</v>
      </c>
      <c r="L665" s="46" t="b">
        <v>0</v>
      </c>
      <c r="M665" s="42">
        <v>0</v>
      </c>
      <c r="N665" s="42">
        <v>0</v>
      </c>
      <c r="O665" s="52">
        <v>0</v>
      </c>
      <c r="P665" s="42">
        <v>0</v>
      </c>
      <c r="Q665" s="42">
        <v>0</v>
      </c>
      <c r="R665" s="42"/>
      <c r="S665" s="42"/>
      <c r="T665" s="42" t="s">
        <v>616</v>
      </c>
      <c r="U665" t="str">
        <f>IFERROR(HYPERLINK("#'Main'!B"&amp;MATCH(TRIM(A665),Main!B:B,0),"Open"),HYPERLINK("#'Main'!B1","Open"))</f>
        <v>Open</v>
      </c>
    </row>
    <row r="666" spans="1:22" ht="30" customHeight="1" x14ac:dyDescent="0.25">
      <c r="A666" s="50" t="s">
        <v>214</v>
      </c>
      <c r="B666" s="33" t="s">
        <v>614</v>
      </c>
      <c r="C666" s="37" t="s">
        <v>916</v>
      </c>
      <c r="D666" s="33"/>
      <c r="E666" s="52">
        <v>200</v>
      </c>
      <c r="F666" s="33" t="b">
        <v>1</v>
      </c>
      <c r="G666" s="33">
        <v>0</v>
      </c>
      <c r="H666" s="52">
        <v>0</v>
      </c>
      <c r="I666" s="33">
        <v>0</v>
      </c>
      <c r="J666" s="33">
        <v>0</v>
      </c>
      <c r="K666" s="33">
        <v>0</v>
      </c>
      <c r="L666" s="40" t="b">
        <v>0</v>
      </c>
      <c r="M666" s="33">
        <v>0</v>
      </c>
      <c r="N666" s="33">
        <v>0</v>
      </c>
      <c r="O666" s="52">
        <v>0</v>
      </c>
      <c r="P666" s="33">
        <v>0</v>
      </c>
      <c r="Q666" s="33">
        <v>0</v>
      </c>
      <c r="R666" s="33"/>
      <c r="S666" s="33"/>
      <c r="T666" s="33" t="s">
        <v>616</v>
      </c>
      <c r="U666" s="41" t="str">
        <f>IFERROR(HYPERLINK("#'Main'!B"&amp;MATCH(TRIM(A666),Main!B:B,0),"Open"),HYPERLINK("#'Main'!B1","Open"))</f>
        <v>Open</v>
      </c>
      <c r="V666" s="41"/>
    </row>
    <row r="667" spans="1:22" ht="30" customHeight="1" x14ac:dyDescent="0.25">
      <c r="A667" s="51" t="s">
        <v>214</v>
      </c>
      <c r="B667" s="42" t="s">
        <v>614</v>
      </c>
      <c r="C667" s="44" t="s">
        <v>917</v>
      </c>
      <c r="D667" s="42"/>
      <c r="E667" s="52">
        <v>200</v>
      </c>
      <c r="F667" s="42" t="b">
        <v>1</v>
      </c>
      <c r="G667" s="42">
        <v>0</v>
      </c>
      <c r="H667" s="52">
        <v>0</v>
      </c>
      <c r="I667" s="42">
        <v>0</v>
      </c>
      <c r="J667" s="42">
        <v>0</v>
      </c>
      <c r="K667" s="42">
        <v>0</v>
      </c>
      <c r="L667" s="46" t="b">
        <v>0</v>
      </c>
      <c r="M667" s="42">
        <v>0</v>
      </c>
      <c r="N667" s="42">
        <v>0</v>
      </c>
      <c r="O667" s="52">
        <v>0</v>
      </c>
      <c r="P667" s="42">
        <v>0</v>
      </c>
      <c r="Q667" s="42">
        <v>0</v>
      </c>
      <c r="R667" s="42"/>
      <c r="S667" s="42"/>
      <c r="T667" s="42" t="s">
        <v>616</v>
      </c>
      <c r="U667" t="str">
        <f>IFERROR(HYPERLINK("#'Main'!B"&amp;MATCH(TRIM(A667),Main!B:B,0),"Open"),HYPERLINK("#'Main'!B1","Open"))</f>
        <v>Open</v>
      </c>
    </row>
    <row r="668" spans="1:22" ht="30" customHeight="1" x14ac:dyDescent="0.25">
      <c r="A668" s="50" t="s">
        <v>214</v>
      </c>
      <c r="B668" s="33" t="s">
        <v>614</v>
      </c>
      <c r="C668" s="37" t="s">
        <v>918</v>
      </c>
      <c r="D668" s="33"/>
      <c r="E668" s="52">
        <v>200</v>
      </c>
      <c r="F668" s="33" t="b">
        <v>1</v>
      </c>
      <c r="G668" s="33">
        <v>0</v>
      </c>
      <c r="H668" s="52">
        <v>0</v>
      </c>
      <c r="I668" s="33">
        <v>0</v>
      </c>
      <c r="J668" s="33">
        <v>0</v>
      </c>
      <c r="K668" s="33">
        <v>0</v>
      </c>
      <c r="L668" s="40" t="b">
        <v>0</v>
      </c>
      <c r="M668" s="33">
        <v>0</v>
      </c>
      <c r="N668" s="33">
        <v>0</v>
      </c>
      <c r="O668" s="52">
        <v>0</v>
      </c>
      <c r="P668" s="33">
        <v>0</v>
      </c>
      <c r="Q668" s="33">
        <v>0</v>
      </c>
      <c r="R668" s="33"/>
      <c r="S668" s="33"/>
      <c r="T668" s="33" t="s">
        <v>616</v>
      </c>
      <c r="U668" s="41" t="str">
        <f>IFERROR(HYPERLINK("#'Main'!B"&amp;MATCH(TRIM(A668),Main!B:B,0),"Open"),HYPERLINK("#'Main'!B1","Open"))</f>
        <v>Open</v>
      </c>
      <c r="V668" s="41"/>
    </row>
    <row r="669" spans="1:22" ht="30" customHeight="1" x14ac:dyDescent="0.25">
      <c r="A669" s="51" t="s">
        <v>214</v>
      </c>
      <c r="B669" s="42" t="s">
        <v>614</v>
      </c>
      <c r="C669" s="44" t="s">
        <v>919</v>
      </c>
      <c r="D669" s="42"/>
      <c r="E669" s="52">
        <v>200</v>
      </c>
      <c r="F669" s="42" t="b">
        <v>1</v>
      </c>
      <c r="G669" s="42">
        <v>0</v>
      </c>
      <c r="H669" s="52">
        <v>0</v>
      </c>
      <c r="I669" s="42">
        <v>0</v>
      </c>
      <c r="J669" s="42">
        <v>0</v>
      </c>
      <c r="K669" s="42">
        <v>0</v>
      </c>
      <c r="L669" s="46" t="b">
        <v>0</v>
      </c>
      <c r="M669" s="42">
        <v>0</v>
      </c>
      <c r="N669" s="42">
        <v>0</v>
      </c>
      <c r="O669" s="52">
        <v>0</v>
      </c>
      <c r="P669" s="42">
        <v>0</v>
      </c>
      <c r="Q669" s="42">
        <v>0</v>
      </c>
      <c r="R669" s="42"/>
      <c r="S669" s="42"/>
      <c r="T669" s="42" t="s">
        <v>616</v>
      </c>
      <c r="U669" t="str">
        <f>IFERROR(HYPERLINK("#'Main'!B"&amp;MATCH(TRIM(A669),Main!B:B,0),"Open"),HYPERLINK("#'Main'!B1","Open"))</f>
        <v>Open</v>
      </c>
    </row>
    <row r="670" spans="1:22" ht="30" customHeight="1" x14ac:dyDescent="0.25">
      <c r="A670" s="50" t="s">
        <v>214</v>
      </c>
      <c r="B670" s="33" t="s">
        <v>614</v>
      </c>
      <c r="C670" s="37" t="s">
        <v>920</v>
      </c>
      <c r="D670" s="33"/>
      <c r="E670" s="52">
        <v>200</v>
      </c>
      <c r="F670" s="33" t="b">
        <v>1</v>
      </c>
      <c r="G670" s="33">
        <v>0</v>
      </c>
      <c r="H670" s="52">
        <v>0</v>
      </c>
      <c r="I670" s="33">
        <v>0</v>
      </c>
      <c r="J670" s="33">
        <v>0</v>
      </c>
      <c r="K670" s="33">
        <v>0</v>
      </c>
      <c r="L670" s="40" t="b">
        <v>0</v>
      </c>
      <c r="M670" s="33">
        <v>0</v>
      </c>
      <c r="N670" s="33">
        <v>0</v>
      </c>
      <c r="O670" s="52">
        <v>0</v>
      </c>
      <c r="P670" s="33">
        <v>0</v>
      </c>
      <c r="Q670" s="33">
        <v>0</v>
      </c>
      <c r="R670" s="33"/>
      <c r="S670" s="33"/>
      <c r="T670" s="33" t="s">
        <v>616</v>
      </c>
      <c r="U670" s="41" t="str">
        <f>IFERROR(HYPERLINK("#'Main'!B"&amp;MATCH(TRIM(A670),Main!B:B,0),"Open"),HYPERLINK("#'Main'!B1","Open"))</f>
        <v>Open</v>
      </c>
      <c r="V670" s="41"/>
    </row>
    <row r="671" spans="1:22" ht="30" customHeight="1" x14ac:dyDescent="0.25">
      <c r="A671" s="51" t="s">
        <v>214</v>
      </c>
      <c r="B671" s="42" t="s">
        <v>614</v>
      </c>
      <c r="C671" s="44" t="s">
        <v>921</v>
      </c>
      <c r="D671" s="42"/>
      <c r="E671" s="52">
        <v>200</v>
      </c>
      <c r="F671" s="42" t="b">
        <v>1</v>
      </c>
      <c r="G671" s="42">
        <v>0</v>
      </c>
      <c r="H671" s="52">
        <v>0</v>
      </c>
      <c r="I671" s="42">
        <v>0</v>
      </c>
      <c r="J671" s="42">
        <v>0</v>
      </c>
      <c r="K671" s="42">
        <v>0</v>
      </c>
      <c r="L671" s="46" t="b">
        <v>0</v>
      </c>
      <c r="M671" s="42">
        <v>0</v>
      </c>
      <c r="N671" s="42">
        <v>0</v>
      </c>
      <c r="O671" s="52">
        <v>0</v>
      </c>
      <c r="P671" s="42">
        <v>0</v>
      </c>
      <c r="Q671" s="42">
        <v>0</v>
      </c>
      <c r="R671" s="42"/>
      <c r="S671" s="42"/>
      <c r="T671" s="42" t="s">
        <v>616</v>
      </c>
      <c r="U671" t="str">
        <f>IFERROR(HYPERLINK("#'Main'!B"&amp;MATCH(TRIM(A671),Main!B:B,0),"Open"),HYPERLINK("#'Main'!B1","Open"))</f>
        <v>Open</v>
      </c>
    </row>
    <row r="672" spans="1:22" ht="30" customHeight="1" x14ac:dyDescent="0.25">
      <c r="A672" s="50" t="s">
        <v>214</v>
      </c>
      <c r="B672" s="33" t="s">
        <v>614</v>
      </c>
      <c r="C672" s="37" t="s">
        <v>922</v>
      </c>
      <c r="D672" s="33"/>
      <c r="E672" s="52">
        <v>200</v>
      </c>
      <c r="F672" s="33" t="b">
        <v>1</v>
      </c>
      <c r="G672" s="33">
        <v>0</v>
      </c>
      <c r="H672" s="52">
        <v>0</v>
      </c>
      <c r="I672" s="33">
        <v>0</v>
      </c>
      <c r="J672" s="33">
        <v>0</v>
      </c>
      <c r="K672" s="33">
        <v>0</v>
      </c>
      <c r="L672" s="40" t="b">
        <v>0</v>
      </c>
      <c r="M672" s="33">
        <v>0</v>
      </c>
      <c r="N672" s="33">
        <v>0</v>
      </c>
      <c r="O672" s="52">
        <v>0</v>
      </c>
      <c r="P672" s="33">
        <v>0</v>
      </c>
      <c r="Q672" s="33">
        <v>0</v>
      </c>
      <c r="R672" s="33"/>
      <c r="S672" s="33"/>
      <c r="T672" s="33" t="s">
        <v>616</v>
      </c>
      <c r="U672" s="41" t="str">
        <f>IFERROR(HYPERLINK("#'Main'!B"&amp;MATCH(TRIM(A672),Main!B:B,0),"Open"),HYPERLINK("#'Main'!B1","Open"))</f>
        <v>Open</v>
      </c>
      <c r="V672" s="41"/>
    </row>
    <row r="673" spans="1:22" ht="30" customHeight="1" x14ac:dyDescent="0.25">
      <c r="A673" s="51" t="s">
        <v>214</v>
      </c>
      <c r="B673" s="42" t="s">
        <v>614</v>
      </c>
      <c r="C673" s="44" t="s">
        <v>923</v>
      </c>
      <c r="D673" s="42"/>
      <c r="E673" s="52">
        <v>200</v>
      </c>
      <c r="F673" s="42" t="b">
        <v>1</v>
      </c>
      <c r="G673" s="42">
        <v>0</v>
      </c>
      <c r="H673" s="52">
        <v>0</v>
      </c>
      <c r="I673" s="42">
        <v>0</v>
      </c>
      <c r="J673" s="42">
        <v>0</v>
      </c>
      <c r="K673" s="42">
        <v>0</v>
      </c>
      <c r="L673" s="46" t="b">
        <v>0</v>
      </c>
      <c r="M673" s="42">
        <v>0</v>
      </c>
      <c r="N673" s="42">
        <v>0</v>
      </c>
      <c r="O673" s="52">
        <v>0</v>
      </c>
      <c r="P673" s="42">
        <v>0</v>
      </c>
      <c r="Q673" s="42">
        <v>0</v>
      </c>
      <c r="R673" s="42"/>
      <c r="S673" s="42"/>
      <c r="T673" s="42" t="s">
        <v>616</v>
      </c>
      <c r="U673" t="str">
        <f>IFERROR(HYPERLINK("#'Main'!B"&amp;MATCH(TRIM(A673),Main!B:B,0),"Open"),HYPERLINK("#'Main'!B1","Open"))</f>
        <v>Open</v>
      </c>
    </row>
    <row r="674" spans="1:22" ht="30" customHeight="1" x14ac:dyDescent="0.25">
      <c r="A674" s="50" t="s">
        <v>214</v>
      </c>
      <c r="B674" s="33" t="s">
        <v>614</v>
      </c>
      <c r="C674" s="37" t="s">
        <v>924</v>
      </c>
      <c r="D674" s="33"/>
      <c r="E674" s="52">
        <v>200</v>
      </c>
      <c r="F674" s="33" t="b">
        <v>1</v>
      </c>
      <c r="G674" s="33">
        <v>0</v>
      </c>
      <c r="H674" s="52">
        <v>0</v>
      </c>
      <c r="I674" s="33">
        <v>0</v>
      </c>
      <c r="J674" s="33">
        <v>0</v>
      </c>
      <c r="K674" s="33">
        <v>0</v>
      </c>
      <c r="L674" s="40" t="b">
        <v>0</v>
      </c>
      <c r="M674" s="33">
        <v>0</v>
      </c>
      <c r="N674" s="33">
        <v>0</v>
      </c>
      <c r="O674" s="52">
        <v>0</v>
      </c>
      <c r="P674" s="33">
        <v>0</v>
      </c>
      <c r="Q674" s="33">
        <v>0</v>
      </c>
      <c r="R674" s="33"/>
      <c r="S674" s="33"/>
      <c r="T674" s="33" t="s">
        <v>616</v>
      </c>
      <c r="U674" s="41" t="str">
        <f>IFERROR(HYPERLINK("#'Main'!B"&amp;MATCH(TRIM(A674),Main!B:B,0),"Open"),HYPERLINK("#'Main'!B1","Open"))</f>
        <v>Open</v>
      </c>
      <c r="V674" s="41"/>
    </row>
    <row r="675" spans="1:22" ht="30" customHeight="1" x14ac:dyDescent="0.25">
      <c r="A675" s="51" t="s">
        <v>214</v>
      </c>
      <c r="B675" s="42" t="s">
        <v>614</v>
      </c>
      <c r="C675" s="44" t="s">
        <v>925</v>
      </c>
      <c r="D675" s="42"/>
      <c r="E675" s="52">
        <v>200</v>
      </c>
      <c r="F675" s="42" t="b">
        <v>1</v>
      </c>
      <c r="G675" s="42">
        <v>0</v>
      </c>
      <c r="H675" s="52">
        <v>0</v>
      </c>
      <c r="I675" s="42">
        <v>0</v>
      </c>
      <c r="J675" s="42">
        <v>0</v>
      </c>
      <c r="K675" s="42">
        <v>0</v>
      </c>
      <c r="L675" s="46" t="b">
        <v>0</v>
      </c>
      <c r="M675" s="42">
        <v>0</v>
      </c>
      <c r="N675" s="42">
        <v>0</v>
      </c>
      <c r="O675" s="52">
        <v>0</v>
      </c>
      <c r="P675" s="42">
        <v>0</v>
      </c>
      <c r="Q675" s="42">
        <v>0</v>
      </c>
      <c r="R675" s="42"/>
      <c r="S675" s="42"/>
      <c r="T675" s="42" t="s">
        <v>616</v>
      </c>
      <c r="U675" t="str">
        <f>IFERROR(HYPERLINK("#'Main'!B"&amp;MATCH(TRIM(A675),Main!B:B,0),"Open"),HYPERLINK("#'Main'!B1","Open"))</f>
        <v>Open</v>
      </c>
    </row>
    <row r="676" spans="1:22" ht="30" customHeight="1" x14ac:dyDescent="0.25">
      <c r="A676" s="50" t="s">
        <v>214</v>
      </c>
      <c r="B676" s="33" t="s">
        <v>614</v>
      </c>
      <c r="C676" s="37" t="s">
        <v>926</v>
      </c>
      <c r="D676" s="33"/>
      <c r="E676" s="52">
        <v>200</v>
      </c>
      <c r="F676" s="33" t="b">
        <v>1</v>
      </c>
      <c r="G676" s="33">
        <v>0</v>
      </c>
      <c r="H676" s="52">
        <v>0</v>
      </c>
      <c r="I676" s="33">
        <v>0</v>
      </c>
      <c r="J676" s="33">
        <v>0</v>
      </c>
      <c r="K676" s="33">
        <v>0</v>
      </c>
      <c r="L676" s="40" t="b">
        <v>0</v>
      </c>
      <c r="M676" s="33">
        <v>0</v>
      </c>
      <c r="N676" s="33">
        <v>0</v>
      </c>
      <c r="O676" s="52">
        <v>0</v>
      </c>
      <c r="P676" s="33">
        <v>0</v>
      </c>
      <c r="Q676" s="33">
        <v>0</v>
      </c>
      <c r="R676" s="33"/>
      <c r="S676" s="33"/>
      <c r="T676" s="33" t="s">
        <v>616</v>
      </c>
      <c r="U676" s="41" t="str">
        <f>IFERROR(HYPERLINK("#'Main'!B"&amp;MATCH(TRIM(A676),Main!B:B,0),"Open"),HYPERLINK("#'Main'!B1","Open"))</f>
        <v>Open</v>
      </c>
      <c r="V676" s="41"/>
    </row>
    <row r="677" spans="1:22" ht="30" customHeight="1" x14ac:dyDescent="0.25">
      <c r="A677" s="51" t="s">
        <v>214</v>
      </c>
      <c r="B677" s="42" t="s">
        <v>614</v>
      </c>
      <c r="C677" s="44" t="s">
        <v>927</v>
      </c>
      <c r="D677" s="42"/>
      <c r="E677" s="52">
        <v>200</v>
      </c>
      <c r="F677" s="42" t="b">
        <v>1</v>
      </c>
      <c r="G677" s="42">
        <v>0</v>
      </c>
      <c r="H677" s="52">
        <v>0</v>
      </c>
      <c r="I677" s="42">
        <v>0</v>
      </c>
      <c r="J677" s="42">
        <v>0</v>
      </c>
      <c r="K677" s="42">
        <v>0</v>
      </c>
      <c r="L677" s="46" t="b">
        <v>0</v>
      </c>
      <c r="M677" s="42">
        <v>0</v>
      </c>
      <c r="N677" s="42">
        <v>0</v>
      </c>
      <c r="O677" s="52">
        <v>0</v>
      </c>
      <c r="P677" s="42">
        <v>0</v>
      </c>
      <c r="Q677" s="42">
        <v>0</v>
      </c>
      <c r="R677" s="42"/>
      <c r="S677" s="42"/>
      <c r="T677" s="42" t="s">
        <v>616</v>
      </c>
      <c r="U677" t="str">
        <f>IFERROR(HYPERLINK("#'Main'!B"&amp;MATCH(TRIM(A677),Main!B:B,0),"Open"),HYPERLINK("#'Main'!B1","Open"))</f>
        <v>Open</v>
      </c>
    </row>
    <row r="678" spans="1:22" ht="30" customHeight="1" x14ac:dyDescent="0.25">
      <c r="A678" s="50" t="s">
        <v>214</v>
      </c>
      <c r="B678" s="33" t="s">
        <v>614</v>
      </c>
      <c r="C678" s="37" t="s">
        <v>928</v>
      </c>
      <c r="D678" s="33"/>
      <c r="E678" s="52">
        <v>200</v>
      </c>
      <c r="F678" s="33" t="b">
        <v>1</v>
      </c>
      <c r="G678" s="33">
        <v>0</v>
      </c>
      <c r="H678" s="52">
        <v>0</v>
      </c>
      <c r="I678" s="33">
        <v>0</v>
      </c>
      <c r="J678" s="33">
        <v>0</v>
      </c>
      <c r="K678" s="33">
        <v>0</v>
      </c>
      <c r="L678" s="40" t="b">
        <v>0</v>
      </c>
      <c r="M678" s="33">
        <v>0</v>
      </c>
      <c r="N678" s="33">
        <v>0</v>
      </c>
      <c r="O678" s="52">
        <v>0</v>
      </c>
      <c r="P678" s="33">
        <v>0</v>
      </c>
      <c r="Q678" s="33">
        <v>0</v>
      </c>
      <c r="R678" s="33"/>
      <c r="S678" s="33"/>
      <c r="T678" s="33" t="s">
        <v>616</v>
      </c>
      <c r="U678" s="41" t="str">
        <f>IFERROR(HYPERLINK("#'Main'!B"&amp;MATCH(TRIM(A678),Main!B:B,0),"Open"),HYPERLINK("#'Main'!B1","Open"))</f>
        <v>Open</v>
      </c>
      <c r="V678" s="41"/>
    </row>
    <row r="679" spans="1:22" ht="30" customHeight="1" x14ac:dyDescent="0.25">
      <c r="A679" s="51" t="s">
        <v>214</v>
      </c>
      <c r="B679" s="42" t="s">
        <v>614</v>
      </c>
      <c r="C679" s="44" t="s">
        <v>929</v>
      </c>
      <c r="D679" s="42"/>
      <c r="E679" s="52">
        <v>200</v>
      </c>
      <c r="F679" s="42" t="b">
        <v>1</v>
      </c>
      <c r="G679" s="42">
        <v>0</v>
      </c>
      <c r="H679" s="52">
        <v>0</v>
      </c>
      <c r="I679" s="42">
        <v>0</v>
      </c>
      <c r="J679" s="42">
        <v>0</v>
      </c>
      <c r="K679" s="42">
        <v>0</v>
      </c>
      <c r="L679" s="46" t="b">
        <v>0</v>
      </c>
      <c r="M679" s="42">
        <v>0</v>
      </c>
      <c r="N679" s="42">
        <v>0</v>
      </c>
      <c r="O679" s="52">
        <v>0</v>
      </c>
      <c r="P679" s="42">
        <v>0</v>
      </c>
      <c r="Q679" s="42">
        <v>0</v>
      </c>
      <c r="R679" s="42"/>
      <c r="S679" s="42"/>
      <c r="T679" s="42" t="s">
        <v>616</v>
      </c>
      <c r="U679" t="str">
        <f>IFERROR(HYPERLINK("#'Main'!B"&amp;MATCH(TRIM(A679),Main!B:B,0),"Open"),HYPERLINK("#'Main'!B1","Open"))</f>
        <v>Open</v>
      </c>
    </row>
    <row r="680" spans="1:22" ht="30" customHeight="1" x14ac:dyDescent="0.25">
      <c r="A680" s="50" t="s">
        <v>214</v>
      </c>
      <c r="B680" s="33" t="s">
        <v>614</v>
      </c>
      <c r="C680" s="37" t="s">
        <v>930</v>
      </c>
      <c r="D680" s="33"/>
      <c r="E680" s="52">
        <v>200</v>
      </c>
      <c r="F680" s="33" t="b">
        <v>1</v>
      </c>
      <c r="G680" s="33">
        <v>0</v>
      </c>
      <c r="H680" s="52">
        <v>0</v>
      </c>
      <c r="I680" s="33">
        <v>0</v>
      </c>
      <c r="J680" s="33">
        <v>0</v>
      </c>
      <c r="K680" s="33">
        <v>0</v>
      </c>
      <c r="L680" s="40" t="b">
        <v>0</v>
      </c>
      <c r="M680" s="33">
        <v>0</v>
      </c>
      <c r="N680" s="33">
        <v>0</v>
      </c>
      <c r="O680" s="52">
        <v>0</v>
      </c>
      <c r="P680" s="33">
        <v>0</v>
      </c>
      <c r="Q680" s="33">
        <v>0</v>
      </c>
      <c r="R680" s="33"/>
      <c r="S680" s="33"/>
      <c r="T680" s="33" t="s">
        <v>616</v>
      </c>
      <c r="U680" s="41" t="str">
        <f>IFERROR(HYPERLINK("#'Main'!B"&amp;MATCH(TRIM(A680),Main!B:B,0),"Open"),HYPERLINK("#'Main'!B1","Open"))</f>
        <v>Open</v>
      </c>
      <c r="V680" s="41"/>
    </row>
    <row r="681" spans="1:22" ht="30" customHeight="1" x14ac:dyDescent="0.25">
      <c r="A681" s="51" t="s">
        <v>214</v>
      </c>
      <c r="B681" s="42" t="s">
        <v>614</v>
      </c>
      <c r="C681" s="44" t="s">
        <v>931</v>
      </c>
      <c r="D681" s="42"/>
      <c r="E681" s="52">
        <v>200</v>
      </c>
      <c r="F681" s="42" t="b">
        <v>1</v>
      </c>
      <c r="G681" s="42">
        <v>0</v>
      </c>
      <c r="H681" s="52">
        <v>0</v>
      </c>
      <c r="I681" s="42">
        <v>0</v>
      </c>
      <c r="J681" s="42">
        <v>0</v>
      </c>
      <c r="K681" s="42">
        <v>0</v>
      </c>
      <c r="L681" s="46" t="b">
        <v>0</v>
      </c>
      <c r="M681" s="42">
        <v>0</v>
      </c>
      <c r="N681" s="42">
        <v>0</v>
      </c>
      <c r="O681" s="52">
        <v>0</v>
      </c>
      <c r="P681" s="42">
        <v>0</v>
      </c>
      <c r="Q681" s="42">
        <v>0</v>
      </c>
      <c r="R681" s="42"/>
      <c r="S681" s="42"/>
      <c r="T681" s="42" t="s">
        <v>616</v>
      </c>
      <c r="U681" t="str">
        <f>IFERROR(HYPERLINK("#'Main'!B"&amp;MATCH(TRIM(A681),Main!B:B,0),"Open"),HYPERLINK("#'Main'!B1","Open"))</f>
        <v>Open</v>
      </c>
    </row>
    <row r="682" spans="1:22" ht="30" customHeight="1" x14ac:dyDescent="0.25">
      <c r="A682" s="50" t="s">
        <v>214</v>
      </c>
      <c r="B682" s="33" t="s">
        <v>614</v>
      </c>
      <c r="C682" s="37" t="s">
        <v>932</v>
      </c>
      <c r="D682" s="33"/>
      <c r="E682" s="52">
        <v>200</v>
      </c>
      <c r="F682" s="33" t="b">
        <v>1</v>
      </c>
      <c r="G682" s="33">
        <v>0</v>
      </c>
      <c r="H682" s="52">
        <v>0</v>
      </c>
      <c r="I682" s="33">
        <v>0</v>
      </c>
      <c r="J682" s="33">
        <v>0</v>
      </c>
      <c r="K682" s="33">
        <v>0</v>
      </c>
      <c r="L682" s="40" t="b">
        <v>0</v>
      </c>
      <c r="M682" s="33">
        <v>0</v>
      </c>
      <c r="N682" s="33">
        <v>0</v>
      </c>
      <c r="O682" s="52">
        <v>0</v>
      </c>
      <c r="P682" s="33">
        <v>0</v>
      </c>
      <c r="Q682" s="33">
        <v>0</v>
      </c>
      <c r="R682" s="33"/>
      <c r="S682" s="33"/>
      <c r="T682" s="33" t="s">
        <v>616</v>
      </c>
      <c r="U682" s="41" t="str">
        <f>IFERROR(HYPERLINK("#'Main'!B"&amp;MATCH(TRIM(A682),Main!B:B,0),"Open"),HYPERLINK("#'Main'!B1","Open"))</f>
        <v>Open</v>
      </c>
      <c r="V682" s="41"/>
    </row>
    <row r="683" spans="1:22" ht="30" customHeight="1" x14ac:dyDescent="0.25">
      <c r="A683" s="51" t="s">
        <v>214</v>
      </c>
      <c r="B683" s="42" t="s">
        <v>614</v>
      </c>
      <c r="C683" s="44" t="s">
        <v>933</v>
      </c>
      <c r="D683" s="42"/>
      <c r="E683" s="52">
        <v>200</v>
      </c>
      <c r="F683" s="42" t="b">
        <v>1</v>
      </c>
      <c r="G683" s="42">
        <v>0</v>
      </c>
      <c r="H683" s="52">
        <v>0</v>
      </c>
      <c r="I683" s="42">
        <v>0</v>
      </c>
      <c r="J683" s="42">
        <v>0</v>
      </c>
      <c r="K683" s="42">
        <v>0</v>
      </c>
      <c r="L683" s="46" t="b">
        <v>0</v>
      </c>
      <c r="M683" s="42">
        <v>0</v>
      </c>
      <c r="N683" s="42">
        <v>0</v>
      </c>
      <c r="O683" s="52">
        <v>0</v>
      </c>
      <c r="P683" s="42">
        <v>0</v>
      </c>
      <c r="Q683" s="42">
        <v>0</v>
      </c>
      <c r="R683" s="42"/>
      <c r="S683" s="42"/>
      <c r="T683" s="42" t="s">
        <v>616</v>
      </c>
      <c r="U683" t="str">
        <f>IFERROR(HYPERLINK("#'Main'!B"&amp;MATCH(TRIM(A683),Main!B:B,0),"Open"),HYPERLINK("#'Main'!B1","Open"))</f>
        <v>Open</v>
      </c>
    </row>
    <row r="684" spans="1:22" ht="30" customHeight="1" x14ac:dyDescent="0.25">
      <c r="A684" s="50" t="s">
        <v>214</v>
      </c>
      <c r="B684" s="33" t="s">
        <v>614</v>
      </c>
      <c r="C684" s="37" t="s">
        <v>934</v>
      </c>
      <c r="D684" s="33"/>
      <c r="E684" s="52">
        <v>200</v>
      </c>
      <c r="F684" s="33" t="b">
        <v>1</v>
      </c>
      <c r="G684" s="33">
        <v>0</v>
      </c>
      <c r="H684" s="52">
        <v>0</v>
      </c>
      <c r="I684" s="33">
        <v>0</v>
      </c>
      <c r="J684" s="33">
        <v>0</v>
      </c>
      <c r="K684" s="33">
        <v>0</v>
      </c>
      <c r="L684" s="40" t="b">
        <v>0</v>
      </c>
      <c r="M684" s="33">
        <v>0</v>
      </c>
      <c r="N684" s="33">
        <v>0</v>
      </c>
      <c r="O684" s="52">
        <v>0</v>
      </c>
      <c r="P684" s="33">
        <v>0</v>
      </c>
      <c r="Q684" s="33">
        <v>0</v>
      </c>
      <c r="R684" s="33"/>
      <c r="S684" s="33"/>
      <c r="T684" s="33" t="s">
        <v>616</v>
      </c>
      <c r="U684" s="41" t="str">
        <f>IFERROR(HYPERLINK("#'Main'!B"&amp;MATCH(TRIM(A684),Main!B:B,0),"Open"),HYPERLINK("#'Main'!B1","Open"))</f>
        <v>Open</v>
      </c>
      <c r="V684" s="41"/>
    </row>
    <row r="685" spans="1:22" ht="30" customHeight="1" x14ac:dyDescent="0.25">
      <c r="A685" s="51" t="s">
        <v>214</v>
      </c>
      <c r="B685" s="42" t="s">
        <v>614</v>
      </c>
      <c r="C685" s="44" t="s">
        <v>935</v>
      </c>
      <c r="D685" s="42"/>
      <c r="E685" s="52">
        <v>200</v>
      </c>
      <c r="F685" s="42" t="b">
        <v>1</v>
      </c>
      <c r="G685" s="42">
        <v>0</v>
      </c>
      <c r="H685" s="52">
        <v>0</v>
      </c>
      <c r="I685" s="42">
        <v>0</v>
      </c>
      <c r="J685" s="42">
        <v>0</v>
      </c>
      <c r="K685" s="42">
        <v>0</v>
      </c>
      <c r="L685" s="46" t="b">
        <v>0</v>
      </c>
      <c r="M685" s="42">
        <v>0</v>
      </c>
      <c r="N685" s="42">
        <v>0</v>
      </c>
      <c r="O685" s="52">
        <v>0</v>
      </c>
      <c r="P685" s="42">
        <v>0</v>
      </c>
      <c r="Q685" s="42">
        <v>0</v>
      </c>
      <c r="R685" s="42"/>
      <c r="S685" s="42"/>
      <c r="T685" s="42" t="s">
        <v>616</v>
      </c>
      <c r="U685" t="str">
        <f>IFERROR(HYPERLINK("#'Main'!B"&amp;MATCH(TRIM(A685),Main!B:B,0),"Open"),HYPERLINK("#'Main'!B1","Open"))</f>
        <v>Open</v>
      </c>
    </row>
    <row r="686" spans="1:22" ht="30" customHeight="1" x14ac:dyDescent="0.25">
      <c r="A686" s="50" t="s">
        <v>214</v>
      </c>
      <c r="B686" s="33" t="s">
        <v>614</v>
      </c>
      <c r="C686" s="37" t="s">
        <v>936</v>
      </c>
      <c r="D686" s="33"/>
      <c r="E686" s="52">
        <v>200</v>
      </c>
      <c r="F686" s="33" t="b">
        <v>1</v>
      </c>
      <c r="G686" s="33">
        <v>0</v>
      </c>
      <c r="H686" s="52">
        <v>0</v>
      </c>
      <c r="I686" s="33">
        <v>0</v>
      </c>
      <c r="J686" s="33">
        <v>0</v>
      </c>
      <c r="K686" s="33">
        <v>0</v>
      </c>
      <c r="L686" s="40" t="b">
        <v>0</v>
      </c>
      <c r="M686" s="33">
        <v>0</v>
      </c>
      <c r="N686" s="33">
        <v>0</v>
      </c>
      <c r="O686" s="52">
        <v>0</v>
      </c>
      <c r="P686" s="33">
        <v>0</v>
      </c>
      <c r="Q686" s="33">
        <v>0</v>
      </c>
      <c r="R686" s="33"/>
      <c r="S686" s="33"/>
      <c r="T686" s="33" t="s">
        <v>616</v>
      </c>
      <c r="U686" s="41" t="str">
        <f>IFERROR(HYPERLINK("#'Main'!B"&amp;MATCH(TRIM(A686),Main!B:B,0),"Open"),HYPERLINK("#'Main'!B1","Open"))</f>
        <v>Open</v>
      </c>
      <c r="V686" s="41"/>
    </row>
    <row r="687" spans="1:22" ht="30" customHeight="1" x14ac:dyDescent="0.25">
      <c r="A687" s="51" t="s">
        <v>214</v>
      </c>
      <c r="B687" s="42" t="s">
        <v>614</v>
      </c>
      <c r="C687" s="44" t="s">
        <v>937</v>
      </c>
      <c r="D687" s="42"/>
      <c r="E687" s="52">
        <v>200</v>
      </c>
      <c r="F687" s="42" t="b">
        <v>1</v>
      </c>
      <c r="G687" s="42">
        <v>0</v>
      </c>
      <c r="H687" s="52">
        <v>0</v>
      </c>
      <c r="I687" s="42">
        <v>0</v>
      </c>
      <c r="J687" s="42">
        <v>0</v>
      </c>
      <c r="K687" s="42">
        <v>0</v>
      </c>
      <c r="L687" s="46" t="b">
        <v>0</v>
      </c>
      <c r="M687" s="42">
        <v>0</v>
      </c>
      <c r="N687" s="42">
        <v>0</v>
      </c>
      <c r="O687" s="52">
        <v>0</v>
      </c>
      <c r="P687" s="42">
        <v>0</v>
      </c>
      <c r="Q687" s="42">
        <v>0</v>
      </c>
      <c r="R687" s="42"/>
      <c r="S687" s="42"/>
      <c r="T687" s="42" t="s">
        <v>616</v>
      </c>
      <c r="U687" t="str">
        <f>IFERROR(HYPERLINK("#'Main'!B"&amp;MATCH(TRIM(A687),Main!B:B,0),"Open"),HYPERLINK("#'Main'!B1","Open"))</f>
        <v>Open</v>
      </c>
    </row>
    <row r="688" spans="1:22" ht="30" customHeight="1" x14ac:dyDescent="0.25">
      <c r="A688" s="50" t="s">
        <v>214</v>
      </c>
      <c r="B688" s="33" t="s">
        <v>614</v>
      </c>
      <c r="C688" s="37" t="s">
        <v>938</v>
      </c>
      <c r="D688" s="33"/>
      <c r="E688" s="52">
        <v>200</v>
      </c>
      <c r="F688" s="33" t="b">
        <v>1</v>
      </c>
      <c r="G688" s="33">
        <v>0</v>
      </c>
      <c r="H688" s="52">
        <v>0</v>
      </c>
      <c r="I688" s="33">
        <v>0</v>
      </c>
      <c r="J688" s="33">
        <v>0</v>
      </c>
      <c r="K688" s="33">
        <v>0</v>
      </c>
      <c r="L688" s="40" t="b">
        <v>0</v>
      </c>
      <c r="M688" s="33">
        <v>0</v>
      </c>
      <c r="N688" s="33">
        <v>0</v>
      </c>
      <c r="O688" s="52">
        <v>0</v>
      </c>
      <c r="P688" s="33">
        <v>0</v>
      </c>
      <c r="Q688" s="33">
        <v>0</v>
      </c>
      <c r="R688" s="33"/>
      <c r="S688" s="33"/>
      <c r="T688" s="33" t="s">
        <v>616</v>
      </c>
      <c r="U688" s="41" t="str">
        <f>IFERROR(HYPERLINK("#'Main'!B"&amp;MATCH(TRIM(A688),Main!B:B,0),"Open"),HYPERLINK("#'Main'!B1","Open"))</f>
        <v>Open</v>
      </c>
      <c r="V688" s="41"/>
    </row>
    <row r="689" spans="1:22" ht="30" customHeight="1" x14ac:dyDescent="0.25">
      <c r="A689" s="51" t="s">
        <v>214</v>
      </c>
      <c r="B689" s="42" t="s">
        <v>614</v>
      </c>
      <c r="C689" s="44" t="s">
        <v>939</v>
      </c>
      <c r="D689" s="42"/>
      <c r="E689" s="52">
        <v>200</v>
      </c>
      <c r="F689" s="42" t="b">
        <v>1</v>
      </c>
      <c r="G689" s="42">
        <v>0</v>
      </c>
      <c r="H689" s="52">
        <v>0</v>
      </c>
      <c r="I689" s="42">
        <v>0</v>
      </c>
      <c r="J689" s="42">
        <v>0</v>
      </c>
      <c r="K689" s="42">
        <v>0</v>
      </c>
      <c r="L689" s="46" t="b">
        <v>0</v>
      </c>
      <c r="M689" s="42">
        <v>0</v>
      </c>
      <c r="N689" s="42">
        <v>0</v>
      </c>
      <c r="O689" s="52">
        <v>0</v>
      </c>
      <c r="P689" s="42">
        <v>0</v>
      </c>
      <c r="Q689" s="42">
        <v>0</v>
      </c>
      <c r="R689" s="42"/>
      <c r="S689" s="42"/>
      <c r="T689" s="42" t="s">
        <v>616</v>
      </c>
      <c r="U689" t="str">
        <f>IFERROR(HYPERLINK("#'Main'!B"&amp;MATCH(TRIM(A689),Main!B:B,0),"Open"),HYPERLINK("#'Main'!B1","Open"))</f>
        <v>Open</v>
      </c>
    </row>
    <row r="690" spans="1:22" ht="30" customHeight="1" x14ac:dyDescent="0.25">
      <c r="A690" s="50" t="s">
        <v>214</v>
      </c>
      <c r="B690" s="33" t="s">
        <v>614</v>
      </c>
      <c r="C690" s="37" t="s">
        <v>940</v>
      </c>
      <c r="D690" s="33"/>
      <c r="E690" s="52">
        <v>200</v>
      </c>
      <c r="F690" s="33" t="b">
        <v>1</v>
      </c>
      <c r="G690" s="33">
        <v>0</v>
      </c>
      <c r="H690" s="52">
        <v>0</v>
      </c>
      <c r="I690" s="33">
        <v>0</v>
      </c>
      <c r="J690" s="33">
        <v>0</v>
      </c>
      <c r="K690" s="33">
        <v>0</v>
      </c>
      <c r="L690" s="40" t="b">
        <v>0</v>
      </c>
      <c r="M690" s="33">
        <v>0</v>
      </c>
      <c r="N690" s="33">
        <v>0</v>
      </c>
      <c r="O690" s="52">
        <v>0</v>
      </c>
      <c r="P690" s="33">
        <v>0</v>
      </c>
      <c r="Q690" s="33">
        <v>0</v>
      </c>
      <c r="R690" s="33"/>
      <c r="S690" s="33"/>
      <c r="T690" s="33" t="s">
        <v>616</v>
      </c>
      <c r="U690" s="41" t="str">
        <f>IFERROR(HYPERLINK("#'Main'!B"&amp;MATCH(TRIM(A690),Main!B:B,0),"Open"),HYPERLINK("#'Main'!B1","Open"))</f>
        <v>Open</v>
      </c>
      <c r="V690" s="41"/>
    </row>
    <row r="691" spans="1:22" ht="30" customHeight="1" x14ac:dyDescent="0.25">
      <c r="A691" s="51" t="s">
        <v>214</v>
      </c>
      <c r="B691" s="42" t="s">
        <v>614</v>
      </c>
      <c r="C691" s="44" t="s">
        <v>941</v>
      </c>
      <c r="D691" s="42"/>
      <c r="E691" s="52">
        <v>200</v>
      </c>
      <c r="F691" s="42" t="b">
        <v>1</v>
      </c>
      <c r="G691" s="42">
        <v>0</v>
      </c>
      <c r="H691" s="52">
        <v>0</v>
      </c>
      <c r="I691" s="42">
        <v>0</v>
      </c>
      <c r="J691" s="42">
        <v>0</v>
      </c>
      <c r="K691" s="42">
        <v>0</v>
      </c>
      <c r="L691" s="46" t="b">
        <v>0</v>
      </c>
      <c r="M691" s="42">
        <v>0</v>
      </c>
      <c r="N691" s="42">
        <v>0</v>
      </c>
      <c r="O691" s="52">
        <v>0</v>
      </c>
      <c r="P691" s="42">
        <v>0</v>
      </c>
      <c r="Q691" s="42">
        <v>0</v>
      </c>
      <c r="R691" s="42"/>
      <c r="S691" s="42"/>
      <c r="T691" s="42" t="s">
        <v>616</v>
      </c>
      <c r="U691" t="str">
        <f>IFERROR(HYPERLINK("#'Main'!B"&amp;MATCH(TRIM(A691),Main!B:B,0),"Open"),HYPERLINK("#'Main'!B1","Open"))</f>
        <v>Open</v>
      </c>
    </row>
    <row r="692" spans="1:22" ht="30" customHeight="1" x14ac:dyDescent="0.25">
      <c r="A692" s="50" t="s">
        <v>214</v>
      </c>
      <c r="B692" s="33" t="s">
        <v>614</v>
      </c>
      <c r="C692" s="37" t="s">
        <v>942</v>
      </c>
      <c r="D692" s="33"/>
      <c r="E692" s="52">
        <v>200</v>
      </c>
      <c r="F692" s="33" t="b">
        <v>1</v>
      </c>
      <c r="G692" s="33">
        <v>0</v>
      </c>
      <c r="H692" s="52">
        <v>0</v>
      </c>
      <c r="I692" s="33">
        <v>0</v>
      </c>
      <c r="J692" s="33">
        <v>0</v>
      </c>
      <c r="K692" s="33">
        <v>0</v>
      </c>
      <c r="L692" s="40" t="b">
        <v>0</v>
      </c>
      <c r="M692" s="33">
        <v>0</v>
      </c>
      <c r="N692" s="33">
        <v>0</v>
      </c>
      <c r="O692" s="52">
        <v>0</v>
      </c>
      <c r="P692" s="33">
        <v>0</v>
      </c>
      <c r="Q692" s="33">
        <v>0</v>
      </c>
      <c r="R692" s="33"/>
      <c r="S692" s="33"/>
      <c r="T692" s="33" t="s">
        <v>616</v>
      </c>
      <c r="U692" s="41" t="str">
        <f>IFERROR(HYPERLINK("#'Main'!B"&amp;MATCH(TRIM(A692),Main!B:B,0),"Open"),HYPERLINK("#'Main'!B1","Open"))</f>
        <v>Open</v>
      </c>
      <c r="V692" s="41"/>
    </row>
    <row r="693" spans="1:22" ht="30" customHeight="1" x14ac:dyDescent="0.25">
      <c r="A693" s="51" t="s">
        <v>214</v>
      </c>
      <c r="B693" s="42" t="s">
        <v>614</v>
      </c>
      <c r="C693" s="44" t="s">
        <v>943</v>
      </c>
      <c r="D693" s="42"/>
      <c r="E693" s="52">
        <v>200</v>
      </c>
      <c r="F693" s="42" t="b">
        <v>1</v>
      </c>
      <c r="G693" s="42">
        <v>0</v>
      </c>
      <c r="H693" s="52">
        <v>0</v>
      </c>
      <c r="I693" s="42">
        <v>0</v>
      </c>
      <c r="J693" s="42">
        <v>0</v>
      </c>
      <c r="K693" s="42">
        <v>0</v>
      </c>
      <c r="L693" s="46" t="b">
        <v>0</v>
      </c>
      <c r="M693" s="42">
        <v>0</v>
      </c>
      <c r="N693" s="42">
        <v>0</v>
      </c>
      <c r="O693" s="52">
        <v>0</v>
      </c>
      <c r="P693" s="42">
        <v>0</v>
      </c>
      <c r="Q693" s="42">
        <v>0</v>
      </c>
      <c r="R693" s="42"/>
      <c r="S693" s="42"/>
      <c r="T693" s="42" t="s">
        <v>616</v>
      </c>
      <c r="U693" t="str">
        <f>IFERROR(HYPERLINK("#'Main'!B"&amp;MATCH(TRIM(A693),Main!B:B,0),"Open"),HYPERLINK("#'Main'!B1","Open"))</f>
        <v>Open</v>
      </c>
    </row>
    <row r="694" spans="1:22" ht="30" customHeight="1" x14ac:dyDescent="0.25">
      <c r="A694" s="50" t="s">
        <v>214</v>
      </c>
      <c r="B694" s="33" t="s">
        <v>614</v>
      </c>
      <c r="C694" s="37" t="s">
        <v>944</v>
      </c>
      <c r="D694" s="33"/>
      <c r="E694" s="52">
        <v>200</v>
      </c>
      <c r="F694" s="33" t="b">
        <v>1</v>
      </c>
      <c r="G694" s="33">
        <v>0</v>
      </c>
      <c r="H694" s="52">
        <v>0</v>
      </c>
      <c r="I694" s="33">
        <v>0</v>
      </c>
      <c r="J694" s="33">
        <v>0</v>
      </c>
      <c r="K694" s="33">
        <v>0</v>
      </c>
      <c r="L694" s="40" t="b">
        <v>0</v>
      </c>
      <c r="M694" s="33">
        <v>0</v>
      </c>
      <c r="N694" s="33">
        <v>0</v>
      </c>
      <c r="O694" s="52">
        <v>0</v>
      </c>
      <c r="P694" s="33">
        <v>0</v>
      </c>
      <c r="Q694" s="33">
        <v>0</v>
      </c>
      <c r="R694" s="33"/>
      <c r="S694" s="33"/>
      <c r="T694" s="33" t="s">
        <v>616</v>
      </c>
      <c r="U694" s="41" t="str">
        <f>IFERROR(HYPERLINK("#'Main'!B"&amp;MATCH(TRIM(A694),Main!B:B,0),"Open"),HYPERLINK("#'Main'!B1","Open"))</f>
        <v>Open</v>
      </c>
      <c r="V694" s="41"/>
    </row>
    <row r="695" spans="1:22" ht="30" customHeight="1" x14ac:dyDescent="0.25">
      <c r="A695" s="51" t="s">
        <v>214</v>
      </c>
      <c r="B695" s="42" t="s">
        <v>614</v>
      </c>
      <c r="C695" s="44" t="s">
        <v>945</v>
      </c>
      <c r="D695" s="42"/>
      <c r="E695" s="52">
        <v>200</v>
      </c>
      <c r="F695" s="42" t="b">
        <v>1</v>
      </c>
      <c r="G695" s="42">
        <v>0</v>
      </c>
      <c r="H695" s="52">
        <v>0</v>
      </c>
      <c r="I695" s="42">
        <v>0</v>
      </c>
      <c r="J695" s="42">
        <v>0</v>
      </c>
      <c r="K695" s="42">
        <v>0</v>
      </c>
      <c r="L695" s="46" t="b">
        <v>0</v>
      </c>
      <c r="M695" s="42">
        <v>0</v>
      </c>
      <c r="N695" s="42">
        <v>0</v>
      </c>
      <c r="O695" s="52">
        <v>0</v>
      </c>
      <c r="P695" s="42">
        <v>0</v>
      </c>
      <c r="Q695" s="42">
        <v>0</v>
      </c>
      <c r="R695" s="42"/>
      <c r="S695" s="42"/>
      <c r="T695" s="42" t="s">
        <v>616</v>
      </c>
      <c r="U695" t="str">
        <f>IFERROR(HYPERLINK("#'Main'!B"&amp;MATCH(TRIM(A695),Main!B:B,0),"Open"),HYPERLINK("#'Main'!B1","Open"))</f>
        <v>Open</v>
      </c>
    </row>
    <row r="696" spans="1:22" ht="30" customHeight="1" x14ac:dyDescent="0.25">
      <c r="A696" s="50" t="s">
        <v>214</v>
      </c>
      <c r="B696" s="33" t="s">
        <v>614</v>
      </c>
      <c r="C696" s="37" t="s">
        <v>946</v>
      </c>
      <c r="D696" s="33"/>
      <c r="E696" s="52">
        <v>200</v>
      </c>
      <c r="F696" s="33" t="b">
        <v>1</v>
      </c>
      <c r="G696" s="33">
        <v>0</v>
      </c>
      <c r="H696" s="52">
        <v>0</v>
      </c>
      <c r="I696" s="33">
        <v>0</v>
      </c>
      <c r="J696" s="33">
        <v>0</v>
      </c>
      <c r="K696" s="33">
        <v>0</v>
      </c>
      <c r="L696" s="40" t="b">
        <v>0</v>
      </c>
      <c r="M696" s="33">
        <v>0</v>
      </c>
      <c r="N696" s="33">
        <v>0</v>
      </c>
      <c r="O696" s="52">
        <v>0</v>
      </c>
      <c r="P696" s="33">
        <v>0</v>
      </c>
      <c r="Q696" s="33">
        <v>0</v>
      </c>
      <c r="R696" s="33"/>
      <c r="S696" s="33"/>
      <c r="T696" s="33" t="s">
        <v>616</v>
      </c>
      <c r="U696" s="41" t="str">
        <f>IFERROR(HYPERLINK("#'Main'!B"&amp;MATCH(TRIM(A696),Main!B:B,0),"Open"),HYPERLINK("#'Main'!B1","Open"))</f>
        <v>Open</v>
      </c>
      <c r="V696" s="41"/>
    </row>
    <row r="697" spans="1:22" ht="30" customHeight="1" x14ac:dyDescent="0.25">
      <c r="A697" s="51" t="s">
        <v>214</v>
      </c>
      <c r="B697" s="42" t="s">
        <v>614</v>
      </c>
      <c r="C697" s="44" t="s">
        <v>947</v>
      </c>
      <c r="D697" s="42"/>
      <c r="E697" s="52">
        <v>200</v>
      </c>
      <c r="F697" s="42" t="b">
        <v>1</v>
      </c>
      <c r="G697" s="42">
        <v>0</v>
      </c>
      <c r="H697" s="52">
        <v>0</v>
      </c>
      <c r="I697" s="42">
        <v>0</v>
      </c>
      <c r="J697" s="42">
        <v>0</v>
      </c>
      <c r="K697" s="42">
        <v>0</v>
      </c>
      <c r="L697" s="46" t="b">
        <v>0</v>
      </c>
      <c r="M697" s="42">
        <v>0</v>
      </c>
      <c r="N697" s="42">
        <v>0</v>
      </c>
      <c r="O697" s="52">
        <v>0</v>
      </c>
      <c r="P697" s="42">
        <v>0</v>
      </c>
      <c r="Q697" s="42">
        <v>0</v>
      </c>
      <c r="R697" s="42"/>
      <c r="S697" s="42"/>
      <c r="T697" s="42" t="s">
        <v>616</v>
      </c>
      <c r="U697" t="str">
        <f>IFERROR(HYPERLINK("#'Main'!B"&amp;MATCH(TRIM(A697),Main!B:B,0),"Open"),HYPERLINK("#'Main'!B1","Open"))</f>
        <v>Open</v>
      </c>
    </row>
    <row r="698" spans="1:22" ht="30" customHeight="1" x14ac:dyDescent="0.25">
      <c r="A698" s="50" t="s">
        <v>214</v>
      </c>
      <c r="B698" s="33" t="s">
        <v>614</v>
      </c>
      <c r="C698" s="37" t="s">
        <v>948</v>
      </c>
      <c r="D698" s="33"/>
      <c r="E698" s="52">
        <v>200</v>
      </c>
      <c r="F698" s="33" t="b">
        <v>1</v>
      </c>
      <c r="G698" s="33">
        <v>0</v>
      </c>
      <c r="H698" s="52">
        <v>0</v>
      </c>
      <c r="I698" s="33">
        <v>0</v>
      </c>
      <c r="J698" s="33">
        <v>0</v>
      </c>
      <c r="K698" s="33">
        <v>0</v>
      </c>
      <c r="L698" s="40" t="b">
        <v>0</v>
      </c>
      <c r="M698" s="33">
        <v>0</v>
      </c>
      <c r="N698" s="33">
        <v>0</v>
      </c>
      <c r="O698" s="52">
        <v>0</v>
      </c>
      <c r="P698" s="33">
        <v>0</v>
      </c>
      <c r="Q698" s="33">
        <v>0</v>
      </c>
      <c r="R698" s="33"/>
      <c r="S698" s="33"/>
      <c r="T698" s="33" t="s">
        <v>616</v>
      </c>
      <c r="U698" s="41" t="str">
        <f>IFERROR(HYPERLINK("#'Main'!B"&amp;MATCH(TRIM(A698),Main!B:B,0),"Open"),HYPERLINK("#'Main'!B1","Open"))</f>
        <v>Open</v>
      </c>
      <c r="V698" s="41"/>
    </row>
    <row r="699" spans="1:22" ht="30" customHeight="1" x14ac:dyDescent="0.25">
      <c r="A699" s="51" t="s">
        <v>214</v>
      </c>
      <c r="B699" s="42" t="s">
        <v>614</v>
      </c>
      <c r="C699" s="44" t="s">
        <v>949</v>
      </c>
      <c r="D699" s="42"/>
      <c r="E699" s="52">
        <v>200</v>
      </c>
      <c r="F699" s="42" t="b">
        <v>1</v>
      </c>
      <c r="G699" s="42">
        <v>0</v>
      </c>
      <c r="H699" s="52">
        <v>0</v>
      </c>
      <c r="I699" s="42">
        <v>0</v>
      </c>
      <c r="J699" s="42">
        <v>0</v>
      </c>
      <c r="K699" s="42">
        <v>0</v>
      </c>
      <c r="L699" s="46" t="b">
        <v>0</v>
      </c>
      <c r="M699" s="42">
        <v>0</v>
      </c>
      <c r="N699" s="42">
        <v>0</v>
      </c>
      <c r="O699" s="52">
        <v>0</v>
      </c>
      <c r="P699" s="42">
        <v>0</v>
      </c>
      <c r="Q699" s="42">
        <v>0</v>
      </c>
      <c r="R699" s="42"/>
      <c r="S699" s="42"/>
      <c r="T699" s="42" t="s">
        <v>616</v>
      </c>
      <c r="U699" t="str">
        <f>IFERROR(HYPERLINK("#'Main'!B"&amp;MATCH(TRIM(A699),Main!B:B,0),"Open"),HYPERLINK("#'Main'!B1","Open"))</f>
        <v>Open</v>
      </c>
    </row>
    <row r="700" spans="1:22" ht="30" customHeight="1" x14ac:dyDescent="0.25">
      <c r="A700" s="50" t="s">
        <v>214</v>
      </c>
      <c r="B700" s="33" t="s">
        <v>614</v>
      </c>
      <c r="C700" s="37" t="s">
        <v>950</v>
      </c>
      <c r="D700" s="33"/>
      <c r="E700" s="52">
        <v>200</v>
      </c>
      <c r="F700" s="33" t="b">
        <v>1</v>
      </c>
      <c r="G700" s="33">
        <v>0</v>
      </c>
      <c r="H700" s="52">
        <v>0</v>
      </c>
      <c r="I700" s="33">
        <v>0</v>
      </c>
      <c r="J700" s="33">
        <v>0</v>
      </c>
      <c r="K700" s="33">
        <v>0</v>
      </c>
      <c r="L700" s="40" t="b">
        <v>0</v>
      </c>
      <c r="M700" s="33">
        <v>0</v>
      </c>
      <c r="N700" s="33">
        <v>0</v>
      </c>
      <c r="O700" s="52">
        <v>0</v>
      </c>
      <c r="P700" s="33">
        <v>0</v>
      </c>
      <c r="Q700" s="33">
        <v>0</v>
      </c>
      <c r="R700" s="33"/>
      <c r="S700" s="33"/>
      <c r="T700" s="33" t="s">
        <v>616</v>
      </c>
      <c r="U700" s="41" t="str">
        <f>IFERROR(HYPERLINK("#'Main'!B"&amp;MATCH(TRIM(A700),Main!B:B,0),"Open"),HYPERLINK("#'Main'!B1","Open"))</f>
        <v>Open</v>
      </c>
      <c r="V700" s="41"/>
    </row>
    <row r="701" spans="1:22" ht="30" customHeight="1" x14ac:dyDescent="0.25">
      <c r="A701" s="51" t="s">
        <v>214</v>
      </c>
      <c r="B701" s="42" t="s">
        <v>614</v>
      </c>
      <c r="C701" s="44" t="s">
        <v>951</v>
      </c>
      <c r="D701" s="42"/>
      <c r="E701" s="52">
        <v>200</v>
      </c>
      <c r="F701" s="42" t="b">
        <v>1</v>
      </c>
      <c r="G701" s="42">
        <v>0</v>
      </c>
      <c r="H701" s="52">
        <v>0</v>
      </c>
      <c r="I701" s="42">
        <v>0</v>
      </c>
      <c r="J701" s="42">
        <v>0</v>
      </c>
      <c r="K701" s="42">
        <v>0</v>
      </c>
      <c r="L701" s="46" t="b">
        <v>0</v>
      </c>
      <c r="M701" s="42">
        <v>0</v>
      </c>
      <c r="N701" s="42">
        <v>0</v>
      </c>
      <c r="O701" s="52">
        <v>0</v>
      </c>
      <c r="P701" s="42">
        <v>0</v>
      </c>
      <c r="Q701" s="42">
        <v>0</v>
      </c>
      <c r="R701" s="42"/>
      <c r="S701" s="42"/>
      <c r="T701" s="42" t="s">
        <v>616</v>
      </c>
      <c r="U701" t="str">
        <f>IFERROR(HYPERLINK("#'Main'!B"&amp;MATCH(TRIM(A701),Main!B:B,0),"Open"),HYPERLINK("#'Main'!B1","Open"))</f>
        <v>Open</v>
      </c>
    </row>
    <row r="702" spans="1:22" ht="30" customHeight="1" x14ac:dyDescent="0.25">
      <c r="A702" s="50" t="s">
        <v>214</v>
      </c>
      <c r="B702" s="33" t="s">
        <v>614</v>
      </c>
      <c r="C702" s="37" t="s">
        <v>952</v>
      </c>
      <c r="D702" s="33"/>
      <c r="E702" s="52">
        <v>200</v>
      </c>
      <c r="F702" s="33" t="b">
        <v>1</v>
      </c>
      <c r="G702" s="33">
        <v>0</v>
      </c>
      <c r="H702" s="52">
        <v>0</v>
      </c>
      <c r="I702" s="33">
        <v>0</v>
      </c>
      <c r="J702" s="33">
        <v>0</v>
      </c>
      <c r="K702" s="33">
        <v>0</v>
      </c>
      <c r="L702" s="40" t="b">
        <v>0</v>
      </c>
      <c r="M702" s="33">
        <v>0</v>
      </c>
      <c r="N702" s="33">
        <v>0</v>
      </c>
      <c r="O702" s="52">
        <v>0</v>
      </c>
      <c r="P702" s="33">
        <v>0</v>
      </c>
      <c r="Q702" s="33">
        <v>0</v>
      </c>
      <c r="R702" s="33"/>
      <c r="S702" s="33"/>
      <c r="T702" s="33" t="s">
        <v>616</v>
      </c>
      <c r="U702" s="41" t="str">
        <f>IFERROR(HYPERLINK("#'Main'!B"&amp;MATCH(TRIM(A702),Main!B:B,0),"Open"),HYPERLINK("#'Main'!B1","Open"))</f>
        <v>Open</v>
      </c>
      <c r="V702" s="41"/>
    </row>
    <row r="703" spans="1:22" ht="30" customHeight="1" x14ac:dyDescent="0.25">
      <c r="A703" s="51" t="s">
        <v>214</v>
      </c>
      <c r="B703" s="42" t="s">
        <v>614</v>
      </c>
      <c r="C703" s="44" t="s">
        <v>953</v>
      </c>
      <c r="D703" s="42"/>
      <c r="E703" s="52">
        <v>200</v>
      </c>
      <c r="F703" s="42" t="b">
        <v>1</v>
      </c>
      <c r="G703" s="42">
        <v>0</v>
      </c>
      <c r="H703" s="52">
        <v>0</v>
      </c>
      <c r="I703" s="42">
        <v>0</v>
      </c>
      <c r="J703" s="42">
        <v>0</v>
      </c>
      <c r="K703" s="42">
        <v>0</v>
      </c>
      <c r="L703" s="46" t="b">
        <v>0</v>
      </c>
      <c r="M703" s="42">
        <v>0</v>
      </c>
      <c r="N703" s="42">
        <v>0</v>
      </c>
      <c r="O703" s="52">
        <v>0</v>
      </c>
      <c r="P703" s="42">
        <v>0</v>
      </c>
      <c r="Q703" s="42">
        <v>0</v>
      </c>
      <c r="R703" s="42"/>
      <c r="S703" s="42"/>
      <c r="T703" s="42" t="s">
        <v>616</v>
      </c>
      <c r="U703" t="str">
        <f>IFERROR(HYPERLINK("#'Main'!B"&amp;MATCH(TRIM(A703),Main!B:B,0),"Open"),HYPERLINK("#'Main'!B1","Open"))</f>
        <v>Open</v>
      </c>
    </row>
    <row r="704" spans="1:22" ht="30" customHeight="1" x14ac:dyDescent="0.25">
      <c r="A704" s="50" t="s">
        <v>214</v>
      </c>
      <c r="B704" s="33" t="s">
        <v>614</v>
      </c>
      <c r="C704" s="37" t="s">
        <v>954</v>
      </c>
      <c r="D704" s="33"/>
      <c r="E704" s="52">
        <v>200</v>
      </c>
      <c r="F704" s="33" t="b">
        <v>1</v>
      </c>
      <c r="G704" s="33">
        <v>0</v>
      </c>
      <c r="H704" s="52">
        <v>0</v>
      </c>
      <c r="I704" s="33">
        <v>0</v>
      </c>
      <c r="J704" s="33">
        <v>0</v>
      </c>
      <c r="K704" s="33">
        <v>0</v>
      </c>
      <c r="L704" s="40" t="b">
        <v>0</v>
      </c>
      <c r="M704" s="33">
        <v>0</v>
      </c>
      <c r="N704" s="33">
        <v>0</v>
      </c>
      <c r="O704" s="52">
        <v>0</v>
      </c>
      <c r="P704" s="33">
        <v>0</v>
      </c>
      <c r="Q704" s="33">
        <v>0</v>
      </c>
      <c r="R704" s="33"/>
      <c r="S704" s="33"/>
      <c r="T704" s="33" t="s">
        <v>616</v>
      </c>
      <c r="U704" s="41" t="str">
        <f>IFERROR(HYPERLINK("#'Main'!B"&amp;MATCH(TRIM(A704),Main!B:B,0),"Open"),HYPERLINK("#'Main'!B1","Open"))</f>
        <v>Open</v>
      </c>
      <c r="V704" s="41"/>
    </row>
    <row r="705" spans="1:22" ht="30" customHeight="1" x14ac:dyDescent="0.25">
      <c r="A705" s="51" t="s">
        <v>214</v>
      </c>
      <c r="B705" s="42" t="s">
        <v>614</v>
      </c>
      <c r="C705" s="44" t="s">
        <v>955</v>
      </c>
      <c r="D705" s="42"/>
      <c r="E705" s="52">
        <v>200</v>
      </c>
      <c r="F705" s="42" t="b">
        <v>1</v>
      </c>
      <c r="G705" s="42">
        <v>0</v>
      </c>
      <c r="H705" s="52">
        <v>0</v>
      </c>
      <c r="I705" s="42">
        <v>0</v>
      </c>
      <c r="J705" s="42">
        <v>0</v>
      </c>
      <c r="K705" s="42">
        <v>0</v>
      </c>
      <c r="L705" s="46" t="b">
        <v>0</v>
      </c>
      <c r="M705" s="42">
        <v>0</v>
      </c>
      <c r="N705" s="42">
        <v>0</v>
      </c>
      <c r="O705" s="52">
        <v>0</v>
      </c>
      <c r="P705" s="42">
        <v>0</v>
      </c>
      <c r="Q705" s="42">
        <v>0</v>
      </c>
      <c r="R705" s="42"/>
      <c r="S705" s="42"/>
      <c r="T705" s="42" t="s">
        <v>616</v>
      </c>
      <c r="U705" t="str">
        <f>IFERROR(HYPERLINK("#'Main'!B"&amp;MATCH(TRIM(A705),Main!B:B,0),"Open"),HYPERLINK("#'Main'!B1","Open"))</f>
        <v>Open</v>
      </c>
    </row>
    <row r="706" spans="1:22" ht="30" customHeight="1" x14ac:dyDescent="0.25">
      <c r="A706" s="50" t="s">
        <v>214</v>
      </c>
      <c r="B706" s="33" t="s">
        <v>614</v>
      </c>
      <c r="C706" s="37" t="s">
        <v>956</v>
      </c>
      <c r="D706" s="33"/>
      <c r="E706" s="52">
        <v>200</v>
      </c>
      <c r="F706" s="33" t="b">
        <v>1</v>
      </c>
      <c r="G706" s="33">
        <v>0</v>
      </c>
      <c r="H706" s="52">
        <v>0</v>
      </c>
      <c r="I706" s="33">
        <v>0</v>
      </c>
      <c r="J706" s="33">
        <v>0</v>
      </c>
      <c r="K706" s="33">
        <v>0</v>
      </c>
      <c r="L706" s="40" t="b">
        <v>0</v>
      </c>
      <c r="M706" s="33">
        <v>0</v>
      </c>
      <c r="N706" s="33">
        <v>0</v>
      </c>
      <c r="O706" s="52">
        <v>0</v>
      </c>
      <c r="P706" s="33">
        <v>0</v>
      </c>
      <c r="Q706" s="33">
        <v>0</v>
      </c>
      <c r="R706" s="33"/>
      <c r="S706" s="33"/>
      <c r="T706" s="33" t="s">
        <v>616</v>
      </c>
      <c r="U706" s="41" t="str">
        <f>IFERROR(HYPERLINK("#'Main'!B"&amp;MATCH(TRIM(A706),Main!B:B,0),"Open"),HYPERLINK("#'Main'!B1","Open"))</f>
        <v>Open</v>
      </c>
      <c r="V706" s="41"/>
    </row>
    <row r="707" spans="1:22" ht="30" customHeight="1" x14ac:dyDescent="0.25">
      <c r="A707" s="51" t="s">
        <v>214</v>
      </c>
      <c r="B707" s="42" t="s">
        <v>614</v>
      </c>
      <c r="C707" s="44" t="s">
        <v>957</v>
      </c>
      <c r="D707" s="42"/>
      <c r="E707" s="52">
        <v>200</v>
      </c>
      <c r="F707" s="42" t="b">
        <v>1</v>
      </c>
      <c r="G707" s="42">
        <v>0</v>
      </c>
      <c r="H707" s="52">
        <v>0</v>
      </c>
      <c r="I707" s="42">
        <v>0</v>
      </c>
      <c r="J707" s="42">
        <v>0</v>
      </c>
      <c r="K707" s="42">
        <v>0</v>
      </c>
      <c r="L707" s="46" t="b">
        <v>0</v>
      </c>
      <c r="M707" s="42">
        <v>0</v>
      </c>
      <c r="N707" s="42">
        <v>0</v>
      </c>
      <c r="O707" s="52">
        <v>0</v>
      </c>
      <c r="P707" s="42">
        <v>0</v>
      </c>
      <c r="Q707" s="42">
        <v>0</v>
      </c>
      <c r="R707" s="42"/>
      <c r="S707" s="42"/>
      <c r="T707" s="42" t="s">
        <v>616</v>
      </c>
      <c r="U707" t="str">
        <f>IFERROR(HYPERLINK("#'Main'!B"&amp;MATCH(TRIM(A707),Main!B:B,0),"Open"),HYPERLINK("#'Main'!B1","Open"))</f>
        <v>Open</v>
      </c>
    </row>
    <row r="708" spans="1:22" ht="30" customHeight="1" x14ac:dyDescent="0.25">
      <c r="A708" s="50" t="s">
        <v>214</v>
      </c>
      <c r="B708" s="33" t="s">
        <v>614</v>
      </c>
      <c r="C708" s="37" t="s">
        <v>958</v>
      </c>
      <c r="D708" s="33"/>
      <c r="E708" s="52">
        <v>200</v>
      </c>
      <c r="F708" s="33" t="b">
        <v>1</v>
      </c>
      <c r="G708" s="33">
        <v>0</v>
      </c>
      <c r="H708" s="52">
        <v>0</v>
      </c>
      <c r="I708" s="33">
        <v>0</v>
      </c>
      <c r="J708" s="33">
        <v>0</v>
      </c>
      <c r="K708" s="33">
        <v>0</v>
      </c>
      <c r="L708" s="40" t="b">
        <v>0</v>
      </c>
      <c r="M708" s="33">
        <v>0</v>
      </c>
      <c r="N708" s="33">
        <v>0</v>
      </c>
      <c r="O708" s="52">
        <v>0</v>
      </c>
      <c r="P708" s="33">
        <v>0</v>
      </c>
      <c r="Q708" s="33">
        <v>0</v>
      </c>
      <c r="R708" s="33"/>
      <c r="S708" s="33"/>
      <c r="T708" s="33" t="s">
        <v>616</v>
      </c>
      <c r="U708" s="41" t="str">
        <f>IFERROR(HYPERLINK("#'Main'!B"&amp;MATCH(TRIM(A708),Main!B:B,0),"Open"),HYPERLINK("#'Main'!B1","Open"))</f>
        <v>Open</v>
      </c>
      <c r="V708" s="41"/>
    </row>
    <row r="709" spans="1:22" ht="30" customHeight="1" x14ac:dyDescent="0.25">
      <c r="A709" s="51" t="s">
        <v>214</v>
      </c>
      <c r="B709" s="42" t="s">
        <v>614</v>
      </c>
      <c r="C709" s="44" t="s">
        <v>959</v>
      </c>
      <c r="D709" s="42"/>
      <c r="E709" s="52">
        <v>200</v>
      </c>
      <c r="F709" s="42" t="b">
        <v>1</v>
      </c>
      <c r="G709" s="42">
        <v>0</v>
      </c>
      <c r="H709" s="52">
        <v>0</v>
      </c>
      <c r="I709" s="42">
        <v>0</v>
      </c>
      <c r="J709" s="42">
        <v>0</v>
      </c>
      <c r="K709" s="42">
        <v>0</v>
      </c>
      <c r="L709" s="46" t="b">
        <v>0</v>
      </c>
      <c r="M709" s="42">
        <v>0</v>
      </c>
      <c r="N709" s="42">
        <v>0</v>
      </c>
      <c r="O709" s="52">
        <v>0</v>
      </c>
      <c r="P709" s="42">
        <v>0</v>
      </c>
      <c r="Q709" s="42">
        <v>0</v>
      </c>
      <c r="R709" s="42"/>
      <c r="S709" s="42"/>
      <c r="T709" s="42" t="s">
        <v>616</v>
      </c>
      <c r="U709" t="str">
        <f>IFERROR(HYPERLINK("#'Main'!B"&amp;MATCH(TRIM(A709),Main!B:B,0),"Open"),HYPERLINK("#'Main'!B1","Open"))</f>
        <v>Open</v>
      </c>
    </row>
    <row r="710" spans="1:22" ht="30" customHeight="1" x14ac:dyDescent="0.25">
      <c r="A710" s="50" t="s">
        <v>214</v>
      </c>
      <c r="B710" s="33" t="s">
        <v>614</v>
      </c>
      <c r="C710" s="37" t="s">
        <v>960</v>
      </c>
      <c r="D710" s="33"/>
      <c r="E710" s="52">
        <v>200</v>
      </c>
      <c r="F710" s="33" t="b">
        <v>1</v>
      </c>
      <c r="G710" s="33">
        <v>0</v>
      </c>
      <c r="H710" s="52">
        <v>0</v>
      </c>
      <c r="I710" s="33">
        <v>0</v>
      </c>
      <c r="J710" s="33">
        <v>0</v>
      </c>
      <c r="K710" s="33">
        <v>0</v>
      </c>
      <c r="L710" s="40" t="b">
        <v>0</v>
      </c>
      <c r="M710" s="33">
        <v>0</v>
      </c>
      <c r="N710" s="33">
        <v>0</v>
      </c>
      <c r="O710" s="52">
        <v>0</v>
      </c>
      <c r="P710" s="33">
        <v>0</v>
      </c>
      <c r="Q710" s="33">
        <v>0</v>
      </c>
      <c r="R710" s="33"/>
      <c r="S710" s="33"/>
      <c r="T710" s="33" t="s">
        <v>616</v>
      </c>
      <c r="U710" s="41" t="str">
        <f>IFERROR(HYPERLINK("#'Main'!B"&amp;MATCH(TRIM(A710),Main!B:B,0),"Open"),HYPERLINK("#'Main'!B1","Open"))</f>
        <v>Open</v>
      </c>
      <c r="V710" s="41"/>
    </row>
    <row r="711" spans="1:22" ht="30" customHeight="1" x14ac:dyDescent="0.25">
      <c r="A711" s="51" t="s">
        <v>214</v>
      </c>
      <c r="B711" s="42" t="s">
        <v>614</v>
      </c>
      <c r="C711" s="44" t="s">
        <v>961</v>
      </c>
      <c r="D711" s="42"/>
      <c r="E711" s="52">
        <v>200</v>
      </c>
      <c r="F711" s="42" t="b">
        <v>1</v>
      </c>
      <c r="G711" s="42">
        <v>0</v>
      </c>
      <c r="H711" s="52">
        <v>0</v>
      </c>
      <c r="I711" s="42">
        <v>0</v>
      </c>
      <c r="J711" s="42">
        <v>0</v>
      </c>
      <c r="K711" s="42">
        <v>0</v>
      </c>
      <c r="L711" s="46" t="b">
        <v>0</v>
      </c>
      <c r="M711" s="42">
        <v>0</v>
      </c>
      <c r="N711" s="42">
        <v>0</v>
      </c>
      <c r="O711" s="52">
        <v>0</v>
      </c>
      <c r="P711" s="42">
        <v>0</v>
      </c>
      <c r="Q711" s="42">
        <v>0</v>
      </c>
      <c r="R711" s="42"/>
      <c r="S711" s="42"/>
      <c r="T711" s="42" t="s">
        <v>616</v>
      </c>
      <c r="U711" t="str">
        <f>IFERROR(HYPERLINK("#'Main'!B"&amp;MATCH(TRIM(A711),Main!B:B,0),"Open"),HYPERLINK("#'Main'!B1","Open"))</f>
        <v>Open</v>
      </c>
    </row>
    <row r="712" spans="1:22" ht="30" customHeight="1" x14ac:dyDescent="0.25">
      <c r="A712" s="50" t="s">
        <v>214</v>
      </c>
      <c r="B712" s="33" t="s">
        <v>614</v>
      </c>
      <c r="C712" s="37" t="s">
        <v>962</v>
      </c>
      <c r="D712" s="33"/>
      <c r="E712" s="52">
        <v>200</v>
      </c>
      <c r="F712" s="33" t="b">
        <v>1</v>
      </c>
      <c r="G712" s="33">
        <v>0</v>
      </c>
      <c r="H712" s="52">
        <v>0</v>
      </c>
      <c r="I712" s="33">
        <v>0</v>
      </c>
      <c r="J712" s="33">
        <v>0</v>
      </c>
      <c r="K712" s="33">
        <v>0</v>
      </c>
      <c r="L712" s="40" t="b">
        <v>0</v>
      </c>
      <c r="M712" s="33">
        <v>0</v>
      </c>
      <c r="N712" s="33">
        <v>0</v>
      </c>
      <c r="O712" s="52">
        <v>0</v>
      </c>
      <c r="P712" s="33">
        <v>0</v>
      </c>
      <c r="Q712" s="33">
        <v>0</v>
      </c>
      <c r="R712" s="33"/>
      <c r="S712" s="33"/>
      <c r="T712" s="33" t="s">
        <v>616</v>
      </c>
      <c r="U712" s="41" t="str">
        <f>IFERROR(HYPERLINK("#'Main'!B"&amp;MATCH(TRIM(A712),Main!B:B,0),"Open"),HYPERLINK("#'Main'!B1","Open"))</f>
        <v>Open</v>
      </c>
      <c r="V712" s="41"/>
    </row>
    <row r="713" spans="1:22" ht="30" customHeight="1" x14ac:dyDescent="0.25">
      <c r="A713" s="51" t="s">
        <v>214</v>
      </c>
      <c r="B713" s="42" t="s">
        <v>614</v>
      </c>
      <c r="C713" s="44" t="s">
        <v>963</v>
      </c>
      <c r="D713" s="42"/>
      <c r="E713" s="52">
        <v>200</v>
      </c>
      <c r="F713" s="42" t="b">
        <v>1</v>
      </c>
      <c r="G713" s="42">
        <v>0</v>
      </c>
      <c r="H713" s="52">
        <v>0</v>
      </c>
      <c r="I713" s="42">
        <v>0</v>
      </c>
      <c r="J713" s="42">
        <v>0</v>
      </c>
      <c r="K713" s="42">
        <v>0</v>
      </c>
      <c r="L713" s="46" t="b">
        <v>0</v>
      </c>
      <c r="M713" s="42">
        <v>0</v>
      </c>
      <c r="N713" s="42">
        <v>0</v>
      </c>
      <c r="O713" s="52">
        <v>0</v>
      </c>
      <c r="P713" s="42">
        <v>0</v>
      </c>
      <c r="Q713" s="42">
        <v>0</v>
      </c>
      <c r="R713" s="42"/>
      <c r="S713" s="42"/>
      <c r="T713" s="42" t="s">
        <v>616</v>
      </c>
      <c r="U713" t="str">
        <f>IFERROR(HYPERLINK("#'Main'!B"&amp;MATCH(TRIM(A713),Main!B:B,0),"Open"),HYPERLINK("#'Main'!B1","Open"))</f>
        <v>Open</v>
      </c>
    </row>
    <row r="714" spans="1:22" ht="30" customHeight="1" x14ac:dyDescent="0.25">
      <c r="A714" s="50" t="s">
        <v>214</v>
      </c>
      <c r="B714" s="33" t="s">
        <v>614</v>
      </c>
      <c r="C714" s="37" t="s">
        <v>964</v>
      </c>
      <c r="D714" s="33"/>
      <c r="E714" s="52">
        <v>200</v>
      </c>
      <c r="F714" s="33" t="b">
        <v>1</v>
      </c>
      <c r="G714" s="33">
        <v>0</v>
      </c>
      <c r="H714" s="52">
        <v>0</v>
      </c>
      <c r="I714" s="33">
        <v>0</v>
      </c>
      <c r="J714" s="33">
        <v>0</v>
      </c>
      <c r="K714" s="33">
        <v>0</v>
      </c>
      <c r="L714" s="40" t="b">
        <v>0</v>
      </c>
      <c r="M714" s="33">
        <v>0</v>
      </c>
      <c r="N714" s="33">
        <v>0</v>
      </c>
      <c r="O714" s="52">
        <v>0</v>
      </c>
      <c r="P714" s="33">
        <v>0</v>
      </c>
      <c r="Q714" s="33">
        <v>0</v>
      </c>
      <c r="R714" s="33"/>
      <c r="S714" s="33"/>
      <c r="T714" s="33" t="s">
        <v>616</v>
      </c>
      <c r="U714" s="41" t="str">
        <f>IFERROR(HYPERLINK("#'Main'!B"&amp;MATCH(TRIM(A714),Main!B:B,0),"Open"),HYPERLINK("#'Main'!B1","Open"))</f>
        <v>Open</v>
      </c>
      <c r="V714" s="41"/>
    </row>
    <row r="715" spans="1:22" ht="30" customHeight="1" x14ac:dyDescent="0.25">
      <c r="A715" s="51" t="s">
        <v>214</v>
      </c>
      <c r="B715" s="42" t="s">
        <v>614</v>
      </c>
      <c r="C715" s="44" t="s">
        <v>965</v>
      </c>
      <c r="D715" s="42"/>
      <c r="E715" s="52">
        <v>200</v>
      </c>
      <c r="F715" s="42" t="b">
        <v>1</v>
      </c>
      <c r="G715" s="42">
        <v>0</v>
      </c>
      <c r="H715" s="52">
        <v>0</v>
      </c>
      <c r="I715" s="42">
        <v>0</v>
      </c>
      <c r="J715" s="42">
        <v>0</v>
      </c>
      <c r="K715" s="42">
        <v>0</v>
      </c>
      <c r="L715" s="46" t="b">
        <v>0</v>
      </c>
      <c r="M715" s="42">
        <v>0</v>
      </c>
      <c r="N715" s="42">
        <v>0</v>
      </c>
      <c r="O715" s="52">
        <v>0</v>
      </c>
      <c r="P715" s="42">
        <v>0</v>
      </c>
      <c r="Q715" s="42">
        <v>0</v>
      </c>
      <c r="R715" s="42"/>
      <c r="S715" s="42"/>
      <c r="T715" s="42" t="s">
        <v>616</v>
      </c>
      <c r="U715" t="str">
        <f>IFERROR(HYPERLINK("#'Main'!B"&amp;MATCH(TRIM(A715),Main!B:B,0),"Open"),HYPERLINK("#'Main'!B1","Open"))</f>
        <v>Open</v>
      </c>
    </row>
    <row r="716" spans="1:22" ht="30" customHeight="1" x14ac:dyDescent="0.25">
      <c r="A716" s="50" t="s">
        <v>214</v>
      </c>
      <c r="B716" s="33" t="s">
        <v>614</v>
      </c>
      <c r="C716" s="37" t="s">
        <v>966</v>
      </c>
      <c r="D716" s="33"/>
      <c r="E716" s="52">
        <v>200</v>
      </c>
      <c r="F716" s="33" t="b">
        <v>1</v>
      </c>
      <c r="G716" s="33">
        <v>0</v>
      </c>
      <c r="H716" s="52">
        <v>0</v>
      </c>
      <c r="I716" s="33">
        <v>0</v>
      </c>
      <c r="J716" s="33">
        <v>0</v>
      </c>
      <c r="K716" s="33">
        <v>0</v>
      </c>
      <c r="L716" s="40" t="b">
        <v>0</v>
      </c>
      <c r="M716" s="33">
        <v>0</v>
      </c>
      <c r="N716" s="33">
        <v>0</v>
      </c>
      <c r="O716" s="52">
        <v>0</v>
      </c>
      <c r="P716" s="33">
        <v>0</v>
      </c>
      <c r="Q716" s="33">
        <v>0</v>
      </c>
      <c r="R716" s="33"/>
      <c r="S716" s="33"/>
      <c r="T716" s="33" t="s">
        <v>616</v>
      </c>
      <c r="U716" s="41" t="str">
        <f>IFERROR(HYPERLINK("#'Main'!B"&amp;MATCH(TRIM(A716),Main!B:B,0),"Open"),HYPERLINK("#'Main'!B1","Open"))</f>
        <v>Open</v>
      </c>
      <c r="V716" s="41"/>
    </row>
    <row r="717" spans="1:22" ht="30" customHeight="1" x14ac:dyDescent="0.25">
      <c r="A717" s="51" t="s">
        <v>214</v>
      </c>
      <c r="B717" s="42" t="s">
        <v>614</v>
      </c>
      <c r="C717" s="44" t="s">
        <v>967</v>
      </c>
      <c r="D717" s="42"/>
      <c r="E717" s="52">
        <v>200</v>
      </c>
      <c r="F717" s="42" t="b">
        <v>1</v>
      </c>
      <c r="G717" s="42">
        <v>0</v>
      </c>
      <c r="H717" s="52">
        <v>0</v>
      </c>
      <c r="I717" s="42">
        <v>0</v>
      </c>
      <c r="J717" s="42">
        <v>0</v>
      </c>
      <c r="K717" s="42">
        <v>0</v>
      </c>
      <c r="L717" s="46" t="b">
        <v>0</v>
      </c>
      <c r="M717" s="42">
        <v>0</v>
      </c>
      <c r="N717" s="42">
        <v>0</v>
      </c>
      <c r="O717" s="52">
        <v>0</v>
      </c>
      <c r="P717" s="42">
        <v>0</v>
      </c>
      <c r="Q717" s="42">
        <v>0</v>
      </c>
      <c r="R717" s="42"/>
      <c r="S717" s="42"/>
      <c r="T717" s="42" t="s">
        <v>616</v>
      </c>
      <c r="U717" t="str">
        <f>IFERROR(HYPERLINK("#'Main'!B"&amp;MATCH(TRIM(A717),Main!B:B,0),"Open"),HYPERLINK("#'Main'!B1","Open"))</f>
        <v>Open</v>
      </c>
    </row>
    <row r="718" spans="1:22" ht="30" customHeight="1" x14ac:dyDescent="0.25">
      <c r="A718" s="50" t="s">
        <v>214</v>
      </c>
      <c r="B718" s="33" t="s">
        <v>614</v>
      </c>
      <c r="C718" s="37" t="s">
        <v>968</v>
      </c>
      <c r="D718" s="33"/>
      <c r="E718" s="52">
        <v>200</v>
      </c>
      <c r="F718" s="33" t="b">
        <v>1</v>
      </c>
      <c r="G718" s="33">
        <v>0</v>
      </c>
      <c r="H718" s="52">
        <v>0</v>
      </c>
      <c r="I718" s="33">
        <v>0</v>
      </c>
      <c r="J718" s="33">
        <v>0</v>
      </c>
      <c r="K718" s="33">
        <v>0</v>
      </c>
      <c r="L718" s="40" t="b">
        <v>0</v>
      </c>
      <c r="M718" s="33">
        <v>0</v>
      </c>
      <c r="N718" s="33">
        <v>0</v>
      </c>
      <c r="O718" s="52">
        <v>0</v>
      </c>
      <c r="P718" s="33">
        <v>0</v>
      </c>
      <c r="Q718" s="33">
        <v>0</v>
      </c>
      <c r="R718" s="33"/>
      <c r="S718" s="33"/>
      <c r="T718" s="33" t="s">
        <v>616</v>
      </c>
      <c r="U718" s="41" t="str">
        <f>IFERROR(HYPERLINK("#'Main'!B"&amp;MATCH(TRIM(A718),Main!B:B,0),"Open"),HYPERLINK("#'Main'!B1","Open"))</f>
        <v>Open</v>
      </c>
      <c r="V718" s="41"/>
    </row>
    <row r="719" spans="1:22" ht="30" customHeight="1" x14ac:dyDescent="0.25">
      <c r="A719" s="51" t="s">
        <v>214</v>
      </c>
      <c r="B719" s="42" t="s">
        <v>614</v>
      </c>
      <c r="C719" s="44" t="s">
        <v>969</v>
      </c>
      <c r="D719" s="42"/>
      <c r="E719" s="52">
        <v>200</v>
      </c>
      <c r="F719" s="42" t="b">
        <v>1</v>
      </c>
      <c r="G719" s="42">
        <v>0</v>
      </c>
      <c r="H719" s="52">
        <v>0</v>
      </c>
      <c r="I719" s="42">
        <v>0</v>
      </c>
      <c r="J719" s="42">
        <v>0</v>
      </c>
      <c r="K719" s="42">
        <v>0</v>
      </c>
      <c r="L719" s="46" t="b">
        <v>0</v>
      </c>
      <c r="M719" s="42">
        <v>0</v>
      </c>
      <c r="N719" s="42">
        <v>0</v>
      </c>
      <c r="O719" s="52">
        <v>0</v>
      </c>
      <c r="P719" s="42">
        <v>0</v>
      </c>
      <c r="Q719" s="42">
        <v>0</v>
      </c>
      <c r="R719" s="42"/>
      <c r="S719" s="42"/>
      <c r="T719" s="42" t="s">
        <v>616</v>
      </c>
      <c r="U719" t="str">
        <f>IFERROR(HYPERLINK("#'Main'!B"&amp;MATCH(TRIM(A719),Main!B:B,0),"Open"),HYPERLINK("#'Main'!B1","Open"))</f>
        <v>Open</v>
      </c>
    </row>
    <row r="720" spans="1:22" ht="30" customHeight="1" x14ac:dyDescent="0.25">
      <c r="A720" s="50" t="s">
        <v>214</v>
      </c>
      <c r="B720" s="33" t="s">
        <v>614</v>
      </c>
      <c r="C720" s="37" t="s">
        <v>970</v>
      </c>
      <c r="D720" s="33"/>
      <c r="E720" s="52">
        <v>200</v>
      </c>
      <c r="F720" s="33" t="b">
        <v>1</v>
      </c>
      <c r="G720" s="33">
        <v>0</v>
      </c>
      <c r="H720" s="52">
        <v>0</v>
      </c>
      <c r="I720" s="33">
        <v>0</v>
      </c>
      <c r="J720" s="33">
        <v>0</v>
      </c>
      <c r="K720" s="33">
        <v>0</v>
      </c>
      <c r="L720" s="40" t="b">
        <v>0</v>
      </c>
      <c r="M720" s="33">
        <v>0</v>
      </c>
      <c r="N720" s="33">
        <v>0</v>
      </c>
      <c r="O720" s="52">
        <v>0</v>
      </c>
      <c r="P720" s="33">
        <v>0</v>
      </c>
      <c r="Q720" s="33">
        <v>0</v>
      </c>
      <c r="R720" s="33"/>
      <c r="S720" s="33"/>
      <c r="T720" s="33" t="s">
        <v>616</v>
      </c>
      <c r="U720" s="41" t="str">
        <f>IFERROR(HYPERLINK("#'Main'!B"&amp;MATCH(TRIM(A720),Main!B:B,0),"Open"),HYPERLINK("#'Main'!B1","Open"))</f>
        <v>Open</v>
      </c>
      <c r="V720" s="41"/>
    </row>
    <row r="721" spans="1:22" ht="30" customHeight="1" x14ac:dyDescent="0.25">
      <c r="A721" s="51" t="s">
        <v>214</v>
      </c>
      <c r="B721" s="42" t="s">
        <v>614</v>
      </c>
      <c r="C721" s="44" t="s">
        <v>971</v>
      </c>
      <c r="D721" s="42"/>
      <c r="E721" s="52">
        <v>200</v>
      </c>
      <c r="F721" s="42" t="b">
        <v>1</v>
      </c>
      <c r="G721" s="42">
        <v>0</v>
      </c>
      <c r="H721" s="52">
        <v>0</v>
      </c>
      <c r="I721" s="42">
        <v>0</v>
      </c>
      <c r="J721" s="42">
        <v>0</v>
      </c>
      <c r="K721" s="42">
        <v>0</v>
      </c>
      <c r="L721" s="46" t="b">
        <v>0</v>
      </c>
      <c r="M721" s="42">
        <v>0</v>
      </c>
      <c r="N721" s="42">
        <v>0</v>
      </c>
      <c r="O721" s="52">
        <v>0</v>
      </c>
      <c r="P721" s="42">
        <v>0</v>
      </c>
      <c r="Q721" s="42">
        <v>0</v>
      </c>
      <c r="R721" s="42"/>
      <c r="S721" s="42"/>
      <c r="T721" s="42" t="s">
        <v>616</v>
      </c>
      <c r="U721" t="str">
        <f>IFERROR(HYPERLINK("#'Main'!B"&amp;MATCH(TRIM(A721),Main!B:B,0),"Open"),HYPERLINK("#'Main'!B1","Open"))</f>
        <v>Open</v>
      </c>
    </row>
    <row r="722" spans="1:22" ht="30" customHeight="1" x14ac:dyDescent="0.25">
      <c r="A722" s="50" t="s">
        <v>214</v>
      </c>
      <c r="B722" s="33" t="s">
        <v>614</v>
      </c>
      <c r="C722" s="37" t="s">
        <v>972</v>
      </c>
      <c r="D722" s="33"/>
      <c r="E722" s="52">
        <v>200</v>
      </c>
      <c r="F722" s="33" t="b">
        <v>1</v>
      </c>
      <c r="G722" s="33">
        <v>0</v>
      </c>
      <c r="H722" s="52">
        <v>0</v>
      </c>
      <c r="I722" s="33">
        <v>0</v>
      </c>
      <c r="J722" s="33">
        <v>0</v>
      </c>
      <c r="K722" s="33">
        <v>0</v>
      </c>
      <c r="L722" s="40" t="b">
        <v>0</v>
      </c>
      <c r="M722" s="33">
        <v>0</v>
      </c>
      <c r="N722" s="33">
        <v>0</v>
      </c>
      <c r="O722" s="52">
        <v>0</v>
      </c>
      <c r="P722" s="33">
        <v>0</v>
      </c>
      <c r="Q722" s="33">
        <v>0</v>
      </c>
      <c r="R722" s="33"/>
      <c r="S722" s="33"/>
      <c r="T722" s="33" t="s">
        <v>616</v>
      </c>
      <c r="U722" s="41" t="str">
        <f>IFERROR(HYPERLINK("#'Main'!B"&amp;MATCH(TRIM(A722),Main!B:B,0),"Open"),HYPERLINK("#'Main'!B1","Open"))</f>
        <v>Open</v>
      </c>
      <c r="V722" s="41"/>
    </row>
    <row r="723" spans="1:22" ht="30" customHeight="1" x14ac:dyDescent="0.25">
      <c r="A723" s="51" t="s">
        <v>214</v>
      </c>
      <c r="B723" s="42" t="s">
        <v>614</v>
      </c>
      <c r="C723" s="44" t="s">
        <v>973</v>
      </c>
      <c r="D723" s="42"/>
      <c r="E723" s="52">
        <v>200</v>
      </c>
      <c r="F723" s="42" t="b">
        <v>1</v>
      </c>
      <c r="G723" s="42">
        <v>0</v>
      </c>
      <c r="H723" s="52">
        <v>0</v>
      </c>
      <c r="I723" s="42">
        <v>0</v>
      </c>
      <c r="J723" s="42">
        <v>0</v>
      </c>
      <c r="K723" s="42">
        <v>0</v>
      </c>
      <c r="L723" s="46" t="b">
        <v>0</v>
      </c>
      <c r="M723" s="42">
        <v>0</v>
      </c>
      <c r="N723" s="42">
        <v>0</v>
      </c>
      <c r="O723" s="52">
        <v>0</v>
      </c>
      <c r="P723" s="42">
        <v>0</v>
      </c>
      <c r="Q723" s="42">
        <v>0</v>
      </c>
      <c r="R723" s="42"/>
      <c r="S723" s="42"/>
      <c r="T723" s="42" t="s">
        <v>616</v>
      </c>
      <c r="U723" t="str">
        <f>IFERROR(HYPERLINK("#'Main'!B"&amp;MATCH(TRIM(A723),Main!B:B,0),"Open"),HYPERLINK("#'Main'!B1","Open"))</f>
        <v>Open</v>
      </c>
    </row>
    <row r="724" spans="1:22" ht="30" customHeight="1" x14ac:dyDescent="0.25">
      <c r="A724" s="50" t="s">
        <v>214</v>
      </c>
      <c r="B724" s="33" t="s">
        <v>614</v>
      </c>
      <c r="C724" s="37" t="s">
        <v>974</v>
      </c>
      <c r="D724" s="33"/>
      <c r="E724" s="52">
        <v>200</v>
      </c>
      <c r="F724" s="33" t="b">
        <v>1</v>
      </c>
      <c r="G724" s="33">
        <v>0</v>
      </c>
      <c r="H724" s="52">
        <v>0</v>
      </c>
      <c r="I724" s="33">
        <v>0</v>
      </c>
      <c r="J724" s="33">
        <v>0</v>
      </c>
      <c r="K724" s="33">
        <v>0</v>
      </c>
      <c r="L724" s="40" t="b">
        <v>0</v>
      </c>
      <c r="M724" s="33">
        <v>0</v>
      </c>
      <c r="N724" s="33">
        <v>0</v>
      </c>
      <c r="O724" s="52">
        <v>0</v>
      </c>
      <c r="P724" s="33">
        <v>0</v>
      </c>
      <c r="Q724" s="33">
        <v>0</v>
      </c>
      <c r="R724" s="33"/>
      <c r="S724" s="33"/>
      <c r="T724" s="33" t="s">
        <v>616</v>
      </c>
      <c r="U724" s="41" t="str">
        <f>IFERROR(HYPERLINK("#'Main'!B"&amp;MATCH(TRIM(A724),Main!B:B,0),"Open"),HYPERLINK("#'Main'!B1","Open"))</f>
        <v>Open</v>
      </c>
      <c r="V724" s="41"/>
    </row>
    <row r="725" spans="1:22" ht="30" customHeight="1" x14ac:dyDescent="0.25">
      <c r="A725" s="51" t="s">
        <v>214</v>
      </c>
      <c r="B725" s="42" t="s">
        <v>614</v>
      </c>
      <c r="C725" s="44" t="s">
        <v>975</v>
      </c>
      <c r="D725" s="42"/>
      <c r="E725" s="52">
        <v>200</v>
      </c>
      <c r="F725" s="42" t="b">
        <v>1</v>
      </c>
      <c r="G725" s="42">
        <v>0</v>
      </c>
      <c r="H725" s="52">
        <v>0</v>
      </c>
      <c r="I725" s="42">
        <v>0</v>
      </c>
      <c r="J725" s="42">
        <v>0</v>
      </c>
      <c r="K725" s="42">
        <v>0</v>
      </c>
      <c r="L725" s="46" t="b">
        <v>0</v>
      </c>
      <c r="M725" s="42">
        <v>0</v>
      </c>
      <c r="N725" s="42">
        <v>0</v>
      </c>
      <c r="O725" s="52">
        <v>0</v>
      </c>
      <c r="P725" s="42">
        <v>0</v>
      </c>
      <c r="Q725" s="42">
        <v>0</v>
      </c>
      <c r="R725" s="42"/>
      <c r="S725" s="42"/>
      <c r="T725" s="42" t="s">
        <v>616</v>
      </c>
      <c r="U725" t="str">
        <f>IFERROR(HYPERLINK("#'Main'!B"&amp;MATCH(TRIM(A725),Main!B:B,0),"Open"),HYPERLINK("#'Main'!B1","Open"))</f>
        <v>Open</v>
      </c>
    </row>
    <row r="726" spans="1:22" ht="30" customHeight="1" x14ac:dyDescent="0.25">
      <c r="A726" s="50" t="s">
        <v>214</v>
      </c>
      <c r="B726" s="33" t="s">
        <v>614</v>
      </c>
      <c r="C726" s="37" t="s">
        <v>976</v>
      </c>
      <c r="D726" s="33"/>
      <c r="E726" s="52">
        <v>200</v>
      </c>
      <c r="F726" s="33" t="b">
        <v>1</v>
      </c>
      <c r="G726" s="33">
        <v>0</v>
      </c>
      <c r="H726" s="52">
        <v>0</v>
      </c>
      <c r="I726" s="33">
        <v>0</v>
      </c>
      <c r="J726" s="33">
        <v>0</v>
      </c>
      <c r="K726" s="33">
        <v>0</v>
      </c>
      <c r="L726" s="40" t="b">
        <v>0</v>
      </c>
      <c r="M726" s="33">
        <v>0</v>
      </c>
      <c r="N726" s="33">
        <v>0</v>
      </c>
      <c r="O726" s="52">
        <v>0</v>
      </c>
      <c r="P726" s="33">
        <v>0</v>
      </c>
      <c r="Q726" s="33">
        <v>0</v>
      </c>
      <c r="R726" s="33"/>
      <c r="S726" s="33"/>
      <c r="T726" s="33" t="s">
        <v>616</v>
      </c>
      <c r="U726" s="41" t="str">
        <f>IFERROR(HYPERLINK("#'Main'!B"&amp;MATCH(TRIM(A726),Main!B:B,0),"Open"),HYPERLINK("#'Main'!B1","Open"))</f>
        <v>Open</v>
      </c>
      <c r="V726" s="41"/>
    </row>
    <row r="727" spans="1:22" ht="30" customHeight="1" x14ac:dyDescent="0.25">
      <c r="A727" s="51" t="s">
        <v>214</v>
      </c>
      <c r="B727" s="42" t="s">
        <v>614</v>
      </c>
      <c r="C727" s="44" t="s">
        <v>977</v>
      </c>
      <c r="D727" s="42"/>
      <c r="E727" s="52">
        <v>200</v>
      </c>
      <c r="F727" s="42" t="b">
        <v>1</v>
      </c>
      <c r="G727" s="42">
        <v>0</v>
      </c>
      <c r="H727" s="52">
        <v>0</v>
      </c>
      <c r="I727" s="42">
        <v>0</v>
      </c>
      <c r="J727" s="42">
        <v>0</v>
      </c>
      <c r="K727" s="42">
        <v>0</v>
      </c>
      <c r="L727" s="46" t="b">
        <v>0</v>
      </c>
      <c r="M727" s="42">
        <v>0</v>
      </c>
      <c r="N727" s="42">
        <v>0</v>
      </c>
      <c r="O727" s="52">
        <v>0</v>
      </c>
      <c r="P727" s="42">
        <v>0</v>
      </c>
      <c r="Q727" s="42">
        <v>0</v>
      </c>
      <c r="R727" s="42"/>
      <c r="S727" s="42"/>
      <c r="T727" s="42" t="s">
        <v>616</v>
      </c>
      <c r="U727" t="str">
        <f>IFERROR(HYPERLINK("#'Main'!B"&amp;MATCH(TRIM(A727),Main!B:B,0),"Open"),HYPERLINK("#'Main'!B1","Open"))</f>
        <v>Open</v>
      </c>
    </row>
    <row r="728" spans="1:22" ht="30" customHeight="1" x14ac:dyDescent="0.25">
      <c r="A728" s="50" t="s">
        <v>214</v>
      </c>
      <c r="B728" s="33" t="s">
        <v>614</v>
      </c>
      <c r="C728" s="37" t="s">
        <v>978</v>
      </c>
      <c r="D728" s="33"/>
      <c r="E728" s="52">
        <v>200</v>
      </c>
      <c r="F728" s="33" t="b">
        <v>1</v>
      </c>
      <c r="G728" s="33">
        <v>0</v>
      </c>
      <c r="H728" s="52">
        <v>0</v>
      </c>
      <c r="I728" s="33">
        <v>0</v>
      </c>
      <c r="J728" s="33">
        <v>0</v>
      </c>
      <c r="K728" s="33">
        <v>0</v>
      </c>
      <c r="L728" s="40" t="b">
        <v>0</v>
      </c>
      <c r="M728" s="33">
        <v>0</v>
      </c>
      <c r="N728" s="33">
        <v>0</v>
      </c>
      <c r="O728" s="52">
        <v>0</v>
      </c>
      <c r="P728" s="33">
        <v>0</v>
      </c>
      <c r="Q728" s="33">
        <v>0</v>
      </c>
      <c r="R728" s="33"/>
      <c r="S728" s="33"/>
      <c r="T728" s="33" t="s">
        <v>616</v>
      </c>
      <c r="U728" s="41" t="str">
        <f>IFERROR(HYPERLINK("#'Main'!B"&amp;MATCH(TRIM(A728),Main!B:B,0),"Open"),HYPERLINK("#'Main'!B1","Open"))</f>
        <v>Open</v>
      </c>
      <c r="V728" s="41"/>
    </row>
    <row r="729" spans="1:22" ht="30" customHeight="1" x14ac:dyDescent="0.25">
      <c r="A729" s="51" t="s">
        <v>214</v>
      </c>
      <c r="B729" s="42" t="s">
        <v>614</v>
      </c>
      <c r="C729" s="44" t="s">
        <v>979</v>
      </c>
      <c r="D729" s="42"/>
      <c r="E729" s="52">
        <v>200</v>
      </c>
      <c r="F729" s="42" t="b">
        <v>1</v>
      </c>
      <c r="G729" s="42">
        <v>0</v>
      </c>
      <c r="H729" s="52">
        <v>0</v>
      </c>
      <c r="I729" s="42">
        <v>0</v>
      </c>
      <c r="J729" s="42">
        <v>0</v>
      </c>
      <c r="K729" s="42">
        <v>0</v>
      </c>
      <c r="L729" s="46" t="b">
        <v>0</v>
      </c>
      <c r="M729" s="42">
        <v>0</v>
      </c>
      <c r="N729" s="42">
        <v>0</v>
      </c>
      <c r="O729" s="52">
        <v>0</v>
      </c>
      <c r="P729" s="42">
        <v>0</v>
      </c>
      <c r="Q729" s="42">
        <v>0</v>
      </c>
      <c r="R729" s="42"/>
      <c r="S729" s="42"/>
      <c r="T729" s="42" t="s">
        <v>616</v>
      </c>
      <c r="U729" t="str">
        <f>IFERROR(HYPERLINK("#'Main'!B"&amp;MATCH(TRIM(A729),Main!B:B,0),"Open"),HYPERLINK("#'Main'!B1","Open"))</f>
        <v>Open</v>
      </c>
    </row>
    <row r="730" spans="1:22" ht="30" customHeight="1" x14ac:dyDescent="0.25">
      <c r="A730" s="50" t="s">
        <v>214</v>
      </c>
      <c r="B730" s="33" t="s">
        <v>614</v>
      </c>
      <c r="C730" s="37" t="s">
        <v>980</v>
      </c>
      <c r="D730" s="33"/>
      <c r="E730" s="52">
        <v>200</v>
      </c>
      <c r="F730" s="33" t="b">
        <v>1</v>
      </c>
      <c r="G730" s="33">
        <v>0</v>
      </c>
      <c r="H730" s="52">
        <v>0</v>
      </c>
      <c r="I730" s="33">
        <v>0</v>
      </c>
      <c r="J730" s="33">
        <v>0</v>
      </c>
      <c r="K730" s="33">
        <v>0</v>
      </c>
      <c r="L730" s="40" t="b">
        <v>0</v>
      </c>
      <c r="M730" s="33">
        <v>0</v>
      </c>
      <c r="N730" s="33">
        <v>0</v>
      </c>
      <c r="O730" s="52">
        <v>0</v>
      </c>
      <c r="P730" s="33">
        <v>0</v>
      </c>
      <c r="Q730" s="33">
        <v>0</v>
      </c>
      <c r="R730" s="33"/>
      <c r="S730" s="33"/>
      <c r="T730" s="33" t="s">
        <v>616</v>
      </c>
      <c r="U730" s="41" t="str">
        <f>IFERROR(HYPERLINK("#'Main'!B"&amp;MATCH(TRIM(A730),Main!B:B,0),"Open"),HYPERLINK("#'Main'!B1","Open"))</f>
        <v>Open</v>
      </c>
      <c r="V730" s="41"/>
    </row>
    <row r="731" spans="1:22" ht="30" customHeight="1" x14ac:dyDescent="0.25">
      <c r="A731" s="51" t="s">
        <v>214</v>
      </c>
      <c r="B731" s="42" t="s">
        <v>614</v>
      </c>
      <c r="C731" s="44" t="s">
        <v>981</v>
      </c>
      <c r="D731" s="42"/>
      <c r="E731" s="52">
        <v>200</v>
      </c>
      <c r="F731" s="42" t="b">
        <v>1</v>
      </c>
      <c r="G731" s="42">
        <v>0</v>
      </c>
      <c r="H731" s="52">
        <v>0</v>
      </c>
      <c r="I731" s="42">
        <v>0</v>
      </c>
      <c r="J731" s="42">
        <v>0</v>
      </c>
      <c r="K731" s="42">
        <v>0</v>
      </c>
      <c r="L731" s="46" t="b">
        <v>0</v>
      </c>
      <c r="M731" s="42">
        <v>0</v>
      </c>
      <c r="N731" s="42">
        <v>0</v>
      </c>
      <c r="O731" s="52">
        <v>0</v>
      </c>
      <c r="P731" s="42">
        <v>0</v>
      </c>
      <c r="Q731" s="42">
        <v>0</v>
      </c>
      <c r="R731" s="42"/>
      <c r="S731" s="42"/>
      <c r="T731" s="42" t="s">
        <v>616</v>
      </c>
      <c r="U731" t="str">
        <f>IFERROR(HYPERLINK("#'Main'!B"&amp;MATCH(TRIM(A731),Main!B:B,0),"Open"),HYPERLINK("#'Main'!B1","Open"))</f>
        <v>Open</v>
      </c>
    </row>
    <row r="732" spans="1:22" ht="30" customHeight="1" x14ac:dyDescent="0.25">
      <c r="A732" s="50" t="s">
        <v>214</v>
      </c>
      <c r="B732" s="33" t="s">
        <v>614</v>
      </c>
      <c r="C732" s="37" t="s">
        <v>982</v>
      </c>
      <c r="D732" s="33"/>
      <c r="E732" s="52">
        <v>200</v>
      </c>
      <c r="F732" s="33" t="b">
        <v>1</v>
      </c>
      <c r="G732" s="33">
        <v>0</v>
      </c>
      <c r="H732" s="52">
        <v>0</v>
      </c>
      <c r="I732" s="33">
        <v>0</v>
      </c>
      <c r="J732" s="33">
        <v>0</v>
      </c>
      <c r="K732" s="33">
        <v>0</v>
      </c>
      <c r="L732" s="40" t="b">
        <v>0</v>
      </c>
      <c r="M732" s="33">
        <v>0</v>
      </c>
      <c r="N732" s="33">
        <v>0</v>
      </c>
      <c r="O732" s="52">
        <v>0</v>
      </c>
      <c r="P732" s="33">
        <v>0</v>
      </c>
      <c r="Q732" s="33">
        <v>0</v>
      </c>
      <c r="R732" s="33"/>
      <c r="S732" s="33"/>
      <c r="T732" s="33" t="s">
        <v>616</v>
      </c>
      <c r="U732" s="41" t="str">
        <f>IFERROR(HYPERLINK("#'Main'!B"&amp;MATCH(TRIM(A732),Main!B:B,0),"Open"),HYPERLINK("#'Main'!B1","Open"))</f>
        <v>Open</v>
      </c>
      <c r="V732" s="41"/>
    </row>
    <row r="733" spans="1:22" ht="30" customHeight="1" x14ac:dyDescent="0.25">
      <c r="A733" s="51" t="s">
        <v>214</v>
      </c>
      <c r="B733" s="42" t="s">
        <v>614</v>
      </c>
      <c r="C733" s="44" t="s">
        <v>983</v>
      </c>
      <c r="D733" s="42"/>
      <c r="E733" s="52">
        <v>200</v>
      </c>
      <c r="F733" s="42" t="b">
        <v>1</v>
      </c>
      <c r="G733" s="42">
        <v>0</v>
      </c>
      <c r="H733" s="52">
        <v>0</v>
      </c>
      <c r="I733" s="42">
        <v>0</v>
      </c>
      <c r="J733" s="42">
        <v>0</v>
      </c>
      <c r="K733" s="42">
        <v>0</v>
      </c>
      <c r="L733" s="46" t="b">
        <v>0</v>
      </c>
      <c r="M733" s="42">
        <v>0</v>
      </c>
      <c r="N733" s="42">
        <v>0</v>
      </c>
      <c r="O733" s="52">
        <v>0</v>
      </c>
      <c r="P733" s="42">
        <v>0</v>
      </c>
      <c r="Q733" s="42">
        <v>0</v>
      </c>
      <c r="R733" s="42"/>
      <c r="S733" s="42"/>
      <c r="T733" s="42" t="s">
        <v>616</v>
      </c>
      <c r="U733" t="str">
        <f>IFERROR(HYPERLINK("#'Main'!B"&amp;MATCH(TRIM(A733),Main!B:B,0),"Open"),HYPERLINK("#'Main'!B1","Open"))</f>
        <v>Open</v>
      </c>
    </row>
    <row r="734" spans="1:22" ht="30" customHeight="1" x14ac:dyDescent="0.25">
      <c r="A734" s="50" t="s">
        <v>214</v>
      </c>
      <c r="B734" s="33" t="s">
        <v>614</v>
      </c>
      <c r="C734" s="37" t="s">
        <v>764</v>
      </c>
      <c r="D734" s="33"/>
      <c r="E734" s="52">
        <v>200</v>
      </c>
      <c r="F734" s="33" t="b">
        <v>1</v>
      </c>
      <c r="G734" s="33">
        <v>0</v>
      </c>
      <c r="H734" s="52">
        <v>0</v>
      </c>
      <c r="I734" s="33">
        <v>0</v>
      </c>
      <c r="J734" s="33">
        <v>0</v>
      </c>
      <c r="K734" s="33">
        <v>0</v>
      </c>
      <c r="L734" s="40" t="b">
        <v>0</v>
      </c>
      <c r="M734" s="33">
        <v>0</v>
      </c>
      <c r="N734" s="33">
        <v>0</v>
      </c>
      <c r="O734" s="52">
        <v>0</v>
      </c>
      <c r="P734" s="33">
        <v>0</v>
      </c>
      <c r="Q734" s="33">
        <v>0</v>
      </c>
      <c r="R734" s="33"/>
      <c r="S734" s="33"/>
      <c r="T734" s="33" t="s">
        <v>616</v>
      </c>
      <c r="U734" s="41" t="str">
        <f>IFERROR(HYPERLINK("#'Main'!B"&amp;MATCH(TRIM(A734),Main!B:B,0),"Open"),HYPERLINK("#'Main'!B1","Open"))</f>
        <v>Open</v>
      </c>
      <c r="V734" s="41"/>
    </row>
    <row r="735" spans="1:22" ht="30" customHeight="1" x14ac:dyDescent="0.25">
      <c r="A735" s="51" t="s">
        <v>214</v>
      </c>
      <c r="B735" s="42" t="s">
        <v>614</v>
      </c>
      <c r="C735" s="44" t="s">
        <v>984</v>
      </c>
      <c r="D735" s="42"/>
      <c r="E735" s="52">
        <v>200</v>
      </c>
      <c r="F735" s="42" t="b">
        <v>1</v>
      </c>
      <c r="G735" s="42">
        <v>0</v>
      </c>
      <c r="H735" s="52">
        <v>0</v>
      </c>
      <c r="I735" s="42">
        <v>0</v>
      </c>
      <c r="J735" s="42">
        <v>0</v>
      </c>
      <c r="K735" s="42">
        <v>0</v>
      </c>
      <c r="L735" s="46" t="b">
        <v>0</v>
      </c>
      <c r="M735" s="42">
        <v>0</v>
      </c>
      <c r="N735" s="42">
        <v>0</v>
      </c>
      <c r="O735" s="52">
        <v>0</v>
      </c>
      <c r="P735" s="42">
        <v>0</v>
      </c>
      <c r="Q735" s="42">
        <v>0</v>
      </c>
      <c r="R735" s="42"/>
      <c r="S735" s="42"/>
      <c r="T735" s="42" t="s">
        <v>616</v>
      </c>
      <c r="U735" t="str">
        <f>IFERROR(HYPERLINK("#'Main'!B"&amp;MATCH(TRIM(A735),Main!B:B,0),"Open"),HYPERLINK("#'Main'!B1","Open"))</f>
        <v>Open</v>
      </c>
    </row>
    <row r="736" spans="1:22" ht="30" customHeight="1" x14ac:dyDescent="0.25">
      <c r="A736" s="50" t="s">
        <v>214</v>
      </c>
      <c r="B736" s="33" t="s">
        <v>614</v>
      </c>
      <c r="C736" s="37" t="s">
        <v>985</v>
      </c>
      <c r="D736" s="33"/>
      <c r="E736" s="52">
        <v>200</v>
      </c>
      <c r="F736" s="33" t="b">
        <v>1</v>
      </c>
      <c r="G736" s="33">
        <v>0</v>
      </c>
      <c r="H736" s="52">
        <v>0</v>
      </c>
      <c r="I736" s="33">
        <v>0</v>
      </c>
      <c r="J736" s="33">
        <v>0</v>
      </c>
      <c r="K736" s="33">
        <v>0</v>
      </c>
      <c r="L736" s="40" t="b">
        <v>0</v>
      </c>
      <c r="M736" s="33">
        <v>0</v>
      </c>
      <c r="N736" s="33">
        <v>0</v>
      </c>
      <c r="O736" s="52">
        <v>0</v>
      </c>
      <c r="P736" s="33">
        <v>0</v>
      </c>
      <c r="Q736" s="33">
        <v>0</v>
      </c>
      <c r="R736" s="33"/>
      <c r="S736" s="33"/>
      <c r="T736" s="33" t="s">
        <v>616</v>
      </c>
      <c r="U736" s="41" t="str">
        <f>IFERROR(HYPERLINK("#'Main'!B"&amp;MATCH(TRIM(A736),Main!B:B,0),"Open"),HYPERLINK("#'Main'!B1","Open"))</f>
        <v>Open</v>
      </c>
      <c r="V736" s="41"/>
    </row>
    <row r="737" spans="1:22" ht="30" customHeight="1" x14ac:dyDescent="0.25">
      <c r="A737" s="51" t="s">
        <v>214</v>
      </c>
      <c r="B737" s="42" t="s">
        <v>614</v>
      </c>
      <c r="C737" s="44" t="s">
        <v>986</v>
      </c>
      <c r="D737" s="42"/>
      <c r="E737" s="52">
        <v>200</v>
      </c>
      <c r="F737" s="42" t="b">
        <v>1</v>
      </c>
      <c r="G737" s="42">
        <v>0</v>
      </c>
      <c r="H737" s="52">
        <v>0</v>
      </c>
      <c r="I737" s="42">
        <v>0</v>
      </c>
      <c r="J737" s="42">
        <v>0</v>
      </c>
      <c r="K737" s="42">
        <v>0</v>
      </c>
      <c r="L737" s="46" t="b">
        <v>0</v>
      </c>
      <c r="M737" s="42">
        <v>0</v>
      </c>
      <c r="N737" s="42">
        <v>0</v>
      </c>
      <c r="O737" s="52">
        <v>0</v>
      </c>
      <c r="P737" s="42">
        <v>0</v>
      </c>
      <c r="Q737" s="42">
        <v>0</v>
      </c>
      <c r="R737" s="42"/>
      <c r="S737" s="42"/>
      <c r="T737" s="42" t="s">
        <v>616</v>
      </c>
      <c r="U737" t="str">
        <f>IFERROR(HYPERLINK("#'Main'!B"&amp;MATCH(TRIM(A737),Main!B:B,0),"Open"),HYPERLINK("#'Main'!B1","Open"))</f>
        <v>Open</v>
      </c>
    </row>
    <row r="738" spans="1:22" ht="30" customHeight="1" x14ac:dyDescent="0.25">
      <c r="A738" s="50" t="s">
        <v>214</v>
      </c>
      <c r="B738" s="33" t="s">
        <v>614</v>
      </c>
      <c r="C738" s="37" t="s">
        <v>987</v>
      </c>
      <c r="D738" s="33"/>
      <c r="E738" s="52">
        <v>200</v>
      </c>
      <c r="F738" s="33" t="b">
        <v>1</v>
      </c>
      <c r="G738" s="33">
        <v>0</v>
      </c>
      <c r="H738" s="52">
        <v>0</v>
      </c>
      <c r="I738" s="33">
        <v>0</v>
      </c>
      <c r="J738" s="33">
        <v>0</v>
      </c>
      <c r="K738" s="33">
        <v>0</v>
      </c>
      <c r="L738" s="40" t="b">
        <v>0</v>
      </c>
      <c r="M738" s="33">
        <v>0</v>
      </c>
      <c r="N738" s="33">
        <v>0</v>
      </c>
      <c r="O738" s="52">
        <v>0</v>
      </c>
      <c r="P738" s="33">
        <v>0</v>
      </c>
      <c r="Q738" s="33">
        <v>0</v>
      </c>
      <c r="R738" s="33"/>
      <c r="S738" s="33"/>
      <c r="T738" s="33" t="s">
        <v>616</v>
      </c>
      <c r="U738" s="41" t="str">
        <f>IFERROR(HYPERLINK("#'Main'!B"&amp;MATCH(TRIM(A738),Main!B:B,0),"Open"),HYPERLINK("#'Main'!B1","Open"))</f>
        <v>Open</v>
      </c>
      <c r="V738" s="41"/>
    </row>
    <row r="739" spans="1:22" ht="30" customHeight="1" x14ac:dyDescent="0.25">
      <c r="A739" s="51" t="s">
        <v>214</v>
      </c>
      <c r="B739" s="42" t="s">
        <v>614</v>
      </c>
      <c r="C739" s="44" t="s">
        <v>988</v>
      </c>
      <c r="D739" s="42"/>
      <c r="E739" s="52">
        <v>200</v>
      </c>
      <c r="F739" s="42" t="b">
        <v>1</v>
      </c>
      <c r="G739" s="42">
        <v>0</v>
      </c>
      <c r="H739" s="52">
        <v>0</v>
      </c>
      <c r="I739" s="42">
        <v>0</v>
      </c>
      <c r="J739" s="42">
        <v>0</v>
      </c>
      <c r="K739" s="42">
        <v>0</v>
      </c>
      <c r="L739" s="46" t="b">
        <v>0</v>
      </c>
      <c r="M739" s="42">
        <v>0</v>
      </c>
      <c r="N739" s="42">
        <v>0</v>
      </c>
      <c r="O739" s="52">
        <v>0</v>
      </c>
      <c r="P739" s="42">
        <v>0</v>
      </c>
      <c r="Q739" s="42">
        <v>0</v>
      </c>
      <c r="R739" s="42"/>
      <c r="S739" s="42"/>
      <c r="T739" s="42" t="s">
        <v>616</v>
      </c>
      <c r="U739" t="str">
        <f>IFERROR(HYPERLINK("#'Main'!B"&amp;MATCH(TRIM(A739),Main!B:B,0),"Open"),HYPERLINK("#'Main'!B1","Open"))</f>
        <v>Open</v>
      </c>
    </row>
    <row r="740" spans="1:22" ht="30" customHeight="1" x14ac:dyDescent="0.25">
      <c r="A740" s="50" t="s">
        <v>214</v>
      </c>
      <c r="B740" s="33" t="s">
        <v>614</v>
      </c>
      <c r="C740" s="37" t="s">
        <v>989</v>
      </c>
      <c r="D740" s="33"/>
      <c r="E740" s="52">
        <v>200</v>
      </c>
      <c r="F740" s="33" t="b">
        <v>1</v>
      </c>
      <c r="G740" s="33">
        <v>0</v>
      </c>
      <c r="H740" s="52">
        <v>0</v>
      </c>
      <c r="I740" s="33">
        <v>0</v>
      </c>
      <c r="J740" s="33">
        <v>0</v>
      </c>
      <c r="K740" s="33">
        <v>0</v>
      </c>
      <c r="L740" s="40" t="b">
        <v>0</v>
      </c>
      <c r="M740" s="33">
        <v>0</v>
      </c>
      <c r="N740" s="33">
        <v>0</v>
      </c>
      <c r="O740" s="52">
        <v>0</v>
      </c>
      <c r="P740" s="33">
        <v>0</v>
      </c>
      <c r="Q740" s="33">
        <v>0</v>
      </c>
      <c r="R740" s="33"/>
      <c r="S740" s="33"/>
      <c r="T740" s="33" t="s">
        <v>616</v>
      </c>
      <c r="U740" s="41" t="str">
        <f>IFERROR(HYPERLINK("#'Main'!B"&amp;MATCH(TRIM(A740),Main!B:B,0),"Open"),HYPERLINK("#'Main'!B1","Open"))</f>
        <v>Open</v>
      </c>
      <c r="V740" s="41"/>
    </row>
    <row r="741" spans="1:22" ht="30" customHeight="1" x14ac:dyDescent="0.25">
      <c r="A741" s="51" t="s">
        <v>214</v>
      </c>
      <c r="B741" s="42" t="s">
        <v>614</v>
      </c>
      <c r="C741" s="44" t="s">
        <v>990</v>
      </c>
      <c r="D741" s="42"/>
      <c r="E741" s="52">
        <v>200</v>
      </c>
      <c r="F741" s="42" t="b">
        <v>1</v>
      </c>
      <c r="G741" s="42">
        <v>0</v>
      </c>
      <c r="H741" s="52">
        <v>0</v>
      </c>
      <c r="I741" s="42">
        <v>0</v>
      </c>
      <c r="J741" s="42">
        <v>0</v>
      </c>
      <c r="K741" s="42">
        <v>0</v>
      </c>
      <c r="L741" s="46" t="b">
        <v>0</v>
      </c>
      <c r="M741" s="42">
        <v>0</v>
      </c>
      <c r="N741" s="42">
        <v>0</v>
      </c>
      <c r="O741" s="52">
        <v>0</v>
      </c>
      <c r="P741" s="42">
        <v>0</v>
      </c>
      <c r="Q741" s="42">
        <v>0</v>
      </c>
      <c r="R741" s="42"/>
      <c r="S741" s="42"/>
      <c r="T741" s="42" t="s">
        <v>616</v>
      </c>
      <c r="U741" t="str">
        <f>IFERROR(HYPERLINK("#'Main'!B"&amp;MATCH(TRIM(A741),Main!B:B,0),"Open"),HYPERLINK("#'Main'!B1","Open"))</f>
        <v>Open</v>
      </c>
    </row>
    <row r="742" spans="1:22" ht="30" customHeight="1" x14ac:dyDescent="0.25">
      <c r="A742" s="50" t="s">
        <v>214</v>
      </c>
      <c r="B742" s="33" t="s">
        <v>614</v>
      </c>
      <c r="C742" s="37" t="s">
        <v>991</v>
      </c>
      <c r="D742" s="33"/>
      <c r="E742" s="52">
        <v>200</v>
      </c>
      <c r="F742" s="33" t="b">
        <v>1</v>
      </c>
      <c r="G742" s="33">
        <v>0</v>
      </c>
      <c r="H742" s="52">
        <v>0</v>
      </c>
      <c r="I742" s="33">
        <v>0</v>
      </c>
      <c r="J742" s="33">
        <v>0</v>
      </c>
      <c r="K742" s="33">
        <v>0</v>
      </c>
      <c r="L742" s="40" t="b">
        <v>0</v>
      </c>
      <c r="M742" s="33">
        <v>0</v>
      </c>
      <c r="N742" s="33">
        <v>0</v>
      </c>
      <c r="O742" s="52">
        <v>0</v>
      </c>
      <c r="P742" s="33">
        <v>0</v>
      </c>
      <c r="Q742" s="33">
        <v>0</v>
      </c>
      <c r="R742" s="33"/>
      <c r="S742" s="33"/>
      <c r="T742" s="33" t="s">
        <v>616</v>
      </c>
      <c r="U742" s="41" t="str">
        <f>IFERROR(HYPERLINK("#'Main'!B"&amp;MATCH(TRIM(A742),Main!B:B,0),"Open"),HYPERLINK("#'Main'!B1","Open"))</f>
        <v>Open</v>
      </c>
      <c r="V742" s="41"/>
    </row>
    <row r="743" spans="1:22" ht="30" customHeight="1" x14ac:dyDescent="0.25">
      <c r="A743" s="51" t="s">
        <v>214</v>
      </c>
      <c r="B743" s="42" t="s">
        <v>614</v>
      </c>
      <c r="C743" s="44" t="s">
        <v>992</v>
      </c>
      <c r="D743" s="42"/>
      <c r="E743" s="52">
        <v>200</v>
      </c>
      <c r="F743" s="42" t="b">
        <v>1</v>
      </c>
      <c r="G743" s="42">
        <v>0</v>
      </c>
      <c r="H743" s="52">
        <v>0</v>
      </c>
      <c r="I743" s="42">
        <v>0</v>
      </c>
      <c r="J743" s="42">
        <v>0</v>
      </c>
      <c r="K743" s="42">
        <v>0</v>
      </c>
      <c r="L743" s="46" t="b">
        <v>0</v>
      </c>
      <c r="M743" s="42">
        <v>0</v>
      </c>
      <c r="N743" s="42">
        <v>0</v>
      </c>
      <c r="O743" s="52">
        <v>0</v>
      </c>
      <c r="P743" s="42">
        <v>0</v>
      </c>
      <c r="Q743" s="42">
        <v>0</v>
      </c>
      <c r="R743" s="42"/>
      <c r="S743" s="42"/>
      <c r="T743" s="42" t="s">
        <v>616</v>
      </c>
      <c r="U743" t="str">
        <f>IFERROR(HYPERLINK("#'Main'!B"&amp;MATCH(TRIM(A743),Main!B:B,0),"Open"),HYPERLINK("#'Main'!B1","Open"))</f>
        <v>Open</v>
      </c>
    </row>
    <row r="744" spans="1:22" ht="30" customHeight="1" x14ac:dyDescent="0.25">
      <c r="A744" s="50" t="s">
        <v>214</v>
      </c>
      <c r="B744" s="33" t="s">
        <v>614</v>
      </c>
      <c r="C744" s="37" t="s">
        <v>993</v>
      </c>
      <c r="D744" s="33"/>
      <c r="E744" s="52">
        <v>200</v>
      </c>
      <c r="F744" s="33" t="b">
        <v>1</v>
      </c>
      <c r="G744" s="33">
        <v>0</v>
      </c>
      <c r="H744" s="52">
        <v>0</v>
      </c>
      <c r="I744" s="33">
        <v>0</v>
      </c>
      <c r="J744" s="33">
        <v>0</v>
      </c>
      <c r="K744" s="33">
        <v>0</v>
      </c>
      <c r="L744" s="40" t="b">
        <v>0</v>
      </c>
      <c r="M744" s="33">
        <v>0</v>
      </c>
      <c r="N744" s="33">
        <v>0</v>
      </c>
      <c r="O744" s="52">
        <v>0</v>
      </c>
      <c r="P744" s="33">
        <v>0</v>
      </c>
      <c r="Q744" s="33">
        <v>0</v>
      </c>
      <c r="R744" s="33"/>
      <c r="S744" s="33"/>
      <c r="T744" s="33" t="s">
        <v>616</v>
      </c>
      <c r="U744" s="41" t="str">
        <f>IFERROR(HYPERLINK("#'Main'!B"&amp;MATCH(TRIM(A744),Main!B:B,0),"Open"),HYPERLINK("#'Main'!B1","Open"))</f>
        <v>Open</v>
      </c>
      <c r="V744" s="41"/>
    </row>
    <row r="745" spans="1:22" ht="30" customHeight="1" x14ac:dyDescent="0.25">
      <c r="A745" s="51" t="s">
        <v>214</v>
      </c>
      <c r="B745" s="42" t="s">
        <v>614</v>
      </c>
      <c r="C745" s="44" t="s">
        <v>994</v>
      </c>
      <c r="D745" s="42"/>
      <c r="E745" s="52">
        <v>200</v>
      </c>
      <c r="F745" s="42" t="b">
        <v>1</v>
      </c>
      <c r="G745" s="42">
        <v>0</v>
      </c>
      <c r="H745" s="52">
        <v>0</v>
      </c>
      <c r="I745" s="42">
        <v>0</v>
      </c>
      <c r="J745" s="42">
        <v>0</v>
      </c>
      <c r="K745" s="42">
        <v>0</v>
      </c>
      <c r="L745" s="46" t="b">
        <v>0</v>
      </c>
      <c r="M745" s="42">
        <v>0</v>
      </c>
      <c r="N745" s="42">
        <v>0</v>
      </c>
      <c r="O745" s="52">
        <v>0</v>
      </c>
      <c r="P745" s="42">
        <v>0</v>
      </c>
      <c r="Q745" s="42">
        <v>0</v>
      </c>
      <c r="R745" s="42"/>
      <c r="S745" s="42"/>
      <c r="T745" s="42" t="s">
        <v>616</v>
      </c>
      <c r="U745" t="str">
        <f>IFERROR(HYPERLINK("#'Main'!B"&amp;MATCH(TRIM(A745),Main!B:B,0),"Open"),HYPERLINK("#'Main'!B1","Open"))</f>
        <v>Open</v>
      </c>
    </row>
    <row r="746" spans="1:22" ht="30" customHeight="1" x14ac:dyDescent="0.25">
      <c r="A746" s="50" t="s">
        <v>214</v>
      </c>
      <c r="B746" s="33" t="s">
        <v>614</v>
      </c>
      <c r="C746" s="37" t="s">
        <v>995</v>
      </c>
      <c r="D746" s="33"/>
      <c r="E746" s="52">
        <v>200</v>
      </c>
      <c r="F746" s="33" t="b">
        <v>1</v>
      </c>
      <c r="G746" s="33">
        <v>0</v>
      </c>
      <c r="H746" s="52">
        <v>0</v>
      </c>
      <c r="I746" s="33">
        <v>0</v>
      </c>
      <c r="J746" s="33">
        <v>0</v>
      </c>
      <c r="K746" s="33">
        <v>0</v>
      </c>
      <c r="L746" s="40" t="b">
        <v>0</v>
      </c>
      <c r="M746" s="33">
        <v>0</v>
      </c>
      <c r="N746" s="33">
        <v>0</v>
      </c>
      <c r="O746" s="52">
        <v>0</v>
      </c>
      <c r="P746" s="33">
        <v>0</v>
      </c>
      <c r="Q746" s="33">
        <v>0</v>
      </c>
      <c r="R746" s="33"/>
      <c r="S746" s="33"/>
      <c r="T746" s="33" t="s">
        <v>616</v>
      </c>
      <c r="U746" s="41" t="str">
        <f>IFERROR(HYPERLINK("#'Main'!B"&amp;MATCH(TRIM(A746),Main!B:B,0),"Open"),HYPERLINK("#'Main'!B1","Open"))</f>
        <v>Open</v>
      </c>
      <c r="V746" s="41"/>
    </row>
    <row r="747" spans="1:22" ht="30" customHeight="1" x14ac:dyDescent="0.25">
      <c r="A747" s="51" t="s">
        <v>214</v>
      </c>
      <c r="B747" s="42" t="s">
        <v>614</v>
      </c>
      <c r="C747" s="44" t="s">
        <v>996</v>
      </c>
      <c r="D747" s="42"/>
      <c r="E747" s="52">
        <v>200</v>
      </c>
      <c r="F747" s="42" t="b">
        <v>1</v>
      </c>
      <c r="G747" s="42">
        <v>0</v>
      </c>
      <c r="H747" s="52">
        <v>0</v>
      </c>
      <c r="I747" s="42">
        <v>0</v>
      </c>
      <c r="J747" s="42">
        <v>0</v>
      </c>
      <c r="K747" s="42">
        <v>0</v>
      </c>
      <c r="L747" s="46" t="b">
        <v>0</v>
      </c>
      <c r="M747" s="42">
        <v>0</v>
      </c>
      <c r="N747" s="42">
        <v>0</v>
      </c>
      <c r="O747" s="52">
        <v>0</v>
      </c>
      <c r="P747" s="42">
        <v>0</v>
      </c>
      <c r="Q747" s="42">
        <v>0</v>
      </c>
      <c r="R747" s="42"/>
      <c r="S747" s="42"/>
      <c r="T747" s="42" t="s">
        <v>616</v>
      </c>
      <c r="U747" t="str">
        <f>IFERROR(HYPERLINK("#'Main'!B"&amp;MATCH(TRIM(A747),Main!B:B,0),"Open"),HYPERLINK("#'Main'!B1","Open"))</f>
        <v>Open</v>
      </c>
    </row>
    <row r="748" spans="1:22" ht="30" customHeight="1" x14ac:dyDescent="0.25">
      <c r="A748" s="50" t="s">
        <v>214</v>
      </c>
      <c r="B748" s="33" t="s">
        <v>614</v>
      </c>
      <c r="C748" s="37" t="s">
        <v>997</v>
      </c>
      <c r="D748" s="33"/>
      <c r="E748" s="52">
        <v>200</v>
      </c>
      <c r="F748" s="33" t="b">
        <v>1</v>
      </c>
      <c r="G748" s="33">
        <v>0</v>
      </c>
      <c r="H748" s="52">
        <v>0</v>
      </c>
      <c r="I748" s="33">
        <v>0</v>
      </c>
      <c r="J748" s="33">
        <v>0</v>
      </c>
      <c r="K748" s="33">
        <v>0</v>
      </c>
      <c r="L748" s="40" t="b">
        <v>0</v>
      </c>
      <c r="M748" s="33">
        <v>0</v>
      </c>
      <c r="N748" s="33">
        <v>0</v>
      </c>
      <c r="O748" s="52">
        <v>0</v>
      </c>
      <c r="P748" s="33">
        <v>0</v>
      </c>
      <c r="Q748" s="33">
        <v>0</v>
      </c>
      <c r="R748" s="33"/>
      <c r="S748" s="33"/>
      <c r="T748" s="33" t="s">
        <v>616</v>
      </c>
      <c r="U748" s="41" t="str">
        <f>IFERROR(HYPERLINK("#'Main'!B"&amp;MATCH(TRIM(A748),Main!B:B,0),"Open"),HYPERLINK("#'Main'!B1","Open"))</f>
        <v>Open</v>
      </c>
      <c r="V748" s="41"/>
    </row>
    <row r="749" spans="1:22" ht="30" customHeight="1" x14ac:dyDescent="0.25">
      <c r="A749" s="51" t="s">
        <v>214</v>
      </c>
      <c r="B749" s="42" t="s">
        <v>614</v>
      </c>
      <c r="C749" s="44" t="s">
        <v>998</v>
      </c>
      <c r="D749" s="42"/>
      <c r="E749" s="52">
        <v>200</v>
      </c>
      <c r="F749" s="42" t="b">
        <v>1</v>
      </c>
      <c r="G749" s="42">
        <v>0</v>
      </c>
      <c r="H749" s="52">
        <v>0</v>
      </c>
      <c r="I749" s="42">
        <v>0</v>
      </c>
      <c r="J749" s="42">
        <v>0</v>
      </c>
      <c r="K749" s="42">
        <v>0</v>
      </c>
      <c r="L749" s="46" t="b">
        <v>0</v>
      </c>
      <c r="M749" s="42">
        <v>0</v>
      </c>
      <c r="N749" s="42">
        <v>0</v>
      </c>
      <c r="O749" s="52">
        <v>0</v>
      </c>
      <c r="P749" s="42">
        <v>0</v>
      </c>
      <c r="Q749" s="42">
        <v>0</v>
      </c>
      <c r="R749" s="42"/>
      <c r="S749" s="42"/>
      <c r="T749" s="42" t="s">
        <v>616</v>
      </c>
      <c r="U749" t="str">
        <f>IFERROR(HYPERLINK("#'Main'!B"&amp;MATCH(TRIM(A749),Main!B:B,0),"Open"),HYPERLINK("#'Main'!B1","Open"))</f>
        <v>Open</v>
      </c>
    </row>
    <row r="750" spans="1:22" ht="30" customHeight="1" x14ac:dyDescent="0.25">
      <c r="A750" s="50" t="s">
        <v>214</v>
      </c>
      <c r="B750" s="33" t="s">
        <v>614</v>
      </c>
      <c r="C750" s="37" t="s">
        <v>999</v>
      </c>
      <c r="D750" s="33"/>
      <c r="E750" s="52">
        <v>200</v>
      </c>
      <c r="F750" s="33" t="b">
        <v>1</v>
      </c>
      <c r="G750" s="33">
        <v>0</v>
      </c>
      <c r="H750" s="52">
        <v>0</v>
      </c>
      <c r="I750" s="33">
        <v>0</v>
      </c>
      <c r="J750" s="33">
        <v>0</v>
      </c>
      <c r="K750" s="33">
        <v>0</v>
      </c>
      <c r="L750" s="40" t="b">
        <v>0</v>
      </c>
      <c r="M750" s="33">
        <v>0</v>
      </c>
      <c r="N750" s="33">
        <v>0</v>
      </c>
      <c r="O750" s="52">
        <v>0</v>
      </c>
      <c r="P750" s="33">
        <v>0</v>
      </c>
      <c r="Q750" s="33">
        <v>0</v>
      </c>
      <c r="R750" s="33"/>
      <c r="S750" s="33"/>
      <c r="T750" s="33" t="s">
        <v>616</v>
      </c>
      <c r="U750" s="41" t="str">
        <f>IFERROR(HYPERLINK("#'Main'!B"&amp;MATCH(TRIM(A750),Main!B:B,0),"Open"),HYPERLINK("#'Main'!B1","Open"))</f>
        <v>Open</v>
      </c>
      <c r="V750" s="41"/>
    </row>
    <row r="751" spans="1:22" ht="30" customHeight="1" x14ac:dyDescent="0.25">
      <c r="A751" s="51" t="s">
        <v>214</v>
      </c>
      <c r="B751" s="42" t="s">
        <v>614</v>
      </c>
      <c r="C751" s="44" t="s">
        <v>1000</v>
      </c>
      <c r="D751" s="42"/>
      <c r="E751" s="52">
        <v>200</v>
      </c>
      <c r="F751" s="42" t="b">
        <v>1</v>
      </c>
      <c r="G751" s="42">
        <v>0</v>
      </c>
      <c r="H751" s="52">
        <v>0</v>
      </c>
      <c r="I751" s="42">
        <v>0</v>
      </c>
      <c r="J751" s="42">
        <v>0</v>
      </c>
      <c r="K751" s="42">
        <v>0</v>
      </c>
      <c r="L751" s="46" t="b">
        <v>0</v>
      </c>
      <c r="M751" s="42">
        <v>0</v>
      </c>
      <c r="N751" s="42">
        <v>0</v>
      </c>
      <c r="O751" s="52">
        <v>0</v>
      </c>
      <c r="P751" s="42">
        <v>0</v>
      </c>
      <c r="Q751" s="42">
        <v>0</v>
      </c>
      <c r="R751" s="42"/>
      <c r="S751" s="42"/>
      <c r="T751" s="42" t="s">
        <v>616</v>
      </c>
      <c r="U751" t="str">
        <f>IFERROR(HYPERLINK("#'Main'!B"&amp;MATCH(TRIM(A751),Main!B:B,0),"Open"),HYPERLINK("#'Main'!B1","Open"))</f>
        <v>Open</v>
      </c>
    </row>
    <row r="752" spans="1:22" ht="30" customHeight="1" x14ac:dyDescent="0.25">
      <c r="A752" s="50" t="s">
        <v>214</v>
      </c>
      <c r="B752" s="33" t="s">
        <v>614</v>
      </c>
      <c r="C752" s="37" t="s">
        <v>1001</v>
      </c>
      <c r="D752" s="33"/>
      <c r="E752" s="52">
        <v>200</v>
      </c>
      <c r="F752" s="33" t="b">
        <v>1</v>
      </c>
      <c r="G752" s="33">
        <v>0</v>
      </c>
      <c r="H752" s="52">
        <v>0</v>
      </c>
      <c r="I752" s="33">
        <v>0</v>
      </c>
      <c r="J752" s="33">
        <v>0</v>
      </c>
      <c r="K752" s="33">
        <v>0</v>
      </c>
      <c r="L752" s="40" t="b">
        <v>0</v>
      </c>
      <c r="M752" s="33">
        <v>0</v>
      </c>
      <c r="N752" s="33">
        <v>0</v>
      </c>
      <c r="O752" s="52">
        <v>0</v>
      </c>
      <c r="P752" s="33">
        <v>0</v>
      </c>
      <c r="Q752" s="33">
        <v>0</v>
      </c>
      <c r="R752" s="33"/>
      <c r="S752" s="33"/>
      <c r="T752" s="33" t="s">
        <v>616</v>
      </c>
      <c r="U752" s="41" t="str">
        <f>IFERROR(HYPERLINK("#'Main'!B"&amp;MATCH(TRIM(A752),Main!B:B,0),"Open"),HYPERLINK("#'Main'!B1","Open"))</f>
        <v>Open</v>
      </c>
      <c r="V752" s="41"/>
    </row>
    <row r="753" spans="1:22" ht="30" customHeight="1" x14ac:dyDescent="0.25">
      <c r="A753" s="51" t="s">
        <v>214</v>
      </c>
      <c r="B753" s="42" t="s">
        <v>614</v>
      </c>
      <c r="C753" s="44" t="s">
        <v>1002</v>
      </c>
      <c r="D753" s="42"/>
      <c r="E753" s="52">
        <v>200</v>
      </c>
      <c r="F753" s="42" t="b">
        <v>1</v>
      </c>
      <c r="G753" s="42">
        <v>0</v>
      </c>
      <c r="H753" s="52">
        <v>0</v>
      </c>
      <c r="I753" s="42">
        <v>0</v>
      </c>
      <c r="J753" s="42">
        <v>0</v>
      </c>
      <c r="K753" s="42">
        <v>0</v>
      </c>
      <c r="L753" s="46" t="b">
        <v>0</v>
      </c>
      <c r="M753" s="42">
        <v>0</v>
      </c>
      <c r="N753" s="42">
        <v>0</v>
      </c>
      <c r="O753" s="52">
        <v>0</v>
      </c>
      <c r="P753" s="42">
        <v>0</v>
      </c>
      <c r="Q753" s="42">
        <v>0</v>
      </c>
      <c r="R753" s="42"/>
      <c r="S753" s="42"/>
      <c r="T753" s="42" t="s">
        <v>616</v>
      </c>
      <c r="U753" t="str">
        <f>IFERROR(HYPERLINK("#'Main'!B"&amp;MATCH(TRIM(A753),Main!B:B,0),"Open"),HYPERLINK("#'Main'!B1","Open"))</f>
        <v>Open</v>
      </c>
    </row>
    <row r="754" spans="1:22" ht="30" customHeight="1" x14ac:dyDescent="0.25">
      <c r="A754" s="50" t="s">
        <v>214</v>
      </c>
      <c r="B754" s="33" t="s">
        <v>614</v>
      </c>
      <c r="C754" s="37" t="s">
        <v>1003</v>
      </c>
      <c r="D754" s="33"/>
      <c r="E754" s="52">
        <v>200</v>
      </c>
      <c r="F754" s="33" t="b">
        <v>1</v>
      </c>
      <c r="G754" s="33">
        <v>0</v>
      </c>
      <c r="H754" s="52">
        <v>0</v>
      </c>
      <c r="I754" s="33">
        <v>0</v>
      </c>
      <c r="J754" s="33">
        <v>0</v>
      </c>
      <c r="K754" s="33">
        <v>0</v>
      </c>
      <c r="L754" s="40" t="b">
        <v>0</v>
      </c>
      <c r="M754" s="33">
        <v>0</v>
      </c>
      <c r="N754" s="33">
        <v>0</v>
      </c>
      <c r="O754" s="52">
        <v>0</v>
      </c>
      <c r="P754" s="33">
        <v>0</v>
      </c>
      <c r="Q754" s="33">
        <v>0</v>
      </c>
      <c r="R754" s="33"/>
      <c r="S754" s="33"/>
      <c r="T754" s="33" t="s">
        <v>616</v>
      </c>
      <c r="U754" s="41" t="str">
        <f>IFERROR(HYPERLINK("#'Main'!B"&amp;MATCH(TRIM(A754),Main!B:B,0),"Open"),HYPERLINK("#'Main'!B1","Open"))</f>
        <v>Open</v>
      </c>
      <c r="V754" s="41"/>
    </row>
    <row r="755" spans="1:22" ht="30" customHeight="1" x14ac:dyDescent="0.25">
      <c r="A755" s="51" t="s">
        <v>214</v>
      </c>
      <c r="B755" s="42" t="s">
        <v>614</v>
      </c>
      <c r="C755" s="44" t="s">
        <v>1004</v>
      </c>
      <c r="D755" s="42"/>
      <c r="E755" s="52">
        <v>200</v>
      </c>
      <c r="F755" s="42" t="b">
        <v>1</v>
      </c>
      <c r="G755" s="42">
        <v>0</v>
      </c>
      <c r="H755" s="52">
        <v>0</v>
      </c>
      <c r="I755" s="42">
        <v>0</v>
      </c>
      <c r="J755" s="42">
        <v>0</v>
      </c>
      <c r="K755" s="42">
        <v>0</v>
      </c>
      <c r="L755" s="46" t="b">
        <v>0</v>
      </c>
      <c r="M755" s="42">
        <v>0</v>
      </c>
      <c r="N755" s="42">
        <v>0</v>
      </c>
      <c r="O755" s="52">
        <v>0</v>
      </c>
      <c r="P755" s="42">
        <v>0</v>
      </c>
      <c r="Q755" s="42">
        <v>0</v>
      </c>
      <c r="R755" s="42"/>
      <c r="S755" s="42"/>
      <c r="T755" s="42" t="s">
        <v>616</v>
      </c>
      <c r="U755" t="str">
        <f>IFERROR(HYPERLINK("#'Main'!B"&amp;MATCH(TRIM(A755),Main!B:B,0),"Open"),HYPERLINK("#'Main'!B1","Open"))</f>
        <v>Open</v>
      </c>
    </row>
    <row r="756" spans="1:22" ht="30" customHeight="1" x14ac:dyDescent="0.25">
      <c r="A756" s="50" t="s">
        <v>214</v>
      </c>
      <c r="B756" s="33" t="s">
        <v>614</v>
      </c>
      <c r="C756" s="37" t="s">
        <v>1005</v>
      </c>
      <c r="D756" s="33"/>
      <c r="E756" s="52">
        <v>200</v>
      </c>
      <c r="F756" s="33" t="b">
        <v>1</v>
      </c>
      <c r="G756" s="33">
        <v>0</v>
      </c>
      <c r="H756" s="52">
        <v>0</v>
      </c>
      <c r="I756" s="33">
        <v>0</v>
      </c>
      <c r="J756" s="33">
        <v>0</v>
      </c>
      <c r="K756" s="33">
        <v>0</v>
      </c>
      <c r="L756" s="40" t="b">
        <v>0</v>
      </c>
      <c r="M756" s="33">
        <v>0</v>
      </c>
      <c r="N756" s="33">
        <v>0</v>
      </c>
      <c r="O756" s="52">
        <v>0</v>
      </c>
      <c r="P756" s="33">
        <v>0</v>
      </c>
      <c r="Q756" s="33">
        <v>0</v>
      </c>
      <c r="R756" s="33"/>
      <c r="S756" s="33"/>
      <c r="T756" s="33" t="s">
        <v>616</v>
      </c>
      <c r="U756" s="41" t="str">
        <f>IFERROR(HYPERLINK("#'Main'!B"&amp;MATCH(TRIM(A756),Main!B:B,0),"Open"),HYPERLINK("#'Main'!B1","Open"))</f>
        <v>Open</v>
      </c>
      <c r="V756" s="41"/>
    </row>
    <row r="757" spans="1:22" ht="30" customHeight="1" x14ac:dyDescent="0.25">
      <c r="A757" s="51" t="s">
        <v>214</v>
      </c>
      <c r="B757" s="42" t="s">
        <v>614</v>
      </c>
      <c r="C757" s="44" t="s">
        <v>1006</v>
      </c>
      <c r="D757" s="42"/>
      <c r="E757" s="52">
        <v>200</v>
      </c>
      <c r="F757" s="42" t="b">
        <v>1</v>
      </c>
      <c r="G757" s="42">
        <v>0</v>
      </c>
      <c r="H757" s="52">
        <v>0</v>
      </c>
      <c r="I757" s="42">
        <v>0</v>
      </c>
      <c r="J757" s="42">
        <v>0</v>
      </c>
      <c r="K757" s="42">
        <v>0</v>
      </c>
      <c r="L757" s="46" t="b">
        <v>0</v>
      </c>
      <c r="M757" s="42">
        <v>0</v>
      </c>
      <c r="N757" s="42">
        <v>0</v>
      </c>
      <c r="O757" s="52">
        <v>0</v>
      </c>
      <c r="P757" s="42">
        <v>0</v>
      </c>
      <c r="Q757" s="42">
        <v>0</v>
      </c>
      <c r="R757" s="42"/>
      <c r="S757" s="42"/>
      <c r="T757" s="42" t="s">
        <v>616</v>
      </c>
      <c r="U757" t="str">
        <f>IFERROR(HYPERLINK("#'Main'!B"&amp;MATCH(TRIM(A757),Main!B:B,0),"Open"),HYPERLINK("#'Main'!B1","Open"))</f>
        <v>Open</v>
      </c>
    </row>
    <row r="758" spans="1:22" ht="30" customHeight="1" x14ac:dyDescent="0.25">
      <c r="A758" s="50" t="s">
        <v>214</v>
      </c>
      <c r="B758" s="33" t="s">
        <v>614</v>
      </c>
      <c r="C758" s="37" t="s">
        <v>763</v>
      </c>
      <c r="D758" s="33"/>
      <c r="E758" s="52">
        <v>200</v>
      </c>
      <c r="F758" s="33" t="b">
        <v>1</v>
      </c>
      <c r="G758" s="33">
        <v>0</v>
      </c>
      <c r="H758" s="52">
        <v>0</v>
      </c>
      <c r="I758" s="33">
        <v>0</v>
      </c>
      <c r="J758" s="33">
        <v>0</v>
      </c>
      <c r="K758" s="33">
        <v>0</v>
      </c>
      <c r="L758" s="40" t="b">
        <v>0</v>
      </c>
      <c r="M758" s="33">
        <v>0</v>
      </c>
      <c r="N758" s="33">
        <v>0</v>
      </c>
      <c r="O758" s="52">
        <v>0</v>
      </c>
      <c r="P758" s="33">
        <v>0</v>
      </c>
      <c r="Q758" s="33">
        <v>0</v>
      </c>
      <c r="R758" s="33"/>
      <c r="S758" s="33"/>
      <c r="T758" s="33" t="s">
        <v>616</v>
      </c>
      <c r="U758" s="41" t="str">
        <f>IFERROR(HYPERLINK("#'Main'!B"&amp;MATCH(TRIM(A758),Main!B:B,0),"Open"),HYPERLINK("#'Main'!B1","Open"))</f>
        <v>Open</v>
      </c>
      <c r="V758" s="41"/>
    </row>
    <row r="759" spans="1:22" ht="30" customHeight="1" x14ac:dyDescent="0.25">
      <c r="A759" s="51" t="s">
        <v>214</v>
      </c>
      <c r="B759" s="42" t="s">
        <v>614</v>
      </c>
      <c r="C759" s="44" t="s">
        <v>1007</v>
      </c>
      <c r="D759" s="42"/>
      <c r="E759" s="52">
        <v>200</v>
      </c>
      <c r="F759" s="42" t="b">
        <v>1</v>
      </c>
      <c r="G759" s="42">
        <v>0</v>
      </c>
      <c r="H759" s="52">
        <v>0</v>
      </c>
      <c r="I759" s="42">
        <v>0</v>
      </c>
      <c r="J759" s="42">
        <v>0</v>
      </c>
      <c r="K759" s="42">
        <v>0</v>
      </c>
      <c r="L759" s="46" t="b">
        <v>0</v>
      </c>
      <c r="M759" s="42">
        <v>0</v>
      </c>
      <c r="N759" s="42">
        <v>0</v>
      </c>
      <c r="O759" s="52">
        <v>0</v>
      </c>
      <c r="P759" s="42">
        <v>0</v>
      </c>
      <c r="Q759" s="42">
        <v>0</v>
      </c>
      <c r="R759" s="42"/>
      <c r="S759" s="42"/>
      <c r="T759" s="42" t="s">
        <v>616</v>
      </c>
      <c r="U759" t="str">
        <f>IFERROR(HYPERLINK("#'Main'!B"&amp;MATCH(TRIM(A759),Main!B:B,0),"Open"),HYPERLINK("#'Main'!B1","Open"))</f>
        <v>Open</v>
      </c>
    </row>
    <row r="760" spans="1:22" ht="30" customHeight="1" x14ac:dyDescent="0.25">
      <c r="A760" s="50" t="s">
        <v>214</v>
      </c>
      <c r="B760" s="33" t="s">
        <v>614</v>
      </c>
      <c r="C760" s="37" t="s">
        <v>1008</v>
      </c>
      <c r="D760" s="33"/>
      <c r="E760" s="52">
        <v>200</v>
      </c>
      <c r="F760" s="33" t="b">
        <v>1</v>
      </c>
      <c r="G760" s="33">
        <v>0</v>
      </c>
      <c r="H760" s="52">
        <v>0</v>
      </c>
      <c r="I760" s="33">
        <v>0</v>
      </c>
      <c r="J760" s="33">
        <v>0</v>
      </c>
      <c r="K760" s="33">
        <v>0</v>
      </c>
      <c r="L760" s="40" t="b">
        <v>0</v>
      </c>
      <c r="M760" s="33">
        <v>0</v>
      </c>
      <c r="N760" s="33">
        <v>0</v>
      </c>
      <c r="O760" s="52">
        <v>0</v>
      </c>
      <c r="P760" s="33">
        <v>0</v>
      </c>
      <c r="Q760" s="33">
        <v>0</v>
      </c>
      <c r="R760" s="33"/>
      <c r="S760" s="33"/>
      <c r="T760" s="33" t="s">
        <v>616</v>
      </c>
      <c r="U760" s="41" t="str">
        <f>IFERROR(HYPERLINK("#'Main'!B"&amp;MATCH(TRIM(A760),Main!B:B,0),"Open"),HYPERLINK("#'Main'!B1","Open"))</f>
        <v>Open</v>
      </c>
      <c r="V760" s="41"/>
    </row>
    <row r="761" spans="1:22" ht="30" customHeight="1" x14ac:dyDescent="0.25">
      <c r="A761" s="51" t="s">
        <v>214</v>
      </c>
      <c r="B761" s="42" t="s">
        <v>614</v>
      </c>
      <c r="C761" s="44" t="s">
        <v>1009</v>
      </c>
      <c r="D761" s="42"/>
      <c r="E761" s="52">
        <v>200</v>
      </c>
      <c r="F761" s="42" t="b">
        <v>1</v>
      </c>
      <c r="G761" s="42">
        <v>0</v>
      </c>
      <c r="H761" s="52">
        <v>0</v>
      </c>
      <c r="I761" s="42">
        <v>0</v>
      </c>
      <c r="J761" s="42">
        <v>0</v>
      </c>
      <c r="K761" s="42">
        <v>0</v>
      </c>
      <c r="L761" s="46" t="b">
        <v>0</v>
      </c>
      <c r="M761" s="42">
        <v>0</v>
      </c>
      <c r="N761" s="42">
        <v>0</v>
      </c>
      <c r="O761" s="52">
        <v>0</v>
      </c>
      <c r="P761" s="42">
        <v>0</v>
      </c>
      <c r="Q761" s="42">
        <v>0</v>
      </c>
      <c r="R761" s="42"/>
      <c r="S761" s="42"/>
      <c r="T761" s="42" t="s">
        <v>616</v>
      </c>
      <c r="U761" t="str">
        <f>IFERROR(HYPERLINK("#'Main'!B"&amp;MATCH(TRIM(A761),Main!B:B,0),"Open"),HYPERLINK("#'Main'!B1","Open"))</f>
        <v>Open</v>
      </c>
    </row>
    <row r="762" spans="1:22" ht="30" customHeight="1" x14ac:dyDescent="0.25">
      <c r="A762" s="50" t="s">
        <v>214</v>
      </c>
      <c r="B762" s="33" t="s">
        <v>614</v>
      </c>
      <c r="C762" s="37" t="s">
        <v>1010</v>
      </c>
      <c r="D762" s="33"/>
      <c r="E762" s="52">
        <v>200</v>
      </c>
      <c r="F762" s="33" t="b">
        <v>1</v>
      </c>
      <c r="G762" s="33">
        <v>0</v>
      </c>
      <c r="H762" s="52">
        <v>0</v>
      </c>
      <c r="I762" s="33">
        <v>0</v>
      </c>
      <c r="J762" s="33">
        <v>0</v>
      </c>
      <c r="K762" s="33">
        <v>0</v>
      </c>
      <c r="L762" s="40" t="b">
        <v>0</v>
      </c>
      <c r="M762" s="33">
        <v>0</v>
      </c>
      <c r="N762" s="33">
        <v>0</v>
      </c>
      <c r="O762" s="52">
        <v>0</v>
      </c>
      <c r="P762" s="33">
        <v>0</v>
      </c>
      <c r="Q762" s="33">
        <v>0</v>
      </c>
      <c r="R762" s="33"/>
      <c r="S762" s="33"/>
      <c r="T762" s="33" t="s">
        <v>616</v>
      </c>
      <c r="U762" s="41" t="str">
        <f>IFERROR(HYPERLINK("#'Main'!B"&amp;MATCH(TRIM(A762),Main!B:B,0),"Open"),HYPERLINK("#'Main'!B1","Open"))</f>
        <v>Open</v>
      </c>
      <c r="V762" s="41"/>
    </row>
    <row r="763" spans="1:22" ht="30" customHeight="1" x14ac:dyDescent="0.25">
      <c r="A763" s="51" t="s">
        <v>214</v>
      </c>
      <c r="B763" s="42" t="s">
        <v>614</v>
      </c>
      <c r="C763" s="44" t="s">
        <v>1011</v>
      </c>
      <c r="D763" s="42"/>
      <c r="E763" s="52">
        <v>200</v>
      </c>
      <c r="F763" s="42" t="b">
        <v>1</v>
      </c>
      <c r="G763" s="42">
        <v>0</v>
      </c>
      <c r="H763" s="52">
        <v>0</v>
      </c>
      <c r="I763" s="42">
        <v>0</v>
      </c>
      <c r="J763" s="42">
        <v>0</v>
      </c>
      <c r="K763" s="42">
        <v>0</v>
      </c>
      <c r="L763" s="46" t="b">
        <v>0</v>
      </c>
      <c r="M763" s="42">
        <v>0</v>
      </c>
      <c r="N763" s="42">
        <v>0</v>
      </c>
      <c r="O763" s="52">
        <v>0</v>
      </c>
      <c r="P763" s="42">
        <v>0</v>
      </c>
      <c r="Q763" s="42">
        <v>0</v>
      </c>
      <c r="R763" s="42"/>
      <c r="S763" s="42"/>
      <c r="T763" s="42" t="s">
        <v>616</v>
      </c>
      <c r="U763" t="str">
        <f>IFERROR(HYPERLINK("#'Main'!B"&amp;MATCH(TRIM(A763),Main!B:B,0),"Open"),HYPERLINK("#'Main'!B1","Open"))</f>
        <v>Open</v>
      </c>
    </row>
    <row r="764" spans="1:22" ht="30" customHeight="1" x14ac:dyDescent="0.25">
      <c r="A764" s="50" t="s">
        <v>214</v>
      </c>
      <c r="B764" s="33" t="s">
        <v>614</v>
      </c>
      <c r="C764" s="37" t="s">
        <v>1012</v>
      </c>
      <c r="D764" s="33"/>
      <c r="E764" s="52">
        <v>200</v>
      </c>
      <c r="F764" s="33" t="b">
        <v>1</v>
      </c>
      <c r="G764" s="33">
        <v>0</v>
      </c>
      <c r="H764" s="52">
        <v>0</v>
      </c>
      <c r="I764" s="33">
        <v>0</v>
      </c>
      <c r="J764" s="33">
        <v>0</v>
      </c>
      <c r="K764" s="33">
        <v>0</v>
      </c>
      <c r="L764" s="40" t="b">
        <v>0</v>
      </c>
      <c r="M764" s="33">
        <v>0</v>
      </c>
      <c r="N764" s="33">
        <v>0</v>
      </c>
      <c r="O764" s="52">
        <v>0</v>
      </c>
      <c r="P764" s="33">
        <v>0</v>
      </c>
      <c r="Q764" s="33">
        <v>0</v>
      </c>
      <c r="R764" s="33"/>
      <c r="S764" s="33"/>
      <c r="T764" s="33" t="s">
        <v>616</v>
      </c>
      <c r="U764" s="41" t="str">
        <f>IFERROR(HYPERLINK("#'Main'!B"&amp;MATCH(TRIM(A764),Main!B:B,0),"Open"),HYPERLINK("#'Main'!B1","Open"))</f>
        <v>Open</v>
      </c>
      <c r="V764" s="41"/>
    </row>
    <row r="765" spans="1:22" ht="30" customHeight="1" x14ac:dyDescent="0.25">
      <c r="A765" s="51" t="s">
        <v>214</v>
      </c>
      <c r="B765" s="42" t="s">
        <v>614</v>
      </c>
      <c r="C765" s="44" t="s">
        <v>1013</v>
      </c>
      <c r="D765" s="42"/>
      <c r="E765" s="52">
        <v>200</v>
      </c>
      <c r="F765" s="42" t="b">
        <v>1</v>
      </c>
      <c r="G765" s="42">
        <v>0</v>
      </c>
      <c r="H765" s="52">
        <v>0</v>
      </c>
      <c r="I765" s="42">
        <v>0</v>
      </c>
      <c r="J765" s="42">
        <v>0</v>
      </c>
      <c r="K765" s="42">
        <v>0</v>
      </c>
      <c r="L765" s="46" t="b">
        <v>0</v>
      </c>
      <c r="M765" s="42">
        <v>0</v>
      </c>
      <c r="N765" s="42">
        <v>0</v>
      </c>
      <c r="O765" s="52">
        <v>0</v>
      </c>
      <c r="P765" s="42">
        <v>0</v>
      </c>
      <c r="Q765" s="42">
        <v>0</v>
      </c>
      <c r="R765" s="42"/>
      <c r="S765" s="42"/>
      <c r="T765" s="42" t="s">
        <v>616</v>
      </c>
      <c r="U765" t="str">
        <f>IFERROR(HYPERLINK("#'Main'!B"&amp;MATCH(TRIM(A765),Main!B:B,0),"Open"),HYPERLINK("#'Main'!B1","Open"))</f>
        <v>Open</v>
      </c>
    </row>
    <row r="766" spans="1:22" ht="30" customHeight="1" x14ac:dyDescent="0.25">
      <c r="A766" s="50" t="s">
        <v>214</v>
      </c>
      <c r="B766" s="33" t="s">
        <v>614</v>
      </c>
      <c r="C766" s="37" t="s">
        <v>1014</v>
      </c>
      <c r="D766" s="33"/>
      <c r="E766" s="52">
        <v>200</v>
      </c>
      <c r="F766" s="33" t="b">
        <v>1</v>
      </c>
      <c r="G766" s="33">
        <v>0</v>
      </c>
      <c r="H766" s="52">
        <v>0</v>
      </c>
      <c r="I766" s="33">
        <v>0</v>
      </c>
      <c r="J766" s="33">
        <v>0</v>
      </c>
      <c r="K766" s="33">
        <v>0</v>
      </c>
      <c r="L766" s="40" t="b">
        <v>0</v>
      </c>
      <c r="M766" s="33">
        <v>0</v>
      </c>
      <c r="N766" s="33">
        <v>0</v>
      </c>
      <c r="O766" s="52">
        <v>0</v>
      </c>
      <c r="P766" s="33">
        <v>0</v>
      </c>
      <c r="Q766" s="33">
        <v>0</v>
      </c>
      <c r="R766" s="33"/>
      <c r="S766" s="33"/>
      <c r="T766" s="33" t="s">
        <v>616</v>
      </c>
      <c r="U766" s="41" t="str">
        <f>IFERROR(HYPERLINK("#'Main'!B"&amp;MATCH(TRIM(A766),Main!B:B,0),"Open"),HYPERLINK("#'Main'!B1","Open"))</f>
        <v>Open</v>
      </c>
      <c r="V766" s="41"/>
    </row>
    <row r="767" spans="1:22" ht="30" customHeight="1" x14ac:dyDescent="0.25">
      <c r="A767" s="51" t="s">
        <v>214</v>
      </c>
      <c r="B767" s="42" t="s">
        <v>614</v>
      </c>
      <c r="C767" s="44" t="s">
        <v>1015</v>
      </c>
      <c r="D767" s="42"/>
      <c r="E767" s="52">
        <v>200</v>
      </c>
      <c r="F767" s="42" t="b">
        <v>1</v>
      </c>
      <c r="G767" s="42">
        <v>0</v>
      </c>
      <c r="H767" s="52">
        <v>0</v>
      </c>
      <c r="I767" s="42">
        <v>0</v>
      </c>
      <c r="J767" s="42">
        <v>0</v>
      </c>
      <c r="K767" s="42">
        <v>0</v>
      </c>
      <c r="L767" s="46" t="b">
        <v>0</v>
      </c>
      <c r="M767" s="42">
        <v>0</v>
      </c>
      <c r="N767" s="42">
        <v>0</v>
      </c>
      <c r="O767" s="52">
        <v>0</v>
      </c>
      <c r="P767" s="42">
        <v>0</v>
      </c>
      <c r="Q767" s="42">
        <v>0</v>
      </c>
      <c r="R767" s="42"/>
      <c r="S767" s="42"/>
      <c r="T767" s="42" t="s">
        <v>616</v>
      </c>
      <c r="U767" t="str">
        <f>IFERROR(HYPERLINK("#'Main'!B"&amp;MATCH(TRIM(A767),Main!B:B,0),"Open"),HYPERLINK("#'Main'!B1","Open"))</f>
        <v>Open</v>
      </c>
    </row>
    <row r="768" spans="1:22" ht="30" customHeight="1" x14ac:dyDescent="0.25">
      <c r="A768" s="50" t="s">
        <v>214</v>
      </c>
      <c r="B768" s="33" t="s">
        <v>614</v>
      </c>
      <c r="C768" s="37" t="s">
        <v>762</v>
      </c>
      <c r="D768" s="33"/>
      <c r="E768" s="52">
        <v>200</v>
      </c>
      <c r="F768" s="33" t="b">
        <v>1</v>
      </c>
      <c r="G768" s="33">
        <v>0</v>
      </c>
      <c r="H768" s="52">
        <v>0</v>
      </c>
      <c r="I768" s="33">
        <v>0</v>
      </c>
      <c r="J768" s="33">
        <v>0</v>
      </c>
      <c r="K768" s="33">
        <v>0</v>
      </c>
      <c r="L768" s="40" t="b">
        <v>0</v>
      </c>
      <c r="M768" s="33">
        <v>0</v>
      </c>
      <c r="N768" s="33">
        <v>0</v>
      </c>
      <c r="O768" s="52">
        <v>0</v>
      </c>
      <c r="P768" s="33">
        <v>0</v>
      </c>
      <c r="Q768" s="33">
        <v>0</v>
      </c>
      <c r="R768" s="33"/>
      <c r="S768" s="33"/>
      <c r="T768" s="33" t="s">
        <v>616</v>
      </c>
      <c r="U768" s="41" t="str">
        <f>IFERROR(HYPERLINK("#'Main'!B"&amp;MATCH(TRIM(A768),Main!B:B,0),"Open"),HYPERLINK("#'Main'!B1","Open"))</f>
        <v>Open</v>
      </c>
      <c r="V768" s="41"/>
    </row>
    <row r="769" spans="1:22" ht="30" customHeight="1" x14ac:dyDescent="0.25">
      <c r="A769" s="51" t="s">
        <v>214</v>
      </c>
      <c r="B769" s="42" t="s">
        <v>614</v>
      </c>
      <c r="C769" s="44" t="s">
        <v>1016</v>
      </c>
      <c r="D769" s="42"/>
      <c r="E769" s="52">
        <v>200</v>
      </c>
      <c r="F769" s="42" t="b">
        <v>1</v>
      </c>
      <c r="G769" s="42">
        <v>0</v>
      </c>
      <c r="H769" s="52">
        <v>0</v>
      </c>
      <c r="I769" s="42">
        <v>0</v>
      </c>
      <c r="J769" s="42">
        <v>0</v>
      </c>
      <c r="K769" s="42">
        <v>0</v>
      </c>
      <c r="L769" s="46" t="b">
        <v>0</v>
      </c>
      <c r="M769" s="42">
        <v>0</v>
      </c>
      <c r="N769" s="42">
        <v>0</v>
      </c>
      <c r="O769" s="52">
        <v>0</v>
      </c>
      <c r="P769" s="42">
        <v>0</v>
      </c>
      <c r="Q769" s="42">
        <v>0</v>
      </c>
      <c r="R769" s="42"/>
      <c r="S769" s="42"/>
      <c r="T769" s="42" t="s">
        <v>616</v>
      </c>
      <c r="U769" t="str">
        <f>IFERROR(HYPERLINK("#'Main'!B"&amp;MATCH(TRIM(A769),Main!B:B,0),"Open"),HYPERLINK("#'Main'!B1","Open"))</f>
        <v>Open</v>
      </c>
    </row>
    <row r="770" spans="1:22" ht="30" customHeight="1" x14ac:dyDescent="0.25">
      <c r="A770" s="50" t="s">
        <v>214</v>
      </c>
      <c r="B770" s="33" t="s">
        <v>614</v>
      </c>
      <c r="C770" s="37" t="s">
        <v>1017</v>
      </c>
      <c r="D770" s="33"/>
      <c r="E770" s="52">
        <v>200</v>
      </c>
      <c r="F770" s="33" t="b">
        <v>1</v>
      </c>
      <c r="G770" s="33">
        <v>0</v>
      </c>
      <c r="H770" s="52">
        <v>0</v>
      </c>
      <c r="I770" s="33">
        <v>0</v>
      </c>
      <c r="J770" s="33">
        <v>0</v>
      </c>
      <c r="K770" s="33">
        <v>0</v>
      </c>
      <c r="L770" s="40" t="b">
        <v>0</v>
      </c>
      <c r="M770" s="33">
        <v>0</v>
      </c>
      <c r="N770" s="33">
        <v>0</v>
      </c>
      <c r="O770" s="52">
        <v>0</v>
      </c>
      <c r="P770" s="33">
        <v>0</v>
      </c>
      <c r="Q770" s="33">
        <v>0</v>
      </c>
      <c r="R770" s="33"/>
      <c r="S770" s="33"/>
      <c r="T770" s="33" t="s">
        <v>616</v>
      </c>
      <c r="U770" s="41" t="str">
        <f>IFERROR(HYPERLINK("#'Main'!B"&amp;MATCH(TRIM(A770),Main!B:B,0),"Open"),HYPERLINK("#'Main'!B1","Open"))</f>
        <v>Open</v>
      </c>
      <c r="V770" s="41"/>
    </row>
    <row r="771" spans="1:22" ht="30" customHeight="1" x14ac:dyDescent="0.25">
      <c r="A771" s="51" t="s">
        <v>214</v>
      </c>
      <c r="B771" s="42" t="s">
        <v>614</v>
      </c>
      <c r="C771" s="44" t="s">
        <v>1018</v>
      </c>
      <c r="D771" s="42"/>
      <c r="E771" s="52">
        <v>200</v>
      </c>
      <c r="F771" s="42" t="b">
        <v>1</v>
      </c>
      <c r="G771" s="42">
        <v>0</v>
      </c>
      <c r="H771" s="52">
        <v>0</v>
      </c>
      <c r="I771" s="42">
        <v>0</v>
      </c>
      <c r="J771" s="42">
        <v>0</v>
      </c>
      <c r="K771" s="42">
        <v>0</v>
      </c>
      <c r="L771" s="46" t="b">
        <v>0</v>
      </c>
      <c r="M771" s="42">
        <v>0</v>
      </c>
      <c r="N771" s="42">
        <v>0</v>
      </c>
      <c r="O771" s="52">
        <v>0</v>
      </c>
      <c r="P771" s="42">
        <v>0</v>
      </c>
      <c r="Q771" s="42">
        <v>0</v>
      </c>
      <c r="R771" s="42"/>
      <c r="S771" s="42"/>
      <c r="T771" s="42" t="s">
        <v>616</v>
      </c>
      <c r="U771" t="str">
        <f>IFERROR(HYPERLINK("#'Main'!B"&amp;MATCH(TRIM(A771),Main!B:B,0),"Open"),HYPERLINK("#'Main'!B1","Open"))</f>
        <v>Open</v>
      </c>
    </row>
    <row r="772" spans="1:22" ht="30" customHeight="1" x14ac:dyDescent="0.25">
      <c r="A772" s="50" t="s">
        <v>214</v>
      </c>
      <c r="B772" s="33" t="s">
        <v>614</v>
      </c>
      <c r="C772" s="37" t="s">
        <v>1019</v>
      </c>
      <c r="D772" s="33"/>
      <c r="E772" s="52">
        <v>200</v>
      </c>
      <c r="F772" s="33" t="b">
        <v>1</v>
      </c>
      <c r="G772" s="33">
        <v>0</v>
      </c>
      <c r="H772" s="52">
        <v>0</v>
      </c>
      <c r="I772" s="33">
        <v>0</v>
      </c>
      <c r="J772" s="33">
        <v>0</v>
      </c>
      <c r="K772" s="33">
        <v>0</v>
      </c>
      <c r="L772" s="40" t="b">
        <v>0</v>
      </c>
      <c r="M772" s="33">
        <v>0</v>
      </c>
      <c r="N772" s="33">
        <v>0</v>
      </c>
      <c r="O772" s="52">
        <v>0</v>
      </c>
      <c r="P772" s="33">
        <v>0</v>
      </c>
      <c r="Q772" s="33">
        <v>0</v>
      </c>
      <c r="R772" s="33"/>
      <c r="S772" s="33"/>
      <c r="T772" s="33" t="s">
        <v>616</v>
      </c>
      <c r="U772" s="41" t="str">
        <f>IFERROR(HYPERLINK("#'Main'!B"&amp;MATCH(TRIM(A772),Main!B:B,0),"Open"),HYPERLINK("#'Main'!B1","Open"))</f>
        <v>Open</v>
      </c>
      <c r="V772" s="41"/>
    </row>
    <row r="773" spans="1:22" ht="30" customHeight="1" x14ac:dyDescent="0.25">
      <c r="A773" s="51" t="s">
        <v>214</v>
      </c>
      <c r="B773" s="42" t="s">
        <v>614</v>
      </c>
      <c r="C773" s="44" t="s">
        <v>1020</v>
      </c>
      <c r="D773" s="42"/>
      <c r="E773" s="52">
        <v>200</v>
      </c>
      <c r="F773" s="42" t="b">
        <v>1</v>
      </c>
      <c r="G773" s="42">
        <v>0</v>
      </c>
      <c r="H773" s="52">
        <v>0</v>
      </c>
      <c r="I773" s="42">
        <v>0</v>
      </c>
      <c r="J773" s="42">
        <v>0</v>
      </c>
      <c r="K773" s="42">
        <v>0</v>
      </c>
      <c r="L773" s="46" t="b">
        <v>0</v>
      </c>
      <c r="M773" s="42">
        <v>0</v>
      </c>
      <c r="N773" s="42">
        <v>0</v>
      </c>
      <c r="O773" s="52">
        <v>0</v>
      </c>
      <c r="P773" s="42">
        <v>0</v>
      </c>
      <c r="Q773" s="42">
        <v>0</v>
      </c>
      <c r="R773" s="42"/>
      <c r="S773" s="42"/>
      <c r="T773" s="42" t="s">
        <v>616</v>
      </c>
      <c r="U773" t="str">
        <f>IFERROR(HYPERLINK("#'Main'!B"&amp;MATCH(TRIM(A773),Main!B:B,0),"Open"),HYPERLINK("#'Main'!B1","Open"))</f>
        <v>Open</v>
      </c>
    </row>
    <row r="774" spans="1:22" ht="30" customHeight="1" x14ac:dyDescent="0.25">
      <c r="A774" s="50" t="s">
        <v>214</v>
      </c>
      <c r="B774" s="33" t="s">
        <v>614</v>
      </c>
      <c r="C774" s="37" t="s">
        <v>1021</v>
      </c>
      <c r="D774" s="33"/>
      <c r="E774" s="52">
        <v>200</v>
      </c>
      <c r="F774" s="33" t="b">
        <v>1</v>
      </c>
      <c r="G774" s="33">
        <v>0</v>
      </c>
      <c r="H774" s="52">
        <v>0</v>
      </c>
      <c r="I774" s="33">
        <v>0</v>
      </c>
      <c r="J774" s="33">
        <v>0</v>
      </c>
      <c r="K774" s="33">
        <v>0</v>
      </c>
      <c r="L774" s="40" t="b">
        <v>0</v>
      </c>
      <c r="M774" s="33">
        <v>0</v>
      </c>
      <c r="N774" s="33">
        <v>0</v>
      </c>
      <c r="O774" s="52">
        <v>0</v>
      </c>
      <c r="P774" s="33">
        <v>0</v>
      </c>
      <c r="Q774" s="33">
        <v>0</v>
      </c>
      <c r="R774" s="33"/>
      <c r="S774" s="33"/>
      <c r="T774" s="33" t="s">
        <v>616</v>
      </c>
      <c r="U774" s="41" t="str">
        <f>IFERROR(HYPERLINK("#'Main'!B"&amp;MATCH(TRIM(A774),Main!B:B,0),"Open"),HYPERLINK("#'Main'!B1","Open"))</f>
        <v>Open</v>
      </c>
      <c r="V774" s="41"/>
    </row>
    <row r="775" spans="1:22" ht="30" customHeight="1" x14ac:dyDescent="0.25">
      <c r="A775" s="51" t="s">
        <v>214</v>
      </c>
      <c r="B775" s="42" t="s">
        <v>614</v>
      </c>
      <c r="C775" s="44" t="s">
        <v>1022</v>
      </c>
      <c r="D775" s="42"/>
      <c r="E775" s="52">
        <v>200</v>
      </c>
      <c r="F775" s="42" t="b">
        <v>1</v>
      </c>
      <c r="G775" s="42">
        <v>0</v>
      </c>
      <c r="H775" s="52">
        <v>0</v>
      </c>
      <c r="I775" s="42">
        <v>0</v>
      </c>
      <c r="J775" s="42">
        <v>0</v>
      </c>
      <c r="K775" s="42">
        <v>0</v>
      </c>
      <c r="L775" s="46" t="b">
        <v>0</v>
      </c>
      <c r="M775" s="42">
        <v>0</v>
      </c>
      <c r="N775" s="42">
        <v>0</v>
      </c>
      <c r="O775" s="52">
        <v>0</v>
      </c>
      <c r="P775" s="42">
        <v>0</v>
      </c>
      <c r="Q775" s="42">
        <v>0</v>
      </c>
      <c r="R775" s="42"/>
      <c r="S775" s="42"/>
      <c r="T775" s="42" t="s">
        <v>616</v>
      </c>
      <c r="U775" t="str">
        <f>IFERROR(HYPERLINK("#'Main'!B"&amp;MATCH(TRIM(A775),Main!B:B,0),"Open"),HYPERLINK("#'Main'!B1","Open"))</f>
        <v>Open</v>
      </c>
    </row>
    <row r="776" spans="1:22" ht="30" customHeight="1" x14ac:dyDescent="0.25">
      <c r="A776" s="50" t="s">
        <v>214</v>
      </c>
      <c r="B776" s="33" t="s">
        <v>614</v>
      </c>
      <c r="C776" s="37" t="s">
        <v>1023</v>
      </c>
      <c r="D776" s="33"/>
      <c r="E776" s="52">
        <v>200</v>
      </c>
      <c r="F776" s="33" t="b">
        <v>1</v>
      </c>
      <c r="G776" s="33">
        <v>0</v>
      </c>
      <c r="H776" s="52">
        <v>0</v>
      </c>
      <c r="I776" s="33">
        <v>0</v>
      </c>
      <c r="J776" s="33">
        <v>0</v>
      </c>
      <c r="K776" s="33">
        <v>0</v>
      </c>
      <c r="L776" s="40" t="b">
        <v>0</v>
      </c>
      <c r="M776" s="33">
        <v>0</v>
      </c>
      <c r="N776" s="33">
        <v>0</v>
      </c>
      <c r="O776" s="52">
        <v>0</v>
      </c>
      <c r="P776" s="33">
        <v>0</v>
      </c>
      <c r="Q776" s="33">
        <v>0</v>
      </c>
      <c r="R776" s="33"/>
      <c r="S776" s="33"/>
      <c r="T776" s="33" t="s">
        <v>616</v>
      </c>
      <c r="U776" s="41" t="str">
        <f>IFERROR(HYPERLINK("#'Main'!B"&amp;MATCH(TRIM(A776),Main!B:B,0),"Open"),HYPERLINK("#'Main'!B1","Open"))</f>
        <v>Open</v>
      </c>
      <c r="V776" s="41"/>
    </row>
    <row r="777" spans="1:22" ht="30" customHeight="1" x14ac:dyDescent="0.25">
      <c r="A777" s="51" t="s">
        <v>214</v>
      </c>
      <c r="B777" s="42" t="s">
        <v>614</v>
      </c>
      <c r="C777" s="44" t="s">
        <v>1024</v>
      </c>
      <c r="D777" s="42"/>
      <c r="E777" s="52">
        <v>200</v>
      </c>
      <c r="F777" s="42" t="b">
        <v>1</v>
      </c>
      <c r="G777" s="42">
        <v>0</v>
      </c>
      <c r="H777" s="52">
        <v>0</v>
      </c>
      <c r="I777" s="42">
        <v>0</v>
      </c>
      <c r="J777" s="42">
        <v>0</v>
      </c>
      <c r="K777" s="42">
        <v>0</v>
      </c>
      <c r="L777" s="46" t="b">
        <v>0</v>
      </c>
      <c r="M777" s="42">
        <v>0</v>
      </c>
      <c r="N777" s="42">
        <v>0</v>
      </c>
      <c r="O777" s="52">
        <v>0</v>
      </c>
      <c r="P777" s="42">
        <v>0</v>
      </c>
      <c r="Q777" s="42">
        <v>0</v>
      </c>
      <c r="R777" s="42"/>
      <c r="S777" s="42"/>
      <c r="T777" s="42" t="s">
        <v>616</v>
      </c>
      <c r="U777" t="str">
        <f>IFERROR(HYPERLINK("#'Main'!B"&amp;MATCH(TRIM(A777),Main!B:B,0),"Open"),HYPERLINK("#'Main'!B1","Open"))</f>
        <v>Open</v>
      </c>
    </row>
    <row r="778" spans="1:22" ht="30" customHeight="1" x14ac:dyDescent="0.25">
      <c r="A778" s="50" t="s">
        <v>214</v>
      </c>
      <c r="B778" s="33" t="s">
        <v>614</v>
      </c>
      <c r="C778" s="37" t="s">
        <v>761</v>
      </c>
      <c r="D778" s="33"/>
      <c r="E778" s="52">
        <v>200</v>
      </c>
      <c r="F778" s="33" t="b">
        <v>1</v>
      </c>
      <c r="G778" s="33">
        <v>0</v>
      </c>
      <c r="H778" s="52">
        <v>0</v>
      </c>
      <c r="I778" s="33">
        <v>0</v>
      </c>
      <c r="J778" s="33">
        <v>0</v>
      </c>
      <c r="K778" s="33">
        <v>0</v>
      </c>
      <c r="L778" s="40" t="b">
        <v>0</v>
      </c>
      <c r="M778" s="33">
        <v>0</v>
      </c>
      <c r="N778" s="33">
        <v>0</v>
      </c>
      <c r="O778" s="52">
        <v>0</v>
      </c>
      <c r="P778" s="33">
        <v>0</v>
      </c>
      <c r="Q778" s="33">
        <v>0</v>
      </c>
      <c r="R778" s="33"/>
      <c r="S778" s="33"/>
      <c r="T778" s="33" t="s">
        <v>616</v>
      </c>
      <c r="U778" s="41" t="str">
        <f>IFERROR(HYPERLINK("#'Main'!B"&amp;MATCH(TRIM(A778),Main!B:B,0),"Open"),HYPERLINK("#'Main'!B1","Open"))</f>
        <v>Open</v>
      </c>
      <c r="V778" s="41"/>
    </row>
    <row r="779" spans="1:22" ht="30" customHeight="1" x14ac:dyDescent="0.25">
      <c r="A779" s="51" t="s">
        <v>214</v>
      </c>
      <c r="B779" s="42" t="s">
        <v>614</v>
      </c>
      <c r="C779" s="44" t="s">
        <v>1025</v>
      </c>
      <c r="D779" s="42"/>
      <c r="E779" s="52">
        <v>200</v>
      </c>
      <c r="F779" s="42" t="b">
        <v>1</v>
      </c>
      <c r="G779" s="42">
        <v>0</v>
      </c>
      <c r="H779" s="52">
        <v>0</v>
      </c>
      <c r="I779" s="42">
        <v>0</v>
      </c>
      <c r="J779" s="42">
        <v>0</v>
      </c>
      <c r="K779" s="42">
        <v>0</v>
      </c>
      <c r="L779" s="46" t="b">
        <v>0</v>
      </c>
      <c r="M779" s="42">
        <v>0</v>
      </c>
      <c r="N779" s="42">
        <v>0</v>
      </c>
      <c r="O779" s="52">
        <v>0</v>
      </c>
      <c r="P779" s="42">
        <v>0</v>
      </c>
      <c r="Q779" s="42">
        <v>0</v>
      </c>
      <c r="R779" s="42"/>
      <c r="S779" s="42"/>
      <c r="T779" s="42" t="s">
        <v>616</v>
      </c>
      <c r="U779" t="str">
        <f>IFERROR(HYPERLINK("#'Main'!B"&amp;MATCH(TRIM(A779),Main!B:B,0),"Open"),HYPERLINK("#'Main'!B1","Open"))</f>
        <v>Open</v>
      </c>
    </row>
    <row r="780" spans="1:22" ht="30" customHeight="1" x14ac:dyDescent="0.25">
      <c r="A780" s="50" t="s">
        <v>214</v>
      </c>
      <c r="B780" s="33" t="s">
        <v>614</v>
      </c>
      <c r="C780" s="37" t="s">
        <v>1026</v>
      </c>
      <c r="D780" s="33"/>
      <c r="E780" s="52">
        <v>200</v>
      </c>
      <c r="F780" s="33" t="b">
        <v>1</v>
      </c>
      <c r="G780" s="33">
        <v>0</v>
      </c>
      <c r="H780" s="52">
        <v>0</v>
      </c>
      <c r="I780" s="33">
        <v>0</v>
      </c>
      <c r="J780" s="33">
        <v>0</v>
      </c>
      <c r="K780" s="33">
        <v>0</v>
      </c>
      <c r="L780" s="40" t="b">
        <v>0</v>
      </c>
      <c r="M780" s="33">
        <v>0</v>
      </c>
      <c r="N780" s="33">
        <v>0</v>
      </c>
      <c r="O780" s="52">
        <v>0</v>
      </c>
      <c r="P780" s="33">
        <v>0</v>
      </c>
      <c r="Q780" s="33">
        <v>0</v>
      </c>
      <c r="R780" s="33"/>
      <c r="S780" s="33"/>
      <c r="T780" s="33" t="s">
        <v>616</v>
      </c>
      <c r="U780" s="41" t="str">
        <f>IFERROR(HYPERLINK("#'Main'!B"&amp;MATCH(TRIM(A780),Main!B:B,0),"Open"),HYPERLINK("#'Main'!B1","Open"))</f>
        <v>Open</v>
      </c>
      <c r="V780" s="41"/>
    </row>
    <row r="781" spans="1:22" ht="30" customHeight="1" x14ac:dyDescent="0.25">
      <c r="A781" s="51" t="s">
        <v>214</v>
      </c>
      <c r="B781" s="42" t="s">
        <v>614</v>
      </c>
      <c r="C781" s="44" t="s">
        <v>1027</v>
      </c>
      <c r="D781" s="42"/>
      <c r="E781" s="52">
        <v>200</v>
      </c>
      <c r="F781" s="42" t="b">
        <v>1</v>
      </c>
      <c r="G781" s="42">
        <v>0</v>
      </c>
      <c r="H781" s="52">
        <v>0</v>
      </c>
      <c r="I781" s="42">
        <v>0</v>
      </c>
      <c r="J781" s="42">
        <v>0</v>
      </c>
      <c r="K781" s="42">
        <v>0</v>
      </c>
      <c r="L781" s="46" t="b">
        <v>0</v>
      </c>
      <c r="M781" s="42">
        <v>0</v>
      </c>
      <c r="N781" s="42">
        <v>0</v>
      </c>
      <c r="O781" s="52">
        <v>0</v>
      </c>
      <c r="P781" s="42">
        <v>0</v>
      </c>
      <c r="Q781" s="42">
        <v>0</v>
      </c>
      <c r="R781" s="42"/>
      <c r="S781" s="42"/>
      <c r="T781" s="42" t="s">
        <v>616</v>
      </c>
      <c r="U781" t="str">
        <f>IFERROR(HYPERLINK("#'Main'!B"&amp;MATCH(TRIM(A781),Main!B:B,0),"Open"),HYPERLINK("#'Main'!B1","Open"))</f>
        <v>Open</v>
      </c>
    </row>
    <row r="782" spans="1:22" ht="30" customHeight="1" x14ac:dyDescent="0.25">
      <c r="A782" s="50" t="s">
        <v>214</v>
      </c>
      <c r="B782" s="33" t="s">
        <v>614</v>
      </c>
      <c r="C782" s="37" t="s">
        <v>1028</v>
      </c>
      <c r="D782" s="33"/>
      <c r="E782" s="52">
        <v>200</v>
      </c>
      <c r="F782" s="33" t="b">
        <v>1</v>
      </c>
      <c r="G782" s="33">
        <v>0</v>
      </c>
      <c r="H782" s="52">
        <v>0</v>
      </c>
      <c r="I782" s="33">
        <v>0</v>
      </c>
      <c r="J782" s="33">
        <v>0</v>
      </c>
      <c r="K782" s="33">
        <v>0</v>
      </c>
      <c r="L782" s="40" t="b">
        <v>0</v>
      </c>
      <c r="M782" s="33">
        <v>0</v>
      </c>
      <c r="N782" s="33">
        <v>0</v>
      </c>
      <c r="O782" s="52">
        <v>0</v>
      </c>
      <c r="P782" s="33">
        <v>0</v>
      </c>
      <c r="Q782" s="33">
        <v>0</v>
      </c>
      <c r="R782" s="33"/>
      <c r="S782" s="33"/>
      <c r="T782" s="33" t="s">
        <v>616</v>
      </c>
      <c r="U782" s="41" t="str">
        <f>IFERROR(HYPERLINK("#'Main'!B"&amp;MATCH(TRIM(A782),Main!B:B,0),"Open"),HYPERLINK("#'Main'!B1","Open"))</f>
        <v>Open</v>
      </c>
      <c r="V782" s="41"/>
    </row>
    <row r="783" spans="1:22" ht="30" customHeight="1" x14ac:dyDescent="0.25">
      <c r="A783" s="51" t="s">
        <v>214</v>
      </c>
      <c r="B783" s="42" t="s">
        <v>614</v>
      </c>
      <c r="C783" s="44" t="s">
        <v>1029</v>
      </c>
      <c r="D783" s="42"/>
      <c r="E783" s="52">
        <v>200</v>
      </c>
      <c r="F783" s="42" t="b">
        <v>1</v>
      </c>
      <c r="G783" s="42">
        <v>0</v>
      </c>
      <c r="H783" s="52">
        <v>0</v>
      </c>
      <c r="I783" s="42">
        <v>0</v>
      </c>
      <c r="J783" s="42">
        <v>0</v>
      </c>
      <c r="K783" s="42">
        <v>0</v>
      </c>
      <c r="L783" s="46" t="b">
        <v>0</v>
      </c>
      <c r="M783" s="42">
        <v>0</v>
      </c>
      <c r="N783" s="42">
        <v>0</v>
      </c>
      <c r="O783" s="52">
        <v>0</v>
      </c>
      <c r="P783" s="42">
        <v>0</v>
      </c>
      <c r="Q783" s="42">
        <v>0</v>
      </c>
      <c r="R783" s="42"/>
      <c r="S783" s="42"/>
      <c r="T783" s="42" t="s">
        <v>616</v>
      </c>
      <c r="U783" t="str">
        <f>IFERROR(HYPERLINK("#'Main'!B"&amp;MATCH(TRIM(A783),Main!B:B,0),"Open"),HYPERLINK("#'Main'!B1","Open"))</f>
        <v>Open</v>
      </c>
    </row>
    <row r="784" spans="1:22" ht="30" customHeight="1" x14ac:dyDescent="0.25">
      <c r="A784" s="50" t="s">
        <v>214</v>
      </c>
      <c r="B784" s="33" t="s">
        <v>614</v>
      </c>
      <c r="C784" s="37" t="s">
        <v>1030</v>
      </c>
      <c r="D784" s="33"/>
      <c r="E784" s="52">
        <v>200</v>
      </c>
      <c r="F784" s="33" t="b">
        <v>1</v>
      </c>
      <c r="G784" s="33">
        <v>0</v>
      </c>
      <c r="H784" s="52">
        <v>0</v>
      </c>
      <c r="I784" s="33">
        <v>0</v>
      </c>
      <c r="J784" s="33">
        <v>0</v>
      </c>
      <c r="K784" s="33">
        <v>0</v>
      </c>
      <c r="L784" s="40" t="b">
        <v>0</v>
      </c>
      <c r="M784" s="33">
        <v>0</v>
      </c>
      <c r="N784" s="33">
        <v>0</v>
      </c>
      <c r="O784" s="52">
        <v>0</v>
      </c>
      <c r="P784" s="33">
        <v>0</v>
      </c>
      <c r="Q784" s="33">
        <v>0</v>
      </c>
      <c r="R784" s="33"/>
      <c r="S784" s="33"/>
      <c r="T784" s="33" t="s">
        <v>616</v>
      </c>
      <c r="U784" s="41" t="str">
        <f>IFERROR(HYPERLINK("#'Main'!B"&amp;MATCH(TRIM(A784),Main!B:B,0),"Open"),HYPERLINK("#'Main'!B1","Open"))</f>
        <v>Open</v>
      </c>
      <c r="V784" s="41"/>
    </row>
    <row r="785" spans="1:22" ht="30" customHeight="1" x14ac:dyDescent="0.25">
      <c r="A785" s="51" t="s">
        <v>214</v>
      </c>
      <c r="B785" s="42" t="s">
        <v>614</v>
      </c>
      <c r="C785" s="44" t="s">
        <v>1031</v>
      </c>
      <c r="D785" s="42"/>
      <c r="E785" s="52">
        <v>200</v>
      </c>
      <c r="F785" s="42" t="b">
        <v>1</v>
      </c>
      <c r="G785" s="42">
        <v>0</v>
      </c>
      <c r="H785" s="52">
        <v>0</v>
      </c>
      <c r="I785" s="42">
        <v>0</v>
      </c>
      <c r="J785" s="42">
        <v>0</v>
      </c>
      <c r="K785" s="42">
        <v>0</v>
      </c>
      <c r="L785" s="46" t="b">
        <v>0</v>
      </c>
      <c r="M785" s="42">
        <v>0</v>
      </c>
      <c r="N785" s="42">
        <v>0</v>
      </c>
      <c r="O785" s="52">
        <v>0</v>
      </c>
      <c r="P785" s="42">
        <v>0</v>
      </c>
      <c r="Q785" s="42">
        <v>0</v>
      </c>
      <c r="R785" s="42"/>
      <c r="S785" s="42"/>
      <c r="T785" s="42" t="s">
        <v>616</v>
      </c>
      <c r="U785" t="str">
        <f>IFERROR(HYPERLINK("#'Main'!B"&amp;MATCH(TRIM(A785),Main!B:B,0),"Open"),HYPERLINK("#'Main'!B1","Open"))</f>
        <v>Open</v>
      </c>
    </row>
    <row r="786" spans="1:22" ht="30" customHeight="1" x14ac:dyDescent="0.25">
      <c r="A786" s="50" t="s">
        <v>214</v>
      </c>
      <c r="B786" s="33" t="s">
        <v>614</v>
      </c>
      <c r="C786" s="37" t="s">
        <v>1032</v>
      </c>
      <c r="D786" s="33"/>
      <c r="E786" s="52">
        <v>200</v>
      </c>
      <c r="F786" s="33" t="b">
        <v>1</v>
      </c>
      <c r="G786" s="33">
        <v>0</v>
      </c>
      <c r="H786" s="52">
        <v>0</v>
      </c>
      <c r="I786" s="33">
        <v>0</v>
      </c>
      <c r="J786" s="33">
        <v>0</v>
      </c>
      <c r="K786" s="33">
        <v>0</v>
      </c>
      <c r="L786" s="40" t="b">
        <v>0</v>
      </c>
      <c r="M786" s="33">
        <v>0</v>
      </c>
      <c r="N786" s="33">
        <v>0</v>
      </c>
      <c r="O786" s="52">
        <v>0</v>
      </c>
      <c r="P786" s="33">
        <v>0</v>
      </c>
      <c r="Q786" s="33">
        <v>0</v>
      </c>
      <c r="R786" s="33"/>
      <c r="S786" s="33"/>
      <c r="T786" s="33" t="s">
        <v>616</v>
      </c>
      <c r="U786" s="41" t="str">
        <f>IFERROR(HYPERLINK("#'Main'!B"&amp;MATCH(TRIM(A786),Main!B:B,0),"Open"),HYPERLINK("#'Main'!B1","Open"))</f>
        <v>Open</v>
      </c>
      <c r="V786" s="41"/>
    </row>
    <row r="787" spans="1:22" ht="30" customHeight="1" x14ac:dyDescent="0.25">
      <c r="A787" s="51" t="s">
        <v>214</v>
      </c>
      <c r="B787" s="42" t="s">
        <v>614</v>
      </c>
      <c r="C787" s="44" t="s">
        <v>1033</v>
      </c>
      <c r="D787" s="42"/>
      <c r="E787" s="52">
        <v>200</v>
      </c>
      <c r="F787" s="42" t="b">
        <v>1</v>
      </c>
      <c r="G787" s="42">
        <v>0</v>
      </c>
      <c r="H787" s="52">
        <v>0</v>
      </c>
      <c r="I787" s="42">
        <v>0</v>
      </c>
      <c r="J787" s="42">
        <v>0</v>
      </c>
      <c r="K787" s="42">
        <v>0</v>
      </c>
      <c r="L787" s="46" t="b">
        <v>0</v>
      </c>
      <c r="M787" s="42">
        <v>0</v>
      </c>
      <c r="N787" s="42">
        <v>0</v>
      </c>
      <c r="O787" s="52">
        <v>0</v>
      </c>
      <c r="P787" s="42">
        <v>0</v>
      </c>
      <c r="Q787" s="42">
        <v>0</v>
      </c>
      <c r="R787" s="42"/>
      <c r="S787" s="42"/>
      <c r="T787" s="42" t="s">
        <v>616</v>
      </c>
      <c r="U787" t="str">
        <f>IFERROR(HYPERLINK("#'Main'!B"&amp;MATCH(TRIM(A787),Main!B:B,0),"Open"),HYPERLINK("#'Main'!B1","Open"))</f>
        <v>Open</v>
      </c>
    </row>
    <row r="788" spans="1:22" ht="30" customHeight="1" x14ac:dyDescent="0.25">
      <c r="A788" s="50" t="s">
        <v>214</v>
      </c>
      <c r="B788" s="33" t="s">
        <v>614</v>
      </c>
      <c r="C788" s="37" t="s">
        <v>1034</v>
      </c>
      <c r="D788" s="33"/>
      <c r="E788" s="52">
        <v>200</v>
      </c>
      <c r="F788" s="33" t="b">
        <v>1</v>
      </c>
      <c r="G788" s="33">
        <v>0</v>
      </c>
      <c r="H788" s="52">
        <v>0</v>
      </c>
      <c r="I788" s="33">
        <v>0</v>
      </c>
      <c r="J788" s="33">
        <v>0</v>
      </c>
      <c r="K788" s="33">
        <v>0</v>
      </c>
      <c r="L788" s="40" t="b">
        <v>0</v>
      </c>
      <c r="M788" s="33">
        <v>0</v>
      </c>
      <c r="N788" s="33">
        <v>0</v>
      </c>
      <c r="O788" s="52">
        <v>0</v>
      </c>
      <c r="P788" s="33">
        <v>0</v>
      </c>
      <c r="Q788" s="33">
        <v>0</v>
      </c>
      <c r="R788" s="33"/>
      <c r="S788" s="33"/>
      <c r="T788" s="33" t="s">
        <v>616</v>
      </c>
      <c r="U788" s="41" t="str">
        <f>IFERROR(HYPERLINK("#'Main'!B"&amp;MATCH(TRIM(A788),Main!B:B,0),"Open"),HYPERLINK("#'Main'!B1","Open"))</f>
        <v>Open</v>
      </c>
      <c r="V788" s="41"/>
    </row>
    <row r="789" spans="1:22" ht="30" customHeight="1" x14ac:dyDescent="0.25">
      <c r="A789" s="51" t="s">
        <v>214</v>
      </c>
      <c r="B789" s="42" t="s">
        <v>614</v>
      </c>
      <c r="C789" s="44" t="s">
        <v>1035</v>
      </c>
      <c r="D789" s="42"/>
      <c r="E789" s="52">
        <v>200</v>
      </c>
      <c r="F789" s="42" t="b">
        <v>1</v>
      </c>
      <c r="G789" s="42">
        <v>0</v>
      </c>
      <c r="H789" s="52">
        <v>0</v>
      </c>
      <c r="I789" s="42">
        <v>0</v>
      </c>
      <c r="J789" s="42">
        <v>0</v>
      </c>
      <c r="K789" s="42">
        <v>0</v>
      </c>
      <c r="L789" s="46" t="b">
        <v>0</v>
      </c>
      <c r="M789" s="42">
        <v>0</v>
      </c>
      <c r="N789" s="42">
        <v>0</v>
      </c>
      <c r="O789" s="52">
        <v>0</v>
      </c>
      <c r="P789" s="42">
        <v>0</v>
      </c>
      <c r="Q789" s="42">
        <v>0</v>
      </c>
      <c r="R789" s="42"/>
      <c r="S789" s="42"/>
      <c r="T789" s="42" t="s">
        <v>616</v>
      </c>
      <c r="U789" t="str">
        <f>IFERROR(HYPERLINK("#'Main'!B"&amp;MATCH(TRIM(A789),Main!B:B,0),"Open"),HYPERLINK("#'Main'!B1","Open"))</f>
        <v>Open</v>
      </c>
    </row>
    <row r="790" spans="1:22" ht="30" customHeight="1" x14ac:dyDescent="0.25">
      <c r="A790" s="50" t="s">
        <v>214</v>
      </c>
      <c r="B790" s="33" t="s">
        <v>614</v>
      </c>
      <c r="C790" s="37" t="s">
        <v>1036</v>
      </c>
      <c r="D790" s="33"/>
      <c r="E790" s="52">
        <v>200</v>
      </c>
      <c r="F790" s="33" t="b">
        <v>1</v>
      </c>
      <c r="G790" s="33">
        <v>0</v>
      </c>
      <c r="H790" s="52">
        <v>0</v>
      </c>
      <c r="I790" s="33">
        <v>0</v>
      </c>
      <c r="J790" s="33">
        <v>0</v>
      </c>
      <c r="K790" s="33">
        <v>0</v>
      </c>
      <c r="L790" s="40" t="b">
        <v>0</v>
      </c>
      <c r="M790" s="33">
        <v>0</v>
      </c>
      <c r="N790" s="33">
        <v>0</v>
      </c>
      <c r="O790" s="52">
        <v>0</v>
      </c>
      <c r="P790" s="33">
        <v>0</v>
      </c>
      <c r="Q790" s="33">
        <v>0</v>
      </c>
      <c r="R790" s="33"/>
      <c r="S790" s="33"/>
      <c r="T790" s="33" t="s">
        <v>616</v>
      </c>
      <c r="U790" s="41" t="str">
        <f>IFERROR(HYPERLINK("#'Main'!B"&amp;MATCH(TRIM(A790),Main!B:B,0),"Open"),HYPERLINK("#'Main'!B1","Open"))</f>
        <v>Open</v>
      </c>
      <c r="V790" s="41"/>
    </row>
    <row r="791" spans="1:22" ht="30" customHeight="1" x14ac:dyDescent="0.25">
      <c r="A791" s="51" t="s">
        <v>214</v>
      </c>
      <c r="B791" s="42" t="s">
        <v>614</v>
      </c>
      <c r="C791" s="44" t="s">
        <v>1037</v>
      </c>
      <c r="D791" s="42"/>
      <c r="E791" s="52">
        <v>200</v>
      </c>
      <c r="F791" s="42" t="b">
        <v>1</v>
      </c>
      <c r="G791" s="42">
        <v>0</v>
      </c>
      <c r="H791" s="52">
        <v>0</v>
      </c>
      <c r="I791" s="42">
        <v>0</v>
      </c>
      <c r="J791" s="42">
        <v>0</v>
      </c>
      <c r="K791" s="42">
        <v>0</v>
      </c>
      <c r="L791" s="46" t="b">
        <v>0</v>
      </c>
      <c r="M791" s="42">
        <v>0</v>
      </c>
      <c r="N791" s="42">
        <v>0</v>
      </c>
      <c r="O791" s="52">
        <v>0</v>
      </c>
      <c r="P791" s="42">
        <v>0</v>
      </c>
      <c r="Q791" s="42">
        <v>0</v>
      </c>
      <c r="R791" s="42"/>
      <c r="S791" s="42"/>
      <c r="T791" s="42" t="s">
        <v>616</v>
      </c>
      <c r="U791" t="str">
        <f>IFERROR(HYPERLINK("#'Main'!B"&amp;MATCH(TRIM(A791),Main!B:B,0),"Open"),HYPERLINK("#'Main'!B1","Open"))</f>
        <v>Open</v>
      </c>
    </row>
    <row r="792" spans="1:22" ht="30" customHeight="1" x14ac:dyDescent="0.25">
      <c r="A792" s="50" t="s">
        <v>214</v>
      </c>
      <c r="B792" s="33" t="s">
        <v>614</v>
      </c>
      <c r="C792" s="37" t="s">
        <v>1038</v>
      </c>
      <c r="D792" s="33"/>
      <c r="E792" s="52">
        <v>200</v>
      </c>
      <c r="F792" s="33" t="b">
        <v>1</v>
      </c>
      <c r="G792" s="33">
        <v>0</v>
      </c>
      <c r="H792" s="52">
        <v>0</v>
      </c>
      <c r="I792" s="33">
        <v>0</v>
      </c>
      <c r="J792" s="33">
        <v>0</v>
      </c>
      <c r="K792" s="33">
        <v>0</v>
      </c>
      <c r="L792" s="40" t="b">
        <v>0</v>
      </c>
      <c r="M792" s="33">
        <v>0</v>
      </c>
      <c r="N792" s="33">
        <v>0</v>
      </c>
      <c r="O792" s="52">
        <v>0</v>
      </c>
      <c r="P792" s="33">
        <v>0</v>
      </c>
      <c r="Q792" s="33">
        <v>0</v>
      </c>
      <c r="R792" s="33"/>
      <c r="S792" s="33"/>
      <c r="T792" s="33" t="s">
        <v>616</v>
      </c>
      <c r="U792" s="41" t="str">
        <f>IFERROR(HYPERLINK("#'Main'!B"&amp;MATCH(TRIM(A792),Main!B:B,0),"Open"),HYPERLINK("#'Main'!B1","Open"))</f>
        <v>Open</v>
      </c>
      <c r="V792" s="41"/>
    </row>
    <row r="793" spans="1:22" ht="30" customHeight="1" x14ac:dyDescent="0.25">
      <c r="A793" s="51" t="s">
        <v>214</v>
      </c>
      <c r="B793" s="42" t="s">
        <v>614</v>
      </c>
      <c r="C793" s="44" t="s">
        <v>1039</v>
      </c>
      <c r="D793" s="42"/>
      <c r="E793" s="52">
        <v>200</v>
      </c>
      <c r="F793" s="42" t="b">
        <v>1</v>
      </c>
      <c r="G793" s="42">
        <v>0</v>
      </c>
      <c r="H793" s="52">
        <v>0</v>
      </c>
      <c r="I793" s="42">
        <v>0</v>
      </c>
      <c r="J793" s="42">
        <v>0</v>
      </c>
      <c r="K793" s="42">
        <v>0</v>
      </c>
      <c r="L793" s="46" t="b">
        <v>0</v>
      </c>
      <c r="M793" s="42">
        <v>0</v>
      </c>
      <c r="N793" s="42">
        <v>0</v>
      </c>
      <c r="O793" s="52">
        <v>0</v>
      </c>
      <c r="P793" s="42">
        <v>0</v>
      </c>
      <c r="Q793" s="42">
        <v>0</v>
      </c>
      <c r="R793" s="42"/>
      <c r="S793" s="42"/>
      <c r="T793" s="42" t="s">
        <v>616</v>
      </c>
      <c r="U793" t="str">
        <f>IFERROR(HYPERLINK("#'Main'!B"&amp;MATCH(TRIM(A793),Main!B:B,0),"Open"),HYPERLINK("#'Main'!B1","Open"))</f>
        <v>Open</v>
      </c>
    </row>
    <row r="794" spans="1:22" ht="30" customHeight="1" x14ac:dyDescent="0.25">
      <c r="A794" s="50" t="s">
        <v>214</v>
      </c>
      <c r="B794" s="33" t="s">
        <v>614</v>
      </c>
      <c r="C794" s="37" t="s">
        <v>1040</v>
      </c>
      <c r="D794" s="33"/>
      <c r="E794" s="52">
        <v>200</v>
      </c>
      <c r="F794" s="33" t="b">
        <v>1</v>
      </c>
      <c r="G794" s="33">
        <v>0</v>
      </c>
      <c r="H794" s="52">
        <v>0</v>
      </c>
      <c r="I794" s="33">
        <v>0</v>
      </c>
      <c r="J794" s="33">
        <v>0</v>
      </c>
      <c r="K794" s="33">
        <v>0</v>
      </c>
      <c r="L794" s="40" t="b">
        <v>0</v>
      </c>
      <c r="M794" s="33">
        <v>0</v>
      </c>
      <c r="N794" s="33">
        <v>0</v>
      </c>
      <c r="O794" s="52">
        <v>0</v>
      </c>
      <c r="P794" s="33">
        <v>0</v>
      </c>
      <c r="Q794" s="33">
        <v>0</v>
      </c>
      <c r="R794" s="33"/>
      <c r="S794" s="33"/>
      <c r="T794" s="33" t="s">
        <v>616</v>
      </c>
      <c r="U794" s="41" t="str">
        <f>IFERROR(HYPERLINK("#'Main'!B"&amp;MATCH(TRIM(A794),Main!B:B,0),"Open"),HYPERLINK("#'Main'!B1","Open"))</f>
        <v>Open</v>
      </c>
      <c r="V794" s="41"/>
    </row>
    <row r="795" spans="1:22" ht="30" customHeight="1" x14ac:dyDescent="0.25">
      <c r="A795" s="51" t="s">
        <v>214</v>
      </c>
      <c r="B795" s="42" t="s">
        <v>614</v>
      </c>
      <c r="C795" s="44" t="s">
        <v>1041</v>
      </c>
      <c r="D795" s="42"/>
      <c r="E795" s="52">
        <v>200</v>
      </c>
      <c r="F795" s="42" t="b">
        <v>1</v>
      </c>
      <c r="G795" s="42">
        <v>0</v>
      </c>
      <c r="H795" s="52">
        <v>0</v>
      </c>
      <c r="I795" s="42">
        <v>0</v>
      </c>
      <c r="J795" s="42">
        <v>0</v>
      </c>
      <c r="K795" s="42">
        <v>0</v>
      </c>
      <c r="L795" s="46" t="b">
        <v>0</v>
      </c>
      <c r="M795" s="42">
        <v>0</v>
      </c>
      <c r="N795" s="42">
        <v>0</v>
      </c>
      <c r="O795" s="52">
        <v>0</v>
      </c>
      <c r="P795" s="42">
        <v>0</v>
      </c>
      <c r="Q795" s="42">
        <v>0</v>
      </c>
      <c r="R795" s="42"/>
      <c r="S795" s="42"/>
      <c r="T795" s="42" t="s">
        <v>616</v>
      </c>
      <c r="U795" t="str">
        <f>IFERROR(HYPERLINK("#'Main'!B"&amp;MATCH(TRIM(A795),Main!B:B,0),"Open"),HYPERLINK("#'Main'!B1","Open"))</f>
        <v>Open</v>
      </c>
    </row>
    <row r="796" spans="1:22" ht="30" customHeight="1" x14ac:dyDescent="0.25">
      <c r="A796" s="50" t="s">
        <v>214</v>
      </c>
      <c r="B796" s="33" t="s">
        <v>614</v>
      </c>
      <c r="C796" s="37" t="s">
        <v>1042</v>
      </c>
      <c r="D796" s="33"/>
      <c r="E796" s="52">
        <v>200</v>
      </c>
      <c r="F796" s="33" t="b">
        <v>1</v>
      </c>
      <c r="G796" s="33">
        <v>0</v>
      </c>
      <c r="H796" s="52">
        <v>0</v>
      </c>
      <c r="I796" s="33">
        <v>0</v>
      </c>
      <c r="J796" s="33">
        <v>0</v>
      </c>
      <c r="K796" s="33">
        <v>0</v>
      </c>
      <c r="L796" s="40" t="b">
        <v>0</v>
      </c>
      <c r="M796" s="33">
        <v>0</v>
      </c>
      <c r="N796" s="33">
        <v>0</v>
      </c>
      <c r="O796" s="52">
        <v>0</v>
      </c>
      <c r="P796" s="33">
        <v>0</v>
      </c>
      <c r="Q796" s="33">
        <v>0</v>
      </c>
      <c r="R796" s="33"/>
      <c r="S796" s="33"/>
      <c r="T796" s="33" t="s">
        <v>616</v>
      </c>
      <c r="U796" s="41" t="str">
        <f>IFERROR(HYPERLINK("#'Main'!B"&amp;MATCH(TRIM(A796),Main!B:B,0),"Open"),HYPERLINK("#'Main'!B1","Open"))</f>
        <v>Open</v>
      </c>
      <c r="V796" s="41"/>
    </row>
    <row r="797" spans="1:22" ht="30" customHeight="1" x14ac:dyDescent="0.25">
      <c r="A797" s="51" t="s">
        <v>214</v>
      </c>
      <c r="B797" s="42" t="s">
        <v>614</v>
      </c>
      <c r="C797" s="44" t="s">
        <v>1043</v>
      </c>
      <c r="D797" s="42"/>
      <c r="E797" s="52">
        <v>200</v>
      </c>
      <c r="F797" s="42" t="b">
        <v>1</v>
      </c>
      <c r="G797" s="42">
        <v>0</v>
      </c>
      <c r="H797" s="52">
        <v>0</v>
      </c>
      <c r="I797" s="42">
        <v>0</v>
      </c>
      <c r="J797" s="42">
        <v>0</v>
      </c>
      <c r="K797" s="42">
        <v>0</v>
      </c>
      <c r="L797" s="46" t="b">
        <v>0</v>
      </c>
      <c r="M797" s="42">
        <v>0</v>
      </c>
      <c r="N797" s="42">
        <v>0</v>
      </c>
      <c r="O797" s="52">
        <v>0</v>
      </c>
      <c r="P797" s="42">
        <v>0</v>
      </c>
      <c r="Q797" s="42">
        <v>0</v>
      </c>
      <c r="R797" s="42"/>
      <c r="S797" s="42"/>
      <c r="T797" s="42" t="s">
        <v>616</v>
      </c>
      <c r="U797" t="str">
        <f>IFERROR(HYPERLINK("#'Main'!B"&amp;MATCH(TRIM(A797),Main!B:B,0),"Open"),HYPERLINK("#'Main'!B1","Open"))</f>
        <v>Open</v>
      </c>
    </row>
    <row r="798" spans="1:22" ht="30" customHeight="1" x14ac:dyDescent="0.25">
      <c r="A798" s="50" t="s">
        <v>214</v>
      </c>
      <c r="B798" s="33" t="s">
        <v>614</v>
      </c>
      <c r="C798" s="37" t="s">
        <v>1044</v>
      </c>
      <c r="D798" s="33"/>
      <c r="E798" s="52">
        <v>200</v>
      </c>
      <c r="F798" s="33" t="b">
        <v>1</v>
      </c>
      <c r="G798" s="33">
        <v>0</v>
      </c>
      <c r="H798" s="52">
        <v>0</v>
      </c>
      <c r="I798" s="33">
        <v>0</v>
      </c>
      <c r="J798" s="33">
        <v>0</v>
      </c>
      <c r="K798" s="33">
        <v>0</v>
      </c>
      <c r="L798" s="40" t="b">
        <v>0</v>
      </c>
      <c r="M798" s="33">
        <v>0</v>
      </c>
      <c r="N798" s="33">
        <v>0</v>
      </c>
      <c r="O798" s="52">
        <v>0</v>
      </c>
      <c r="P798" s="33">
        <v>0</v>
      </c>
      <c r="Q798" s="33">
        <v>0</v>
      </c>
      <c r="R798" s="33"/>
      <c r="S798" s="33"/>
      <c r="T798" s="33" t="s">
        <v>616</v>
      </c>
      <c r="U798" s="41" t="str">
        <f>IFERROR(HYPERLINK("#'Main'!B"&amp;MATCH(TRIM(A798),Main!B:B,0),"Open"),HYPERLINK("#'Main'!B1","Open"))</f>
        <v>Open</v>
      </c>
      <c r="V798" s="41"/>
    </row>
    <row r="799" spans="1:22" ht="30" customHeight="1" x14ac:dyDescent="0.25">
      <c r="A799" s="51" t="s">
        <v>214</v>
      </c>
      <c r="B799" s="42" t="s">
        <v>614</v>
      </c>
      <c r="C799" s="44" t="s">
        <v>1045</v>
      </c>
      <c r="D799" s="42"/>
      <c r="E799" s="52">
        <v>200</v>
      </c>
      <c r="F799" s="42" t="b">
        <v>1</v>
      </c>
      <c r="G799" s="42">
        <v>0</v>
      </c>
      <c r="H799" s="52">
        <v>0</v>
      </c>
      <c r="I799" s="42">
        <v>0</v>
      </c>
      <c r="J799" s="42">
        <v>0</v>
      </c>
      <c r="K799" s="42">
        <v>0</v>
      </c>
      <c r="L799" s="46" t="b">
        <v>0</v>
      </c>
      <c r="M799" s="42">
        <v>0</v>
      </c>
      <c r="N799" s="42">
        <v>0</v>
      </c>
      <c r="O799" s="52">
        <v>0</v>
      </c>
      <c r="P799" s="42">
        <v>0</v>
      </c>
      <c r="Q799" s="42">
        <v>0</v>
      </c>
      <c r="R799" s="42"/>
      <c r="S799" s="42"/>
      <c r="T799" s="42" t="s">
        <v>616</v>
      </c>
      <c r="U799" t="str">
        <f>IFERROR(HYPERLINK("#'Main'!B"&amp;MATCH(TRIM(A799),Main!B:B,0),"Open"),HYPERLINK("#'Main'!B1","Open"))</f>
        <v>Open</v>
      </c>
    </row>
    <row r="800" spans="1:22" ht="30" customHeight="1" x14ac:dyDescent="0.25">
      <c r="A800" s="50" t="s">
        <v>214</v>
      </c>
      <c r="B800" s="33" t="s">
        <v>614</v>
      </c>
      <c r="C800" s="37" t="s">
        <v>1046</v>
      </c>
      <c r="D800" s="33"/>
      <c r="E800" s="52">
        <v>200</v>
      </c>
      <c r="F800" s="33" t="b">
        <v>1</v>
      </c>
      <c r="G800" s="33">
        <v>0</v>
      </c>
      <c r="H800" s="52">
        <v>0</v>
      </c>
      <c r="I800" s="33">
        <v>0</v>
      </c>
      <c r="J800" s="33">
        <v>0</v>
      </c>
      <c r="K800" s="33">
        <v>0</v>
      </c>
      <c r="L800" s="40" t="b">
        <v>0</v>
      </c>
      <c r="M800" s="33">
        <v>0</v>
      </c>
      <c r="N800" s="33">
        <v>0</v>
      </c>
      <c r="O800" s="52">
        <v>0</v>
      </c>
      <c r="P800" s="33">
        <v>0</v>
      </c>
      <c r="Q800" s="33">
        <v>0</v>
      </c>
      <c r="R800" s="33"/>
      <c r="S800" s="33"/>
      <c r="T800" s="33" t="s">
        <v>616</v>
      </c>
      <c r="U800" s="41" t="str">
        <f>IFERROR(HYPERLINK("#'Main'!B"&amp;MATCH(TRIM(A800),Main!B:B,0),"Open"),HYPERLINK("#'Main'!B1","Open"))</f>
        <v>Open</v>
      </c>
      <c r="V800" s="41"/>
    </row>
    <row r="801" spans="1:22" ht="30" customHeight="1" x14ac:dyDescent="0.25">
      <c r="A801" s="51" t="s">
        <v>214</v>
      </c>
      <c r="B801" s="42" t="s">
        <v>614</v>
      </c>
      <c r="C801" s="44" t="s">
        <v>1047</v>
      </c>
      <c r="D801" s="42"/>
      <c r="E801" s="52">
        <v>200</v>
      </c>
      <c r="F801" s="42" t="b">
        <v>1</v>
      </c>
      <c r="G801" s="42">
        <v>0</v>
      </c>
      <c r="H801" s="52">
        <v>0</v>
      </c>
      <c r="I801" s="42">
        <v>0</v>
      </c>
      <c r="J801" s="42">
        <v>0</v>
      </c>
      <c r="K801" s="42">
        <v>0</v>
      </c>
      <c r="L801" s="46" t="b">
        <v>0</v>
      </c>
      <c r="M801" s="42">
        <v>0</v>
      </c>
      <c r="N801" s="42">
        <v>0</v>
      </c>
      <c r="O801" s="52">
        <v>0</v>
      </c>
      <c r="P801" s="42">
        <v>0</v>
      </c>
      <c r="Q801" s="42">
        <v>0</v>
      </c>
      <c r="R801" s="42"/>
      <c r="S801" s="42"/>
      <c r="T801" s="42" t="s">
        <v>616</v>
      </c>
      <c r="U801" t="str">
        <f>IFERROR(HYPERLINK("#'Main'!B"&amp;MATCH(TRIM(A801),Main!B:B,0),"Open"),HYPERLINK("#'Main'!B1","Open"))</f>
        <v>Open</v>
      </c>
    </row>
    <row r="802" spans="1:22" ht="30" customHeight="1" x14ac:dyDescent="0.25">
      <c r="A802" s="50" t="s">
        <v>214</v>
      </c>
      <c r="B802" s="33" t="s">
        <v>614</v>
      </c>
      <c r="C802" s="37" t="s">
        <v>1048</v>
      </c>
      <c r="D802" s="33"/>
      <c r="E802" s="52">
        <v>200</v>
      </c>
      <c r="F802" s="33" t="b">
        <v>1</v>
      </c>
      <c r="G802" s="33">
        <v>0</v>
      </c>
      <c r="H802" s="52">
        <v>0</v>
      </c>
      <c r="I802" s="33">
        <v>0</v>
      </c>
      <c r="J802" s="33">
        <v>0</v>
      </c>
      <c r="K802" s="33">
        <v>0</v>
      </c>
      <c r="L802" s="40" t="b">
        <v>0</v>
      </c>
      <c r="M802" s="33">
        <v>0</v>
      </c>
      <c r="N802" s="33">
        <v>0</v>
      </c>
      <c r="O802" s="52">
        <v>0</v>
      </c>
      <c r="P802" s="33">
        <v>0</v>
      </c>
      <c r="Q802" s="33">
        <v>0</v>
      </c>
      <c r="R802" s="33"/>
      <c r="S802" s="33"/>
      <c r="T802" s="33" t="s">
        <v>616</v>
      </c>
      <c r="U802" s="41" t="str">
        <f>IFERROR(HYPERLINK("#'Main'!B"&amp;MATCH(TRIM(A802),Main!B:B,0),"Open"),HYPERLINK("#'Main'!B1","Open"))</f>
        <v>Open</v>
      </c>
      <c r="V802" s="41"/>
    </row>
    <row r="803" spans="1:22" ht="30" customHeight="1" x14ac:dyDescent="0.25">
      <c r="A803" s="51" t="s">
        <v>214</v>
      </c>
      <c r="B803" s="42" t="s">
        <v>614</v>
      </c>
      <c r="C803" s="44" t="s">
        <v>1049</v>
      </c>
      <c r="D803" s="42"/>
      <c r="E803" s="52">
        <v>200</v>
      </c>
      <c r="F803" s="42" t="b">
        <v>1</v>
      </c>
      <c r="G803" s="42">
        <v>0</v>
      </c>
      <c r="H803" s="52">
        <v>0</v>
      </c>
      <c r="I803" s="42">
        <v>0</v>
      </c>
      <c r="J803" s="42">
        <v>0</v>
      </c>
      <c r="K803" s="42">
        <v>0</v>
      </c>
      <c r="L803" s="46" t="b">
        <v>0</v>
      </c>
      <c r="M803" s="42">
        <v>0</v>
      </c>
      <c r="N803" s="42">
        <v>0</v>
      </c>
      <c r="O803" s="52">
        <v>0</v>
      </c>
      <c r="P803" s="42">
        <v>0</v>
      </c>
      <c r="Q803" s="42">
        <v>0</v>
      </c>
      <c r="R803" s="42"/>
      <c r="S803" s="42"/>
      <c r="T803" s="42" t="s">
        <v>616</v>
      </c>
      <c r="U803" t="str">
        <f>IFERROR(HYPERLINK("#'Main'!B"&amp;MATCH(TRIM(A803),Main!B:B,0),"Open"),HYPERLINK("#'Main'!B1","Open"))</f>
        <v>Open</v>
      </c>
    </row>
    <row r="804" spans="1:22" ht="30" customHeight="1" x14ac:dyDescent="0.25">
      <c r="A804" s="50" t="s">
        <v>214</v>
      </c>
      <c r="B804" s="33" t="s">
        <v>614</v>
      </c>
      <c r="C804" s="37" t="s">
        <v>1050</v>
      </c>
      <c r="D804" s="33"/>
      <c r="E804" s="52">
        <v>200</v>
      </c>
      <c r="F804" s="33" t="b">
        <v>1</v>
      </c>
      <c r="G804" s="33">
        <v>0</v>
      </c>
      <c r="H804" s="52">
        <v>0</v>
      </c>
      <c r="I804" s="33">
        <v>0</v>
      </c>
      <c r="J804" s="33">
        <v>0</v>
      </c>
      <c r="K804" s="33">
        <v>0</v>
      </c>
      <c r="L804" s="40" t="b">
        <v>0</v>
      </c>
      <c r="M804" s="33">
        <v>0</v>
      </c>
      <c r="N804" s="33">
        <v>0</v>
      </c>
      <c r="O804" s="52">
        <v>0</v>
      </c>
      <c r="P804" s="33">
        <v>0</v>
      </c>
      <c r="Q804" s="33">
        <v>0</v>
      </c>
      <c r="R804" s="33"/>
      <c r="S804" s="33"/>
      <c r="T804" s="33" t="s">
        <v>616</v>
      </c>
      <c r="U804" s="41" t="str">
        <f>IFERROR(HYPERLINK("#'Main'!B"&amp;MATCH(TRIM(A804),Main!B:B,0),"Open"),HYPERLINK("#'Main'!B1","Open"))</f>
        <v>Open</v>
      </c>
      <c r="V804" s="41"/>
    </row>
    <row r="805" spans="1:22" ht="30" customHeight="1" x14ac:dyDescent="0.25">
      <c r="A805" s="51" t="s">
        <v>214</v>
      </c>
      <c r="B805" s="42" t="s">
        <v>614</v>
      </c>
      <c r="C805" s="44" t="s">
        <v>1051</v>
      </c>
      <c r="D805" s="42"/>
      <c r="E805" s="52">
        <v>200</v>
      </c>
      <c r="F805" s="42" t="b">
        <v>1</v>
      </c>
      <c r="G805" s="42">
        <v>0</v>
      </c>
      <c r="H805" s="52">
        <v>0</v>
      </c>
      <c r="I805" s="42">
        <v>0</v>
      </c>
      <c r="J805" s="42">
        <v>0</v>
      </c>
      <c r="K805" s="42">
        <v>0</v>
      </c>
      <c r="L805" s="46" t="b">
        <v>0</v>
      </c>
      <c r="M805" s="42">
        <v>0</v>
      </c>
      <c r="N805" s="42">
        <v>0</v>
      </c>
      <c r="O805" s="52">
        <v>0</v>
      </c>
      <c r="P805" s="42">
        <v>0</v>
      </c>
      <c r="Q805" s="42">
        <v>0</v>
      </c>
      <c r="R805" s="42"/>
      <c r="S805" s="42"/>
      <c r="T805" s="42" t="s">
        <v>616</v>
      </c>
      <c r="U805" t="str">
        <f>IFERROR(HYPERLINK("#'Main'!B"&amp;MATCH(TRIM(A805),Main!B:B,0),"Open"),HYPERLINK("#'Main'!B1","Open"))</f>
        <v>Open</v>
      </c>
    </row>
    <row r="806" spans="1:22" ht="30" customHeight="1" x14ac:dyDescent="0.25">
      <c r="A806" s="50" t="s">
        <v>214</v>
      </c>
      <c r="B806" s="33" t="s">
        <v>614</v>
      </c>
      <c r="C806" s="37" t="s">
        <v>1052</v>
      </c>
      <c r="D806" s="33"/>
      <c r="E806" s="52">
        <v>200</v>
      </c>
      <c r="F806" s="33" t="b">
        <v>1</v>
      </c>
      <c r="G806" s="33">
        <v>0</v>
      </c>
      <c r="H806" s="52">
        <v>0</v>
      </c>
      <c r="I806" s="33">
        <v>0</v>
      </c>
      <c r="J806" s="33">
        <v>0</v>
      </c>
      <c r="K806" s="33">
        <v>0</v>
      </c>
      <c r="L806" s="40" t="b">
        <v>0</v>
      </c>
      <c r="M806" s="33">
        <v>0</v>
      </c>
      <c r="N806" s="33">
        <v>0</v>
      </c>
      <c r="O806" s="52">
        <v>0</v>
      </c>
      <c r="P806" s="33">
        <v>0</v>
      </c>
      <c r="Q806" s="33">
        <v>0</v>
      </c>
      <c r="R806" s="33"/>
      <c r="S806" s="33"/>
      <c r="T806" s="33" t="s">
        <v>616</v>
      </c>
      <c r="U806" s="41" t="str">
        <f>IFERROR(HYPERLINK("#'Main'!B"&amp;MATCH(TRIM(A806),Main!B:B,0),"Open"),HYPERLINK("#'Main'!B1","Open"))</f>
        <v>Open</v>
      </c>
      <c r="V806" s="41"/>
    </row>
    <row r="807" spans="1:22" ht="30" customHeight="1" x14ac:dyDescent="0.25">
      <c r="A807" s="51" t="s">
        <v>214</v>
      </c>
      <c r="B807" s="42" t="s">
        <v>614</v>
      </c>
      <c r="C807" s="44" t="s">
        <v>1053</v>
      </c>
      <c r="D807" s="42"/>
      <c r="E807" s="52">
        <v>200</v>
      </c>
      <c r="F807" s="42" t="b">
        <v>1</v>
      </c>
      <c r="G807" s="42">
        <v>0</v>
      </c>
      <c r="H807" s="52">
        <v>0</v>
      </c>
      <c r="I807" s="42">
        <v>0</v>
      </c>
      <c r="J807" s="42">
        <v>0</v>
      </c>
      <c r="K807" s="42">
        <v>0</v>
      </c>
      <c r="L807" s="46" t="b">
        <v>0</v>
      </c>
      <c r="M807" s="42">
        <v>0</v>
      </c>
      <c r="N807" s="42">
        <v>0</v>
      </c>
      <c r="O807" s="52">
        <v>0</v>
      </c>
      <c r="P807" s="42">
        <v>0</v>
      </c>
      <c r="Q807" s="42">
        <v>0</v>
      </c>
      <c r="R807" s="42"/>
      <c r="S807" s="42"/>
      <c r="T807" s="42" t="s">
        <v>616</v>
      </c>
      <c r="U807" t="str">
        <f>IFERROR(HYPERLINK("#'Main'!B"&amp;MATCH(TRIM(A807),Main!B:B,0),"Open"),HYPERLINK("#'Main'!B1","Open"))</f>
        <v>Open</v>
      </c>
    </row>
    <row r="808" spans="1:22" ht="30" customHeight="1" x14ac:dyDescent="0.25">
      <c r="A808" s="50" t="s">
        <v>214</v>
      </c>
      <c r="B808" s="33" t="s">
        <v>614</v>
      </c>
      <c r="C808" s="37" t="s">
        <v>1054</v>
      </c>
      <c r="D808" s="33"/>
      <c r="E808" s="52">
        <v>200</v>
      </c>
      <c r="F808" s="33" t="b">
        <v>1</v>
      </c>
      <c r="G808" s="33">
        <v>0</v>
      </c>
      <c r="H808" s="52">
        <v>0</v>
      </c>
      <c r="I808" s="33">
        <v>0</v>
      </c>
      <c r="J808" s="33">
        <v>0</v>
      </c>
      <c r="K808" s="33">
        <v>0</v>
      </c>
      <c r="L808" s="40" t="b">
        <v>0</v>
      </c>
      <c r="M808" s="33">
        <v>0</v>
      </c>
      <c r="N808" s="33">
        <v>0</v>
      </c>
      <c r="O808" s="52">
        <v>0</v>
      </c>
      <c r="P808" s="33">
        <v>0</v>
      </c>
      <c r="Q808" s="33">
        <v>0</v>
      </c>
      <c r="R808" s="33"/>
      <c r="S808" s="33"/>
      <c r="T808" s="33" t="s">
        <v>616</v>
      </c>
      <c r="U808" s="41" t="str">
        <f>IFERROR(HYPERLINK("#'Main'!B"&amp;MATCH(TRIM(A808),Main!B:B,0),"Open"),HYPERLINK("#'Main'!B1","Open"))</f>
        <v>Open</v>
      </c>
      <c r="V808" s="41"/>
    </row>
    <row r="809" spans="1:22" ht="30" customHeight="1" x14ac:dyDescent="0.25">
      <c r="A809" s="51" t="s">
        <v>214</v>
      </c>
      <c r="B809" s="42" t="s">
        <v>614</v>
      </c>
      <c r="C809" s="44" t="s">
        <v>1055</v>
      </c>
      <c r="D809" s="42"/>
      <c r="E809" s="52">
        <v>200</v>
      </c>
      <c r="F809" s="42" t="b">
        <v>1</v>
      </c>
      <c r="G809" s="42">
        <v>0</v>
      </c>
      <c r="H809" s="52">
        <v>0</v>
      </c>
      <c r="I809" s="42">
        <v>0</v>
      </c>
      <c r="J809" s="42">
        <v>0</v>
      </c>
      <c r="K809" s="42">
        <v>0</v>
      </c>
      <c r="L809" s="46" t="b">
        <v>0</v>
      </c>
      <c r="M809" s="42">
        <v>0</v>
      </c>
      <c r="N809" s="42">
        <v>0</v>
      </c>
      <c r="O809" s="52">
        <v>0</v>
      </c>
      <c r="P809" s="42">
        <v>0</v>
      </c>
      <c r="Q809" s="42">
        <v>0</v>
      </c>
      <c r="R809" s="42"/>
      <c r="S809" s="42"/>
      <c r="T809" s="42" t="s">
        <v>616</v>
      </c>
      <c r="U809" t="str">
        <f>IFERROR(HYPERLINK("#'Main'!B"&amp;MATCH(TRIM(A809),Main!B:B,0),"Open"),HYPERLINK("#'Main'!B1","Open"))</f>
        <v>Open</v>
      </c>
    </row>
    <row r="810" spans="1:22" ht="30" customHeight="1" x14ac:dyDescent="0.25">
      <c r="A810" s="50" t="s">
        <v>214</v>
      </c>
      <c r="B810" s="33" t="s">
        <v>614</v>
      </c>
      <c r="C810" s="37" t="s">
        <v>1056</v>
      </c>
      <c r="D810" s="33"/>
      <c r="E810" s="52">
        <v>200</v>
      </c>
      <c r="F810" s="33" t="b">
        <v>1</v>
      </c>
      <c r="G810" s="33">
        <v>0</v>
      </c>
      <c r="H810" s="52">
        <v>0</v>
      </c>
      <c r="I810" s="33">
        <v>0</v>
      </c>
      <c r="J810" s="33">
        <v>0</v>
      </c>
      <c r="K810" s="33">
        <v>0</v>
      </c>
      <c r="L810" s="40" t="b">
        <v>0</v>
      </c>
      <c r="M810" s="33">
        <v>0</v>
      </c>
      <c r="N810" s="33">
        <v>0</v>
      </c>
      <c r="O810" s="52">
        <v>0</v>
      </c>
      <c r="P810" s="33">
        <v>0</v>
      </c>
      <c r="Q810" s="33">
        <v>0</v>
      </c>
      <c r="R810" s="33"/>
      <c r="S810" s="33"/>
      <c r="T810" s="33" t="s">
        <v>616</v>
      </c>
      <c r="U810" s="41" t="str">
        <f>IFERROR(HYPERLINK("#'Main'!B"&amp;MATCH(TRIM(A810),Main!B:B,0),"Open"),HYPERLINK("#'Main'!B1","Open"))</f>
        <v>Open</v>
      </c>
      <c r="V810" s="41"/>
    </row>
    <row r="811" spans="1:22" ht="30" customHeight="1" x14ac:dyDescent="0.25">
      <c r="A811" s="51" t="s">
        <v>214</v>
      </c>
      <c r="B811" s="42" t="s">
        <v>614</v>
      </c>
      <c r="C811" s="44" t="s">
        <v>760</v>
      </c>
      <c r="D811" s="42"/>
      <c r="E811" s="52">
        <v>200</v>
      </c>
      <c r="F811" s="42" t="b">
        <v>1</v>
      </c>
      <c r="G811" s="42">
        <v>0</v>
      </c>
      <c r="H811" s="52">
        <v>0</v>
      </c>
      <c r="I811" s="42">
        <v>0</v>
      </c>
      <c r="J811" s="42">
        <v>0</v>
      </c>
      <c r="K811" s="42">
        <v>0</v>
      </c>
      <c r="L811" s="46" t="b">
        <v>0</v>
      </c>
      <c r="M811" s="42">
        <v>0</v>
      </c>
      <c r="N811" s="42">
        <v>0</v>
      </c>
      <c r="O811" s="52">
        <v>0</v>
      </c>
      <c r="P811" s="42">
        <v>0</v>
      </c>
      <c r="Q811" s="42">
        <v>0</v>
      </c>
      <c r="R811" s="42"/>
      <c r="S811" s="42"/>
      <c r="T811" s="42" t="s">
        <v>616</v>
      </c>
      <c r="U811" t="str">
        <f>IFERROR(HYPERLINK("#'Main'!B"&amp;MATCH(TRIM(A811),Main!B:B,0),"Open"),HYPERLINK("#'Main'!B1","Open"))</f>
        <v>Open</v>
      </c>
    </row>
    <row r="812" spans="1:22" ht="30" customHeight="1" x14ac:dyDescent="0.25">
      <c r="A812" s="50" t="s">
        <v>214</v>
      </c>
      <c r="B812" s="33" t="s">
        <v>614</v>
      </c>
      <c r="C812" s="37" t="s">
        <v>1057</v>
      </c>
      <c r="D812" s="33"/>
      <c r="E812" s="52">
        <v>200</v>
      </c>
      <c r="F812" s="33" t="b">
        <v>1</v>
      </c>
      <c r="G812" s="33">
        <v>0</v>
      </c>
      <c r="H812" s="52">
        <v>0</v>
      </c>
      <c r="I812" s="33">
        <v>0</v>
      </c>
      <c r="J812" s="33">
        <v>0</v>
      </c>
      <c r="K812" s="33">
        <v>0</v>
      </c>
      <c r="L812" s="40" t="b">
        <v>0</v>
      </c>
      <c r="M812" s="33">
        <v>0</v>
      </c>
      <c r="N812" s="33">
        <v>0</v>
      </c>
      <c r="O812" s="52">
        <v>0</v>
      </c>
      <c r="P812" s="33">
        <v>0</v>
      </c>
      <c r="Q812" s="33">
        <v>0</v>
      </c>
      <c r="R812" s="33"/>
      <c r="S812" s="33"/>
      <c r="T812" s="33" t="s">
        <v>616</v>
      </c>
      <c r="U812" s="41" t="str">
        <f>IFERROR(HYPERLINK("#'Main'!B"&amp;MATCH(TRIM(A812),Main!B:B,0),"Open"),HYPERLINK("#'Main'!B1","Open"))</f>
        <v>Open</v>
      </c>
      <c r="V812" s="41"/>
    </row>
    <row r="813" spans="1:22" ht="30" customHeight="1" x14ac:dyDescent="0.25">
      <c r="A813" s="51" t="s">
        <v>214</v>
      </c>
      <c r="B813" s="42" t="s">
        <v>614</v>
      </c>
      <c r="C813" s="44" t="s">
        <v>1058</v>
      </c>
      <c r="D813" s="42"/>
      <c r="E813" s="52">
        <v>200</v>
      </c>
      <c r="F813" s="42" t="b">
        <v>1</v>
      </c>
      <c r="G813" s="42">
        <v>0</v>
      </c>
      <c r="H813" s="52">
        <v>0</v>
      </c>
      <c r="I813" s="42">
        <v>0</v>
      </c>
      <c r="J813" s="42">
        <v>0</v>
      </c>
      <c r="K813" s="42">
        <v>0</v>
      </c>
      <c r="L813" s="46" t="b">
        <v>0</v>
      </c>
      <c r="M813" s="42">
        <v>0</v>
      </c>
      <c r="N813" s="42">
        <v>0</v>
      </c>
      <c r="O813" s="52">
        <v>0</v>
      </c>
      <c r="P813" s="42">
        <v>0</v>
      </c>
      <c r="Q813" s="42">
        <v>0</v>
      </c>
      <c r="R813" s="42"/>
      <c r="S813" s="42"/>
      <c r="T813" s="42" t="s">
        <v>616</v>
      </c>
      <c r="U813" t="str">
        <f>IFERROR(HYPERLINK("#'Main'!B"&amp;MATCH(TRIM(A813),Main!B:B,0),"Open"),HYPERLINK("#'Main'!B1","Open"))</f>
        <v>Open</v>
      </c>
    </row>
    <row r="814" spans="1:22" ht="30" customHeight="1" x14ac:dyDescent="0.25">
      <c r="A814" s="50" t="s">
        <v>214</v>
      </c>
      <c r="B814" s="33" t="s">
        <v>614</v>
      </c>
      <c r="C814" s="37" t="s">
        <v>1059</v>
      </c>
      <c r="D814" s="33"/>
      <c r="E814" s="52">
        <v>200</v>
      </c>
      <c r="F814" s="33" t="b">
        <v>1</v>
      </c>
      <c r="G814" s="33">
        <v>0</v>
      </c>
      <c r="H814" s="52">
        <v>0</v>
      </c>
      <c r="I814" s="33">
        <v>0</v>
      </c>
      <c r="J814" s="33">
        <v>0</v>
      </c>
      <c r="K814" s="33">
        <v>0</v>
      </c>
      <c r="L814" s="40" t="b">
        <v>0</v>
      </c>
      <c r="M814" s="33">
        <v>0</v>
      </c>
      <c r="N814" s="33">
        <v>0</v>
      </c>
      <c r="O814" s="52">
        <v>0</v>
      </c>
      <c r="P814" s="33">
        <v>0</v>
      </c>
      <c r="Q814" s="33">
        <v>0</v>
      </c>
      <c r="R814" s="33"/>
      <c r="S814" s="33"/>
      <c r="T814" s="33" t="s">
        <v>616</v>
      </c>
      <c r="U814" s="41" t="str">
        <f>IFERROR(HYPERLINK("#'Main'!B"&amp;MATCH(TRIM(A814),Main!B:B,0),"Open"),HYPERLINK("#'Main'!B1","Open"))</f>
        <v>Open</v>
      </c>
      <c r="V814" s="41"/>
    </row>
    <row r="815" spans="1:22" ht="30" customHeight="1" x14ac:dyDescent="0.25">
      <c r="A815" s="51" t="s">
        <v>214</v>
      </c>
      <c r="B815" s="42" t="s">
        <v>614</v>
      </c>
      <c r="C815" s="44" t="s">
        <v>1060</v>
      </c>
      <c r="D815" s="42"/>
      <c r="E815" s="52">
        <v>200</v>
      </c>
      <c r="F815" s="42" t="b">
        <v>1</v>
      </c>
      <c r="G815" s="42">
        <v>0</v>
      </c>
      <c r="H815" s="52">
        <v>0</v>
      </c>
      <c r="I815" s="42">
        <v>0</v>
      </c>
      <c r="J815" s="42">
        <v>0</v>
      </c>
      <c r="K815" s="42">
        <v>0</v>
      </c>
      <c r="L815" s="46" t="b">
        <v>0</v>
      </c>
      <c r="M815" s="42">
        <v>0</v>
      </c>
      <c r="N815" s="42">
        <v>0</v>
      </c>
      <c r="O815" s="52">
        <v>0</v>
      </c>
      <c r="P815" s="42">
        <v>0</v>
      </c>
      <c r="Q815" s="42">
        <v>0</v>
      </c>
      <c r="R815" s="42"/>
      <c r="S815" s="42"/>
      <c r="T815" s="42" t="s">
        <v>616</v>
      </c>
      <c r="U815" t="str">
        <f>IFERROR(HYPERLINK("#'Main'!B"&amp;MATCH(TRIM(A815),Main!B:B,0),"Open"),HYPERLINK("#'Main'!B1","Open"))</f>
        <v>Open</v>
      </c>
    </row>
    <row r="816" spans="1:22" ht="30" customHeight="1" x14ac:dyDescent="0.25">
      <c r="A816" s="50" t="s">
        <v>214</v>
      </c>
      <c r="B816" s="33" t="s">
        <v>614</v>
      </c>
      <c r="C816" s="37" t="s">
        <v>1061</v>
      </c>
      <c r="D816" s="33"/>
      <c r="E816" s="52">
        <v>200</v>
      </c>
      <c r="F816" s="33" t="b">
        <v>1</v>
      </c>
      <c r="G816" s="33">
        <v>0</v>
      </c>
      <c r="H816" s="52">
        <v>0</v>
      </c>
      <c r="I816" s="33">
        <v>0</v>
      </c>
      <c r="J816" s="33">
        <v>0</v>
      </c>
      <c r="K816" s="33">
        <v>0</v>
      </c>
      <c r="L816" s="40" t="b">
        <v>0</v>
      </c>
      <c r="M816" s="33">
        <v>0</v>
      </c>
      <c r="N816" s="33">
        <v>0</v>
      </c>
      <c r="O816" s="52">
        <v>0</v>
      </c>
      <c r="P816" s="33">
        <v>0</v>
      </c>
      <c r="Q816" s="33">
        <v>0</v>
      </c>
      <c r="R816" s="33"/>
      <c r="S816" s="33"/>
      <c r="T816" s="33" t="s">
        <v>616</v>
      </c>
      <c r="U816" s="41" t="str">
        <f>IFERROR(HYPERLINK("#'Main'!B"&amp;MATCH(TRIM(A816),Main!B:B,0),"Open"),HYPERLINK("#'Main'!B1","Open"))</f>
        <v>Open</v>
      </c>
      <c r="V816" s="41"/>
    </row>
    <row r="817" spans="1:22" ht="30" customHeight="1" x14ac:dyDescent="0.25">
      <c r="A817" s="51" t="s">
        <v>214</v>
      </c>
      <c r="B817" s="42" t="s">
        <v>614</v>
      </c>
      <c r="C817" s="44" t="s">
        <v>1062</v>
      </c>
      <c r="D817" s="42"/>
      <c r="E817" s="52">
        <v>200</v>
      </c>
      <c r="F817" s="42" t="b">
        <v>1</v>
      </c>
      <c r="G817" s="42">
        <v>0</v>
      </c>
      <c r="H817" s="52">
        <v>0</v>
      </c>
      <c r="I817" s="42">
        <v>0</v>
      </c>
      <c r="J817" s="42">
        <v>0</v>
      </c>
      <c r="K817" s="42">
        <v>0</v>
      </c>
      <c r="L817" s="46" t="b">
        <v>0</v>
      </c>
      <c r="M817" s="42">
        <v>0</v>
      </c>
      <c r="N817" s="42">
        <v>0</v>
      </c>
      <c r="O817" s="52">
        <v>0</v>
      </c>
      <c r="P817" s="42">
        <v>0</v>
      </c>
      <c r="Q817" s="42">
        <v>0</v>
      </c>
      <c r="R817" s="42"/>
      <c r="S817" s="42"/>
      <c r="T817" s="42" t="s">
        <v>616</v>
      </c>
      <c r="U817" t="str">
        <f>IFERROR(HYPERLINK("#'Main'!B"&amp;MATCH(TRIM(A817),Main!B:B,0),"Open"),HYPERLINK("#'Main'!B1","Open"))</f>
        <v>Open</v>
      </c>
    </row>
    <row r="818" spans="1:22" ht="30" customHeight="1" x14ac:dyDescent="0.25">
      <c r="A818" s="50" t="s">
        <v>214</v>
      </c>
      <c r="B818" s="33" t="s">
        <v>614</v>
      </c>
      <c r="C818" s="37" t="s">
        <v>758</v>
      </c>
      <c r="D818" s="33"/>
      <c r="E818" s="52">
        <v>200</v>
      </c>
      <c r="F818" s="33" t="b">
        <v>1</v>
      </c>
      <c r="G818" s="33">
        <v>0</v>
      </c>
      <c r="H818" s="52">
        <v>0</v>
      </c>
      <c r="I818" s="33">
        <v>0</v>
      </c>
      <c r="J818" s="33">
        <v>0</v>
      </c>
      <c r="K818" s="33">
        <v>0</v>
      </c>
      <c r="L818" s="40" t="b">
        <v>0</v>
      </c>
      <c r="M818" s="33">
        <v>0</v>
      </c>
      <c r="N818" s="33">
        <v>0</v>
      </c>
      <c r="O818" s="52">
        <v>0</v>
      </c>
      <c r="P818" s="33">
        <v>0</v>
      </c>
      <c r="Q818" s="33">
        <v>0</v>
      </c>
      <c r="R818" s="33"/>
      <c r="S818" s="33"/>
      <c r="T818" s="33" t="s">
        <v>616</v>
      </c>
      <c r="U818" s="41" t="str">
        <f>IFERROR(HYPERLINK("#'Main'!B"&amp;MATCH(TRIM(A818),Main!B:B,0),"Open"),HYPERLINK("#'Main'!B1","Open"))</f>
        <v>Open</v>
      </c>
      <c r="V818" s="41"/>
    </row>
    <row r="819" spans="1:22" ht="30" customHeight="1" x14ac:dyDescent="0.25">
      <c r="A819" s="51" t="s">
        <v>214</v>
      </c>
      <c r="B819" s="42" t="s">
        <v>614</v>
      </c>
      <c r="C819" s="44" t="s">
        <v>759</v>
      </c>
      <c r="D819" s="42"/>
      <c r="E819" s="52">
        <v>200</v>
      </c>
      <c r="F819" s="42" t="b">
        <v>1</v>
      </c>
      <c r="G819" s="42">
        <v>0</v>
      </c>
      <c r="H819" s="52">
        <v>0</v>
      </c>
      <c r="I819" s="42">
        <v>0</v>
      </c>
      <c r="J819" s="42">
        <v>0</v>
      </c>
      <c r="K819" s="42">
        <v>0</v>
      </c>
      <c r="L819" s="46" t="b">
        <v>0</v>
      </c>
      <c r="M819" s="42">
        <v>0</v>
      </c>
      <c r="N819" s="42">
        <v>0</v>
      </c>
      <c r="O819" s="52">
        <v>0</v>
      </c>
      <c r="P819" s="42">
        <v>0</v>
      </c>
      <c r="Q819" s="42">
        <v>0</v>
      </c>
      <c r="R819" s="42"/>
      <c r="S819" s="42"/>
      <c r="T819" s="42" t="s">
        <v>616</v>
      </c>
      <c r="U819" t="str">
        <f>IFERROR(HYPERLINK("#'Main'!B"&amp;MATCH(TRIM(A819),Main!B:B,0),"Open"),HYPERLINK("#'Main'!B1","Open"))</f>
        <v>Open</v>
      </c>
    </row>
    <row r="820" spans="1:22" ht="30" customHeight="1" x14ac:dyDescent="0.25">
      <c r="A820" s="50" t="s">
        <v>214</v>
      </c>
      <c r="B820" s="33" t="s">
        <v>614</v>
      </c>
      <c r="C820" s="37" t="s">
        <v>1063</v>
      </c>
      <c r="D820" s="33"/>
      <c r="E820" s="52">
        <v>200</v>
      </c>
      <c r="F820" s="33" t="b">
        <v>1</v>
      </c>
      <c r="G820" s="33">
        <v>0</v>
      </c>
      <c r="H820" s="52">
        <v>0</v>
      </c>
      <c r="I820" s="33">
        <v>0</v>
      </c>
      <c r="J820" s="33">
        <v>0</v>
      </c>
      <c r="K820" s="33">
        <v>0</v>
      </c>
      <c r="L820" s="40" t="b">
        <v>0</v>
      </c>
      <c r="M820" s="33">
        <v>0</v>
      </c>
      <c r="N820" s="33">
        <v>0</v>
      </c>
      <c r="O820" s="52">
        <v>0</v>
      </c>
      <c r="P820" s="33">
        <v>0</v>
      </c>
      <c r="Q820" s="33">
        <v>0</v>
      </c>
      <c r="R820" s="33"/>
      <c r="S820" s="33"/>
      <c r="T820" s="33" t="s">
        <v>616</v>
      </c>
      <c r="U820" s="41" t="str">
        <f>IFERROR(HYPERLINK("#'Main'!B"&amp;MATCH(TRIM(A820),Main!B:B,0),"Open"),HYPERLINK("#'Main'!B1","Open"))</f>
        <v>Open</v>
      </c>
      <c r="V820" s="41"/>
    </row>
    <row r="821" spans="1:22" ht="30" customHeight="1" x14ac:dyDescent="0.25">
      <c r="A821" s="51" t="s">
        <v>214</v>
      </c>
      <c r="B821" s="42" t="s">
        <v>614</v>
      </c>
      <c r="C821" s="44" t="s">
        <v>1064</v>
      </c>
      <c r="D821" s="42"/>
      <c r="E821" s="52">
        <v>200</v>
      </c>
      <c r="F821" s="42" t="b">
        <v>1</v>
      </c>
      <c r="G821" s="42">
        <v>0</v>
      </c>
      <c r="H821" s="52">
        <v>0</v>
      </c>
      <c r="I821" s="42">
        <v>0</v>
      </c>
      <c r="J821" s="42">
        <v>0</v>
      </c>
      <c r="K821" s="42">
        <v>0</v>
      </c>
      <c r="L821" s="46" t="b">
        <v>0</v>
      </c>
      <c r="M821" s="42">
        <v>0</v>
      </c>
      <c r="N821" s="42">
        <v>0</v>
      </c>
      <c r="O821" s="52">
        <v>0</v>
      </c>
      <c r="P821" s="42">
        <v>0</v>
      </c>
      <c r="Q821" s="42">
        <v>0</v>
      </c>
      <c r="R821" s="42"/>
      <c r="S821" s="42"/>
      <c r="T821" s="42" t="s">
        <v>616</v>
      </c>
      <c r="U821" t="str">
        <f>IFERROR(HYPERLINK("#'Main'!B"&amp;MATCH(TRIM(A821),Main!B:B,0),"Open"),HYPERLINK("#'Main'!B1","Open"))</f>
        <v>Open</v>
      </c>
    </row>
    <row r="822" spans="1:22" ht="30" customHeight="1" x14ac:dyDescent="0.25">
      <c r="A822" s="50" t="s">
        <v>214</v>
      </c>
      <c r="B822" s="33" t="s">
        <v>614</v>
      </c>
      <c r="C822" s="37" t="s">
        <v>1065</v>
      </c>
      <c r="D822" s="33"/>
      <c r="E822" s="52">
        <v>200</v>
      </c>
      <c r="F822" s="33" t="b">
        <v>1</v>
      </c>
      <c r="G822" s="33">
        <v>0</v>
      </c>
      <c r="H822" s="52">
        <v>0</v>
      </c>
      <c r="I822" s="33">
        <v>0</v>
      </c>
      <c r="J822" s="33">
        <v>0</v>
      </c>
      <c r="K822" s="33">
        <v>0</v>
      </c>
      <c r="L822" s="40" t="b">
        <v>0</v>
      </c>
      <c r="M822" s="33">
        <v>0</v>
      </c>
      <c r="N822" s="33">
        <v>0</v>
      </c>
      <c r="O822" s="52">
        <v>0</v>
      </c>
      <c r="P822" s="33">
        <v>0</v>
      </c>
      <c r="Q822" s="33">
        <v>0</v>
      </c>
      <c r="R822" s="33"/>
      <c r="S822" s="33"/>
      <c r="T822" s="33" t="s">
        <v>616</v>
      </c>
      <c r="U822" s="41" t="str">
        <f>IFERROR(HYPERLINK("#'Main'!B"&amp;MATCH(TRIM(A822),Main!B:B,0),"Open"),HYPERLINK("#'Main'!B1","Open"))</f>
        <v>Open</v>
      </c>
      <c r="V822" s="41"/>
    </row>
    <row r="823" spans="1:22" ht="30" customHeight="1" x14ac:dyDescent="0.25">
      <c r="A823" s="51" t="s">
        <v>214</v>
      </c>
      <c r="B823" s="42" t="s">
        <v>614</v>
      </c>
      <c r="C823" s="44" t="s">
        <v>1066</v>
      </c>
      <c r="D823" s="42"/>
      <c r="E823" s="52">
        <v>200</v>
      </c>
      <c r="F823" s="42" t="b">
        <v>1</v>
      </c>
      <c r="G823" s="42">
        <v>0</v>
      </c>
      <c r="H823" s="52">
        <v>0</v>
      </c>
      <c r="I823" s="42">
        <v>0</v>
      </c>
      <c r="J823" s="42">
        <v>0</v>
      </c>
      <c r="K823" s="42">
        <v>0</v>
      </c>
      <c r="L823" s="46" t="b">
        <v>0</v>
      </c>
      <c r="M823" s="42">
        <v>0</v>
      </c>
      <c r="N823" s="42">
        <v>0</v>
      </c>
      <c r="O823" s="52">
        <v>0</v>
      </c>
      <c r="P823" s="42">
        <v>0</v>
      </c>
      <c r="Q823" s="42">
        <v>0</v>
      </c>
      <c r="R823" s="42"/>
      <c r="S823" s="42"/>
      <c r="T823" s="42" t="s">
        <v>616</v>
      </c>
      <c r="U823" t="str">
        <f>IFERROR(HYPERLINK("#'Main'!B"&amp;MATCH(TRIM(A823),Main!B:B,0),"Open"),HYPERLINK("#'Main'!B1","Open"))</f>
        <v>Open</v>
      </c>
    </row>
    <row r="824" spans="1:22" ht="30" customHeight="1" x14ac:dyDescent="0.25">
      <c r="A824" s="50" t="s">
        <v>214</v>
      </c>
      <c r="B824" s="33" t="s">
        <v>614</v>
      </c>
      <c r="C824" s="37" t="s">
        <v>1067</v>
      </c>
      <c r="D824" s="33"/>
      <c r="E824" s="52">
        <v>200</v>
      </c>
      <c r="F824" s="33" t="b">
        <v>1</v>
      </c>
      <c r="G824" s="33">
        <v>0</v>
      </c>
      <c r="H824" s="52">
        <v>0</v>
      </c>
      <c r="I824" s="33">
        <v>0</v>
      </c>
      <c r="J824" s="33">
        <v>0</v>
      </c>
      <c r="K824" s="33">
        <v>0</v>
      </c>
      <c r="L824" s="40" t="b">
        <v>0</v>
      </c>
      <c r="M824" s="33">
        <v>0</v>
      </c>
      <c r="N824" s="33">
        <v>0</v>
      </c>
      <c r="O824" s="52">
        <v>0</v>
      </c>
      <c r="P824" s="33">
        <v>0</v>
      </c>
      <c r="Q824" s="33">
        <v>0</v>
      </c>
      <c r="R824" s="33"/>
      <c r="S824" s="33"/>
      <c r="T824" s="33" t="s">
        <v>616</v>
      </c>
      <c r="U824" s="41" t="str">
        <f>IFERROR(HYPERLINK("#'Main'!B"&amp;MATCH(TRIM(A824),Main!B:B,0),"Open"),HYPERLINK("#'Main'!B1","Open"))</f>
        <v>Open</v>
      </c>
      <c r="V824" s="41"/>
    </row>
    <row r="825" spans="1:22" ht="30" customHeight="1" x14ac:dyDescent="0.25">
      <c r="A825" s="51" t="s">
        <v>214</v>
      </c>
      <c r="B825" s="42" t="s">
        <v>614</v>
      </c>
      <c r="C825" s="44" t="s">
        <v>1068</v>
      </c>
      <c r="D825" s="42"/>
      <c r="E825" s="52">
        <v>200</v>
      </c>
      <c r="F825" s="42" t="b">
        <v>1</v>
      </c>
      <c r="G825" s="42">
        <v>0</v>
      </c>
      <c r="H825" s="52">
        <v>0</v>
      </c>
      <c r="I825" s="42">
        <v>0</v>
      </c>
      <c r="J825" s="42">
        <v>0</v>
      </c>
      <c r="K825" s="42">
        <v>0</v>
      </c>
      <c r="L825" s="46" t="b">
        <v>0</v>
      </c>
      <c r="M825" s="42">
        <v>0</v>
      </c>
      <c r="N825" s="42">
        <v>0</v>
      </c>
      <c r="O825" s="52">
        <v>0</v>
      </c>
      <c r="P825" s="42">
        <v>0</v>
      </c>
      <c r="Q825" s="42">
        <v>0</v>
      </c>
      <c r="R825" s="42"/>
      <c r="S825" s="42"/>
      <c r="T825" s="42" t="s">
        <v>616</v>
      </c>
      <c r="U825" t="str">
        <f>IFERROR(HYPERLINK("#'Main'!B"&amp;MATCH(TRIM(A825),Main!B:B,0),"Open"),HYPERLINK("#'Main'!B1","Open"))</f>
        <v>Open</v>
      </c>
    </row>
    <row r="826" spans="1:22" ht="30" customHeight="1" x14ac:dyDescent="0.25">
      <c r="A826" s="50" t="s">
        <v>214</v>
      </c>
      <c r="B826" s="33" t="s">
        <v>614</v>
      </c>
      <c r="C826" s="37" t="s">
        <v>1069</v>
      </c>
      <c r="D826" s="33"/>
      <c r="E826" s="52">
        <v>200</v>
      </c>
      <c r="F826" s="33" t="b">
        <v>1</v>
      </c>
      <c r="G826" s="33">
        <v>0</v>
      </c>
      <c r="H826" s="52">
        <v>0</v>
      </c>
      <c r="I826" s="33">
        <v>0</v>
      </c>
      <c r="J826" s="33">
        <v>0</v>
      </c>
      <c r="K826" s="33">
        <v>0</v>
      </c>
      <c r="L826" s="40" t="b">
        <v>0</v>
      </c>
      <c r="M826" s="33">
        <v>0</v>
      </c>
      <c r="N826" s="33">
        <v>0</v>
      </c>
      <c r="O826" s="52">
        <v>0</v>
      </c>
      <c r="P826" s="33">
        <v>0</v>
      </c>
      <c r="Q826" s="33">
        <v>0</v>
      </c>
      <c r="R826" s="33"/>
      <c r="S826" s="33"/>
      <c r="T826" s="33" t="s">
        <v>616</v>
      </c>
      <c r="U826" s="41" t="str">
        <f>IFERROR(HYPERLINK("#'Main'!B"&amp;MATCH(TRIM(A826),Main!B:B,0),"Open"),HYPERLINK("#'Main'!B1","Open"))</f>
        <v>Open</v>
      </c>
      <c r="V826" s="41"/>
    </row>
    <row r="827" spans="1:22" ht="30" customHeight="1" x14ac:dyDescent="0.25">
      <c r="A827" s="51" t="s">
        <v>214</v>
      </c>
      <c r="B827" s="42" t="s">
        <v>614</v>
      </c>
      <c r="C827" s="44" t="s">
        <v>1070</v>
      </c>
      <c r="D827" s="42"/>
      <c r="E827" s="52">
        <v>200</v>
      </c>
      <c r="F827" s="42" t="b">
        <v>1</v>
      </c>
      <c r="G827" s="42">
        <v>0</v>
      </c>
      <c r="H827" s="52">
        <v>0</v>
      </c>
      <c r="I827" s="42">
        <v>0</v>
      </c>
      <c r="J827" s="42">
        <v>0</v>
      </c>
      <c r="K827" s="42">
        <v>0</v>
      </c>
      <c r="L827" s="46" t="b">
        <v>0</v>
      </c>
      <c r="M827" s="42">
        <v>0</v>
      </c>
      <c r="N827" s="42">
        <v>0</v>
      </c>
      <c r="O827" s="52">
        <v>0</v>
      </c>
      <c r="P827" s="42">
        <v>0</v>
      </c>
      <c r="Q827" s="42">
        <v>0</v>
      </c>
      <c r="R827" s="42"/>
      <c r="S827" s="42"/>
      <c r="T827" s="42" t="s">
        <v>616</v>
      </c>
      <c r="U827" t="str">
        <f>IFERROR(HYPERLINK("#'Main'!B"&amp;MATCH(TRIM(A827),Main!B:B,0),"Open"),HYPERLINK("#'Main'!B1","Open"))</f>
        <v>Open</v>
      </c>
    </row>
    <row r="828" spans="1:22" ht="30" customHeight="1" x14ac:dyDescent="0.25">
      <c r="A828" s="50" t="s">
        <v>214</v>
      </c>
      <c r="B828" s="33" t="s">
        <v>614</v>
      </c>
      <c r="C828" s="37" t="s">
        <v>1071</v>
      </c>
      <c r="D828" s="33"/>
      <c r="E828" s="52">
        <v>200</v>
      </c>
      <c r="F828" s="33" t="b">
        <v>1</v>
      </c>
      <c r="G828" s="33">
        <v>0</v>
      </c>
      <c r="H828" s="52">
        <v>0</v>
      </c>
      <c r="I828" s="33">
        <v>0</v>
      </c>
      <c r="J828" s="33">
        <v>0</v>
      </c>
      <c r="K828" s="33">
        <v>0</v>
      </c>
      <c r="L828" s="40" t="b">
        <v>0</v>
      </c>
      <c r="M828" s="33">
        <v>0</v>
      </c>
      <c r="N828" s="33">
        <v>0</v>
      </c>
      <c r="O828" s="52">
        <v>0</v>
      </c>
      <c r="P828" s="33">
        <v>0</v>
      </c>
      <c r="Q828" s="33">
        <v>0</v>
      </c>
      <c r="R828" s="33"/>
      <c r="S828" s="33"/>
      <c r="T828" s="33" t="s">
        <v>616</v>
      </c>
      <c r="U828" s="41" t="str">
        <f>IFERROR(HYPERLINK("#'Main'!B"&amp;MATCH(TRIM(A828),Main!B:B,0),"Open"),HYPERLINK("#'Main'!B1","Open"))</f>
        <v>Open</v>
      </c>
      <c r="V828" s="41"/>
    </row>
    <row r="829" spans="1:22" ht="30" customHeight="1" x14ac:dyDescent="0.25">
      <c r="A829" s="51" t="s">
        <v>214</v>
      </c>
      <c r="B829" s="42" t="s">
        <v>614</v>
      </c>
      <c r="C829" s="44" t="s">
        <v>1072</v>
      </c>
      <c r="D829" s="42"/>
      <c r="E829" s="52">
        <v>200</v>
      </c>
      <c r="F829" s="42" t="b">
        <v>1</v>
      </c>
      <c r="G829" s="42">
        <v>0</v>
      </c>
      <c r="H829" s="52">
        <v>0</v>
      </c>
      <c r="I829" s="42">
        <v>0</v>
      </c>
      <c r="J829" s="42">
        <v>0</v>
      </c>
      <c r="K829" s="42">
        <v>0</v>
      </c>
      <c r="L829" s="46" t="b">
        <v>0</v>
      </c>
      <c r="M829" s="42">
        <v>0</v>
      </c>
      <c r="N829" s="42">
        <v>0</v>
      </c>
      <c r="O829" s="52">
        <v>0</v>
      </c>
      <c r="P829" s="42">
        <v>0</v>
      </c>
      <c r="Q829" s="42">
        <v>0</v>
      </c>
      <c r="R829" s="42"/>
      <c r="S829" s="42"/>
      <c r="T829" s="42" t="s">
        <v>616</v>
      </c>
      <c r="U829" t="str">
        <f>IFERROR(HYPERLINK("#'Main'!B"&amp;MATCH(TRIM(A829),Main!B:B,0),"Open"),HYPERLINK("#'Main'!B1","Open"))</f>
        <v>Open</v>
      </c>
    </row>
    <row r="830" spans="1:22" ht="30" customHeight="1" x14ac:dyDescent="0.25">
      <c r="A830" s="50" t="s">
        <v>214</v>
      </c>
      <c r="B830" s="33" t="s">
        <v>614</v>
      </c>
      <c r="C830" s="37" t="s">
        <v>1073</v>
      </c>
      <c r="D830" s="33"/>
      <c r="E830" s="52">
        <v>200</v>
      </c>
      <c r="F830" s="33" t="b">
        <v>1</v>
      </c>
      <c r="G830" s="33">
        <v>0</v>
      </c>
      <c r="H830" s="52">
        <v>0</v>
      </c>
      <c r="I830" s="33">
        <v>0</v>
      </c>
      <c r="J830" s="33">
        <v>0</v>
      </c>
      <c r="K830" s="33">
        <v>0</v>
      </c>
      <c r="L830" s="40" t="b">
        <v>0</v>
      </c>
      <c r="M830" s="33">
        <v>0</v>
      </c>
      <c r="N830" s="33">
        <v>0</v>
      </c>
      <c r="O830" s="52">
        <v>0</v>
      </c>
      <c r="P830" s="33">
        <v>0</v>
      </c>
      <c r="Q830" s="33">
        <v>0</v>
      </c>
      <c r="R830" s="33"/>
      <c r="S830" s="33"/>
      <c r="T830" s="33" t="s">
        <v>616</v>
      </c>
      <c r="U830" s="41" t="str">
        <f>IFERROR(HYPERLINK("#'Main'!B"&amp;MATCH(TRIM(A830),Main!B:B,0),"Open"),HYPERLINK("#'Main'!B1","Open"))</f>
        <v>Open</v>
      </c>
      <c r="V830" s="41"/>
    </row>
    <row r="831" spans="1:22" ht="30" customHeight="1" x14ac:dyDescent="0.25">
      <c r="A831" s="51" t="s">
        <v>214</v>
      </c>
      <c r="B831" s="42" t="s">
        <v>614</v>
      </c>
      <c r="C831" s="44" t="s">
        <v>1074</v>
      </c>
      <c r="D831" s="42"/>
      <c r="E831" s="52">
        <v>200</v>
      </c>
      <c r="F831" s="42" t="b">
        <v>1</v>
      </c>
      <c r="G831" s="42">
        <v>0</v>
      </c>
      <c r="H831" s="52">
        <v>0</v>
      </c>
      <c r="I831" s="42">
        <v>0</v>
      </c>
      <c r="J831" s="42">
        <v>0</v>
      </c>
      <c r="K831" s="42">
        <v>0</v>
      </c>
      <c r="L831" s="46" t="b">
        <v>0</v>
      </c>
      <c r="M831" s="42">
        <v>0</v>
      </c>
      <c r="N831" s="42">
        <v>0</v>
      </c>
      <c r="O831" s="52">
        <v>0</v>
      </c>
      <c r="P831" s="42">
        <v>0</v>
      </c>
      <c r="Q831" s="42">
        <v>0</v>
      </c>
      <c r="R831" s="42"/>
      <c r="S831" s="42"/>
      <c r="T831" s="42" t="s">
        <v>616</v>
      </c>
      <c r="U831" t="str">
        <f>IFERROR(HYPERLINK("#'Main'!B"&amp;MATCH(TRIM(A831),Main!B:B,0),"Open"),HYPERLINK("#'Main'!B1","Open"))</f>
        <v>Open</v>
      </c>
    </row>
    <row r="832" spans="1:22" ht="30" customHeight="1" x14ac:dyDescent="0.25">
      <c r="A832" s="50" t="s">
        <v>214</v>
      </c>
      <c r="B832" s="33" t="s">
        <v>614</v>
      </c>
      <c r="C832" s="37" t="s">
        <v>1075</v>
      </c>
      <c r="D832" s="33"/>
      <c r="E832" s="52">
        <v>200</v>
      </c>
      <c r="F832" s="33" t="b">
        <v>1</v>
      </c>
      <c r="G832" s="33">
        <v>0</v>
      </c>
      <c r="H832" s="52">
        <v>0</v>
      </c>
      <c r="I832" s="33">
        <v>0</v>
      </c>
      <c r="J832" s="33">
        <v>0</v>
      </c>
      <c r="K832" s="33">
        <v>0</v>
      </c>
      <c r="L832" s="40" t="b">
        <v>0</v>
      </c>
      <c r="M832" s="33">
        <v>0</v>
      </c>
      <c r="N832" s="33">
        <v>0</v>
      </c>
      <c r="O832" s="52">
        <v>0</v>
      </c>
      <c r="P832" s="33">
        <v>0</v>
      </c>
      <c r="Q832" s="33">
        <v>0</v>
      </c>
      <c r="R832" s="33"/>
      <c r="S832" s="33"/>
      <c r="T832" s="33" t="s">
        <v>616</v>
      </c>
      <c r="U832" s="41" t="str">
        <f>IFERROR(HYPERLINK("#'Main'!B"&amp;MATCH(TRIM(A832),Main!B:B,0),"Open"),HYPERLINK("#'Main'!B1","Open"))</f>
        <v>Open</v>
      </c>
      <c r="V832" s="41"/>
    </row>
    <row r="833" spans="1:22" ht="30" customHeight="1" x14ac:dyDescent="0.25">
      <c r="A833" s="51" t="s">
        <v>214</v>
      </c>
      <c r="B833" s="42" t="s">
        <v>614</v>
      </c>
      <c r="C833" s="44" t="s">
        <v>1076</v>
      </c>
      <c r="D833" s="42"/>
      <c r="E833" s="52">
        <v>200</v>
      </c>
      <c r="F833" s="42" t="b">
        <v>1</v>
      </c>
      <c r="G833" s="42">
        <v>0</v>
      </c>
      <c r="H833" s="52">
        <v>0</v>
      </c>
      <c r="I833" s="42">
        <v>0</v>
      </c>
      <c r="J833" s="42">
        <v>0</v>
      </c>
      <c r="K833" s="42">
        <v>0</v>
      </c>
      <c r="L833" s="46" t="b">
        <v>0</v>
      </c>
      <c r="M833" s="42">
        <v>0</v>
      </c>
      <c r="N833" s="42">
        <v>0</v>
      </c>
      <c r="O833" s="52">
        <v>0</v>
      </c>
      <c r="P833" s="42">
        <v>0</v>
      </c>
      <c r="Q833" s="42">
        <v>0</v>
      </c>
      <c r="R833" s="42"/>
      <c r="S833" s="42"/>
      <c r="T833" s="42" t="s">
        <v>616</v>
      </c>
      <c r="U833" t="str">
        <f>IFERROR(HYPERLINK("#'Main'!B"&amp;MATCH(TRIM(A833),Main!B:B,0),"Open"),HYPERLINK("#'Main'!B1","Open"))</f>
        <v>Open</v>
      </c>
    </row>
    <row r="834" spans="1:22" ht="30" customHeight="1" x14ac:dyDescent="0.25">
      <c r="A834" s="50" t="s">
        <v>214</v>
      </c>
      <c r="B834" s="33" t="s">
        <v>614</v>
      </c>
      <c r="C834" s="37" t="s">
        <v>1077</v>
      </c>
      <c r="D834" s="33"/>
      <c r="E834" s="52">
        <v>200</v>
      </c>
      <c r="F834" s="33" t="b">
        <v>1</v>
      </c>
      <c r="G834" s="33">
        <v>0</v>
      </c>
      <c r="H834" s="52">
        <v>0</v>
      </c>
      <c r="I834" s="33">
        <v>0</v>
      </c>
      <c r="J834" s="33">
        <v>0</v>
      </c>
      <c r="K834" s="33">
        <v>0</v>
      </c>
      <c r="L834" s="40" t="b">
        <v>0</v>
      </c>
      <c r="M834" s="33">
        <v>0</v>
      </c>
      <c r="N834" s="33">
        <v>0</v>
      </c>
      <c r="O834" s="52">
        <v>0</v>
      </c>
      <c r="P834" s="33">
        <v>0</v>
      </c>
      <c r="Q834" s="33">
        <v>0</v>
      </c>
      <c r="R834" s="33"/>
      <c r="S834" s="33"/>
      <c r="T834" s="33" t="s">
        <v>616</v>
      </c>
      <c r="U834" s="41" t="str">
        <f>IFERROR(HYPERLINK("#'Main'!B"&amp;MATCH(TRIM(A834),Main!B:B,0),"Open"),HYPERLINK("#'Main'!B1","Open"))</f>
        <v>Open</v>
      </c>
      <c r="V834" s="41"/>
    </row>
    <row r="835" spans="1:22" ht="30" customHeight="1" x14ac:dyDescent="0.25">
      <c r="A835" s="51" t="s">
        <v>214</v>
      </c>
      <c r="B835" s="42" t="s">
        <v>614</v>
      </c>
      <c r="C835" s="44" t="s">
        <v>1078</v>
      </c>
      <c r="D835" s="42"/>
      <c r="E835" s="52">
        <v>200</v>
      </c>
      <c r="F835" s="42" t="b">
        <v>1</v>
      </c>
      <c r="G835" s="42">
        <v>0</v>
      </c>
      <c r="H835" s="52">
        <v>0</v>
      </c>
      <c r="I835" s="42">
        <v>0</v>
      </c>
      <c r="J835" s="42">
        <v>0</v>
      </c>
      <c r="K835" s="42">
        <v>0</v>
      </c>
      <c r="L835" s="46" t="b">
        <v>0</v>
      </c>
      <c r="M835" s="42">
        <v>0</v>
      </c>
      <c r="N835" s="42">
        <v>0</v>
      </c>
      <c r="O835" s="52">
        <v>0</v>
      </c>
      <c r="P835" s="42">
        <v>0</v>
      </c>
      <c r="Q835" s="42">
        <v>0</v>
      </c>
      <c r="R835" s="42"/>
      <c r="S835" s="42"/>
      <c r="T835" s="42" t="s">
        <v>616</v>
      </c>
      <c r="U835" t="str">
        <f>IFERROR(HYPERLINK("#'Main'!B"&amp;MATCH(TRIM(A835),Main!B:B,0),"Open"),HYPERLINK("#'Main'!B1","Open"))</f>
        <v>Open</v>
      </c>
    </row>
    <row r="836" spans="1:22" ht="30" customHeight="1" x14ac:dyDescent="0.25">
      <c r="A836" s="50" t="s">
        <v>214</v>
      </c>
      <c r="B836" s="33" t="s">
        <v>614</v>
      </c>
      <c r="C836" s="37" t="s">
        <v>1079</v>
      </c>
      <c r="D836" s="33"/>
      <c r="E836" s="52">
        <v>200</v>
      </c>
      <c r="F836" s="33" t="b">
        <v>1</v>
      </c>
      <c r="G836" s="33">
        <v>0</v>
      </c>
      <c r="H836" s="52">
        <v>0</v>
      </c>
      <c r="I836" s="33">
        <v>0</v>
      </c>
      <c r="J836" s="33">
        <v>0</v>
      </c>
      <c r="K836" s="33">
        <v>0</v>
      </c>
      <c r="L836" s="40" t="b">
        <v>0</v>
      </c>
      <c r="M836" s="33">
        <v>0</v>
      </c>
      <c r="N836" s="33">
        <v>0</v>
      </c>
      <c r="O836" s="52">
        <v>0</v>
      </c>
      <c r="P836" s="33">
        <v>0</v>
      </c>
      <c r="Q836" s="33">
        <v>0</v>
      </c>
      <c r="R836" s="33"/>
      <c r="S836" s="33"/>
      <c r="T836" s="33" t="s">
        <v>616</v>
      </c>
      <c r="U836" s="41" t="str">
        <f>IFERROR(HYPERLINK("#'Main'!B"&amp;MATCH(TRIM(A836),Main!B:B,0),"Open"),HYPERLINK("#'Main'!B1","Open"))</f>
        <v>Open</v>
      </c>
      <c r="V836" s="41"/>
    </row>
    <row r="837" spans="1:22" ht="30" customHeight="1" x14ac:dyDescent="0.25">
      <c r="A837" s="51" t="s">
        <v>214</v>
      </c>
      <c r="B837" s="42" t="s">
        <v>614</v>
      </c>
      <c r="C837" s="44" t="s">
        <v>1080</v>
      </c>
      <c r="D837" s="42"/>
      <c r="E837" s="52">
        <v>200</v>
      </c>
      <c r="F837" s="42" t="b">
        <v>1</v>
      </c>
      <c r="G837" s="42">
        <v>0</v>
      </c>
      <c r="H837" s="52">
        <v>0</v>
      </c>
      <c r="I837" s="42">
        <v>0</v>
      </c>
      <c r="J837" s="42">
        <v>0</v>
      </c>
      <c r="K837" s="42">
        <v>0</v>
      </c>
      <c r="L837" s="46" t="b">
        <v>0</v>
      </c>
      <c r="M837" s="42">
        <v>0</v>
      </c>
      <c r="N837" s="42">
        <v>0</v>
      </c>
      <c r="O837" s="52">
        <v>0</v>
      </c>
      <c r="P837" s="42">
        <v>0</v>
      </c>
      <c r="Q837" s="42">
        <v>0</v>
      </c>
      <c r="R837" s="42"/>
      <c r="S837" s="42"/>
      <c r="T837" s="42" t="s">
        <v>616</v>
      </c>
      <c r="U837" t="str">
        <f>IFERROR(HYPERLINK("#'Main'!B"&amp;MATCH(TRIM(A837),Main!B:B,0),"Open"),HYPERLINK("#'Main'!B1","Open"))</f>
        <v>Open</v>
      </c>
    </row>
    <row r="838" spans="1:22" ht="30" customHeight="1" x14ac:dyDescent="0.25">
      <c r="A838" s="50" t="s">
        <v>214</v>
      </c>
      <c r="B838" s="33" t="s">
        <v>614</v>
      </c>
      <c r="C838" s="37" t="s">
        <v>1081</v>
      </c>
      <c r="D838" s="33"/>
      <c r="E838" s="52">
        <v>200</v>
      </c>
      <c r="F838" s="33" t="b">
        <v>1</v>
      </c>
      <c r="G838" s="33">
        <v>0</v>
      </c>
      <c r="H838" s="52">
        <v>0</v>
      </c>
      <c r="I838" s="33">
        <v>0</v>
      </c>
      <c r="J838" s="33">
        <v>0</v>
      </c>
      <c r="K838" s="33">
        <v>0</v>
      </c>
      <c r="L838" s="40" t="b">
        <v>0</v>
      </c>
      <c r="M838" s="33">
        <v>0</v>
      </c>
      <c r="N838" s="33">
        <v>0</v>
      </c>
      <c r="O838" s="52">
        <v>0</v>
      </c>
      <c r="P838" s="33">
        <v>0</v>
      </c>
      <c r="Q838" s="33">
        <v>0</v>
      </c>
      <c r="R838" s="33"/>
      <c r="S838" s="33"/>
      <c r="T838" s="33" t="s">
        <v>616</v>
      </c>
      <c r="U838" s="41" t="str">
        <f>IFERROR(HYPERLINK("#'Main'!B"&amp;MATCH(TRIM(A838),Main!B:B,0),"Open"),HYPERLINK("#'Main'!B1","Open"))</f>
        <v>Open</v>
      </c>
      <c r="V838" s="41"/>
    </row>
    <row r="839" spans="1:22" ht="30" customHeight="1" x14ac:dyDescent="0.25">
      <c r="A839" s="51" t="s">
        <v>214</v>
      </c>
      <c r="B839" s="42" t="s">
        <v>614</v>
      </c>
      <c r="C839" s="44" t="s">
        <v>1082</v>
      </c>
      <c r="D839" s="42"/>
      <c r="E839" s="52">
        <v>200</v>
      </c>
      <c r="F839" s="42" t="b">
        <v>1</v>
      </c>
      <c r="G839" s="42">
        <v>0</v>
      </c>
      <c r="H839" s="52">
        <v>0</v>
      </c>
      <c r="I839" s="42">
        <v>0</v>
      </c>
      <c r="J839" s="42">
        <v>0</v>
      </c>
      <c r="K839" s="42">
        <v>0</v>
      </c>
      <c r="L839" s="46" t="b">
        <v>0</v>
      </c>
      <c r="M839" s="42">
        <v>0</v>
      </c>
      <c r="N839" s="42">
        <v>0</v>
      </c>
      <c r="O839" s="52">
        <v>0</v>
      </c>
      <c r="P839" s="42">
        <v>0</v>
      </c>
      <c r="Q839" s="42">
        <v>0</v>
      </c>
      <c r="R839" s="42"/>
      <c r="S839" s="42"/>
      <c r="T839" s="42" t="s">
        <v>616</v>
      </c>
      <c r="U839" t="str">
        <f>IFERROR(HYPERLINK("#'Main'!B"&amp;MATCH(TRIM(A839),Main!B:B,0),"Open"),HYPERLINK("#'Main'!B1","Open"))</f>
        <v>Open</v>
      </c>
    </row>
    <row r="840" spans="1:22" ht="30" customHeight="1" x14ac:dyDescent="0.25">
      <c r="A840" s="50" t="s">
        <v>214</v>
      </c>
      <c r="B840" s="33" t="s">
        <v>614</v>
      </c>
      <c r="C840" s="37" t="s">
        <v>1083</v>
      </c>
      <c r="D840" s="33"/>
      <c r="E840" s="52">
        <v>200</v>
      </c>
      <c r="F840" s="33" t="b">
        <v>1</v>
      </c>
      <c r="G840" s="33">
        <v>0</v>
      </c>
      <c r="H840" s="52">
        <v>0</v>
      </c>
      <c r="I840" s="33">
        <v>0</v>
      </c>
      <c r="J840" s="33">
        <v>0</v>
      </c>
      <c r="K840" s="33">
        <v>0</v>
      </c>
      <c r="L840" s="40" t="b">
        <v>0</v>
      </c>
      <c r="M840" s="33">
        <v>0</v>
      </c>
      <c r="N840" s="33">
        <v>0</v>
      </c>
      <c r="O840" s="52">
        <v>0</v>
      </c>
      <c r="P840" s="33">
        <v>0</v>
      </c>
      <c r="Q840" s="33">
        <v>0</v>
      </c>
      <c r="R840" s="33"/>
      <c r="S840" s="33"/>
      <c r="T840" s="33" t="s">
        <v>616</v>
      </c>
      <c r="U840" s="41" t="str">
        <f>IFERROR(HYPERLINK("#'Main'!B"&amp;MATCH(TRIM(A840),Main!B:B,0),"Open"),HYPERLINK("#'Main'!B1","Open"))</f>
        <v>Open</v>
      </c>
      <c r="V840" s="41"/>
    </row>
    <row r="841" spans="1:22" ht="30" customHeight="1" x14ac:dyDescent="0.25">
      <c r="A841" s="51" t="s">
        <v>214</v>
      </c>
      <c r="B841" s="42" t="s">
        <v>614</v>
      </c>
      <c r="C841" s="44" t="s">
        <v>1084</v>
      </c>
      <c r="D841" s="42"/>
      <c r="E841" s="52">
        <v>200</v>
      </c>
      <c r="F841" s="42" t="b">
        <v>1</v>
      </c>
      <c r="G841" s="42">
        <v>0</v>
      </c>
      <c r="H841" s="52">
        <v>0</v>
      </c>
      <c r="I841" s="42">
        <v>0</v>
      </c>
      <c r="J841" s="42">
        <v>0</v>
      </c>
      <c r="K841" s="42">
        <v>0</v>
      </c>
      <c r="L841" s="46" t="b">
        <v>0</v>
      </c>
      <c r="M841" s="42">
        <v>0</v>
      </c>
      <c r="N841" s="42">
        <v>0</v>
      </c>
      <c r="O841" s="52">
        <v>0</v>
      </c>
      <c r="P841" s="42">
        <v>0</v>
      </c>
      <c r="Q841" s="42">
        <v>0</v>
      </c>
      <c r="R841" s="42"/>
      <c r="S841" s="42"/>
      <c r="T841" s="42" t="s">
        <v>616</v>
      </c>
      <c r="U841" t="str">
        <f>IFERROR(HYPERLINK("#'Main'!B"&amp;MATCH(TRIM(A841),Main!B:B,0),"Open"),HYPERLINK("#'Main'!B1","Open"))</f>
        <v>Open</v>
      </c>
    </row>
    <row r="842" spans="1:22" ht="30" customHeight="1" x14ac:dyDescent="0.25">
      <c r="A842" s="50" t="s">
        <v>214</v>
      </c>
      <c r="B842" s="33" t="s">
        <v>614</v>
      </c>
      <c r="C842" s="37" t="s">
        <v>1085</v>
      </c>
      <c r="D842" s="33"/>
      <c r="E842" s="52">
        <v>200</v>
      </c>
      <c r="F842" s="33" t="b">
        <v>1</v>
      </c>
      <c r="G842" s="33">
        <v>0</v>
      </c>
      <c r="H842" s="52">
        <v>0</v>
      </c>
      <c r="I842" s="33">
        <v>0</v>
      </c>
      <c r="J842" s="33">
        <v>0</v>
      </c>
      <c r="K842" s="33">
        <v>0</v>
      </c>
      <c r="L842" s="40" t="b">
        <v>0</v>
      </c>
      <c r="M842" s="33">
        <v>0</v>
      </c>
      <c r="N842" s="33">
        <v>0</v>
      </c>
      <c r="O842" s="52">
        <v>0</v>
      </c>
      <c r="P842" s="33">
        <v>0</v>
      </c>
      <c r="Q842" s="33">
        <v>0</v>
      </c>
      <c r="R842" s="33"/>
      <c r="S842" s="33"/>
      <c r="T842" s="33" t="s">
        <v>616</v>
      </c>
      <c r="U842" s="41" t="str">
        <f>IFERROR(HYPERLINK("#'Main'!B"&amp;MATCH(TRIM(A842),Main!B:B,0),"Open"),HYPERLINK("#'Main'!B1","Open"))</f>
        <v>Open</v>
      </c>
      <c r="V842" s="41"/>
    </row>
    <row r="843" spans="1:22" ht="30" customHeight="1" x14ac:dyDescent="0.25">
      <c r="A843" s="51" t="s">
        <v>214</v>
      </c>
      <c r="B843" s="42" t="s">
        <v>614</v>
      </c>
      <c r="C843" s="44" t="s">
        <v>1086</v>
      </c>
      <c r="D843" s="42"/>
      <c r="E843" s="52">
        <v>200</v>
      </c>
      <c r="F843" s="42" t="b">
        <v>1</v>
      </c>
      <c r="G843" s="42">
        <v>0</v>
      </c>
      <c r="H843" s="52">
        <v>0</v>
      </c>
      <c r="I843" s="42">
        <v>0</v>
      </c>
      <c r="J843" s="42">
        <v>0</v>
      </c>
      <c r="K843" s="42">
        <v>0</v>
      </c>
      <c r="L843" s="46" t="b">
        <v>0</v>
      </c>
      <c r="M843" s="42">
        <v>0</v>
      </c>
      <c r="N843" s="42">
        <v>0</v>
      </c>
      <c r="O843" s="52">
        <v>0</v>
      </c>
      <c r="P843" s="42">
        <v>0</v>
      </c>
      <c r="Q843" s="42">
        <v>0</v>
      </c>
      <c r="R843" s="42"/>
      <c r="S843" s="42"/>
      <c r="T843" s="42" t="s">
        <v>616</v>
      </c>
      <c r="U843" t="str">
        <f>IFERROR(HYPERLINK("#'Main'!B"&amp;MATCH(TRIM(A843),Main!B:B,0),"Open"),HYPERLINK("#'Main'!B1","Open"))</f>
        <v>Open</v>
      </c>
    </row>
    <row r="844" spans="1:22" ht="30" customHeight="1" x14ac:dyDescent="0.25">
      <c r="A844" s="50" t="s">
        <v>214</v>
      </c>
      <c r="B844" s="33" t="s">
        <v>614</v>
      </c>
      <c r="C844" s="37" t="s">
        <v>1087</v>
      </c>
      <c r="D844" s="33"/>
      <c r="E844" s="52">
        <v>200</v>
      </c>
      <c r="F844" s="33" t="b">
        <v>1</v>
      </c>
      <c r="G844" s="33">
        <v>0</v>
      </c>
      <c r="H844" s="52">
        <v>0</v>
      </c>
      <c r="I844" s="33">
        <v>0</v>
      </c>
      <c r="J844" s="33">
        <v>0</v>
      </c>
      <c r="K844" s="33">
        <v>0</v>
      </c>
      <c r="L844" s="40" t="b">
        <v>0</v>
      </c>
      <c r="M844" s="33">
        <v>0</v>
      </c>
      <c r="N844" s="33">
        <v>0</v>
      </c>
      <c r="O844" s="52">
        <v>0</v>
      </c>
      <c r="P844" s="33">
        <v>0</v>
      </c>
      <c r="Q844" s="33">
        <v>0</v>
      </c>
      <c r="R844" s="33"/>
      <c r="S844" s="33"/>
      <c r="T844" s="33" t="s">
        <v>616</v>
      </c>
      <c r="U844" s="41" t="str">
        <f>IFERROR(HYPERLINK("#'Main'!B"&amp;MATCH(TRIM(A844),Main!B:B,0),"Open"),HYPERLINK("#'Main'!B1","Open"))</f>
        <v>Open</v>
      </c>
      <c r="V844" s="41"/>
    </row>
    <row r="845" spans="1:22" ht="30" customHeight="1" x14ac:dyDescent="0.25">
      <c r="A845" s="51" t="s">
        <v>214</v>
      </c>
      <c r="B845" s="42" t="s">
        <v>614</v>
      </c>
      <c r="C845" s="44" t="s">
        <v>1088</v>
      </c>
      <c r="D845" s="42"/>
      <c r="E845" s="52">
        <v>200</v>
      </c>
      <c r="F845" s="42" t="b">
        <v>1</v>
      </c>
      <c r="G845" s="42">
        <v>0</v>
      </c>
      <c r="H845" s="52">
        <v>0</v>
      </c>
      <c r="I845" s="42">
        <v>0</v>
      </c>
      <c r="J845" s="42">
        <v>0</v>
      </c>
      <c r="K845" s="42">
        <v>0</v>
      </c>
      <c r="L845" s="46" t="b">
        <v>0</v>
      </c>
      <c r="M845" s="42">
        <v>0</v>
      </c>
      <c r="N845" s="42">
        <v>0</v>
      </c>
      <c r="O845" s="52">
        <v>0</v>
      </c>
      <c r="P845" s="42">
        <v>0</v>
      </c>
      <c r="Q845" s="42">
        <v>0</v>
      </c>
      <c r="R845" s="42"/>
      <c r="S845" s="42"/>
      <c r="T845" s="42" t="s">
        <v>616</v>
      </c>
      <c r="U845" t="str">
        <f>IFERROR(HYPERLINK("#'Main'!B"&amp;MATCH(TRIM(A845),Main!B:B,0),"Open"),HYPERLINK("#'Main'!B1","Open"))</f>
        <v>Open</v>
      </c>
    </row>
    <row r="846" spans="1:22" ht="30" customHeight="1" x14ac:dyDescent="0.25">
      <c r="A846" s="50" t="s">
        <v>214</v>
      </c>
      <c r="B846" s="33" t="s">
        <v>614</v>
      </c>
      <c r="C846" s="37" t="s">
        <v>1089</v>
      </c>
      <c r="D846" s="33"/>
      <c r="E846" s="52">
        <v>200</v>
      </c>
      <c r="F846" s="33" t="b">
        <v>1</v>
      </c>
      <c r="G846" s="33">
        <v>0</v>
      </c>
      <c r="H846" s="52">
        <v>0</v>
      </c>
      <c r="I846" s="33">
        <v>0</v>
      </c>
      <c r="J846" s="33">
        <v>0</v>
      </c>
      <c r="K846" s="33">
        <v>0</v>
      </c>
      <c r="L846" s="40" t="b">
        <v>0</v>
      </c>
      <c r="M846" s="33">
        <v>0</v>
      </c>
      <c r="N846" s="33">
        <v>0</v>
      </c>
      <c r="O846" s="52">
        <v>0</v>
      </c>
      <c r="P846" s="33">
        <v>0</v>
      </c>
      <c r="Q846" s="33">
        <v>0</v>
      </c>
      <c r="R846" s="33"/>
      <c r="S846" s="33"/>
      <c r="T846" s="33" t="s">
        <v>616</v>
      </c>
      <c r="U846" s="41" t="str">
        <f>IFERROR(HYPERLINK("#'Main'!B"&amp;MATCH(TRIM(A846),Main!B:B,0),"Open"),HYPERLINK("#'Main'!B1","Open"))</f>
        <v>Open</v>
      </c>
      <c r="V846" s="41"/>
    </row>
    <row r="847" spans="1:22" ht="30" customHeight="1" x14ac:dyDescent="0.25">
      <c r="A847" s="51" t="s">
        <v>214</v>
      </c>
      <c r="B847" s="42" t="s">
        <v>614</v>
      </c>
      <c r="C847" s="44" t="s">
        <v>757</v>
      </c>
      <c r="D847" s="42"/>
      <c r="E847" s="52">
        <v>200</v>
      </c>
      <c r="F847" s="42" t="b">
        <v>1</v>
      </c>
      <c r="G847" s="42">
        <v>0</v>
      </c>
      <c r="H847" s="52">
        <v>0</v>
      </c>
      <c r="I847" s="42">
        <v>0</v>
      </c>
      <c r="J847" s="42">
        <v>0</v>
      </c>
      <c r="K847" s="42">
        <v>0</v>
      </c>
      <c r="L847" s="46" t="b">
        <v>0</v>
      </c>
      <c r="M847" s="42">
        <v>0</v>
      </c>
      <c r="N847" s="42">
        <v>0</v>
      </c>
      <c r="O847" s="52">
        <v>0</v>
      </c>
      <c r="P847" s="42">
        <v>0</v>
      </c>
      <c r="Q847" s="42">
        <v>0</v>
      </c>
      <c r="R847" s="42"/>
      <c r="S847" s="42"/>
      <c r="T847" s="42" t="s">
        <v>616</v>
      </c>
      <c r="U847" t="str">
        <f>IFERROR(HYPERLINK("#'Main'!B"&amp;MATCH(TRIM(A847),Main!B:B,0),"Open"),HYPERLINK("#'Main'!B1","Open"))</f>
        <v>Open</v>
      </c>
    </row>
    <row r="848" spans="1:22" ht="30" customHeight="1" x14ac:dyDescent="0.25">
      <c r="A848" s="50" t="s">
        <v>214</v>
      </c>
      <c r="B848" s="33" t="s">
        <v>614</v>
      </c>
      <c r="C848" s="37" t="s">
        <v>1090</v>
      </c>
      <c r="D848" s="33"/>
      <c r="E848" s="52">
        <v>200</v>
      </c>
      <c r="F848" s="33" t="b">
        <v>1</v>
      </c>
      <c r="G848" s="33">
        <v>0</v>
      </c>
      <c r="H848" s="52">
        <v>0</v>
      </c>
      <c r="I848" s="33">
        <v>0</v>
      </c>
      <c r="J848" s="33">
        <v>0</v>
      </c>
      <c r="K848" s="33">
        <v>0</v>
      </c>
      <c r="L848" s="40" t="b">
        <v>0</v>
      </c>
      <c r="M848" s="33">
        <v>0</v>
      </c>
      <c r="N848" s="33">
        <v>0</v>
      </c>
      <c r="O848" s="52">
        <v>0</v>
      </c>
      <c r="P848" s="33">
        <v>0</v>
      </c>
      <c r="Q848" s="33">
        <v>0</v>
      </c>
      <c r="R848" s="33"/>
      <c r="S848" s="33"/>
      <c r="T848" s="33" t="s">
        <v>616</v>
      </c>
      <c r="U848" s="41" t="str">
        <f>IFERROR(HYPERLINK("#'Main'!B"&amp;MATCH(TRIM(A848),Main!B:B,0),"Open"),HYPERLINK("#'Main'!B1","Open"))</f>
        <v>Open</v>
      </c>
      <c r="V848" s="41"/>
    </row>
    <row r="849" spans="1:22" ht="30" customHeight="1" x14ac:dyDescent="0.25">
      <c r="A849" s="51" t="s">
        <v>214</v>
      </c>
      <c r="B849" s="42" t="s">
        <v>614</v>
      </c>
      <c r="C849" s="44" t="s">
        <v>1091</v>
      </c>
      <c r="D849" s="42"/>
      <c r="E849" s="52">
        <v>200</v>
      </c>
      <c r="F849" s="42" t="b">
        <v>1</v>
      </c>
      <c r="G849" s="42">
        <v>0</v>
      </c>
      <c r="H849" s="52">
        <v>0</v>
      </c>
      <c r="I849" s="42">
        <v>0</v>
      </c>
      <c r="J849" s="42">
        <v>0</v>
      </c>
      <c r="K849" s="42">
        <v>0</v>
      </c>
      <c r="L849" s="46" t="b">
        <v>0</v>
      </c>
      <c r="M849" s="42">
        <v>0</v>
      </c>
      <c r="N849" s="42">
        <v>0</v>
      </c>
      <c r="O849" s="52">
        <v>0</v>
      </c>
      <c r="P849" s="42">
        <v>0</v>
      </c>
      <c r="Q849" s="42">
        <v>0</v>
      </c>
      <c r="R849" s="42"/>
      <c r="S849" s="42"/>
      <c r="T849" s="42" t="s">
        <v>616</v>
      </c>
      <c r="U849" t="str">
        <f>IFERROR(HYPERLINK("#'Main'!B"&amp;MATCH(TRIM(A849),Main!B:B,0),"Open"),HYPERLINK("#'Main'!B1","Open"))</f>
        <v>Open</v>
      </c>
    </row>
    <row r="850" spans="1:22" ht="30" customHeight="1" x14ac:dyDescent="0.25">
      <c r="A850" s="50" t="s">
        <v>214</v>
      </c>
      <c r="B850" s="33" t="s">
        <v>614</v>
      </c>
      <c r="C850" s="37" t="s">
        <v>1092</v>
      </c>
      <c r="D850" s="33"/>
      <c r="E850" s="52">
        <v>200</v>
      </c>
      <c r="F850" s="33" t="b">
        <v>1</v>
      </c>
      <c r="G850" s="33">
        <v>0</v>
      </c>
      <c r="H850" s="52">
        <v>0</v>
      </c>
      <c r="I850" s="33">
        <v>0</v>
      </c>
      <c r="J850" s="33">
        <v>0</v>
      </c>
      <c r="K850" s="33">
        <v>0</v>
      </c>
      <c r="L850" s="40" t="b">
        <v>0</v>
      </c>
      <c r="M850" s="33">
        <v>0</v>
      </c>
      <c r="N850" s="33">
        <v>0</v>
      </c>
      <c r="O850" s="52">
        <v>0</v>
      </c>
      <c r="P850" s="33">
        <v>0</v>
      </c>
      <c r="Q850" s="33">
        <v>0</v>
      </c>
      <c r="R850" s="33"/>
      <c r="S850" s="33"/>
      <c r="T850" s="33" t="s">
        <v>616</v>
      </c>
      <c r="U850" s="41" t="str">
        <f>IFERROR(HYPERLINK("#'Main'!B"&amp;MATCH(TRIM(A850),Main!B:B,0),"Open"),HYPERLINK("#'Main'!B1","Open"))</f>
        <v>Open</v>
      </c>
      <c r="V850" s="41"/>
    </row>
    <row r="851" spans="1:22" ht="30" customHeight="1" x14ac:dyDescent="0.25">
      <c r="A851" s="51" t="s">
        <v>214</v>
      </c>
      <c r="B851" s="42" t="s">
        <v>614</v>
      </c>
      <c r="C851" s="44" t="s">
        <v>1093</v>
      </c>
      <c r="D851" s="42"/>
      <c r="E851" s="52">
        <v>200</v>
      </c>
      <c r="F851" s="42" t="b">
        <v>1</v>
      </c>
      <c r="G851" s="42">
        <v>0</v>
      </c>
      <c r="H851" s="52">
        <v>0</v>
      </c>
      <c r="I851" s="42">
        <v>0</v>
      </c>
      <c r="J851" s="42">
        <v>0</v>
      </c>
      <c r="K851" s="42">
        <v>0</v>
      </c>
      <c r="L851" s="46" t="b">
        <v>0</v>
      </c>
      <c r="M851" s="42">
        <v>0</v>
      </c>
      <c r="N851" s="42">
        <v>0</v>
      </c>
      <c r="O851" s="52">
        <v>0</v>
      </c>
      <c r="P851" s="42">
        <v>0</v>
      </c>
      <c r="Q851" s="42">
        <v>0</v>
      </c>
      <c r="R851" s="42"/>
      <c r="S851" s="42"/>
      <c r="T851" s="42" t="s">
        <v>616</v>
      </c>
      <c r="U851" t="str">
        <f>IFERROR(HYPERLINK("#'Main'!B"&amp;MATCH(TRIM(A851),Main!B:B,0),"Open"),HYPERLINK("#'Main'!B1","Open"))</f>
        <v>Open</v>
      </c>
    </row>
    <row r="852" spans="1:22" ht="30" customHeight="1" x14ac:dyDescent="0.25">
      <c r="A852" s="50" t="s">
        <v>214</v>
      </c>
      <c r="B852" s="33" t="s">
        <v>614</v>
      </c>
      <c r="C852" s="37" t="s">
        <v>1094</v>
      </c>
      <c r="D852" s="33"/>
      <c r="E852" s="52">
        <v>200</v>
      </c>
      <c r="F852" s="33" t="b">
        <v>1</v>
      </c>
      <c r="G852" s="33">
        <v>0</v>
      </c>
      <c r="H852" s="52">
        <v>0</v>
      </c>
      <c r="I852" s="33">
        <v>0</v>
      </c>
      <c r="J852" s="33">
        <v>0</v>
      </c>
      <c r="K852" s="33">
        <v>0</v>
      </c>
      <c r="L852" s="40" t="b">
        <v>0</v>
      </c>
      <c r="M852" s="33">
        <v>0</v>
      </c>
      <c r="N852" s="33">
        <v>0</v>
      </c>
      <c r="O852" s="52">
        <v>0</v>
      </c>
      <c r="P852" s="33">
        <v>0</v>
      </c>
      <c r="Q852" s="33">
        <v>0</v>
      </c>
      <c r="R852" s="33"/>
      <c r="S852" s="33"/>
      <c r="T852" s="33" t="s">
        <v>616</v>
      </c>
      <c r="U852" s="41" t="str">
        <f>IFERROR(HYPERLINK("#'Main'!B"&amp;MATCH(TRIM(A852),Main!B:B,0),"Open"),HYPERLINK("#'Main'!B1","Open"))</f>
        <v>Open</v>
      </c>
      <c r="V852" s="41"/>
    </row>
    <row r="853" spans="1:22" ht="30" customHeight="1" x14ac:dyDescent="0.25">
      <c r="A853" s="51" t="s">
        <v>214</v>
      </c>
      <c r="B853" s="42" t="s">
        <v>614</v>
      </c>
      <c r="C853" s="44" t="s">
        <v>1095</v>
      </c>
      <c r="D853" s="42"/>
      <c r="E853" s="52">
        <v>200</v>
      </c>
      <c r="F853" s="42" t="b">
        <v>1</v>
      </c>
      <c r="G853" s="42">
        <v>0</v>
      </c>
      <c r="H853" s="52">
        <v>0</v>
      </c>
      <c r="I853" s="42">
        <v>0</v>
      </c>
      <c r="J853" s="42">
        <v>0</v>
      </c>
      <c r="K853" s="42">
        <v>0</v>
      </c>
      <c r="L853" s="46" t="b">
        <v>0</v>
      </c>
      <c r="M853" s="42">
        <v>0</v>
      </c>
      <c r="N853" s="42">
        <v>0</v>
      </c>
      <c r="O853" s="52">
        <v>0</v>
      </c>
      <c r="P853" s="42">
        <v>0</v>
      </c>
      <c r="Q853" s="42">
        <v>0</v>
      </c>
      <c r="R853" s="42"/>
      <c r="S853" s="42"/>
      <c r="T853" s="42" t="s">
        <v>616</v>
      </c>
      <c r="U853" t="str">
        <f>IFERROR(HYPERLINK("#'Main'!B"&amp;MATCH(TRIM(A853),Main!B:B,0),"Open"),HYPERLINK("#'Main'!B1","Open"))</f>
        <v>Open</v>
      </c>
    </row>
    <row r="854" spans="1:22" ht="30" customHeight="1" x14ac:dyDescent="0.25">
      <c r="A854" s="50" t="s">
        <v>214</v>
      </c>
      <c r="B854" s="33" t="s">
        <v>614</v>
      </c>
      <c r="C854" s="37" t="s">
        <v>1096</v>
      </c>
      <c r="D854" s="33"/>
      <c r="E854" s="52">
        <v>200</v>
      </c>
      <c r="F854" s="33" t="b">
        <v>1</v>
      </c>
      <c r="G854" s="33">
        <v>0</v>
      </c>
      <c r="H854" s="52">
        <v>0</v>
      </c>
      <c r="I854" s="33">
        <v>0</v>
      </c>
      <c r="J854" s="33">
        <v>0</v>
      </c>
      <c r="K854" s="33">
        <v>0</v>
      </c>
      <c r="L854" s="40" t="b">
        <v>0</v>
      </c>
      <c r="M854" s="33">
        <v>0</v>
      </c>
      <c r="N854" s="33">
        <v>0</v>
      </c>
      <c r="O854" s="52">
        <v>0</v>
      </c>
      <c r="P854" s="33">
        <v>0</v>
      </c>
      <c r="Q854" s="33">
        <v>0</v>
      </c>
      <c r="R854" s="33"/>
      <c r="S854" s="33"/>
      <c r="T854" s="33" t="s">
        <v>616</v>
      </c>
      <c r="U854" s="41" t="str">
        <f>IFERROR(HYPERLINK("#'Main'!B"&amp;MATCH(TRIM(A854),Main!B:B,0),"Open"),HYPERLINK("#'Main'!B1","Open"))</f>
        <v>Open</v>
      </c>
      <c r="V854" s="41"/>
    </row>
    <row r="855" spans="1:22" ht="30" customHeight="1" x14ac:dyDescent="0.25">
      <c r="A855" s="51" t="s">
        <v>214</v>
      </c>
      <c r="B855" s="42" t="s">
        <v>614</v>
      </c>
      <c r="C855" s="44" t="s">
        <v>1097</v>
      </c>
      <c r="D855" s="42"/>
      <c r="E855" s="52">
        <v>200</v>
      </c>
      <c r="F855" s="42" t="b">
        <v>1</v>
      </c>
      <c r="G855" s="42">
        <v>0</v>
      </c>
      <c r="H855" s="52">
        <v>0</v>
      </c>
      <c r="I855" s="42">
        <v>0</v>
      </c>
      <c r="J855" s="42">
        <v>0</v>
      </c>
      <c r="K855" s="42">
        <v>0</v>
      </c>
      <c r="L855" s="46" t="b">
        <v>0</v>
      </c>
      <c r="M855" s="42">
        <v>0</v>
      </c>
      <c r="N855" s="42">
        <v>0</v>
      </c>
      <c r="O855" s="52">
        <v>0</v>
      </c>
      <c r="P855" s="42">
        <v>0</v>
      </c>
      <c r="Q855" s="42">
        <v>0</v>
      </c>
      <c r="R855" s="42"/>
      <c r="S855" s="42"/>
      <c r="T855" s="42" t="s">
        <v>616</v>
      </c>
      <c r="U855" t="str">
        <f>IFERROR(HYPERLINK("#'Main'!B"&amp;MATCH(TRIM(A855),Main!B:B,0),"Open"),HYPERLINK("#'Main'!B1","Open"))</f>
        <v>Open</v>
      </c>
    </row>
    <row r="856" spans="1:22" ht="30" customHeight="1" x14ac:dyDescent="0.25">
      <c r="A856" s="50" t="s">
        <v>214</v>
      </c>
      <c r="B856" s="33" t="s">
        <v>614</v>
      </c>
      <c r="C856" s="37" t="s">
        <v>1098</v>
      </c>
      <c r="D856" s="33"/>
      <c r="E856" s="52">
        <v>200</v>
      </c>
      <c r="F856" s="33" t="b">
        <v>1</v>
      </c>
      <c r="G856" s="33">
        <v>0</v>
      </c>
      <c r="H856" s="52">
        <v>0</v>
      </c>
      <c r="I856" s="33">
        <v>0</v>
      </c>
      <c r="J856" s="33">
        <v>0</v>
      </c>
      <c r="K856" s="33">
        <v>0</v>
      </c>
      <c r="L856" s="40" t="b">
        <v>0</v>
      </c>
      <c r="M856" s="33">
        <v>0</v>
      </c>
      <c r="N856" s="33">
        <v>0</v>
      </c>
      <c r="O856" s="52">
        <v>0</v>
      </c>
      <c r="P856" s="33">
        <v>0</v>
      </c>
      <c r="Q856" s="33">
        <v>0</v>
      </c>
      <c r="R856" s="33"/>
      <c r="S856" s="33"/>
      <c r="T856" s="33" t="s">
        <v>616</v>
      </c>
      <c r="U856" s="41" t="str">
        <f>IFERROR(HYPERLINK("#'Main'!B"&amp;MATCH(TRIM(A856),Main!B:B,0),"Open"),HYPERLINK("#'Main'!B1","Open"))</f>
        <v>Open</v>
      </c>
      <c r="V856" s="41"/>
    </row>
    <row r="857" spans="1:22" ht="30" customHeight="1" x14ac:dyDescent="0.25">
      <c r="A857" s="51" t="s">
        <v>214</v>
      </c>
      <c r="B857" s="42" t="s">
        <v>614</v>
      </c>
      <c r="C857" s="44" t="s">
        <v>1099</v>
      </c>
      <c r="D857" s="42"/>
      <c r="E857" s="52">
        <v>200</v>
      </c>
      <c r="F857" s="42" t="b">
        <v>1</v>
      </c>
      <c r="G857" s="42">
        <v>0</v>
      </c>
      <c r="H857" s="52">
        <v>0</v>
      </c>
      <c r="I857" s="42">
        <v>0</v>
      </c>
      <c r="J857" s="42">
        <v>0</v>
      </c>
      <c r="K857" s="42">
        <v>0</v>
      </c>
      <c r="L857" s="46" t="b">
        <v>0</v>
      </c>
      <c r="M857" s="42">
        <v>0</v>
      </c>
      <c r="N857" s="42">
        <v>0</v>
      </c>
      <c r="O857" s="52">
        <v>0</v>
      </c>
      <c r="P857" s="42">
        <v>0</v>
      </c>
      <c r="Q857" s="42">
        <v>0</v>
      </c>
      <c r="R857" s="42"/>
      <c r="S857" s="42"/>
      <c r="T857" s="42" t="s">
        <v>616</v>
      </c>
      <c r="U857" t="str">
        <f>IFERROR(HYPERLINK("#'Main'!B"&amp;MATCH(TRIM(A857),Main!B:B,0),"Open"),HYPERLINK("#'Main'!B1","Open"))</f>
        <v>Open</v>
      </c>
    </row>
    <row r="858" spans="1:22" ht="30" customHeight="1" x14ac:dyDescent="0.25">
      <c r="A858" s="50" t="s">
        <v>214</v>
      </c>
      <c r="B858" s="33" t="s">
        <v>614</v>
      </c>
      <c r="C858" s="37" t="s">
        <v>1100</v>
      </c>
      <c r="D858" s="33"/>
      <c r="E858" s="52">
        <v>200</v>
      </c>
      <c r="F858" s="33" t="b">
        <v>1</v>
      </c>
      <c r="G858" s="33">
        <v>0</v>
      </c>
      <c r="H858" s="52">
        <v>0</v>
      </c>
      <c r="I858" s="33">
        <v>0</v>
      </c>
      <c r="J858" s="33">
        <v>0</v>
      </c>
      <c r="K858" s="33">
        <v>0</v>
      </c>
      <c r="L858" s="40" t="b">
        <v>0</v>
      </c>
      <c r="M858" s="33">
        <v>0</v>
      </c>
      <c r="N858" s="33">
        <v>0</v>
      </c>
      <c r="O858" s="52">
        <v>0</v>
      </c>
      <c r="P858" s="33">
        <v>0</v>
      </c>
      <c r="Q858" s="33">
        <v>0</v>
      </c>
      <c r="R858" s="33"/>
      <c r="S858" s="33"/>
      <c r="T858" s="33" t="s">
        <v>616</v>
      </c>
      <c r="U858" s="41" t="str">
        <f>IFERROR(HYPERLINK("#'Main'!B"&amp;MATCH(TRIM(A858),Main!B:B,0),"Open"),HYPERLINK("#'Main'!B1","Open"))</f>
        <v>Open</v>
      </c>
      <c r="V858" s="41"/>
    </row>
    <row r="859" spans="1:22" ht="30" customHeight="1" x14ac:dyDescent="0.25">
      <c r="A859" s="51" t="s">
        <v>214</v>
      </c>
      <c r="B859" s="42" t="s">
        <v>614</v>
      </c>
      <c r="C859" s="44" t="s">
        <v>1101</v>
      </c>
      <c r="D859" s="42"/>
      <c r="E859" s="52">
        <v>200</v>
      </c>
      <c r="F859" s="42" t="b">
        <v>1</v>
      </c>
      <c r="G859" s="42">
        <v>0</v>
      </c>
      <c r="H859" s="52">
        <v>0</v>
      </c>
      <c r="I859" s="42">
        <v>0</v>
      </c>
      <c r="J859" s="42">
        <v>0</v>
      </c>
      <c r="K859" s="42">
        <v>0</v>
      </c>
      <c r="L859" s="46" t="b">
        <v>0</v>
      </c>
      <c r="M859" s="42">
        <v>0</v>
      </c>
      <c r="N859" s="42">
        <v>0</v>
      </c>
      <c r="O859" s="52">
        <v>0</v>
      </c>
      <c r="P859" s="42">
        <v>0</v>
      </c>
      <c r="Q859" s="42">
        <v>0</v>
      </c>
      <c r="R859" s="42"/>
      <c r="S859" s="42"/>
      <c r="T859" s="42" t="s">
        <v>616</v>
      </c>
      <c r="U859" t="str">
        <f>IFERROR(HYPERLINK("#'Main'!B"&amp;MATCH(TRIM(A859),Main!B:B,0),"Open"),HYPERLINK("#'Main'!B1","Open"))</f>
        <v>Open</v>
      </c>
    </row>
    <row r="860" spans="1:22" ht="30" customHeight="1" x14ac:dyDescent="0.25">
      <c r="A860" s="50" t="s">
        <v>214</v>
      </c>
      <c r="B860" s="33" t="s">
        <v>614</v>
      </c>
      <c r="C860" s="37" t="s">
        <v>1102</v>
      </c>
      <c r="D860" s="33"/>
      <c r="E860" s="52">
        <v>200</v>
      </c>
      <c r="F860" s="33" t="b">
        <v>1</v>
      </c>
      <c r="G860" s="33">
        <v>0</v>
      </c>
      <c r="H860" s="52">
        <v>0</v>
      </c>
      <c r="I860" s="33">
        <v>0</v>
      </c>
      <c r="J860" s="33">
        <v>0</v>
      </c>
      <c r="K860" s="33">
        <v>0</v>
      </c>
      <c r="L860" s="40" t="b">
        <v>0</v>
      </c>
      <c r="M860" s="33">
        <v>0</v>
      </c>
      <c r="N860" s="33">
        <v>0</v>
      </c>
      <c r="O860" s="52">
        <v>0</v>
      </c>
      <c r="P860" s="33">
        <v>0</v>
      </c>
      <c r="Q860" s="33">
        <v>0</v>
      </c>
      <c r="R860" s="33"/>
      <c r="S860" s="33"/>
      <c r="T860" s="33" t="s">
        <v>616</v>
      </c>
      <c r="U860" s="41" t="str">
        <f>IFERROR(HYPERLINK("#'Main'!B"&amp;MATCH(TRIM(A860),Main!B:B,0),"Open"),HYPERLINK("#'Main'!B1","Open"))</f>
        <v>Open</v>
      </c>
      <c r="V860" s="41"/>
    </row>
    <row r="861" spans="1:22" ht="30" customHeight="1" x14ac:dyDescent="0.25">
      <c r="A861" s="51" t="s">
        <v>214</v>
      </c>
      <c r="B861" s="42" t="s">
        <v>614</v>
      </c>
      <c r="C861" s="44" t="s">
        <v>1103</v>
      </c>
      <c r="D861" s="42"/>
      <c r="E861" s="52">
        <v>200</v>
      </c>
      <c r="F861" s="42" t="b">
        <v>1</v>
      </c>
      <c r="G861" s="42">
        <v>0</v>
      </c>
      <c r="H861" s="52">
        <v>0</v>
      </c>
      <c r="I861" s="42">
        <v>0</v>
      </c>
      <c r="J861" s="42">
        <v>0</v>
      </c>
      <c r="K861" s="42">
        <v>0</v>
      </c>
      <c r="L861" s="46" t="b">
        <v>0</v>
      </c>
      <c r="M861" s="42">
        <v>0</v>
      </c>
      <c r="N861" s="42">
        <v>0</v>
      </c>
      <c r="O861" s="52">
        <v>0</v>
      </c>
      <c r="P861" s="42">
        <v>0</v>
      </c>
      <c r="Q861" s="42">
        <v>0</v>
      </c>
      <c r="R861" s="42"/>
      <c r="S861" s="42"/>
      <c r="T861" s="42" t="s">
        <v>616</v>
      </c>
      <c r="U861" t="str">
        <f>IFERROR(HYPERLINK("#'Main'!B"&amp;MATCH(TRIM(A861),Main!B:B,0),"Open"),HYPERLINK("#'Main'!B1","Open"))</f>
        <v>Open</v>
      </c>
    </row>
    <row r="862" spans="1:22" ht="30" customHeight="1" x14ac:dyDescent="0.25">
      <c r="A862" s="50" t="s">
        <v>214</v>
      </c>
      <c r="B862" s="33" t="s">
        <v>614</v>
      </c>
      <c r="C862" s="37" t="s">
        <v>1104</v>
      </c>
      <c r="D862" s="33"/>
      <c r="E862" s="52">
        <v>200</v>
      </c>
      <c r="F862" s="33" t="b">
        <v>1</v>
      </c>
      <c r="G862" s="33">
        <v>0</v>
      </c>
      <c r="H862" s="52">
        <v>0</v>
      </c>
      <c r="I862" s="33">
        <v>0</v>
      </c>
      <c r="J862" s="33">
        <v>0</v>
      </c>
      <c r="K862" s="33">
        <v>0</v>
      </c>
      <c r="L862" s="40" t="b">
        <v>0</v>
      </c>
      <c r="M862" s="33">
        <v>0</v>
      </c>
      <c r="N862" s="33">
        <v>0</v>
      </c>
      <c r="O862" s="52">
        <v>0</v>
      </c>
      <c r="P862" s="33">
        <v>0</v>
      </c>
      <c r="Q862" s="33">
        <v>0</v>
      </c>
      <c r="R862" s="33"/>
      <c r="S862" s="33"/>
      <c r="T862" s="33" t="s">
        <v>616</v>
      </c>
      <c r="U862" s="41" t="str">
        <f>IFERROR(HYPERLINK("#'Main'!B"&amp;MATCH(TRIM(A862),Main!B:B,0),"Open"),HYPERLINK("#'Main'!B1","Open"))</f>
        <v>Open</v>
      </c>
      <c r="V862" s="41"/>
    </row>
    <row r="863" spans="1:22" ht="30" customHeight="1" x14ac:dyDescent="0.25">
      <c r="A863" s="51" t="s">
        <v>214</v>
      </c>
      <c r="B863" s="42" t="s">
        <v>614</v>
      </c>
      <c r="C863" s="44" t="s">
        <v>756</v>
      </c>
      <c r="D863" s="42"/>
      <c r="E863" s="52">
        <v>200</v>
      </c>
      <c r="F863" s="42" t="b">
        <v>1</v>
      </c>
      <c r="G863" s="42">
        <v>0</v>
      </c>
      <c r="H863" s="52">
        <v>0</v>
      </c>
      <c r="I863" s="42">
        <v>0</v>
      </c>
      <c r="J863" s="42">
        <v>0</v>
      </c>
      <c r="K863" s="42">
        <v>0</v>
      </c>
      <c r="L863" s="46" t="b">
        <v>0</v>
      </c>
      <c r="M863" s="42">
        <v>0</v>
      </c>
      <c r="N863" s="42">
        <v>0</v>
      </c>
      <c r="O863" s="52">
        <v>0</v>
      </c>
      <c r="P863" s="42">
        <v>0</v>
      </c>
      <c r="Q863" s="42">
        <v>0</v>
      </c>
      <c r="R863" s="42"/>
      <c r="S863" s="42"/>
      <c r="T863" s="42" t="s">
        <v>616</v>
      </c>
      <c r="U863" t="str">
        <f>IFERROR(HYPERLINK("#'Main'!B"&amp;MATCH(TRIM(A863),Main!B:B,0),"Open"),HYPERLINK("#'Main'!B1","Open"))</f>
        <v>Open</v>
      </c>
    </row>
    <row r="864" spans="1:22" ht="30" customHeight="1" x14ac:dyDescent="0.25">
      <c r="A864" s="50" t="s">
        <v>214</v>
      </c>
      <c r="B864" s="33" t="s">
        <v>614</v>
      </c>
      <c r="C864" s="37" t="s">
        <v>1105</v>
      </c>
      <c r="D864" s="33"/>
      <c r="E864" s="52">
        <v>200</v>
      </c>
      <c r="F864" s="33" t="b">
        <v>1</v>
      </c>
      <c r="G864" s="33">
        <v>0</v>
      </c>
      <c r="H864" s="52">
        <v>0</v>
      </c>
      <c r="I864" s="33">
        <v>0</v>
      </c>
      <c r="J864" s="33">
        <v>0</v>
      </c>
      <c r="K864" s="33">
        <v>0</v>
      </c>
      <c r="L864" s="40" t="b">
        <v>0</v>
      </c>
      <c r="M864" s="33">
        <v>0</v>
      </c>
      <c r="N864" s="33">
        <v>0</v>
      </c>
      <c r="O864" s="52">
        <v>0</v>
      </c>
      <c r="P864" s="33">
        <v>0</v>
      </c>
      <c r="Q864" s="33">
        <v>0</v>
      </c>
      <c r="R864" s="33"/>
      <c r="S864" s="33"/>
      <c r="T864" s="33" t="s">
        <v>616</v>
      </c>
      <c r="U864" s="41" t="str">
        <f>IFERROR(HYPERLINK("#'Main'!B"&amp;MATCH(TRIM(A864),Main!B:B,0),"Open"),HYPERLINK("#'Main'!B1","Open"))</f>
        <v>Open</v>
      </c>
      <c r="V864" s="41"/>
    </row>
    <row r="865" spans="1:22" ht="30" customHeight="1" x14ac:dyDescent="0.25">
      <c r="A865" s="51" t="s">
        <v>214</v>
      </c>
      <c r="B865" s="42" t="s">
        <v>614</v>
      </c>
      <c r="C865" s="44" t="s">
        <v>1106</v>
      </c>
      <c r="D865" s="42"/>
      <c r="E865" s="52">
        <v>200</v>
      </c>
      <c r="F865" s="42" t="b">
        <v>1</v>
      </c>
      <c r="G865" s="42">
        <v>0</v>
      </c>
      <c r="H865" s="52">
        <v>0</v>
      </c>
      <c r="I865" s="42">
        <v>0</v>
      </c>
      <c r="J865" s="42">
        <v>0</v>
      </c>
      <c r="K865" s="42">
        <v>0</v>
      </c>
      <c r="L865" s="46" t="b">
        <v>0</v>
      </c>
      <c r="M865" s="42">
        <v>0</v>
      </c>
      <c r="N865" s="42">
        <v>0</v>
      </c>
      <c r="O865" s="52">
        <v>0</v>
      </c>
      <c r="P865" s="42">
        <v>0</v>
      </c>
      <c r="Q865" s="42">
        <v>0</v>
      </c>
      <c r="R865" s="42"/>
      <c r="S865" s="42"/>
      <c r="T865" s="42" t="s">
        <v>616</v>
      </c>
      <c r="U865" t="str">
        <f>IFERROR(HYPERLINK("#'Main'!B"&amp;MATCH(TRIM(A865),Main!B:B,0),"Open"),HYPERLINK("#'Main'!B1","Open"))</f>
        <v>Open</v>
      </c>
    </row>
    <row r="866" spans="1:22" ht="30" customHeight="1" x14ac:dyDescent="0.25">
      <c r="A866" s="50" t="s">
        <v>214</v>
      </c>
      <c r="B866" s="33" t="s">
        <v>614</v>
      </c>
      <c r="C866" s="37" t="s">
        <v>1107</v>
      </c>
      <c r="D866" s="33"/>
      <c r="E866" s="52">
        <v>200</v>
      </c>
      <c r="F866" s="33" t="b">
        <v>1</v>
      </c>
      <c r="G866" s="33">
        <v>0</v>
      </c>
      <c r="H866" s="52">
        <v>0</v>
      </c>
      <c r="I866" s="33">
        <v>0</v>
      </c>
      <c r="J866" s="33">
        <v>0</v>
      </c>
      <c r="K866" s="33">
        <v>0</v>
      </c>
      <c r="L866" s="40" t="b">
        <v>0</v>
      </c>
      <c r="M866" s="33">
        <v>0</v>
      </c>
      <c r="N866" s="33">
        <v>0</v>
      </c>
      <c r="O866" s="52">
        <v>0</v>
      </c>
      <c r="P866" s="33">
        <v>0</v>
      </c>
      <c r="Q866" s="33">
        <v>0</v>
      </c>
      <c r="R866" s="33"/>
      <c r="S866" s="33"/>
      <c r="T866" s="33" t="s">
        <v>616</v>
      </c>
      <c r="U866" s="41" t="str">
        <f>IFERROR(HYPERLINK("#'Main'!B"&amp;MATCH(TRIM(A866),Main!B:B,0),"Open"),HYPERLINK("#'Main'!B1","Open"))</f>
        <v>Open</v>
      </c>
      <c r="V866" s="41"/>
    </row>
    <row r="867" spans="1:22" ht="30" customHeight="1" x14ac:dyDescent="0.25">
      <c r="A867" s="51" t="s">
        <v>214</v>
      </c>
      <c r="B867" s="42" t="s">
        <v>614</v>
      </c>
      <c r="C867" s="44" t="s">
        <v>1108</v>
      </c>
      <c r="D867" s="42"/>
      <c r="E867" s="52">
        <v>200</v>
      </c>
      <c r="F867" s="42" t="b">
        <v>1</v>
      </c>
      <c r="G867" s="42">
        <v>0</v>
      </c>
      <c r="H867" s="52">
        <v>0</v>
      </c>
      <c r="I867" s="42">
        <v>0</v>
      </c>
      <c r="J867" s="42">
        <v>0</v>
      </c>
      <c r="K867" s="42">
        <v>0</v>
      </c>
      <c r="L867" s="46" t="b">
        <v>0</v>
      </c>
      <c r="M867" s="42">
        <v>0</v>
      </c>
      <c r="N867" s="42">
        <v>0</v>
      </c>
      <c r="O867" s="52">
        <v>0</v>
      </c>
      <c r="P867" s="42">
        <v>0</v>
      </c>
      <c r="Q867" s="42">
        <v>0</v>
      </c>
      <c r="R867" s="42"/>
      <c r="S867" s="42"/>
      <c r="T867" s="42" t="s">
        <v>616</v>
      </c>
      <c r="U867" t="str">
        <f>IFERROR(HYPERLINK("#'Main'!B"&amp;MATCH(TRIM(A867),Main!B:B,0),"Open"),HYPERLINK("#'Main'!B1","Open"))</f>
        <v>Open</v>
      </c>
    </row>
    <row r="868" spans="1:22" ht="30" customHeight="1" x14ac:dyDescent="0.25">
      <c r="A868" s="50" t="s">
        <v>214</v>
      </c>
      <c r="B868" s="33" t="s">
        <v>614</v>
      </c>
      <c r="C868" s="37" t="s">
        <v>1109</v>
      </c>
      <c r="D868" s="33"/>
      <c r="E868" s="52">
        <v>200</v>
      </c>
      <c r="F868" s="33" t="b">
        <v>1</v>
      </c>
      <c r="G868" s="33">
        <v>0</v>
      </c>
      <c r="H868" s="52">
        <v>0</v>
      </c>
      <c r="I868" s="33">
        <v>0</v>
      </c>
      <c r="J868" s="33">
        <v>0</v>
      </c>
      <c r="K868" s="33">
        <v>0</v>
      </c>
      <c r="L868" s="40" t="b">
        <v>0</v>
      </c>
      <c r="M868" s="33">
        <v>0</v>
      </c>
      <c r="N868" s="33">
        <v>0</v>
      </c>
      <c r="O868" s="52">
        <v>0</v>
      </c>
      <c r="P868" s="33">
        <v>0</v>
      </c>
      <c r="Q868" s="33">
        <v>0</v>
      </c>
      <c r="R868" s="33"/>
      <c r="S868" s="33"/>
      <c r="T868" s="33" t="s">
        <v>616</v>
      </c>
      <c r="U868" s="41" t="str">
        <f>IFERROR(HYPERLINK("#'Main'!B"&amp;MATCH(TRIM(A868),Main!B:B,0),"Open"),HYPERLINK("#'Main'!B1","Open"))</f>
        <v>Open</v>
      </c>
      <c r="V868" s="41"/>
    </row>
    <row r="869" spans="1:22" ht="30" customHeight="1" x14ac:dyDescent="0.25">
      <c r="A869" s="51" t="s">
        <v>214</v>
      </c>
      <c r="B869" s="42" t="s">
        <v>614</v>
      </c>
      <c r="C869" s="44" t="s">
        <v>1110</v>
      </c>
      <c r="D869" s="42"/>
      <c r="E869" s="52">
        <v>200</v>
      </c>
      <c r="F869" s="42" t="b">
        <v>1</v>
      </c>
      <c r="G869" s="42">
        <v>0</v>
      </c>
      <c r="H869" s="52">
        <v>0</v>
      </c>
      <c r="I869" s="42">
        <v>0</v>
      </c>
      <c r="J869" s="42">
        <v>0</v>
      </c>
      <c r="K869" s="42">
        <v>0</v>
      </c>
      <c r="L869" s="46" t="b">
        <v>0</v>
      </c>
      <c r="M869" s="42">
        <v>0</v>
      </c>
      <c r="N869" s="42">
        <v>0</v>
      </c>
      <c r="O869" s="52">
        <v>0</v>
      </c>
      <c r="P869" s="42">
        <v>0</v>
      </c>
      <c r="Q869" s="42">
        <v>0</v>
      </c>
      <c r="R869" s="42"/>
      <c r="S869" s="42"/>
      <c r="T869" s="42" t="s">
        <v>616</v>
      </c>
      <c r="U869" t="str">
        <f>IFERROR(HYPERLINK("#'Main'!B"&amp;MATCH(TRIM(A869),Main!B:B,0),"Open"),HYPERLINK("#'Main'!B1","Open"))</f>
        <v>Open</v>
      </c>
    </row>
    <row r="870" spans="1:22" ht="30" customHeight="1" x14ac:dyDescent="0.25">
      <c r="A870" s="50" t="s">
        <v>214</v>
      </c>
      <c r="B870" s="33" t="s">
        <v>614</v>
      </c>
      <c r="C870" s="37" t="s">
        <v>1111</v>
      </c>
      <c r="D870" s="33"/>
      <c r="E870" s="52">
        <v>200</v>
      </c>
      <c r="F870" s="33" t="b">
        <v>1</v>
      </c>
      <c r="G870" s="33">
        <v>0</v>
      </c>
      <c r="H870" s="52">
        <v>0</v>
      </c>
      <c r="I870" s="33">
        <v>0</v>
      </c>
      <c r="J870" s="33">
        <v>0</v>
      </c>
      <c r="K870" s="33">
        <v>0</v>
      </c>
      <c r="L870" s="40" t="b">
        <v>0</v>
      </c>
      <c r="M870" s="33">
        <v>0</v>
      </c>
      <c r="N870" s="33">
        <v>0</v>
      </c>
      <c r="O870" s="52">
        <v>0</v>
      </c>
      <c r="P870" s="33">
        <v>0</v>
      </c>
      <c r="Q870" s="33">
        <v>0</v>
      </c>
      <c r="R870" s="33"/>
      <c r="S870" s="33"/>
      <c r="T870" s="33" t="s">
        <v>616</v>
      </c>
      <c r="U870" s="41" t="str">
        <f>IFERROR(HYPERLINK("#'Main'!B"&amp;MATCH(TRIM(A870),Main!B:B,0),"Open"),HYPERLINK("#'Main'!B1","Open"))</f>
        <v>Open</v>
      </c>
      <c r="V870" s="41"/>
    </row>
    <row r="871" spans="1:22" ht="30" customHeight="1" x14ac:dyDescent="0.25">
      <c r="A871" s="51" t="s">
        <v>214</v>
      </c>
      <c r="B871" s="42" t="s">
        <v>614</v>
      </c>
      <c r="C871" s="44" t="s">
        <v>1112</v>
      </c>
      <c r="D871" s="42"/>
      <c r="E871" s="52">
        <v>200</v>
      </c>
      <c r="F871" s="42" t="b">
        <v>1</v>
      </c>
      <c r="G871" s="42">
        <v>0</v>
      </c>
      <c r="H871" s="52">
        <v>0</v>
      </c>
      <c r="I871" s="42">
        <v>0</v>
      </c>
      <c r="J871" s="42">
        <v>0</v>
      </c>
      <c r="K871" s="42">
        <v>0</v>
      </c>
      <c r="L871" s="46" t="b">
        <v>0</v>
      </c>
      <c r="M871" s="42">
        <v>0</v>
      </c>
      <c r="N871" s="42">
        <v>0</v>
      </c>
      <c r="O871" s="52">
        <v>0</v>
      </c>
      <c r="P871" s="42">
        <v>0</v>
      </c>
      <c r="Q871" s="42">
        <v>0</v>
      </c>
      <c r="R871" s="42"/>
      <c r="S871" s="42"/>
      <c r="T871" s="42" t="s">
        <v>616</v>
      </c>
      <c r="U871" t="str">
        <f>IFERROR(HYPERLINK("#'Main'!B"&amp;MATCH(TRIM(A871),Main!B:B,0),"Open"),HYPERLINK("#'Main'!B1","Open"))</f>
        <v>Open</v>
      </c>
    </row>
    <row r="872" spans="1:22" ht="30" customHeight="1" x14ac:dyDescent="0.25">
      <c r="A872" s="50" t="s">
        <v>214</v>
      </c>
      <c r="B872" s="33" t="s">
        <v>614</v>
      </c>
      <c r="C872" s="37" t="s">
        <v>1113</v>
      </c>
      <c r="D872" s="33"/>
      <c r="E872" s="52">
        <v>200</v>
      </c>
      <c r="F872" s="33" t="b">
        <v>1</v>
      </c>
      <c r="G872" s="33">
        <v>0</v>
      </c>
      <c r="H872" s="52">
        <v>0</v>
      </c>
      <c r="I872" s="33">
        <v>0</v>
      </c>
      <c r="J872" s="33">
        <v>0</v>
      </c>
      <c r="K872" s="33">
        <v>0</v>
      </c>
      <c r="L872" s="40" t="b">
        <v>0</v>
      </c>
      <c r="M872" s="33">
        <v>0</v>
      </c>
      <c r="N872" s="33">
        <v>0</v>
      </c>
      <c r="O872" s="52">
        <v>0</v>
      </c>
      <c r="P872" s="33">
        <v>0</v>
      </c>
      <c r="Q872" s="33">
        <v>0</v>
      </c>
      <c r="R872" s="33"/>
      <c r="S872" s="33"/>
      <c r="T872" s="33" t="s">
        <v>616</v>
      </c>
      <c r="U872" s="41" t="str">
        <f>IFERROR(HYPERLINK("#'Main'!B"&amp;MATCH(TRIM(A872),Main!B:B,0),"Open"),HYPERLINK("#'Main'!B1","Open"))</f>
        <v>Open</v>
      </c>
      <c r="V872" s="41"/>
    </row>
    <row r="873" spans="1:22" ht="30" customHeight="1" x14ac:dyDescent="0.25">
      <c r="A873" s="51" t="s">
        <v>214</v>
      </c>
      <c r="B873" s="42" t="s">
        <v>614</v>
      </c>
      <c r="C873" s="44" t="s">
        <v>1114</v>
      </c>
      <c r="D873" s="42"/>
      <c r="E873" s="52">
        <v>200</v>
      </c>
      <c r="F873" s="42" t="b">
        <v>1</v>
      </c>
      <c r="G873" s="42">
        <v>0</v>
      </c>
      <c r="H873" s="52">
        <v>0</v>
      </c>
      <c r="I873" s="42">
        <v>0</v>
      </c>
      <c r="J873" s="42">
        <v>0</v>
      </c>
      <c r="K873" s="42">
        <v>0</v>
      </c>
      <c r="L873" s="46" t="b">
        <v>0</v>
      </c>
      <c r="M873" s="42">
        <v>0</v>
      </c>
      <c r="N873" s="42">
        <v>0</v>
      </c>
      <c r="O873" s="52">
        <v>0</v>
      </c>
      <c r="P873" s="42">
        <v>0</v>
      </c>
      <c r="Q873" s="42">
        <v>0</v>
      </c>
      <c r="R873" s="42"/>
      <c r="S873" s="42"/>
      <c r="T873" s="42" t="s">
        <v>616</v>
      </c>
      <c r="U873" t="str">
        <f>IFERROR(HYPERLINK("#'Main'!B"&amp;MATCH(TRIM(A873),Main!B:B,0),"Open"),HYPERLINK("#'Main'!B1","Open"))</f>
        <v>Open</v>
      </c>
    </row>
    <row r="874" spans="1:22" ht="30" customHeight="1" x14ac:dyDescent="0.25">
      <c r="A874" s="50" t="s">
        <v>214</v>
      </c>
      <c r="B874" s="33" t="s">
        <v>614</v>
      </c>
      <c r="C874" s="37" t="s">
        <v>1115</v>
      </c>
      <c r="D874" s="33"/>
      <c r="E874" s="52">
        <v>200</v>
      </c>
      <c r="F874" s="33" t="b">
        <v>1</v>
      </c>
      <c r="G874" s="33">
        <v>0</v>
      </c>
      <c r="H874" s="52">
        <v>0</v>
      </c>
      <c r="I874" s="33">
        <v>0</v>
      </c>
      <c r="J874" s="33">
        <v>0</v>
      </c>
      <c r="K874" s="33">
        <v>0</v>
      </c>
      <c r="L874" s="40" t="b">
        <v>0</v>
      </c>
      <c r="M874" s="33">
        <v>0</v>
      </c>
      <c r="N874" s="33">
        <v>0</v>
      </c>
      <c r="O874" s="52">
        <v>0</v>
      </c>
      <c r="P874" s="33">
        <v>0</v>
      </c>
      <c r="Q874" s="33">
        <v>0</v>
      </c>
      <c r="R874" s="33"/>
      <c r="S874" s="33"/>
      <c r="T874" s="33" t="s">
        <v>616</v>
      </c>
      <c r="U874" s="41" t="str">
        <f>IFERROR(HYPERLINK("#'Main'!B"&amp;MATCH(TRIM(A874),Main!B:B,0),"Open"),HYPERLINK("#'Main'!B1","Open"))</f>
        <v>Open</v>
      </c>
      <c r="V874" s="41"/>
    </row>
    <row r="875" spans="1:22" ht="30" customHeight="1" x14ac:dyDescent="0.25">
      <c r="A875" s="51" t="s">
        <v>214</v>
      </c>
      <c r="B875" s="42" t="s">
        <v>614</v>
      </c>
      <c r="C875" s="44" t="s">
        <v>1116</v>
      </c>
      <c r="D875" s="42"/>
      <c r="E875" s="52">
        <v>200</v>
      </c>
      <c r="F875" s="42" t="b">
        <v>1</v>
      </c>
      <c r="G875" s="42">
        <v>0</v>
      </c>
      <c r="H875" s="52">
        <v>0</v>
      </c>
      <c r="I875" s="42">
        <v>0</v>
      </c>
      <c r="J875" s="42">
        <v>0</v>
      </c>
      <c r="K875" s="42">
        <v>0</v>
      </c>
      <c r="L875" s="46" t="b">
        <v>0</v>
      </c>
      <c r="M875" s="42">
        <v>0</v>
      </c>
      <c r="N875" s="42">
        <v>0</v>
      </c>
      <c r="O875" s="52">
        <v>0</v>
      </c>
      <c r="P875" s="42">
        <v>0</v>
      </c>
      <c r="Q875" s="42">
        <v>0</v>
      </c>
      <c r="R875" s="42"/>
      <c r="S875" s="42"/>
      <c r="T875" s="42" t="s">
        <v>616</v>
      </c>
      <c r="U875" t="str">
        <f>IFERROR(HYPERLINK("#'Main'!B"&amp;MATCH(TRIM(A875),Main!B:B,0),"Open"),HYPERLINK("#'Main'!B1","Open"))</f>
        <v>Open</v>
      </c>
    </row>
    <row r="876" spans="1:22" ht="30" customHeight="1" x14ac:dyDescent="0.25">
      <c r="A876" s="50" t="s">
        <v>214</v>
      </c>
      <c r="B876" s="33" t="s">
        <v>614</v>
      </c>
      <c r="C876" s="37" t="s">
        <v>1117</v>
      </c>
      <c r="D876" s="33"/>
      <c r="E876" s="52">
        <v>200</v>
      </c>
      <c r="F876" s="33" t="b">
        <v>1</v>
      </c>
      <c r="G876" s="33">
        <v>0</v>
      </c>
      <c r="H876" s="52">
        <v>0</v>
      </c>
      <c r="I876" s="33">
        <v>0</v>
      </c>
      <c r="J876" s="33">
        <v>0</v>
      </c>
      <c r="K876" s="33">
        <v>0</v>
      </c>
      <c r="L876" s="40" t="b">
        <v>0</v>
      </c>
      <c r="M876" s="33">
        <v>0</v>
      </c>
      <c r="N876" s="33">
        <v>0</v>
      </c>
      <c r="O876" s="52">
        <v>0</v>
      </c>
      <c r="P876" s="33">
        <v>0</v>
      </c>
      <c r="Q876" s="33">
        <v>0</v>
      </c>
      <c r="R876" s="33"/>
      <c r="S876" s="33"/>
      <c r="T876" s="33" t="s">
        <v>616</v>
      </c>
      <c r="U876" s="41" t="str">
        <f>IFERROR(HYPERLINK("#'Main'!B"&amp;MATCH(TRIM(A876),Main!B:B,0),"Open"),HYPERLINK("#'Main'!B1","Open"))</f>
        <v>Open</v>
      </c>
      <c r="V876" s="41"/>
    </row>
    <row r="877" spans="1:22" ht="30" customHeight="1" x14ac:dyDescent="0.25">
      <c r="A877" s="51" t="s">
        <v>214</v>
      </c>
      <c r="B877" s="42" t="s">
        <v>614</v>
      </c>
      <c r="C877" s="44" t="s">
        <v>1118</v>
      </c>
      <c r="D877" s="42"/>
      <c r="E877" s="52">
        <v>200</v>
      </c>
      <c r="F877" s="42" t="b">
        <v>1</v>
      </c>
      <c r="G877" s="42">
        <v>0</v>
      </c>
      <c r="H877" s="52">
        <v>0</v>
      </c>
      <c r="I877" s="42">
        <v>0</v>
      </c>
      <c r="J877" s="42">
        <v>0</v>
      </c>
      <c r="K877" s="42">
        <v>0</v>
      </c>
      <c r="L877" s="46" t="b">
        <v>0</v>
      </c>
      <c r="M877" s="42">
        <v>0</v>
      </c>
      <c r="N877" s="42">
        <v>0</v>
      </c>
      <c r="O877" s="52">
        <v>0</v>
      </c>
      <c r="P877" s="42">
        <v>0</v>
      </c>
      <c r="Q877" s="42">
        <v>0</v>
      </c>
      <c r="R877" s="42"/>
      <c r="S877" s="42"/>
      <c r="T877" s="42" t="s">
        <v>616</v>
      </c>
      <c r="U877" t="str">
        <f>IFERROR(HYPERLINK("#'Main'!B"&amp;MATCH(TRIM(A877),Main!B:B,0),"Open"),HYPERLINK("#'Main'!B1","Open"))</f>
        <v>Open</v>
      </c>
    </row>
    <row r="878" spans="1:22" ht="30" customHeight="1" x14ac:dyDescent="0.25">
      <c r="A878" s="50" t="s">
        <v>214</v>
      </c>
      <c r="B878" s="33" t="s">
        <v>614</v>
      </c>
      <c r="C878" s="37" t="s">
        <v>1119</v>
      </c>
      <c r="D878" s="33"/>
      <c r="E878" s="52">
        <v>200</v>
      </c>
      <c r="F878" s="33" t="b">
        <v>1</v>
      </c>
      <c r="G878" s="33">
        <v>0</v>
      </c>
      <c r="H878" s="52">
        <v>0</v>
      </c>
      <c r="I878" s="33">
        <v>0</v>
      </c>
      <c r="J878" s="33">
        <v>0</v>
      </c>
      <c r="K878" s="33">
        <v>0</v>
      </c>
      <c r="L878" s="40" t="b">
        <v>0</v>
      </c>
      <c r="M878" s="33">
        <v>0</v>
      </c>
      <c r="N878" s="33">
        <v>0</v>
      </c>
      <c r="O878" s="52">
        <v>0</v>
      </c>
      <c r="P878" s="33">
        <v>0</v>
      </c>
      <c r="Q878" s="33">
        <v>0</v>
      </c>
      <c r="R878" s="33"/>
      <c r="S878" s="33"/>
      <c r="T878" s="33" t="s">
        <v>616</v>
      </c>
      <c r="U878" s="41" t="str">
        <f>IFERROR(HYPERLINK("#'Main'!B"&amp;MATCH(TRIM(A878),Main!B:B,0),"Open"),HYPERLINK("#'Main'!B1","Open"))</f>
        <v>Open</v>
      </c>
      <c r="V878" s="41"/>
    </row>
    <row r="879" spans="1:22" ht="30" customHeight="1" x14ac:dyDescent="0.25">
      <c r="A879" s="51" t="s">
        <v>214</v>
      </c>
      <c r="B879" s="42" t="s">
        <v>614</v>
      </c>
      <c r="C879" s="44" t="s">
        <v>1120</v>
      </c>
      <c r="D879" s="42"/>
      <c r="E879" s="52">
        <v>200</v>
      </c>
      <c r="F879" s="42" t="b">
        <v>1</v>
      </c>
      <c r="G879" s="42">
        <v>0</v>
      </c>
      <c r="H879" s="52">
        <v>0</v>
      </c>
      <c r="I879" s="42">
        <v>0</v>
      </c>
      <c r="J879" s="42">
        <v>0</v>
      </c>
      <c r="K879" s="42">
        <v>0</v>
      </c>
      <c r="L879" s="46" t="b">
        <v>0</v>
      </c>
      <c r="M879" s="42">
        <v>0</v>
      </c>
      <c r="N879" s="42">
        <v>0</v>
      </c>
      <c r="O879" s="52">
        <v>0</v>
      </c>
      <c r="P879" s="42">
        <v>0</v>
      </c>
      <c r="Q879" s="42">
        <v>0</v>
      </c>
      <c r="R879" s="42"/>
      <c r="S879" s="42"/>
      <c r="T879" s="42" t="s">
        <v>616</v>
      </c>
      <c r="U879" t="str">
        <f>IFERROR(HYPERLINK("#'Main'!B"&amp;MATCH(TRIM(A879),Main!B:B,0),"Open"),HYPERLINK("#'Main'!B1","Open"))</f>
        <v>Open</v>
      </c>
    </row>
    <row r="880" spans="1:22" ht="30" customHeight="1" x14ac:dyDescent="0.25">
      <c r="A880" s="50" t="s">
        <v>214</v>
      </c>
      <c r="B880" s="33" t="s">
        <v>614</v>
      </c>
      <c r="C880" s="37" t="s">
        <v>1121</v>
      </c>
      <c r="D880" s="33"/>
      <c r="E880" s="52">
        <v>200</v>
      </c>
      <c r="F880" s="33" t="b">
        <v>1</v>
      </c>
      <c r="G880" s="33">
        <v>0</v>
      </c>
      <c r="H880" s="52">
        <v>0</v>
      </c>
      <c r="I880" s="33">
        <v>0</v>
      </c>
      <c r="J880" s="33">
        <v>0</v>
      </c>
      <c r="K880" s="33">
        <v>0</v>
      </c>
      <c r="L880" s="40" t="b">
        <v>0</v>
      </c>
      <c r="M880" s="33">
        <v>0</v>
      </c>
      <c r="N880" s="33">
        <v>0</v>
      </c>
      <c r="O880" s="52">
        <v>0</v>
      </c>
      <c r="P880" s="33">
        <v>0</v>
      </c>
      <c r="Q880" s="33">
        <v>0</v>
      </c>
      <c r="R880" s="33"/>
      <c r="S880" s="33"/>
      <c r="T880" s="33" t="s">
        <v>616</v>
      </c>
      <c r="U880" s="41" t="str">
        <f>IFERROR(HYPERLINK("#'Main'!B"&amp;MATCH(TRIM(A880),Main!B:B,0),"Open"),HYPERLINK("#'Main'!B1","Open"))</f>
        <v>Open</v>
      </c>
      <c r="V880" s="41"/>
    </row>
    <row r="881" spans="1:22" ht="30" customHeight="1" x14ac:dyDescent="0.25">
      <c r="A881" s="51" t="s">
        <v>214</v>
      </c>
      <c r="B881" s="42" t="s">
        <v>614</v>
      </c>
      <c r="C881" s="44" t="s">
        <v>1122</v>
      </c>
      <c r="D881" s="42"/>
      <c r="E881" s="52">
        <v>200</v>
      </c>
      <c r="F881" s="42" t="b">
        <v>1</v>
      </c>
      <c r="G881" s="42">
        <v>0</v>
      </c>
      <c r="H881" s="52">
        <v>0</v>
      </c>
      <c r="I881" s="42">
        <v>0</v>
      </c>
      <c r="J881" s="42">
        <v>0</v>
      </c>
      <c r="K881" s="42">
        <v>0</v>
      </c>
      <c r="L881" s="46" t="b">
        <v>0</v>
      </c>
      <c r="M881" s="42">
        <v>0</v>
      </c>
      <c r="N881" s="42">
        <v>0</v>
      </c>
      <c r="O881" s="52">
        <v>0</v>
      </c>
      <c r="P881" s="42">
        <v>0</v>
      </c>
      <c r="Q881" s="42">
        <v>0</v>
      </c>
      <c r="R881" s="42"/>
      <c r="S881" s="42"/>
      <c r="T881" s="42" t="s">
        <v>616</v>
      </c>
      <c r="U881" t="str">
        <f>IFERROR(HYPERLINK("#'Main'!B"&amp;MATCH(TRIM(A881),Main!B:B,0),"Open"),HYPERLINK("#'Main'!B1","Open"))</f>
        <v>Open</v>
      </c>
    </row>
    <row r="882" spans="1:22" ht="30" customHeight="1" x14ac:dyDescent="0.25">
      <c r="A882" s="50" t="s">
        <v>214</v>
      </c>
      <c r="B882" s="33" t="s">
        <v>614</v>
      </c>
      <c r="C882" s="37" t="s">
        <v>1123</v>
      </c>
      <c r="D882" s="33"/>
      <c r="E882" s="52">
        <v>200</v>
      </c>
      <c r="F882" s="33" t="b">
        <v>1</v>
      </c>
      <c r="G882" s="33">
        <v>0</v>
      </c>
      <c r="H882" s="52">
        <v>0</v>
      </c>
      <c r="I882" s="33">
        <v>0</v>
      </c>
      <c r="J882" s="33">
        <v>0</v>
      </c>
      <c r="K882" s="33">
        <v>0</v>
      </c>
      <c r="L882" s="40" t="b">
        <v>0</v>
      </c>
      <c r="M882" s="33">
        <v>0</v>
      </c>
      <c r="N882" s="33">
        <v>0</v>
      </c>
      <c r="O882" s="52">
        <v>0</v>
      </c>
      <c r="P882" s="33">
        <v>0</v>
      </c>
      <c r="Q882" s="33">
        <v>0</v>
      </c>
      <c r="R882" s="33"/>
      <c r="S882" s="33"/>
      <c r="T882" s="33" t="s">
        <v>616</v>
      </c>
      <c r="U882" s="41" t="str">
        <f>IFERROR(HYPERLINK("#'Main'!B"&amp;MATCH(TRIM(A882),Main!B:B,0),"Open"),HYPERLINK("#'Main'!B1","Open"))</f>
        <v>Open</v>
      </c>
      <c r="V882" s="41"/>
    </row>
    <row r="883" spans="1:22" ht="30" customHeight="1" x14ac:dyDescent="0.25">
      <c r="A883" s="51" t="s">
        <v>214</v>
      </c>
      <c r="B883" s="42" t="s">
        <v>614</v>
      </c>
      <c r="C883" s="44" t="s">
        <v>1124</v>
      </c>
      <c r="D883" s="42"/>
      <c r="E883" s="52">
        <v>200</v>
      </c>
      <c r="F883" s="42" t="b">
        <v>1</v>
      </c>
      <c r="G883" s="42">
        <v>0</v>
      </c>
      <c r="H883" s="52">
        <v>0</v>
      </c>
      <c r="I883" s="42">
        <v>0</v>
      </c>
      <c r="J883" s="42">
        <v>0</v>
      </c>
      <c r="K883" s="42">
        <v>0</v>
      </c>
      <c r="L883" s="46" t="b">
        <v>0</v>
      </c>
      <c r="M883" s="42">
        <v>0</v>
      </c>
      <c r="N883" s="42">
        <v>0</v>
      </c>
      <c r="O883" s="52">
        <v>0</v>
      </c>
      <c r="P883" s="42">
        <v>0</v>
      </c>
      <c r="Q883" s="42">
        <v>0</v>
      </c>
      <c r="R883" s="42"/>
      <c r="S883" s="42"/>
      <c r="T883" s="42" t="s">
        <v>616</v>
      </c>
      <c r="U883" t="str">
        <f>IFERROR(HYPERLINK("#'Main'!B"&amp;MATCH(TRIM(A883),Main!B:B,0),"Open"),HYPERLINK("#'Main'!B1","Open"))</f>
        <v>Open</v>
      </c>
    </row>
    <row r="884" spans="1:22" ht="30" customHeight="1" x14ac:dyDescent="0.25">
      <c r="A884" s="50" t="s">
        <v>214</v>
      </c>
      <c r="B884" s="33" t="s">
        <v>614</v>
      </c>
      <c r="C884" s="37" t="s">
        <v>1125</v>
      </c>
      <c r="D884" s="33"/>
      <c r="E884" s="52">
        <v>200</v>
      </c>
      <c r="F884" s="33" t="b">
        <v>1</v>
      </c>
      <c r="G884" s="33">
        <v>0</v>
      </c>
      <c r="H884" s="52">
        <v>0</v>
      </c>
      <c r="I884" s="33">
        <v>0</v>
      </c>
      <c r="J884" s="33">
        <v>0</v>
      </c>
      <c r="K884" s="33">
        <v>0</v>
      </c>
      <c r="L884" s="40" t="b">
        <v>0</v>
      </c>
      <c r="M884" s="33">
        <v>0</v>
      </c>
      <c r="N884" s="33">
        <v>0</v>
      </c>
      <c r="O884" s="52">
        <v>0</v>
      </c>
      <c r="P884" s="33">
        <v>0</v>
      </c>
      <c r="Q884" s="33">
        <v>0</v>
      </c>
      <c r="R884" s="33"/>
      <c r="S884" s="33"/>
      <c r="T884" s="33" t="s">
        <v>616</v>
      </c>
      <c r="U884" s="41" t="str">
        <f>IFERROR(HYPERLINK("#'Main'!B"&amp;MATCH(TRIM(A884),Main!B:B,0),"Open"),HYPERLINK("#'Main'!B1","Open"))</f>
        <v>Open</v>
      </c>
      <c r="V884" s="41"/>
    </row>
    <row r="885" spans="1:22" ht="30" customHeight="1" x14ac:dyDescent="0.25">
      <c r="A885" s="51" t="s">
        <v>214</v>
      </c>
      <c r="B885" s="42" t="s">
        <v>614</v>
      </c>
      <c r="C885" s="44" t="s">
        <v>1126</v>
      </c>
      <c r="D885" s="42"/>
      <c r="E885" s="52">
        <v>200</v>
      </c>
      <c r="F885" s="42" t="b">
        <v>1</v>
      </c>
      <c r="G885" s="42">
        <v>0</v>
      </c>
      <c r="H885" s="52">
        <v>0</v>
      </c>
      <c r="I885" s="42">
        <v>0</v>
      </c>
      <c r="J885" s="42">
        <v>0</v>
      </c>
      <c r="K885" s="42">
        <v>0</v>
      </c>
      <c r="L885" s="46" t="b">
        <v>0</v>
      </c>
      <c r="M885" s="42">
        <v>0</v>
      </c>
      <c r="N885" s="42">
        <v>0</v>
      </c>
      <c r="O885" s="52">
        <v>0</v>
      </c>
      <c r="P885" s="42">
        <v>0</v>
      </c>
      <c r="Q885" s="42">
        <v>0</v>
      </c>
      <c r="R885" s="42"/>
      <c r="S885" s="42"/>
      <c r="T885" s="42" t="s">
        <v>616</v>
      </c>
      <c r="U885" t="str">
        <f>IFERROR(HYPERLINK("#'Main'!B"&amp;MATCH(TRIM(A885),Main!B:B,0),"Open"),HYPERLINK("#'Main'!B1","Open"))</f>
        <v>Open</v>
      </c>
    </row>
    <row r="886" spans="1:22" ht="30" customHeight="1" x14ac:dyDescent="0.25">
      <c r="A886" s="50" t="s">
        <v>214</v>
      </c>
      <c r="B886" s="33" t="s">
        <v>614</v>
      </c>
      <c r="C886" s="37" t="s">
        <v>1127</v>
      </c>
      <c r="D886" s="33"/>
      <c r="E886" s="52">
        <v>200</v>
      </c>
      <c r="F886" s="33" t="b">
        <v>1</v>
      </c>
      <c r="G886" s="33">
        <v>0</v>
      </c>
      <c r="H886" s="52">
        <v>0</v>
      </c>
      <c r="I886" s="33">
        <v>0</v>
      </c>
      <c r="J886" s="33">
        <v>0</v>
      </c>
      <c r="K886" s="33">
        <v>0</v>
      </c>
      <c r="L886" s="40" t="b">
        <v>0</v>
      </c>
      <c r="M886" s="33">
        <v>0</v>
      </c>
      <c r="N886" s="33">
        <v>0</v>
      </c>
      <c r="O886" s="52">
        <v>0</v>
      </c>
      <c r="P886" s="33">
        <v>0</v>
      </c>
      <c r="Q886" s="33">
        <v>0</v>
      </c>
      <c r="R886" s="33"/>
      <c r="S886" s="33"/>
      <c r="T886" s="33" t="s">
        <v>616</v>
      </c>
      <c r="U886" s="41" t="str">
        <f>IFERROR(HYPERLINK("#'Main'!B"&amp;MATCH(TRIM(A886),Main!B:B,0),"Open"),HYPERLINK("#'Main'!B1","Open"))</f>
        <v>Open</v>
      </c>
      <c r="V886" s="41"/>
    </row>
    <row r="887" spans="1:22" ht="30" customHeight="1" x14ac:dyDescent="0.25">
      <c r="A887" s="51" t="s">
        <v>214</v>
      </c>
      <c r="B887" s="42" t="s">
        <v>614</v>
      </c>
      <c r="C887" s="44" t="s">
        <v>1128</v>
      </c>
      <c r="D887" s="42"/>
      <c r="E887" s="52">
        <v>200</v>
      </c>
      <c r="F887" s="42" t="b">
        <v>1</v>
      </c>
      <c r="G887" s="42">
        <v>0</v>
      </c>
      <c r="H887" s="52">
        <v>0</v>
      </c>
      <c r="I887" s="42">
        <v>0</v>
      </c>
      <c r="J887" s="42">
        <v>0</v>
      </c>
      <c r="K887" s="42">
        <v>0</v>
      </c>
      <c r="L887" s="46" t="b">
        <v>0</v>
      </c>
      <c r="M887" s="42">
        <v>0</v>
      </c>
      <c r="N887" s="42">
        <v>0</v>
      </c>
      <c r="O887" s="52">
        <v>0</v>
      </c>
      <c r="P887" s="42">
        <v>0</v>
      </c>
      <c r="Q887" s="42">
        <v>0</v>
      </c>
      <c r="R887" s="42"/>
      <c r="S887" s="42"/>
      <c r="T887" s="42" t="s">
        <v>616</v>
      </c>
      <c r="U887" t="str">
        <f>IFERROR(HYPERLINK("#'Main'!B"&amp;MATCH(TRIM(A887),Main!B:B,0),"Open"),HYPERLINK("#'Main'!B1","Open"))</f>
        <v>Open</v>
      </c>
    </row>
    <row r="888" spans="1:22" ht="30" customHeight="1" x14ac:dyDescent="0.25">
      <c r="A888" s="50" t="s">
        <v>214</v>
      </c>
      <c r="B888" s="33" t="s">
        <v>614</v>
      </c>
      <c r="C888" s="37" t="s">
        <v>1129</v>
      </c>
      <c r="D888" s="33"/>
      <c r="E888" s="52">
        <v>200</v>
      </c>
      <c r="F888" s="33" t="b">
        <v>1</v>
      </c>
      <c r="G888" s="33">
        <v>0</v>
      </c>
      <c r="H888" s="52">
        <v>0</v>
      </c>
      <c r="I888" s="33">
        <v>0</v>
      </c>
      <c r="J888" s="33">
        <v>0</v>
      </c>
      <c r="K888" s="33">
        <v>0</v>
      </c>
      <c r="L888" s="40" t="b">
        <v>0</v>
      </c>
      <c r="M888" s="33">
        <v>0</v>
      </c>
      <c r="N888" s="33">
        <v>0</v>
      </c>
      <c r="O888" s="52">
        <v>0</v>
      </c>
      <c r="P888" s="33">
        <v>0</v>
      </c>
      <c r="Q888" s="33">
        <v>0</v>
      </c>
      <c r="R888" s="33"/>
      <c r="S888" s="33"/>
      <c r="T888" s="33" t="s">
        <v>616</v>
      </c>
      <c r="U888" s="41" t="str">
        <f>IFERROR(HYPERLINK("#'Main'!B"&amp;MATCH(TRIM(A888),Main!B:B,0),"Open"),HYPERLINK("#'Main'!B1","Open"))</f>
        <v>Open</v>
      </c>
      <c r="V888" s="41"/>
    </row>
    <row r="889" spans="1:22" ht="30" customHeight="1" x14ac:dyDescent="0.25">
      <c r="A889" s="51" t="s">
        <v>214</v>
      </c>
      <c r="B889" s="42" t="s">
        <v>614</v>
      </c>
      <c r="C889" s="44" t="s">
        <v>1130</v>
      </c>
      <c r="D889" s="42"/>
      <c r="E889" s="52">
        <v>200</v>
      </c>
      <c r="F889" s="42" t="b">
        <v>1</v>
      </c>
      <c r="G889" s="42">
        <v>0</v>
      </c>
      <c r="H889" s="52">
        <v>0</v>
      </c>
      <c r="I889" s="42">
        <v>0</v>
      </c>
      <c r="J889" s="42">
        <v>0</v>
      </c>
      <c r="K889" s="42">
        <v>0</v>
      </c>
      <c r="L889" s="46" t="b">
        <v>0</v>
      </c>
      <c r="M889" s="42">
        <v>0</v>
      </c>
      <c r="N889" s="42">
        <v>0</v>
      </c>
      <c r="O889" s="52">
        <v>0</v>
      </c>
      <c r="P889" s="42">
        <v>0</v>
      </c>
      <c r="Q889" s="42">
        <v>0</v>
      </c>
      <c r="R889" s="42"/>
      <c r="S889" s="42"/>
      <c r="T889" s="42" t="s">
        <v>616</v>
      </c>
      <c r="U889" t="str">
        <f>IFERROR(HYPERLINK("#'Main'!B"&amp;MATCH(TRIM(A889),Main!B:B,0),"Open"),HYPERLINK("#'Main'!B1","Open"))</f>
        <v>Open</v>
      </c>
    </row>
    <row r="890" spans="1:22" ht="30" customHeight="1" x14ac:dyDescent="0.25">
      <c r="A890" s="50" t="s">
        <v>214</v>
      </c>
      <c r="B890" s="33" t="s">
        <v>614</v>
      </c>
      <c r="C890" s="37" t="s">
        <v>1131</v>
      </c>
      <c r="D890" s="33"/>
      <c r="E890" s="52">
        <v>200</v>
      </c>
      <c r="F890" s="33" t="b">
        <v>1</v>
      </c>
      <c r="G890" s="33">
        <v>0</v>
      </c>
      <c r="H890" s="52">
        <v>0</v>
      </c>
      <c r="I890" s="33">
        <v>0</v>
      </c>
      <c r="J890" s="33">
        <v>0</v>
      </c>
      <c r="K890" s="33">
        <v>0</v>
      </c>
      <c r="L890" s="40" t="b">
        <v>0</v>
      </c>
      <c r="M890" s="33">
        <v>0</v>
      </c>
      <c r="N890" s="33">
        <v>0</v>
      </c>
      <c r="O890" s="52">
        <v>0</v>
      </c>
      <c r="P890" s="33">
        <v>0</v>
      </c>
      <c r="Q890" s="33">
        <v>0</v>
      </c>
      <c r="R890" s="33"/>
      <c r="S890" s="33"/>
      <c r="T890" s="33" t="s">
        <v>616</v>
      </c>
      <c r="U890" s="41" t="str">
        <f>IFERROR(HYPERLINK("#'Main'!B"&amp;MATCH(TRIM(A890),Main!B:B,0),"Open"),HYPERLINK("#'Main'!B1","Open"))</f>
        <v>Open</v>
      </c>
      <c r="V890" s="41"/>
    </row>
    <row r="891" spans="1:22" ht="30" customHeight="1" x14ac:dyDescent="0.25">
      <c r="A891" s="51" t="s">
        <v>214</v>
      </c>
      <c r="B891" s="42" t="s">
        <v>614</v>
      </c>
      <c r="C891" s="44" t="s">
        <v>1132</v>
      </c>
      <c r="D891" s="42"/>
      <c r="E891" s="52">
        <v>200</v>
      </c>
      <c r="F891" s="42" t="b">
        <v>1</v>
      </c>
      <c r="G891" s="42">
        <v>0</v>
      </c>
      <c r="H891" s="52">
        <v>0</v>
      </c>
      <c r="I891" s="42">
        <v>0</v>
      </c>
      <c r="J891" s="42">
        <v>0</v>
      </c>
      <c r="K891" s="42">
        <v>0</v>
      </c>
      <c r="L891" s="46" t="b">
        <v>0</v>
      </c>
      <c r="M891" s="42">
        <v>0</v>
      </c>
      <c r="N891" s="42">
        <v>0</v>
      </c>
      <c r="O891" s="52">
        <v>0</v>
      </c>
      <c r="P891" s="42">
        <v>0</v>
      </c>
      <c r="Q891" s="42">
        <v>0</v>
      </c>
      <c r="R891" s="42"/>
      <c r="S891" s="42"/>
      <c r="T891" s="42" t="s">
        <v>616</v>
      </c>
      <c r="U891" t="str">
        <f>IFERROR(HYPERLINK("#'Main'!B"&amp;MATCH(TRIM(A891),Main!B:B,0),"Open"),HYPERLINK("#'Main'!B1","Open"))</f>
        <v>Open</v>
      </c>
    </row>
    <row r="892" spans="1:22" ht="30" customHeight="1" x14ac:dyDescent="0.25">
      <c r="A892" s="50" t="s">
        <v>214</v>
      </c>
      <c r="B892" s="33" t="s">
        <v>614</v>
      </c>
      <c r="C892" s="37" t="s">
        <v>1133</v>
      </c>
      <c r="D892" s="33"/>
      <c r="E892" s="52">
        <v>200</v>
      </c>
      <c r="F892" s="33" t="b">
        <v>1</v>
      </c>
      <c r="G892" s="33">
        <v>0</v>
      </c>
      <c r="H892" s="52">
        <v>0</v>
      </c>
      <c r="I892" s="33">
        <v>0</v>
      </c>
      <c r="J892" s="33">
        <v>0</v>
      </c>
      <c r="K892" s="33">
        <v>0</v>
      </c>
      <c r="L892" s="40" t="b">
        <v>0</v>
      </c>
      <c r="M892" s="33">
        <v>0</v>
      </c>
      <c r="N892" s="33">
        <v>0</v>
      </c>
      <c r="O892" s="52">
        <v>0</v>
      </c>
      <c r="P892" s="33">
        <v>0</v>
      </c>
      <c r="Q892" s="33">
        <v>0</v>
      </c>
      <c r="R892" s="33"/>
      <c r="S892" s="33"/>
      <c r="T892" s="33" t="s">
        <v>616</v>
      </c>
      <c r="U892" s="41" t="str">
        <f>IFERROR(HYPERLINK("#'Main'!B"&amp;MATCH(TRIM(A892),Main!B:B,0),"Open"),HYPERLINK("#'Main'!B1","Open"))</f>
        <v>Open</v>
      </c>
      <c r="V892" s="41"/>
    </row>
    <row r="893" spans="1:22" ht="30" customHeight="1" x14ac:dyDescent="0.25">
      <c r="A893" s="51" t="s">
        <v>214</v>
      </c>
      <c r="B893" s="42" t="s">
        <v>614</v>
      </c>
      <c r="C893" s="44" t="s">
        <v>1134</v>
      </c>
      <c r="D893" s="42"/>
      <c r="E893" s="52">
        <v>200</v>
      </c>
      <c r="F893" s="42" t="b">
        <v>1</v>
      </c>
      <c r="G893" s="42">
        <v>0</v>
      </c>
      <c r="H893" s="52">
        <v>0</v>
      </c>
      <c r="I893" s="42">
        <v>0</v>
      </c>
      <c r="J893" s="42">
        <v>0</v>
      </c>
      <c r="K893" s="42">
        <v>0</v>
      </c>
      <c r="L893" s="46" t="b">
        <v>0</v>
      </c>
      <c r="M893" s="42">
        <v>0</v>
      </c>
      <c r="N893" s="42">
        <v>0</v>
      </c>
      <c r="O893" s="52">
        <v>0</v>
      </c>
      <c r="P893" s="42">
        <v>0</v>
      </c>
      <c r="Q893" s="42">
        <v>0</v>
      </c>
      <c r="R893" s="42"/>
      <c r="S893" s="42"/>
      <c r="T893" s="42" t="s">
        <v>616</v>
      </c>
      <c r="U893" t="str">
        <f>IFERROR(HYPERLINK("#'Main'!B"&amp;MATCH(TRIM(A893),Main!B:B,0),"Open"),HYPERLINK("#'Main'!B1","Open"))</f>
        <v>Open</v>
      </c>
    </row>
    <row r="894" spans="1:22" ht="30" customHeight="1" x14ac:dyDescent="0.25">
      <c r="A894" s="50" t="s">
        <v>214</v>
      </c>
      <c r="B894" s="33" t="s">
        <v>614</v>
      </c>
      <c r="C894" s="37" t="s">
        <v>1135</v>
      </c>
      <c r="D894" s="33"/>
      <c r="E894" s="52">
        <v>200</v>
      </c>
      <c r="F894" s="33" t="b">
        <v>1</v>
      </c>
      <c r="G894" s="33">
        <v>0</v>
      </c>
      <c r="H894" s="52">
        <v>0</v>
      </c>
      <c r="I894" s="33">
        <v>0</v>
      </c>
      <c r="J894" s="33">
        <v>0</v>
      </c>
      <c r="K894" s="33">
        <v>0</v>
      </c>
      <c r="L894" s="40" t="b">
        <v>0</v>
      </c>
      <c r="M894" s="33">
        <v>0</v>
      </c>
      <c r="N894" s="33">
        <v>0</v>
      </c>
      <c r="O894" s="52">
        <v>0</v>
      </c>
      <c r="P894" s="33">
        <v>0</v>
      </c>
      <c r="Q894" s="33">
        <v>0</v>
      </c>
      <c r="R894" s="33"/>
      <c r="S894" s="33"/>
      <c r="T894" s="33" t="s">
        <v>616</v>
      </c>
      <c r="U894" s="41" t="str">
        <f>IFERROR(HYPERLINK("#'Main'!B"&amp;MATCH(TRIM(A894),Main!B:B,0),"Open"),HYPERLINK("#'Main'!B1","Open"))</f>
        <v>Open</v>
      </c>
      <c r="V894" s="41"/>
    </row>
    <row r="895" spans="1:22" ht="30" customHeight="1" x14ac:dyDescent="0.25">
      <c r="A895" s="51" t="s">
        <v>214</v>
      </c>
      <c r="B895" s="42" t="s">
        <v>614</v>
      </c>
      <c r="C895" s="44" t="s">
        <v>1136</v>
      </c>
      <c r="D895" s="42"/>
      <c r="E895" s="52">
        <v>200</v>
      </c>
      <c r="F895" s="42" t="b">
        <v>1</v>
      </c>
      <c r="G895" s="42">
        <v>0</v>
      </c>
      <c r="H895" s="52">
        <v>0</v>
      </c>
      <c r="I895" s="42">
        <v>0</v>
      </c>
      <c r="J895" s="42">
        <v>0</v>
      </c>
      <c r="K895" s="42">
        <v>0</v>
      </c>
      <c r="L895" s="46" t="b">
        <v>0</v>
      </c>
      <c r="M895" s="42">
        <v>0</v>
      </c>
      <c r="N895" s="42">
        <v>0</v>
      </c>
      <c r="O895" s="52">
        <v>0</v>
      </c>
      <c r="P895" s="42">
        <v>0</v>
      </c>
      <c r="Q895" s="42">
        <v>0</v>
      </c>
      <c r="R895" s="42"/>
      <c r="S895" s="42"/>
      <c r="T895" s="42" t="s">
        <v>616</v>
      </c>
      <c r="U895" t="str">
        <f>IFERROR(HYPERLINK("#'Main'!B"&amp;MATCH(TRIM(A895),Main!B:B,0),"Open"),HYPERLINK("#'Main'!B1","Open"))</f>
        <v>Open</v>
      </c>
    </row>
    <row r="896" spans="1:22" ht="30" customHeight="1" x14ac:dyDescent="0.25">
      <c r="A896" s="50" t="s">
        <v>214</v>
      </c>
      <c r="B896" s="33" t="s">
        <v>614</v>
      </c>
      <c r="C896" s="37" t="s">
        <v>1137</v>
      </c>
      <c r="D896" s="33"/>
      <c r="E896" s="52">
        <v>200</v>
      </c>
      <c r="F896" s="33" t="b">
        <v>1</v>
      </c>
      <c r="G896" s="33">
        <v>0</v>
      </c>
      <c r="H896" s="52">
        <v>0</v>
      </c>
      <c r="I896" s="33">
        <v>0</v>
      </c>
      <c r="J896" s="33">
        <v>0</v>
      </c>
      <c r="K896" s="33">
        <v>0</v>
      </c>
      <c r="L896" s="40" t="b">
        <v>0</v>
      </c>
      <c r="M896" s="33">
        <v>0</v>
      </c>
      <c r="N896" s="33">
        <v>0</v>
      </c>
      <c r="O896" s="52">
        <v>0</v>
      </c>
      <c r="P896" s="33">
        <v>0</v>
      </c>
      <c r="Q896" s="33">
        <v>0</v>
      </c>
      <c r="R896" s="33"/>
      <c r="S896" s="33"/>
      <c r="T896" s="33" t="s">
        <v>616</v>
      </c>
      <c r="U896" s="41" t="str">
        <f>IFERROR(HYPERLINK("#'Main'!B"&amp;MATCH(TRIM(A896),Main!B:B,0),"Open"),HYPERLINK("#'Main'!B1","Open"))</f>
        <v>Open</v>
      </c>
      <c r="V896" s="41"/>
    </row>
    <row r="897" spans="1:22" ht="30" customHeight="1" x14ac:dyDescent="0.25">
      <c r="A897" s="51" t="s">
        <v>214</v>
      </c>
      <c r="B897" s="42" t="s">
        <v>614</v>
      </c>
      <c r="C897" s="44" t="s">
        <v>1138</v>
      </c>
      <c r="D897" s="42"/>
      <c r="E897" s="52">
        <v>200</v>
      </c>
      <c r="F897" s="42" t="b">
        <v>1</v>
      </c>
      <c r="G897" s="42">
        <v>0</v>
      </c>
      <c r="H897" s="52">
        <v>0</v>
      </c>
      <c r="I897" s="42">
        <v>0</v>
      </c>
      <c r="J897" s="42">
        <v>0</v>
      </c>
      <c r="K897" s="42">
        <v>0</v>
      </c>
      <c r="L897" s="46" t="b">
        <v>0</v>
      </c>
      <c r="M897" s="42">
        <v>0</v>
      </c>
      <c r="N897" s="42">
        <v>0</v>
      </c>
      <c r="O897" s="52">
        <v>0</v>
      </c>
      <c r="P897" s="42">
        <v>0</v>
      </c>
      <c r="Q897" s="42">
        <v>0</v>
      </c>
      <c r="R897" s="42"/>
      <c r="S897" s="42"/>
      <c r="T897" s="42" t="s">
        <v>616</v>
      </c>
      <c r="U897" t="str">
        <f>IFERROR(HYPERLINK("#'Main'!B"&amp;MATCH(TRIM(A897),Main!B:B,0),"Open"),HYPERLINK("#'Main'!B1","Open"))</f>
        <v>Open</v>
      </c>
    </row>
    <row r="898" spans="1:22" ht="30" customHeight="1" x14ac:dyDescent="0.25">
      <c r="A898" s="50" t="s">
        <v>214</v>
      </c>
      <c r="B898" s="33" t="s">
        <v>614</v>
      </c>
      <c r="C898" s="37" t="s">
        <v>1139</v>
      </c>
      <c r="D898" s="33"/>
      <c r="E898" s="52">
        <v>200</v>
      </c>
      <c r="F898" s="33" t="b">
        <v>1</v>
      </c>
      <c r="G898" s="33">
        <v>0</v>
      </c>
      <c r="H898" s="52">
        <v>0</v>
      </c>
      <c r="I898" s="33">
        <v>0</v>
      </c>
      <c r="J898" s="33">
        <v>0</v>
      </c>
      <c r="K898" s="33">
        <v>0</v>
      </c>
      <c r="L898" s="40" t="b">
        <v>0</v>
      </c>
      <c r="M898" s="33">
        <v>0</v>
      </c>
      <c r="N898" s="33">
        <v>0</v>
      </c>
      <c r="O898" s="52">
        <v>0</v>
      </c>
      <c r="P898" s="33">
        <v>0</v>
      </c>
      <c r="Q898" s="33">
        <v>0</v>
      </c>
      <c r="R898" s="33"/>
      <c r="S898" s="33"/>
      <c r="T898" s="33" t="s">
        <v>616</v>
      </c>
      <c r="U898" s="41" t="str">
        <f>IFERROR(HYPERLINK("#'Main'!B"&amp;MATCH(TRIM(A898),Main!B:B,0),"Open"),HYPERLINK("#'Main'!B1","Open"))</f>
        <v>Open</v>
      </c>
      <c r="V898" s="41"/>
    </row>
    <row r="899" spans="1:22" ht="30" customHeight="1" x14ac:dyDescent="0.25">
      <c r="A899" s="51" t="s">
        <v>214</v>
      </c>
      <c r="B899" s="42" t="s">
        <v>614</v>
      </c>
      <c r="C899" s="44" t="s">
        <v>755</v>
      </c>
      <c r="D899" s="42"/>
      <c r="E899" s="52">
        <v>200</v>
      </c>
      <c r="F899" s="42" t="b">
        <v>1</v>
      </c>
      <c r="G899" s="42">
        <v>0</v>
      </c>
      <c r="H899" s="52">
        <v>0</v>
      </c>
      <c r="I899" s="42">
        <v>0</v>
      </c>
      <c r="J899" s="42">
        <v>0</v>
      </c>
      <c r="K899" s="42">
        <v>0</v>
      </c>
      <c r="L899" s="46" t="b">
        <v>0</v>
      </c>
      <c r="M899" s="42">
        <v>0</v>
      </c>
      <c r="N899" s="42">
        <v>0</v>
      </c>
      <c r="O899" s="52">
        <v>0</v>
      </c>
      <c r="P899" s="42">
        <v>0</v>
      </c>
      <c r="Q899" s="42">
        <v>0</v>
      </c>
      <c r="R899" s="42"/>
      <c r="S899" s="42"/>
      <c r="T899" s="42" t="s">
        <v>616</v>
      </c>
      <c r="U899" t="str">
        <f>IFERROR(HYPERLINK("#'Main'!B"&amp;MATCH(TRIM(A899),Main!B:B,0),"Open"),HYPERLINK("#'Main'!B1","Open"))</f>
        <v>Open</v>
      </c>
    </row>
    <row r="900" spans="1:22" ht="30" customHeight="1" x14ac:dyDescent="0.25">
      <c r="A900" s="50" t="s">
        <v>214</v>
      </c>
      <c r="B900" s="33" t="s">
        <v>614</v>
      </c>
      <c r="C900" s="37" t="s">
        <v>1140</v>
      </c>
      <c r="D900" s="33"/>
      <c r="E900" s="52">
        <v>200</v>
      </c>
      <c r="F900" s="33" t="b">
        <v>1</v>
      </c>
      <c r="G900" s="33">
        <v>0</v>
      </c>
      <c r="H900" s="52">
        <v>0</v>
      </c>
      <c r="I900" s="33">
        <v>0</v>
      </c>
      <c r="J900" s="33">
        <v>0</v>
      </c>
      <c r="K900" s="33">
        <v>0</v>
      </c>
      <c r="L900" s="40" t="b">
        <v>0</v>
      </c>
      <c r="M900" s="33">
        <v>0</v>
      </c>
      <c r="N900" s="33">
        <v>0</v>
      </c>
      <c r="O900" s="52">
        <v>0</v>
      </c>
      <c r="P900" s="33">
        <v>0</v>
      </c>
      <c r="Q900" s="33">
        <v>0</v>
      </c>
      <c r="R900" s="33"/>
      <c r="S900" s="33"/>
      <c r="T900" s="33" t="s">
        <v>616</v>
      </c>
      <c r="U900" s="41" t="str">
        <f>IFERROR(HYPERLINK("#'Main'!B"&amp;MATCH(TRIM(A900),Main!B:B,0),"Open"),HYPERLINK("#'Main'!B1","Open"))</f>
        <v>Open</v>
      </c>
      <c r="V900" s="41"/>
    </row>
    <row r="901" spans="1:22" ht="30" customHeight="1" x14ac:dyDescent="0.25">
      <c r="A901" s="51" t="s">
        <v>214</v>
      </c>
      <c r="B901" s="42" t="s">
        <v>614</v>
      </c>
      <c r="C901" s="44" t="s">
        <v>754</v>
      </c>
      <c r="D901" s="42"/>
      <c r="E901" s="52">
        <v>200</v>
      </c>
      <c r="F901" s="42" t="b">
        <v>1</v>
      </c>
      <c r="G901" s="42">
        <v>0</v>
      </c>
      <c r="H901" s="52">
        <v>0</v>
      </c>
      <c r="I901" s="42">
        <v>0</v>
      </c>
      <c r="J901" s="42">
        <v>0</v>
      </c>
      <c r="K901" s="42">
        <v>0</v>
      </c>
      <c r="L901" s="46" t="b">
        <v>0</v>
      </c>
      <c r="M901" s="42">
        <v>0</v>
      </c>
      <c r="N901" s="42">
        <v>0</v>
      </c>
      <c r="O901" s="52">
        <v>0</v>
      </c>
      <c r="P901" s="42">
        <v>0</v>
      </c>
      <c r="Q901" s="42">
        <v>0</v>
      </c>
      <c r="R901" s="42"/>
      <c r="S901" s="42"/>
      <c r="T901" s="42" t="s">
        <v>616</v>
      </c>
      <c r="U901" t="str">
        <f>IFERROR(HYPERLINK("#'Main'!B"&amp;MATCH(TRIM(A901),Main!B:B,0),"Open"),HYPERLINK("#'Main'!B1","Open"))</f>
        <v>Open</v>
      </c>
    </row>
    <row r="902" spans="1:22" ht="30" customHeight="1" x14ac:dyDescent="0.25">
      <c r="A902" s="50" t="s">
        <v>214</v>
      </c>
      <c r="B902" s="33" t="s">
        <v>614</v>
      </c>
      <c r="C902" s="37" t="s">
        <v>1141</v>
      </c>
      <c r="D902" s="33"/>
      <c r="E902" s="52">
        <v>200</v>
      </c>
      <c r="F902" s="33" t="b">
        <v>1</v>
      </c>
      <c r="G902" s="33">
        <v>0</v>
      </c>
      <c r="H902" s="52">
        <v>0</v>
      </c>
      <c r="I902" s="33">
        <v>0</v>
      </c>
      <c r="J902" s="33">
        <v>0</v>
      </c>
      <c r="K902" s="33">
        <v>0</v>
      </c>
      <c r="L902" s="40" t="b">
        <v>0</v>
      </c>
      <c r="M902" s="33">
        <v>0</v>
      </c>
      <c r="N902" s="33">
        <v>0</v>
      </c>
      <c r="O902" s="52">
        <v>0</v>
      </c>
      <c r="P902" s="33">
        <v>0</v>
      </c>
      <c r="Q902" s="33">
        <v>0</v>
      </c>
      <c r="R902" s="33"/>
      <c r="S902" s="33"/>
      <c r="T902" s="33" t="s">
        <v>616</v>
      </c>
      <c r="U902" s="41" t="str">
        <f>IFERROR(HYPERLINK("#'Main'!B"&amp;MATCH(TRIM(A902),Main!B:B,0),"Open"),HYPERLINK("#'Main'!B1","Open"))</f>
        <v>Open</v>
      </c>
      <c r="V902" s="41"/>
    </row>
    <row r="903" spans="1:22" ht="30" customHeight="1" x14ac:dyDescent="0.25">
      <c r="A903" s="51" t="s">
        <v>214</v>
      </c>
      <c r="B903" s="42" t="s">
        <v>614</v>
      </c>
      <c r="C903" s="44" t="s">
        <v>1142</v>
      </c>
      <c r="D903" s="42"/>
      <c r="E903" s="52">
        <v>200</v>
      </c>
      <c r="F903" s="42" t="b">
        <v>1</v>
      </c>
      <c r="G903" s="42">
        <v>0</v>
      </c>
      <c r="H903" s="52">
        <v>0</v>
      </c>
      <c r="I903" s="42">
        <v>0</v>
      </c>
      <c r="J903" s="42">
        <v>0</v>
      </c>
      <c r="K903" s="42">
        <v>0</v>
      </c>
      <c r="L903" s="46" t="b">
        <v>0</v>
      </c>
      <c r="M903" s="42">
        <v>0</v>
      </c>
      <c r="N903" s="42">
        <v>0</v>
      </c>
      <c r="O903" s="52">
        <v>0</v>
      </c>
      <c r="P903" s="42">
        <v>0</v>
      </c>
      <c r="Q903" s="42">
        <v>0</v>
      </c>
      <c r="R903" s="42"/>
      <c r="S903" s="42"/>
      <c r="T903" s="42" t="s">
        <v>616</v>
      </c>
      <c r="U903" t="str">
        <f>IFERROR(HYPERLINK("#'Main'!B"&amp;MATCH(TRIM(A903),Main!B:B,0),"Open"),HYPERLINK("#'Main'!B1","Open"))</f>
        <v>Open</v>
      </c>
    </row>
    <row r="904" spans="1:22" ht="30" customHeight="1" x14ac:dyDescent="0.25">
      <c r="A904" s="50" t="s">
        <v>214</v>
      </c>
      <c r="B904" s="33" t="s">
        <v>614</v>
      </c>
      <c r="C904" s="37" t="s">
        <v>1143</v>
      </c>
      <c r="D904" s="33"/>
      <c r="E904" s="52">
        <v>200</v>
      </c>
      <c r="F904" s="33" t="b">
        <v>1</v>
      </c>
      <c r="G904" s="33">
        <v>0</v>
      </c>
      <c r="H904" s="52">
        <v>0</v>
      </c>
      <c r="I904" s="33">
        <v>0</v>
      </c>
      <c r="J904" s="33">
        <v>0</v>
      </c>
      <c r="K904" s="33">
        <v>0</v>
      </c>
      <c r="L904" s="40" t="b">
        <v>0</v>
      </c>
      <c r="M904" s="33">
        <v>0</v>
      </c>
      <c r="N904" s="33">
        <v>0</v>
      </c>
      <c r="O904" s="52">
        <v>0</v>
      </c>
      <c r="P904" s="33">
        <v>0</v>
      </c>
      <c r="Q904" s="33">
        <v>0</v>
      </c>
      <c r="R904" s="33"/>
      <c r="S904" s="33"/>
      <c r="T904" s="33" t="s">
        <v>616</v>
      </c>
      <c r="U904" s="41" t="str">
        <f>IFERROR(HYPERLINK("#'Main'!B"&amp;MATCH(TRIM(A904),Main!B:B,0),"Open"),HYPERLINK("#'Main'!B1","Open"))</f>
        <v>Open</v>
      </c>
      <c r="V904" s="41"/>
    </row>
    <row r="905" spans="1:22" ht="30" customHeight="1" x14ac:dyDescent="0.25">
      <c r="A905" s="51" t="s">
        <v>214</v>
      </c>
      <c r="B905" s="42" t="s">
        <v>614</v>
      </c>
      <c r="C905" s="44" t="s">
        <v>1144</v>
      </c>
      <c r="D905" s="42"/>
      <c r="E905" s="52">
        <v>200</v>
      </c>
      <c r="F905" s="42" t="b">
        <v>1</v>
      </c>
      <c r="G905" s="42">
        <v>0</v>
      </c>
      <c r="H905" s="52">
        <v>0</v>
      </c>
      <c r="I905" s="42">
        <v>0</v>
      </c>
      <c r="J905" s="42">
        <v>0</v>
      </c>
      <c r="K905" s="42">
        <v>0</v>
      </c>
      <c r="L905" s="46" t="b">
        <v>0</v>
      </c>
      <c r="M905" s="42">
        <v>0</v>
      </c>
      <c r="N905" s="42">
        <v>0</v>
      </c>
      <c r="O905" s="52">
        <v>0</v>
      </c>
      <c r="P905" s="42">
        <v>0</v>
      </c>
      <c r="Q905" s="42">
        <v>0</v>
      </c>
      <c r="R905" s="42"/>
      <c r="S905" s="42"/>
      <c r="T905" s="42" t="s">
        <v>616</v>
      </c>
      <c r="U905" t="str">
        <f>IFERROR(HYPERLINK("#'Main'!B"&amp;MATCH(TRIM(A905),Main!B:B,0),"Open"),HYPERLINK("#'Main'!B1","Open"))</f>
        <v>Open</v>
      </c>
    </row>
    <row r="906" spans="1:22" ht="30" customHeight="1" x14ac:dyDescent="0.25">
      <c r="A906" s="50" t="s">
        <v>214</v>
      </c>
      <c r="B906" s="33" t="s">
        <v>614</v>
      </c>
      <c r="C906" s="37" t="s">
        <v>1145</v>
      </c>
      <c r="D906" s="33"/>
      <c r="E906" s="52">
        <v>200</v>
      </c>
      <c r="F906" s="33" t="b">
        <v>1</v>
      </c>
      <c r="G906" s="33">
        <v>0</v>
      </c>
      <c r="H906" s="52">
        <v>0</v>
      </c>
      <c r="I906" s="33">
        <v>0</v>
      </c>
      <c r="J906" s="33">
        <v>0</v>
      </c>
      <c r="K906" s="33">
        <v>0</v>
      </c>
      <c r="L906" s="40" t="b">
        <v>0</v>
      </c>
      <c r="M906" s="33">
        <v>0</v>
      </c>
      <c r="N906" s="33">
        <v>0</v>
      </c>
      <c r="O906" s="52">
        <v>0</v>
      </c>
      <c r="P906" s="33">
        <v>0</v>
      </c>
      <c r="Q906" s="33">
        <v>0</v>
      </c>
      <c r="R906" s="33"/>
      <c r="S906" s="33"/>
      <c r="T906" s="33" t="s">
        <v>616</v>
      </c>
      <c r="U906" s="41" t="str">
        <f>IFERROR(HYPERLINK("#'Main'!B"&amp;MATCH(TRIM(A906),Main!B:B,0),"Open"),HYPERLINK("#'Main'!B1","Open"))</f>
        <v>Open</v>
      </c>
      <c r="V906" s="41"/>
    </row>
    <row r="907" spans="1:22" ht="30" customHeight="1" x14ac:dyDescent="0.25">
      <c r="A907" s="51" t="s">
        <v>214</v>
      </c>
      <c r="B907" s="42" t="s">
        <v>614</v>
      </c>
      <c r="C907" s="44" t="s">
        <v>1146</v>
      </c>
      <c r="D907" s="42"/>
      <c r="E907" s="52">
        <v>200</v>
      </c>
      <c r="F907" s="42" t="b">
        <v>1</v>
      </c>
      <c r="G907" s="42">
        <v>0</v>
      </c>
      <c r="H907" s="52">
        <v>0</v>
      </c>
      <c r="I907" s="42">
        <v>0</v>
      </c>
      <c r="J907" s="42">
        <v>0</v>
      </c>
      <c r="K907" s="42">
        <v>0</v>
      </c>
      <c r="L907" s="46" t="b">
        <v>0</v>
      </c>
      <c r="M907" s="42">
        <v>0</v>
      </c>
      <c r="N907" s="42">
        <v>0</v>
      </c>
      <c r="O907" s="52">
        <v>0</v>
      </c>
      <c r="P907" s="42">
        <v>0</v>
      </c>
      <c r="Q907" s="42">
        <v>0</v>
      </c>
      <c r="R907" s="42"/>
      <c r="S907" s="42"/>
      <c r="T907" s="42" t="s">
        <v>616</v>
      </c>
      <c r="U907" t="str">
        <f>IFERROR(HYPERLINK("#'Main'!B"&amp;MATCH(TRIM(A907),Main!B:B,0),"Open"),HYPERLINK("#'Main'!B1","Open"))</f>
        <v>Open</v>
      </c>
    </row>
    <row r="908" spans="1:22" ht="30" customHeight="1" x14ac:dyDescent="0.25">
      <c r="A908" s="50" t="s">
        <v>214</v>
      </c>
      <c r="B908" s="33" t="s">
        <v>614</v>
      </c>
      <c r="C908" s="37" t="s">
        <v>1147</v>
      </c>
      <c r="D908" s="33"/>
      <c r="E908" s="52">
        <v>200</v>
      </c>
      <c r="F908" s="33" t="b">
        <v>1</v>
      </c>
      <c r="G908" s="33">
        <v>0</v>
      </c>
      <c r="H908" s="52">
        <v>0</v>
      </c>
      <c r="I908" s="33">
        <v>0</v>
      </c>
      <c r="J908" s="33">
        <v>0</v>
      </c>
      <c r="K908" s="33">
        <v>0</v>
      </c>
      <c r="L908" s="40" t="b">
        <v>0</v>
      </c>
      <c r="M908" s="33">
        <v>0</v>
      </c>
      <c r="N908" s="33">
        <v>0</v>
      </c>
      <c r="O908" s="52">
        <v>0</v>
      </c>
      <c r="P908" s="33">
        <v>0</v>
      </c>
      <c r="Q908" s="33">
        <v>0</v>
      </c>
      <c r="R908" s="33"/>
      <c r="S908" s="33"/>
      <c r="T908" s="33" t="s">
        <v>616</v>
      </c>
      <c r="U908" s="41" t="str">
        <f>IFERROR(HYPERLINK("#'Main'!B"&amp;MATCH(TRIM(A908),Main!B:B,0),"Open"),HYPERLINK("#'Main'!B1","Open"))</f>
        <v>Open</v>
      </c>
      <c r="V908" s="41"/>
    </row>
    <row r="909" spans="1:22" ht="30" customHeight="1" x14ac:dyDescent="0.25">
      <c r="A909" s="51" t="s">
        <v>214</v>
      </c>
      <c r="B909" s="42" t="s">
        <v>614</v>
      </c>
      <c r="C909" s="44" t="s">
        <v>1148</v>
      </c>
      <c r="D909" s="42"/>
      <c r="E909" s="52">
        <v>200</v>
      </c>
      <c r="F909" s="42" t="b">
        <v>1</v>
      </c>
      <c r="G909" s="42">
        <v>0</v>
      </c>
      <c r="H909" s="52">
        <v>0</v>
      </c>
      <c r="I909" s="42">
        <v>0</v>
      </c>
      <c r="J909" s="42">
        <v>0</v>
      </c>
      <c r="K909" s="42">
        <v>0</v>
      </c>
      <c r="L909" s="46" t="b">
        <v>0</v>
      </c>
      <c r="M909" s="42">
        <v>0</v>
      </c>
      <c r="N909" s="42">
        <v>0</v>
      </c>
      <c r="O909" s="52">
        <v>0</v>
      </c>
      <c r="P909" s="42">
        <v>0</v>
      </c>
      <c r="Q909" s="42">
        <v>0</v>
      </c>
      <c r="R909" s="42"/>
      <c r="S909" s="42"/>
      <c r="T909" s="42" t="s">
        <v>616</v>
      </c>
      <c r="U909" t="str">
        <f>IFERROR(HYPERLINK("#'Main'!B"&amp;MATCH(TRIM(A909),Main!B:B,0),"Open"),HYPERLINK("#'Main'!B1","Open"))</f>
        <v>Open</v>
      </c>
    </row>
    <row r="910" spans="1:22" ht="30" customHeight="1" x14ac:dyDescent="0.25">
      <c r="A910" s="50" t="s">
        <v>214</v>
      </c>
      <c r="B910" s="33" t="s">
        <v>614</v>
      </c>
      <c r="C910" s="37" t="s">
        <v>1149</v>
      </c>
      <c r="D910" s="33"/>
      <c r="E910" s="52">
        <v>200</v>
      </c>
      <c r="F910" s="33" t="b">
        <v>1</v>
      </c>
      <c r="G910" s="33">
        <v>0</v>
      </c>
      <c r="H910" s="52">
        <v>0</v>
      </c>
      <c r="I910" s="33">
        <v>0</v>
      </c>
      <c r="J910" s="33">
        <v>0</v>
      </c>
      <c r="K910" s="33">
        <v>0</v>
      </c>
      <c r="L910" s="40" t="b">
        <v>0</v>
      </c>
      <c r="M910" s="33">
        <v>0</v>
      </c>
      <c r="N910" s="33">
        <v>0</v>
      </c>
      <c r="O910" s="52">
        <v>0</v>
      </c>
      <c r="P910" s="33">
        <v>0</v>
      </c>
      <c r="Q910" s="33">
        <v>0</v>
      </c>
      <c r="R910" s="33"/>
      <c r="S910" s="33"/>
      <c r="T910" s="33" t="s">
        <v>616</v>
      </c>
      <c r="U910" s="41" t="str">
        <f>IFERROR(HYPERLINK("#'Main'!B"&amp;MATCH(TRIM(A910),Main!B:B,0),"Open"),HYPERLINK("#'Main'!B1","Open"))</f>
        <v>Open</v>
      </c>
      <c r="V910" s="41"/>
    </row>
    <row r="911" spans="1:22" ht="30" customHeight="1" x14ac:dyDescent="0.25">
      <c r="A911" s="51" t="s">
        <v>214</v>
      </c>
      <c r="B911" s="42" t="s">
        <v>614</v>
      </c>
      <c r="C911" s="44" t="s">
        <v>1150</v>
      </c>
      <c r="D911" s="42"/>
      <c r="E911" s="52">
        <v>200</v>
      </c>
      <c r="F911" s="42" t="b">
        <v>1</v>
      </c>
      <c r="G911" s="42">
        <v>0</v>
      </c>
      <c r="H911" s="52">
        <v>0</v>
      </c>
      <c r="I911" s="42">
        <v>0</v>
      </c>
      <c r="J911" s="42">
        <v>0</v>
      </c>
      <c r="K911" s="42">
        <v>0</v>
      </c>
      <c r="L911" s="46" t="b">
        <v>0</v>
      </c>
      <c r="M911" s="42">
        <v>0</v>
      </c>
      <c r="N911" s="42">
        <v>0</v>
      </c>
      <c r="O911" s="52">
        <v>0</v>
      </c>
      <c r="P911" s="42">
        <v>0</v>
      </c>
      <c r="Q911" s="42">
        <v>0</v>
      </c>
      <c r="R911" s="42"/>
      <c r="S911" s="42"/>
      <c r="T911" s="42" t="s">
        <v>616</v>
      </c>
      <c r="U911" t="str">
        <f>IFERROR(HYPERLINK("#'Main'!B"&amp;MATCH(TRIM(A911),Main!B:B,0),"Open"),HYPERLINK("#'Main'!B1","Open"))</f>
        <v>Open</v>
      </c>
    </row>
    <row r="912" spans="1:22" ht="30" customHeight="1" x14ac:dyDescent="0.25">
      <c r="A912" s="50" t="s">
        <v>214</v>
      </c>
      <c r="B912" s="33" t="s">
        <v>614</v>
      </c>
      <c r="C912" s="37" t="s">
        <v>1151</v>
      </c>
      <c r="D912" s="33"/>
      <c r="E912" s="52">
        <v>200</v>
      </c>
      <c r="F912" s="33" t="b">
        <v>1</v>
      </c>
      <c r="G912" s="33">
        <v>0</v>
      </c>
      <c r="H912" s="52">
        <v>0</v>
      </c>
      <c r="I912" s="33">
        <v>0</v>
      </c>
      <c r="J912" s="33">
        <v>0</v>
      </c>
      <c r="K912" s="33">
        <v>0</v>
      </c>
      <c r="L912" s="40" t="b">
        <v>0</v>
      </c>
      <c r="M912" s="33">
        <v>0</v>
      </c>
      <c r="N912" s="33">
        <v>0</v>
      </c>
      <c r="O912" s="52">
        <v>0</v>
      </c>
      <c r="P912" s="33">
        <v>0</v>
      </c>
      <c r="Q912" s="33">
        <v>0</v>
      </c>
      <c r="R912" s="33"/>
      <c r="S912" s="33"/>
      <c r="T912" s="33" t="s">
        <v>616</v>
      </c>
      <c r="U912" s="41" t="str">
        <f>IFERROR(HYPERLINK("#'Main'!B"&amp;MATCH(TRIM(A912),Main!B:B,0),"Open"),HYPERLINK("#'Main'!B1","Open"))</f>
        <v>Open</v>
      </c>
      <c r="V912" s="41"/>
    </row>
    <row r="913" spans="1:22" ht="30" customHeight="1" x14ac:dyDescent="0.25">
      <c r="A913" s="51" t="s">
        <v>214</v>
      </c>
      <c r="B913" s="42" t="s">
        <v>614</v>
      </c>
      <c r="C913" s="44" t="s">
        <v>1152</v>
      </c>
      <c r="D913" s="42"/>
      <c r="E913" s="52">
        <v>200</v>
      </c>
      <c r="F913" s="42" t="b">
        <v>1</v>
      </c>
      <c r="G913" s="42">
        <v>0</v>
      </c>
      <c r="H913" s="52">
        <v>0</v>
      </c>
      <c r="I913" s="42">
        <v>0</v>
      </c>
      <c r="J913" s="42">
        <v>0</v>
      </c>
      <c r="K913" s="42">
        <v>0</v>
      </c>
      <c r="L913" s="46" t="b">
        <v>0</v>
      </c>
      <c r="M913" s="42">
        <v>0</v>
      </c>
      <c r="N913" s="42">
        <v>0</v>
      </c>
      <c r="O913" s="52">
        <v>0</v>
      </c>
      <c r="P913" s="42">
        <v>0</v>
      </c>
      <c r="Q913" s="42">
        <v>0</v>
      </c>
      <c r="R913" s="42"/>
      <c r="S913" s="42"/>
      <c r="T913" s="42" t="s">
        <v>616</v>
      </c>
      <c r="U913" t="str">
        <f>IFERROR(HYPERLINK("#'Main'!B"&amp;MATCH(TRIM(A913),Main!B:B,0),"Open"),HYPERLINK("#'Main'!B1","Open"))</f>
        <v>Open</v>
      </c>
    </row>
    <row r="914" spans="1:22" ht="30" customHeight="1" x14ac:dyDescent="0.25">
      <c r="A914" s="50" t="s">
        <v>214</v>
      </c>
      <c r="B914" s="33" t="s">
        <v>614</v>
      </c>
      <c r="C914" s="37" t="s">
        <v>1153</v>
      </c>
      <c r="D914" s="33"/>
      <c r="E914" s="52">
        <v>200</v>
      </c>
      <c r="F914" s="33" t="b">
        <v>1</v>
      </c>
      <c r="G914" s="33">
        <v>0</v>
      </c>
      <c r="H914" s="52">
        <v>0</v>
      </c>
      <c r="I914" s="33">
        <v>0</v>
      </c>
      <c r="J914" s="33">
        <v>0</v>
      </c>
      <c r="K914" s="33">
        <v>0</v>
      </c>
      <c r="L914" s="40" t="b">
        <v>0</v>
      </c>
      <c r="M914" s="33">
        <v>0</v>
      </c>
      <c r="N914" s="33">
        <v>0</v>
      </c>
      <c r="O914" s="52">
        <v>0</v>
      </c>
      <c r="P914" s="33">
        <v>0</v>
      </c>
      <c r="Q914" s="33">
        <v>0</v>
      </c>
      <c r="R914" s="33"/>
      <c r="S914" s="33"/>
      <c r="T914" s="33" t="s">
        <v>616</v>
      </c>
      <c r="U914" s="41" t="str">
        <f>IFERROR(HYPERLINK("#'Main'!B"&amp;MATCH(TRIM(A914),Main!B:B,0),"Open"),HYPERLINK("#'Main'!B1","Open"))</f>
        <v>Open</v>
      </c>
      <c r="V914" s="41"/>
    </row>
    <row r="915" spans="1:22" ht="30" customHeight="1" x14ac:dyDescent="0.25">
      <c r="A915" s="51" t="s">
        <v>214</v>
      </c>
      <c r="B915" s="42" t="s">
        <v>614</v>
      </c>
      <c r="C915" s="44" t="s">
        <v>1154</v>
      </c>
      <c r="D915" s="42"/>
      <c r="E915" s="52">
        <v>200</v>
      </c>
      <c r="F915" s="42" t="b">
        <v>1</v>
      </c>
      <c r="G915" s="42">
        <v>0</v>
      </c>
      <c r="H915" s="52">
        <v>0</v>
      </c>
      <c r="I915" s="42">
        <v>0</v>
      </c>
      <c r="J915" s="42">
        <v>0</v>
      </c>
      <c r="K915" s="42">
        <v>0</v>
      </c>
      <c r="L915" s="46" t="b">
        <v>0</v>
      </c>
      <c r="M915" s="42">
        <v>0</v>
      </c>
      <c r="N915" s="42">
        <v>0</v>
      </c>
      <c r="O915" s="52">
        <v>0</v>
      </c>
      <c r="P915" s="42">
        <v>0</v>
      </c>
      <c r="Q915" s="42">
        <v>0</v>
      </c>
      <c r="R915" s="42"/>
      <c r="S915" s="42"/>
      <c r="T915" s="42" t="s">
        <v>616</v>
      </c>
      <c r="U915" t="str">
        <f>IFERROR(HYPERLINK("#'Main'!B"&amp;MATCH(TRIM(A915),Main!B:B,0),"Open"),HYPERLINK("#'Main'!B1","Open"))</f>
        <v>Open</v>
      </c>
    </row>
    <row r="916" spans="1:22" ht="30" customHeight="1" x14ac:dyDescent="0.25">
      <c r="A916" s="50" t="s">
        <v>214</v>
      </c>
      <c r="B916" s="33" t="s">
        <v>614</v>
      </c>
      <c r="C916" s="37" t="s">
        <v>1155</v>
      </c>
      <c r="D916" s="33"/>
      <c r="E916" s="52">
        <v>200</v>
      </c>
      <c r="F916" s="33" t="b">
        <v>1</v>
      </c>
      <c r="G916" s="33">
        <v>0</v>
      </c>
      <c r="H916" s="52">
        <v>0</v>
      </c>
      <c r="I916" s="33">
        <v>0</v>
      </c>
      <c r="J916" s="33">
        <v>0</v>
      </c>
      <c r="K916" s="33">
        <v>0</v>
      </c>
      <c r="L916" s="40" t="b">
        <v>0</v>
      </c>
      <c r="M916" s="33">
        <v>0</v>
      </c>
      <c r="N916" s="33">
        <v>0</v>
      </c>
      <c r="O916" s="52">
        <v>0</v>
      </c>
      <c r="P916" s="33">
        <v>0</v>
      </c>
      <c r="Q916" s="33">
        <v>0</v>
      </c>
      <c r="R916" s="33"/>
      <c r="S916" s="33"/>
      <c r="T916" s="33" t="s">
        <v>616</v>
      </c>
      <c r="U916" s="41" t="str">
        <f>IFERROR(HYPERLINK("#'Main'!B"&amp;MATCH(TRIM(A916),Main!B:B,0),"Open"),HYPERLINK("#'Main'!B1","Open"))</f>
        <v>Open</v>
      </c>
      <c r="V916" s="41"/>
    </row>
    <row r="917" spans="1:22" ht="30" customHeight="1" x14ac:dyDescent="0.25">
      <c r="A917" s="51" t="s">
        <v>214</v>
      </c>
      <c r="B917" s="42" t="s">
        <v>614</v>
      </c>
      <c r="C917" s="44" t="s">
        <v>1156</v>
      </c>
      <c r="D917" s="42"/>
      <c r="E917" s="52">
        <v>200</v>
      </c>
      <c r="F917" s="42" t="b">
        <v>1</v>
      </c>
      <c r="G917" s="42">
        <v>0</v>
      </c>
      <c r="H917" s="52">
        <v>0</v>
      </c>
      <c r="I917" s="42">
        <v>0</v>
      </c>
      <c r="J917" s="42">
        <v>0</v>
      </c>
      <c r="K917" s="42">
        <v>0</v>
      </c>
      <c r="L917" s="46" t="b">
        <v>0</v>
      </c>
      <c r="M917" s="42">
        <v>0</v>
      </c>
      <c r="N917" s="42">
        <v>0</v>
      </c>
      <c r="O917" s="52">
        <v>0</v>
      </c>
      <c r="P917" s="42">
        <v>0</v>
      </c>
      <c r="Q917" s="42">
        <v>0</v>
      </c>
      <c r="R917" s="42"/>
      <c r="S917" s="42"/>
      <c r="T917" s="42" t="s">
        <v>616</v>
      </c>
      <c r="U917" t="str">
        <f>IFERROR(HYPERLINK("#'Main'!B"&amp;MATCH(TRIM(A917),Main!B:B,0),"Open"),HYPERLINK("#'Main'!B1","Open"))</f>
        <v>Open</v>
      </c>
    </row>
    <row r="918" spans="1:22" ht="30" customHeight="1" x14ac:dyDescent="0.25">
      <c r="A918" s="50" t="s">
        <v>214</v>
      </c>
      <c r="B918" s="33" t="s">
        <v>614</v>
      </c>
      <c r="C918" s="37" t="s">
        <v>1157</v>
      </c>
      <c r="D918" s="33"/>
      <c r="E918" s="52">
        <v>200</v>
      </c>
      <c r="F918" s="33" t="b">
        <v>1</v>
      </c>
      <c r="G918" s="33">
        <v>0</v>
      </c>
      <c r="H918" s="52">
        <v>0</v>
      </c>
      <c r="I918" s="33">
        <v>0</v>
      </c>
      <c r="J918" s="33">
        <v>0</v>
      </c>
      <c r="K918" s="33">
        <v>0</v>
      </c>
      <c r="L918" s="40" t="b">
        <v>0</v>
      </c>
      <c r="M918" s="33">
        <v>0</v>
      </c>
      <c r="N918" s="33">
        <v>0</v>
      </c>
      <c r="O918" s="52">
        <v>0</v>
      </c>
      <c r="P918" s="33">
        <v>0</v>
      </c>
      <c r="Q918" s="33">
        <v>0</v>
      </c>
      <c r="R918" s="33"/>
      <c r="S918" s="33"/>
      <c r="T918" s="33" t="s">
        <v>616</v>
      </c>
      <c r="U918" s="41" t="str">
        <f>IFERROR(HYPERLINK("#'Main'!B"&amp;MATCH(TRIM(A918),Main!B:B,0),"Open"),HYPERLINK("#'Main'!B1","Open"))</f>
        <v>Open</v>
      </c>
      <c r="V918" s="41"/>
    </row>
    <row r="919" spans="1:22" ht="30" customHeight="1" x14ac:dyDescent="0.25">
      <c r="A919" s="51" t="s">
        <v>214</v>
      </c>
      <c r="B919" s="42" t="s">
        <v>614</v>
      </c>
      <c r="C919" s="44" t="s">
        <v>1158</v>
      </c>
      <c r="D919" s="42"/>
      <c r="E919" s="52">
        <v>200</v>
      </c>
      <c r="F919" s="42" t="b">
        <v>1</v>
      </c>
      <c r="G919" s="42">
        <v>0</v>
      </c>
      <c r="H919" s="52">
        <v>0</v>
      </c>
      <c r="I919" s="42">
        <v>0</v>
      </c>
      <c r="J919" s="42">
        <v>0</v>
      </c>
      <c r="K919" s="42">
        <v>0</v>
      </c>
      <c r="L919" s="46" t="b">
        <v>0</v>
      </c>
      <c r="M919" s="42">
        <v>0</v>
      </c>
      <c r="N919" s="42">
        <v>0</v>
      </c>
      <c r="O919" s="52">
        <v>0</v>
      </c>
      <c r="P919" s="42">
        <v>0</v>
      </c>
      <c r="Q919" s="42">
        <v>0</v>
      </c>
      <c r="R919" s="42"/>
      <c r="S919" s="42"/>
      <c r="T919" s="42" t="s">
        <v>616</v>
      </c>
      <c r="U919" t="str">
        <f>IFERROR(HYPERLINK("#'Main'!B"&amp;MATCH(TRIM(A919),Main!B:B,0),"Open"),HYPERLINK("#'Main'!B1","Open"))</f>
        <v>Open</v>
      </c>
    </row>
    <row r="920" spans="1:22" ht="30" customHeight="1" x14ac:dyDescent="0.25">
      <c r="A920" s="50" t="s">
        <v>214</v>
      </c>
      <c r="B920" s="33" t="s">
        <v>614</v>
      </c>
      <c r="C920" s="37" t="s">
        <v>1159</v>
      </c>
      <c r="D920" s="33"/>
      <c r="E920" s="52">
        <v>200</v>
      </c>
      <c r="F920" s="33" t="b">
        <v>1</v>
      </c>
      <c r="G920" s="33">
        <v>0</v>
      </c>
      <c r="H920" s="52">
        <v>0</v>
      </c>
      <c r="I920" s="33">
        <v>0</v>
      </c>
      <c r="J920" s="33">
        <v>0</v>
      </c>
      <c r="K920" s="33">
        <v>0</v>
      </c>
      <c r="L920" s="40" t="b">
        <v>0</v>
      </c>
      <c r="M920" s="33">
        <v>0</v>
      </c>
      <c r="N920" s="33">
        <v>0</v>
      </c>
      <c r="O920" s="52">
        <v>0</v>
      </c>
      <c r="P920" s="33">
        <v>0</v>
      </c>
      <c r="Q920" s="33">
        <v>0</v>
      </c>
      <c r="R920" s="33"/>
      <c r="S920" s="33"/>
      <c r="T920" s="33" t="s">
        <v>616</v>
      </c>
      <c r="U920" s="41" t="str">
        <f>IFERROR(HYPERLINK("#'Main'!B"&amp;MATCH(TRIM(A920),Main!B:B,0),"Open"),HYPERLINK("#'Main'!B1","Open"))</f>
        <v>Open</v>
      </c>
      <c r="V920" s="41"/>
    </row>
    <row r="921" spans="1:22" ht="30" customHeight="1" x14ac:dyDescent="0.25">
      <c r="A921" s="51" t="s">
        <v>214</v>
      </c>
      <c r="B921" s="42" t="s">
        <v>614</v>
      </c>
      <c r="C921" s="44" t="s">
        <v>1160</v>
      </c>
      <c r="D921" s="42"/>
      <c r="E921" s="52">
        <v>200</v>
      </c>
      <c r="F921" s="42" t="b">
        <v>1</v>
      </c>
      <c r="G921" s="42">
        <v>0</v>
      </c>
      <c r="H921" s="52">
        <v>0</v>
      </c>
      <c r="I921" s="42">
        <v>0</v>
      </c>
      <c r="J921" s="42">
        <v>0</v>
      </c>
      <c r="K921" s="42">
        <v>0</v>
      </c>
      <c r="L921" s="46" t="b">
        <v>0</v>
      </c>
      <c r="M921" s="42">
        <v>0</v>
      </c>
      <c r="N921" s="42">
        <v>0</v>
      </c>
      <c r="O921" s="52">
        <v>0</v>
      </c>
      <c r="P921" s="42">
        <v>0</v>
      </c>
      <c r="Q921" s="42">
        <v>0</v>
      </c>
      <c r="R921" s="42"/>
      <c r="S921" s="42"/>
      <c r="T921" s="42" t="s">
        <v>616</v>
      </c>
      <c r="U921" t="str">
        <f>IFERROR(HYPERLINK("#'Main'!B"&amp;MATCH(TRIM(A921),Main!B:B,0),"Open"),HYPERLINK("#'Main'!B1","Open"))</f>
        <v>Open</v>
      </c>
    </row>
    <row r="922" spans="1:22" ht="30" customHeight="1" x14ac:dyDescent="0.25">
      <c r="A922" s="50" t="s">
        <v>214</v>
      </c>
      <c r="B922" s="33" t="s">
        <v>614</v>
      </c>
      <c r="C922" s="37" t="s">
        <v>1161</v>
      </c>
      <c r="D922" s="33"/>
      <c r="E922" s="52">
        <v>200</v>
      </c>
      <c r="F922" s="33" t="b">
        <v>1</v>
      </c>
      <c r="G922" s="33">
        <v>0</v>
      </c>
      <c r="H922" s="52">
        <v>0</v>
      </c>
      <c r="I922" s="33">
        <v>0</v>
      </c>
      <c r="J922" s="33">
        <v>0</v>
      </c>
      <c r="K922" s="33">
        <v>0</v>
      </c>
      <c r="L922" s="40" t="b">
        <v>0</v>
      </c>
      <c r="M922" s="33">
        <v>0</v>
      </c>
      <c r="N922" s="33">
        <v>0</v>
      </c>
      <c r="O922" s="52">
        <v>0</v>
      </c>
      <c r="P922" s="33">
        <v>0</v>
      </c>
      <c r="Q922" s="33">
        <v>0</v>
      </c>
      <c r="R922" s="33"/>
      <c r="S922" s="33"/>
      <c r="T922" s="33" t="s">
        <v>616</v>
      </c>
      <c r="U922" s="41" t="str">
        <f>IFERROR(HYPERLINK("#'Main'!B"&amp;MATCH(TRIM(A922),Main!B:B,0),"Open"),HYPERLINK("#'Main'!B1","Open"))</f>
        <v>Open</v>
      </c>
      <c r="V922" s="41"/>
    </row>
    <row r="923" spans="1:22" ht="30" customHeight="1" x14ac:dyDescent="0.25">
      <c r="A923" s="51" t="s">
        <v>214</v>
      </c>
      <c r="B923" s="42" t="s">
        <v>614</v>
      </c>
      <c r="C923" s="44" t="s">
        <v>1162</v>
      </c>
      <c r="D923" s="42"/>
      <c r="E923" s="52">
        <v>200</v>
      </c>
      <c r="F923" s="42" t="b">
        <v>1</v>
      </c>
      <c r="G923" s="42">
        <v>0</v>
      </c>
      <c r="H923" s="52">
        <v>0</v>
      </c>
      <c r="I923" s="42">
        <v>0</v>
      </c>
      <c r="J923" s="42">
        <v>0</v>
      </c>
      <c r="K923" s="42">
        <v>0</v>
      </c>
      <c r="L923" s="46" t="b">
        <v>0</v>
      </c>
      <c r="M923" s="42">
        <v>0</v>
      </c>
      <c r="N923" s="42">
        <v>0</v>
      </c>
      <c r="O923" s="52">
        <v>0</v>
      </c>
      <c r="P923" s="42">
        <v>0</v>
      </c>
      <c r="Q923" s="42">
        <v>0</v>
      </c>
      <c r="R923" s="42"/>
      <c r="S923" s="42"/>
      <c r="T923" s="42" t="s">
        <v>616</v>
      </c>
      <c r="U923" t="str">
        <f>IFERROR(HYPERLINK("#'Main'!B"&amp;MATCH(TRIM(A923),Main!B:B,0),"Open"),HYPERLINK("#'Main'!B1","Open"))</f>
        <v>Open</v>
      </c>
    </row>
    <row r="924" spans="1:22" ht="30" customHeight="1" x14ac:dyDescent="0.25">
      <c r="A924" s="50" t="s">
        <v>214</v>
      </c>
      <c r="B924" s="33" t="s">
        <v>614</v>
      </c>
      <c r="C924" s="37" t="s">
        <v>1163</v>
      </c>
      <c r="D924" s="33"/>
      <c r="E924" s="52">
        <v>200</v>
      </c>
      <c r="F924" s="33" t="b">
        <v>1</v>
      </c>
      <c r="G924" s="33">
        <v>0</v>
      </c>
      <c r="H924" s="52">
        <v>0</v>
      </c>
      <c r="I924" s="33">
        <v>0</v>
      </c>
      <c r="J924" s="33">
        <v>0</v>
      </c>
      <c r="K924" s="33">
        <v>0</v>
      </c>
      <c r="L924" s="40" t="b">
        <v>0</v>
      </c>
      <c r="M924" s="33">
        <v>0</v>
      </c>
      <c r="N924" s="33">
        <v>0</v>
      </c>
      <c r="O924" s="52">
        <v>0</v>
      </c>
      <c r="P924" s="33">
        <v>0</v>
      </c>
      <c r="Q924" s="33">
        <v>0</v>
      </c>
      <c r="R924" s="33"/>
      <c r="S924" s="33"/>
      <c r="T924" s="33" t="s">
        <v>616</v>
      </c>
      <c r="U924" s="41" t="str">
        <f>IFERROR(HYPERLINK("#'Main'!B"&amp;MATCH(TRIM(A924),Main!B:B,0),"Open"),HYPERLINK("#'Main'!B1","Open"))</f>
        <v>Open</v>
      </c>
      <c r="V924" s="41"/>
    </row>
    <row r="925" spans="1:22" ht="30" customHeight="1" x14ac:dyDescent="0.25">
      <c r="A925" s="51" t="s">
        <v>214</v>
      </c>
      <c r="B925" s="42" t="s">
        <v>614</v>
      </c>
      <c r="C925" s="44" t="s">
        <v>1164</v>
      </c>
      <c r="D925" s="42"/>
      <c r="E925" s="52">
        <v>200</v>
      </c>
      <c r="F925" s="42" t="b">
        <v>1</v>
      </c>
      <c r="G925" s="42">
        <v>0</v>
      </c>
      <c r="H925" s="52">
        <v>0</v>
      </c>
      <c r="I925" s="42">
        <v>0</v>
      </c>
      <c r="J925" s="42">
        <v>0</v>
      </c>
      <c r="K925" s="42">
        <v>0</v>
      </c>
      <c r="L925" s="46" t="b">
        <v>0</v>
      </c>
      <c r="M925" s="42">
        <v>0</v>
      </c>
      <c r="N925" s="42">
        <v>0</v>
      </c>
      <c r="O925" s="52">
        <v>0</v>
      </c>
      <c r="P925" s="42">
        <v>0</v>
      </c>
      <c r="Q925" s="42">
        <v>0</v>
      </c>
      <c r="R925" s="42"/>
      <c r="S925" s="42"/>
      <c r="T925" s="42" t="s">
        <v>616</v>
      </c>
      <c r="U925" t="str">
        <f>IFERROR(HYPERLINK("#'Main'!B"&amp;MATCH(TRIM(A925),Main!B:B,0),"Open"),HYPERLINK("#'Main'!B1","Open"))</f>
        <v>Open</v>
      </c>
    </row>
    <row r="926" spans="1:22" ht="30" customHeight="1" x14ac:dyDescent="0.25">
      <c r="A926" s="50" t="s">
        <v>214</v>
      </c>
      <c r="B926" s="33" t="s">
        <v>614</v>
      </c>
      <c r="C926" s="37" t="s">
        <v>1165</v>
      </c>
      <c r="D926" s="33"/>
      <c r="E926" s="52">
        <v>200</v>
      </c>
      <c r="F926" s="33" t="b">
        <v>1</v>
      </c>
      <c r="G926" s="33">
        <v>0</v>
      </c>
      <c r="H926" s="52">
        <v>0</v>
      </c>
      <c r="I926" s="33">
        <v>0</v>
      </c>
      <c r="J926" s="33">
        <v>0</v>
      </c>
      <c r="K926" s="33">
        <v>0</v>
      </c>
      <c r="L926" s="40" t="b">
        <v>0</v>
      </c>
      <c r="M926" s="33">
        <v>0</v>
      </c>
      <c r="N926" s="33">
        <v>0</v>
      </c>
      <c r="O926" s="52">
        <v>0</v>
      </c>
      <c r="P926" s="33">
        <v>0</v>
      </c>
      <c r="Q926" s="33">
        <v>0</v>
      </c>
      <c r="R926" s="33"/>
      <c r="S926" s="33"/>
      <c r="T926" s="33" t="s">
        <v>616</v>
      </c>
      <c r="U926" s="41" t="str">
        <f>IFERROR(HYPERLINK("#'Main'!B"&amp;MATCH(TRIM(A926),Main!B:B,0),"Open"),HYPERLINK("#'Main'!B1","Open"))</f>
        <v>Open</v>
      </c>
      <c r="V926" s="41"/>
    </row>
    <row r="927" spans="1:22" ht="30" customHeight="1" x14ac:dyDescent="0.25">
      <c r="A927" s="51" t="s">
        <v>214</v>
      </c>
      <c r="B927" s="42" t="s">
        <v>614</v>
      </c>
      <c r="C927" s="44" t="s">
        <v>1166</v>
      </c>
      <c r="D927" s="42"/>
      <c r="E927" s="52">
        <v>200</v>
      </c>
      <c r="F927" s="42" t="b">
        <v>1</v>
      </c>
      <c r="G927" s="42">
        <v>0</v>
      </c>
      <c r="H927" s="52">
        <v>0</v>
      </c>
      <c r="I927" s="42">
        <v>0</v>
      </c>
      <c r="J927" s="42">
        <v>0</v>
      </c>
      <c r="K927" s="42">
        <v>0</v>
      </c>
      <c r="L927" s="46" t="b">
        <v>0</v>
      </c>
      <c r="M927" s="42">
        <v>0</v>
      </c>
      <c r="N927" s="42">
        <v>0</v>
      </c>
      <c r="O927" s="52">
        <v>0</v>
      </c>
      <c r="P927" s="42">
        <v>0</v>
      </c>
      <c r="Q927" s="42">
        <v>0</v>
      </c>
      <c r="R927" s="42"/>
      <c r="S927" s="42"/>
      <c r="T927" s="42" t="s">
        <v>616</v>
      </c>
      <c r="U927" t="str">
        <f>IFERROR(HYPERLINK("#'Main'!B"&amp;MATCH(TRIM(A927),Main!B:B,0),"Open"),HYPERLINK("#'Main'!B1","Open"))</f>
        <v>Open</v>
      </c>
    </row>
    <row r="928" spans="1:22" ht="30" customHeight="1" x14ac:dyDescent="0.25">
      <c r="A928" s="50" t="s">
        <v>214</v>
      </c>
      <c r="B928" s="33" t="s">
        <v>614</v>
      </c>
      <c r="C928" s="37" t="s">
        <v>753</v>
      </c>
      <c r="D928" s="33"/>
      <c r="E928" s="52">
        <v>200</v>
      </c>
      <c r="F928" s="33" t="b">
        <v>1</v>
      </c>
      <c r="G928" s="33">
        <v>0</v>
      </c>
      <c r="H928" s="52">
        <v>0</v>
      </c>
      <c r="I928" s="33">
        <v>0</v>
      </c>
      <c r="J928" s="33">
        <v>0</v>
      </c>
      <c r="K928" s="33">
        <v>0</v>
      </c>
      <c r="L928" s="40" t="b">
        <v>0</v>
      </c>
      <c r="M928" s="33">
        <v>0</v>
      </c>
      <c r="N928" s="33">
        <v>0</v>
      </c>
      <c r="O928" s="52">
        <v>0</v>
      </c>
      <c r="P928" s="33">
        <v>0</v>
      </c>
      <c r="Q928" s="33">
        <v>0</v>
      </c>
      <c r="R928" s="33"/>
      <c r="S928" s="33"/>
      <c r="T928" s="33" t="s">
        <v>616</v>
      </c>
      <c r="U928" s="41" t="str">
        <f>IFERROR(HYPERLINK("#'Main'!B"&amp;MATCH(TRIM(A928),Main!B:B,0),"Open"),HYPERLINK("#'Main'!B1","Open"))</f>
        <v>Open</v>
      </c>
      <c r="V928" s="41"/>
    </row>
    <row r="929" spans="1:22" ht="30" customHeight="1" x14ac:dyDescent="0.25">
      <c r="A929" s="51" t="s">
        <v>214</v>
      </c>
      <c r="B929" s="42" t="s">
        <v>614</v>
      </c>
      <c r="C929" s="44" t="s">
        <v>1167</v>
      </c>
      <c r="D929" s="42"/>
      <c r="E929" s="52">
        <v>200</v>
      </c>
      <c r="F929" s="42" t="b">
        <v>1</v>
      </c>
      <c r="G929" s="42">
        <v>0</v>
      </c>
      <c r="H929" s="52">
        <v>0</v>
      </c>
      <c r="I929" s="42">
        <v>0</v>
      </c>
      <c r="J929" s="42">
        <v>0</v>
      </c>
      <c r="K929" s="42">
        <v>0</v>
      </c>
      <c r="L929" s="46" t="b">
        <v>0</v>
      </c>
      <c r="M929" s="42">
        <v>0</v>
      </c>
      <c r="N929" s="42">
        <v>0</v>
      </c>
      <c r="O929" s="52">
        <v>0</v>
      </c>
      <c r="P929" s="42">
        <v>0</v>
      </c>
      <c r="Q929" s="42">
        <v>0</v>
      </c>
      <c r="R929" s="42"/>
      <c r="S929" s="42"/>
      <c r="T929" s="42" t="s">
        <v>616</v>
      </c>
      <c r="U929" t="str">
        <f>IFERROR(HYPERLINK("#'Main'!B"&amp;MATCH(TRIM(A929),Main!B:B,0),"Open"),HYPERLINK("#'Main'!B1","Open"))</f>
        <v>Open</v>
      </c>
    </row>
    <row r="930" spans="1:22" ht="30" customHeight="1" x14ac:dyDescent="0.25">
      <c r="A930" s="50" t="s">
        <v>214</v>
      </c>
      <c r="B930" s="33" t="s">
        <v>614</v>
      </c>
      <c r="C930" s="37" t="s">
        <v>1168</v>
      </c>
      <c r="D930" s="33"/>
      <c r="E930" s="52">
        <v>200</v>
      </c>
      <c r="F930" s="33" t="b">
        <v>1</v>
      </c>
      <c r="G930" s="33">
        <v>0</v>
      </c>
      <c r="H930" s="52">
        <v>0</v>
      </c>
      <c r="I930" s="33">
        <v>0</v>
      </c>
      <c r="J930" s="33">
        <v>0</v>
      </c>
      <c r="K930" s="33">
        <v>0</v>
      </c>
      <c r="L930" s="40" t="b">
        <v>0</v>
      </c>
      <c r="M930" s="33">
        <v>0</v>
      </c>
      <c r="N930" s="33">
        <v>0</v>
      </c>
      <c r="O930" s="52">
        <v>0</v>
      </c>
      <c r="P930" s="33">
        <v>0</v>
      </c>
      <c r="Q930" s="33">
        <v>0</v>
      </c>
      <c r="R930" s="33"/>
      <c r="S930" s="33"/>
      <c r="T930" s="33" t="s">
        <v>616</v>
      </c>
      <c r="U930" s="41" t="str">
        <f>IFERROR(HYPERLINK("#'Main'!B"&amp;MATCH(TRIM(A930),Main!B:B,0),"Open"),HYPERLINK("#'Main'!B1","Open"))</f>
        <v>Open</v>
      </c>
      <c r="V930" s="41"/>
    </row>
    <row r="931" spans="1:22" ht="30" customHeight="1" x14ac:dyDescent="0.25">
      <c r="A931" s="51" t="s">
        <v>214</v>
      </c>
      <c r="B931" s="42" t="s">
        <v>614</v>
      </c>
      <c r="C931" s="44" t="s">
        <v>1169</v>
      </c>
      <c r="D931" s="42"/>
      <c r="E931" s="52">
        <v>200</v>
      </c>
      <c r="F931" s="42" t="b">
        <v>1</v>
      </c>
      <c r="G931" s="42">
        <v>0</v>
      </c>
      <c r="H931" s="52">
        <v>0</v>
      </c>
      <c r="I931" s="42">
        <v>0</v>
      </c>
      <c r="J931" s="42">
        <v>0</v>
      </c>
      <c r="K931" s="42">
        <v>0</v>
      </c>
      <c r="L931" s="46" t="b">
        <v>0</v>
      </c>
      <c r="M931" s="42">
        <v>0</v>
      </c>
      <c r="N931" s="42">
        <v>0</v>
      </c>
      <c r="O931" s="52">
        <v>0</v>
      </c>
      <c r="P931" s="42">
        <v>0</v>
      </c>
      <c r="Q931" s="42">
        <v>0</v>
      </c>
      <c r="R931" s="42"/>
      <c r="S931" s="42"/>
      <c r="T931" s="42" t="s">
        <v>616</v>
      </c>
      <c r="U931" t="str">
        <f>IFERROR(HYPERLINK("#'Main'!B"&amp;MATCH(TRIM(A931),Main!B:B,0),"Open"),HYPERLINK("#'Main'!B1","Open"))</f>
        <v>Open</v>
      </c>
    </row>
    <row r="932" spans="1:22" ht="30" customHeight="1" x14ac:dyDescent="0.25">
      <c r="A932" s="50" t="s">
        <v>214</v>
      </c>
      <c r="B932" s="33" t="s">
        <v>614</v>
      </c>
      <c r="C932" s="37" t="s">
        <v>1170</v>
      </c>
      <c r="D932" s="33"/>
      <c r="E932" s="52">
        <v>200</v>
      </c>
      <c r="F932" s="33" t="b">
        <v>1</v>
      </c>
      <c r="G932" s="33">
        <v>0</v>
      </c>
      <c r="H932" s="52">
        <v>0</v>
      </c>
      <c r="I932" s="33">
        <v>0</v>
      </c>
      <c r="J932" s="33">
        <v>0</v>
      </c>
      <c r="K932" s="33">
        <v>0</v>
      </c>
      <c r="L932" s="40" t="b">
        <v>0</v>
      </c>
      <c r="M932" s="33">
        <v>0</v>
      </c>
      <c r="N932" s="33">
        <v>0</v>
      </c>
      <c r="O932" s="52">
        <v>0</v>
      </c>
      <c r="P932" s="33">
        <v>0</v>
      </c>
      <c r="Q932" s="33">
        <v>0</v>
      </c>
      <c r="R932" s="33"/>
      <c r="S932" s="33"/>
      <c r="T932" s="33" t="s">
        <v>616</v>
      </c>
      <c r="U932" s="41" t="str">
        <f>IFERROR(HYPERLINK("#'Main'!B"&amp;MATCH(TRIM(A932),Main!B:B,0),"Open"),HYPERLINK("#'Main'!B1","Open"))</f>
        <v>Open</v>
      </c>
      <c r="V932" s="41"/>
    </row>
    <row r="933" spans="1:22" ht="30" customHeight="1" x14ac:dyDescent="0.25">
      <c r="A933" s="51" t="s">
        <v>214</v>
      </c>
      <c r="B933" s="42" t="s">
        <v>614</v>
      </c>
      <c r="C933" s="44" t="s">
        <v>1171</v>
      </c>
      <c r="D933" s="42"/>
      <c r="E933" s="52">
        <v>200</v>
      </c>
      <c r="F933" s="42" t="b">
        <v>1</v>
      </c>
      <c r="G933" s="42">
        <v>0</v>
      </c>
      <c r="H933" s="52">
        <v>0</v>
      </c>
      <c r="I933" s="42">
        <v>0</v>
      </c>
      <c r="J933" s="42">
        <v>0</v>
      </c>
      <c r="K933" s="42">
        <v>0</v>
      </c>
      <c r="L933" s="46" t="b">
        <v>0</v>
      </c>
      <c r="M933" s="42">
        <v>0</v>
      </c>
      <c r="N933" s="42">
        <v>0</v>
      </c>
      <c r="O933" s="52">
        <v>0</v>
      </c>
      <c r="P933" s="42">
        <v>0</v>
      </c>
      <c r="Q933" s="42">
        <v>0</v>
      </c>
      <c r="R933" s="42"/>
      <c r="S933" s="42"/>
      <c r="T933" s="42" t="s">
        <v>616</v>
      </c>
      <c r="U933" t="str">
        <f>IFERROR(HYPERLINK("#'Main'!B"&amp;MATCH(TRIM(A933),Main!B:B,0),"Open"),HYPERLINK("#'Main'!B1","Open"))</f>
        <v>Open</v>
      </c>
    </row>
    <row r="934" spans="1:22" ht="30" customHeight="1" x14ac:dyDescent="0.25">
      <c r="A934" s="50" t="s">
        <v>214</v>
      </c>
      <c r="B934" s="33" t="s">
        <v>614</v>
      </c>
      <c r="C934" s="37" t="s">
        <v>1172</v>
      </c>
      <c r="D934" s="33"/>
      <c r="E934" s="52">
        <v>200</v>
      </c>
      <c r="F934" s="33" t="b">
        <v>1</v>
      </c>
      <c r="G934" s="33">
        <v>0</v>
      </c>
      <c r="H934" s="52">
        <v>0</v>
      </c>
      <c r="I934" s="33">
        <v>0</v>
      </c>
      <c r="J934" s="33">
        <v>0</v>
      </c>
      <c r="K934" s="33">
        <v>0</v>
      </c>
      <c r="L934" s="40" t="b">
        <v>0</v>
      </c>
      <c r="M934" s="33">
        <v>0</v>
      </c>
      <c r="N934" s="33">
        <v>0</v>
      </c>
      <c r="O934" s="52">
        <v>0</v>
      </c>
      <c r="P934" s="33">
        <v>0</v>
      </c>
      <c r="Q934" s="33">
        <v>0</v>
      </c>
      <c r="R934" s="33"/>
      <c r="S934" s="33"/>
      <c r="T934" s="33" t="s">
        <v>616</v>
      </c>
      <c r="U934" s="41" t="str">
        <f>IFERROR(HYPERLINK("#'Main'!B"&amp;MATCH(TRIM(A934),Main!B:B,0),"Open"),HYPERLINK("#'Main'!B1","Open"))</f>
        <v>Open</v>
      </c>
      <c r="V934" s="41"/>
    </row>
    <row r="935" spans="1:22" ht="30" customHeight="1" x14ac:dyDescent="0.25">
      <c r="A935" s="51" t="s">
        <v>214</v>
      </c>
      <c r="B935" s="42" t="s">
        <v>614</v>
      </c>
      <c r="C935" s="44" t="s">
        <v>1173</v>
      </c>
      <c r="D935" s="42"/>
      <c r="E935" s="52">
        <v>200</v>
      </c>
      <c r="F935" s="42" t="b">
        <v>1</v>
      </c>
      <c r="G935" s="42">
        <v>0</v>
      </c>
      <c r="H935" s="52">
        <v>0</v>
      </c>
      <c r="I935" s="42">
        <v>0</v>
      </c>
      <c r="J935" s="42">
        <v>0</v>
      </c>
      <c r="K935" s="42">
        <v>0</v>
      </c>
      <c r="L935" s="46" t="b">
        <v>0</v>
      </c>
      <c r="M935" s="42">
        <v>0</v>
      </c>
      <c r="N935" s="42">
        <v>0</v>
      </c>
      <c r="O935" s="52">
        <v>0</v>
      </c>
      <c r="P935" s="42">
        <v>0</v>
      </c>
      <c r="Q935" s="42">
        <v>0</v>
      </c>
      <c r="R935" s="42"/>
      <c r="S935" s="42"/>
      <c r="T935" s="42" t="s">
        <v>616</v>
      </c>
      <c r="U935" t="str">
        <f>IFERROR(HYPERLINK("#'Main'!B"&amp;MATCH(TRIM(A935),Main!B:B,0),"Open"),HYPERLINK("#'Main'!B1","Open"))</f>
        <v>Open</v>
      </c>
    </row>
    <row r="936" spans="1:22" ht="30" customHeight="1" x14ac:dyDescent="0.25">
      <c r="A936" s="50" t="s">
        <v>214</v>
      </c>
      <c r="B936" s="33" t="s">
        <v>614</v>
      </c>
      <c r="C936" s="37" t="s">
        <v>1174</v>
      </c>
      <c r="D936" s="33"/>
      <c r="E936" s="52">
        <v>200</v>
      </c>
      <c r="F936" s="33" t="b">
        <v>1</v>
      </c>
      <c r="G936" s="33">
        <v>0</v>
      </c>
      <c r="H936" s="52">
        <v>0</v>
      </c>
      <c r="I936" s="33">
        <v>0</v>
      </c>
      <c r="J936" s="33">
        <v>0</v>
      </c>
      <c r="K936" s="33">
        <v>0</v>
      </c>
      <c r="L936" s="40" t="b">
        <v>0</v>
      </c>
      <c r="M936" s="33">
        <v>0</v>
      </c>
      <c r="N936" s="33">
        <v>0</v>
      </c>
      <c r="O936" s="52">
        <v>0</v>
      </c>
      <c r="P936" s="33">
        <v>0</v>
      </c>
      <c r="Q936" s="33">
        <v>0</v>
      </c>
      <c r="R936" s="33"/>
      <c r="S936" s="33"/>
      <c r="T936" s="33" t="s">
        <v>616</v>
      </c>
      <c r="U936" s="41" t="str">
        <f>IFERROR(HYPERLINK("#'Main'!B"&amp;MATCH(TRIM(A936),Main!B:B,0),"Open"),HYPERLINK("#'Main'!B1","Open"))</f>
        <v>Open</v>
      </c>
      <c r="V936" s="41"/>
    </row>
    <row r="937" spans="1:22" ht="30" customHeight="1" x14ac:dyDescent="0.25">
      <c r="A937" s="51" t="s">
        <v>214</v>
      </c>
      <c r="B937" s="42" t="s">
        <v>614</v>
      </c>
      <c r="C937" s="44" t="s">
        <v>1175</v>
      </c>
      <c r="D937" s="42"/>
      <c r="E937" s="52">
        <v>200</v>
      </c>
      <c r="F937" s="42" t="b">
        <v>1</v>
      </c>
      <c r="G937" s="42">
        <v>0</v>
      </c>
      <c r="H937" s="52">
        <v>0</v>
      </c>
      <c r="I937" s="42">
        <v>0</v>
      </c>
      <c r="J937" s="42">
        <v>0</v>
      </c>
      <c r="K937" s="42">
        <v>0</v>
      </c>
      <c r="L937" s="46" t="b">
        <v>0</v>
      </c>
      <c r="M937" s="42">
        <v>0</v>
      </c>
      <c r="N937" s="42">
        <v>0</v>
      </c>
      <c r="O937" s="52">
        <v>0</v>
      </c>
      <c r="P937" s="42">
        <v>0</v>
      </c>
      <c r="Q937" s="42">
        <v>0</v>
      </c>
      <c r="R937" s="42"/>
      <c r="S937" s="42"/>
      <c r="T937" s="42" t="s">
        <v>616</v>
      </c>
      <c r="U937" t="str">
        <f>IFERROR(HYPERLINK("#'Main'!B"&amp;MATCH(TRIM(A937),Main!B:B,0),"Open"),HYPERLINK("#'Main'!B1","Open"))</f>
        <v>Open</v>
      </c>
    </row>
    <row r="938" spans="1:22" ht="30" customHeight="1" x14ac:dyDescent="0.25">
      <c r="A938" s="50" t="s">
        <v>214</v>
      </c>
      <c r="B938" s="33" t="s">
        <v>614</v>
      </c>
      <c r="C938" s="37" t="s">
        <v>1176</v>
      </c>
      <c r="D938" s="33"/>
      <c r="E938" s="52">
        <v>200</v>
      </c>
      <c r="F938" s="33" t="b">
        <v>1</v>
      </c>
      <c r="G938" s="33">
        <v>0</v>
      </c>
      <c r="H938" s="52">
        <v>0</v>
      </c>
      <c r="I938" s="33">
        <v>0</v>
      </c>
      <c r="J938" s="33">
        <v>0</v>
      </c>
      <c r="K938" s="33">
        <v>0</v>
      </c>
      <c r="L938" s="40" t="b">
        <v>0</v>
      </c>
      <c r="M938" s="33">
        <v>0</v>
      </c>
      <c r="N938" s="33">
        <v>0</v>
      </c>
      <c r="O938" s="52">
        <v>0</v>
      </c>
      <c r="P938" s="33">
        <v>0</v>
      </c>
      <c r="Q938" s="33">
        <v>0</v>
      </c>
      <c r="R938" s="33"/>
      <c r="S938" s="33"/>
      <c r="T938" s="33" t="s">
        <v>616</v>
      </c>
      <c r="U938" s="41" t="str">
        <f>IFERROR(HYPERLINK("#'Main'!B"&amp;MATCH(TRIM(A938),Main!B:B,0),"Open"),HYPERLINK("#'Main'!B1","Open"))</f>
        <v>Open</v>
      </c>
      <c r="V938" s="41"/>
    </row>
    <row r="939" spans="1:22" ht="30" customHeight="1" x14ac:dyDescent="0.25">
      <c r="A939" s="51" t="s">
        <v>214</v>
      </c>
      <c r="B939" s="42" t="s">
        <v>614</v>
      </c>
      <c r="C939" s="44" t="s">
        <v>1177</v>
      </c>
      <c r="D939" s="42"/>
      <c r="E939" s="52">
        <v>200</v>
      </c>
      <c r="F939" s="42" t="b">
        <v>1</v>
      </c>
      <c r="G939" s="42">
        <v>0</v>
      </c>
      <c r="H939" s="52">
        <v>0</v>
      </c>
      <c r="I939" s="42">
        <v>0</v>
      </c>
      <c r="J939" s="42">
        <v>0</v>
      </c>
      <c r="K939" s="42">
        <v>0</v>
      </c>
      <c r="L939" s="46" t="b">
        <v>0</v>
      </c>
      <c r="M939" s="42">
        <v>0</v>
      </c>
      <c r="N939" s="42">
        <v>0</v>
      </c>
      <c r="O939" s="52">
        <v>0</v>
      </c>
      <c r="P939" s="42">
        <v>0</v>
      </c>
      <c r="Q939" s="42">
        <v>0</v>
      </c>
      <c r="R939" s="42"/>
      <c r="S939" s="42"/>
      <c r="T939" s="42" t="s">
        <v>616</v>
      </c>
      <c r="U939" t="str">
        <f>IFERROR(HYPERLINK("#'Main'!B"&amp;MATCH(TRIM(A939),Main!B:B,0),"Open"),HYPERLINK("#'Main'!B1","Open"))</f>
        <v>Open</v>
      </c>
    </row>
    <row r="940" spans="1:22" ht="30" customHeight="1" x14ac:dyDescent="0.25">
      <c r="A940" s="50" t="s">
        <v>214</v>
      </c>
      <c r="B940" s="33" t="s">
        <v>614</v>
      </c>
      <c r="C940" s="37" t="s">
        <v>1178</v>
      </c>
      <c r="D940" s="33"/>
      <c r="E940" s="52">
        <v>200</v>
      </c>
      <c r="F940" s="33" t="b">
        <v>1</v>
      </c>
      <c r="G940" s="33">
        <v>0</v>
      </c>
      <c r="H940" s="52">
        <v>0</v>
      </c>
      <c r="I940" s="33">
        <v>0</v>
      </c>
      <c r="J940" s="33">
        <v>0</v>
      </c>
      <c r="K940" s="33">
        <v>0</v>
      </c>
      <c r="L940" s="40" t="b">
        <v>0</v>
      </c>
      <c r="M940" s="33">
        <v>0</v>
      </c>
      <c r="N940" s="33">
        <v>0</v>
      </c>
      <c r="O940" s="52">
        <v>0</v>
      </c>
      <c r="P940" s="33">
        <v>0</v>
      </c>
      <c r="Q940" s="33">
        <v>0</v>
      </c>
      <c r="R940" s="33"/>
      <c r="S940" s="33"/>
      <c r="T940" s="33" t="s">
        <v>616</v>
      </c>
      <c r="U940" s="41" t="str">
        <f>IFERROR(HYPERLINK("#'Main'!B"&amp;MATCH(TRIM(A940),Main!B:B,0),"Open"),HYPERLINK("#'Main'!B1","Open"))</f>
        <v>Open</v>
      </c>
      <c r="V940" s="41"/>
    </row>
    <row r="941" spans="1:22" ht="30" customHeight="1" x14ac:dyDescent="0.25">
      <c r="A941" s="51" t="s">
        <v>214</v>
      </c>
      <c r="B941" s="42" t="s">
        <v>614</v>
      </c>
      <c r="C941" s="44" t="s">
        <v>1179</v>
      </c>
      <c r="D941" s="42"/>
      <c r="E941" s="52">
        <v>200</v>
      </c>
      <c r="F941" s="42" t="b">
        <v>1</v>
      </c>
      <c r="G941" s="42">
        <v>0</v>
      </c>
      <c r="H941" s="52">
        <v>0</v>
      </c>
      <c r="I941" s="42">
        <v>0</v>
      </c>
      <c r="J941" s="42">
        <v>0</v>
      </c>
      <c r="K941" s="42">
        <v>0</v>
      </c>
      <c r="L941" s="46" t="b">
        <v>0</v>
      </c>
      <c r="M941" s="42">
        <v>0</v>
      </c>
      <c r="N941" s="42">
        <v>0</v>
      </c>
      <c r="O941" s="52">
        <v>0</v>
      </c>
      <c r="P941" s="42">
        <v>0</v>
      </c>
      <c r="Q941" s="42">
        <v>0</v>
      </c>
      <c r="R941" s="42"/>
      <c r="S941" s="42"/>
      <c r="T941" s="42" t="s">
        <v>616</v>
      </c>
      <c r="U941" t="str">
        <f>IFERROR(HYPERLINK("#'Main'!B"&amp;MATCH(TRIM(A941),Main!B:B,0),"Open"),HYPERLINK("#'Main'!B1","Open"))</f>
        <v>Open</v>
      </c>
    </row>
    <row r="942" spans="1:22" ht="30" customHeight="1" x14ac:dyDescent="0.25">
      <c r="A942" s="50" t="s">
        <v>214</v>
      </c>
      <c r="B942" s="33" t="s">
        <v>614</v>
      </c>
      <c r="C942" s="37" t="s">
        <v>1180</v>
      </c>
      <c r="D942" s="33"/>
      <c r="E942" s="52">
        <v>200</v>
      </c>
      <c r="F942" s="33" t="b">
        <v>1</v>
      </c>
      <c r="G942" s="33">
        <v>0</v>
      </c>
      <c r="H942" s="52">
        <v>0</v>
      </c>
      <c r="I942" s="33">
        <v>0</v>
      </c>
      <c r="J942" s="33">
        <v>0</v>
      </c>
      <c r="K942" s="33">
        <v>0</v>
      </c>
      <c r="L942" s="40" t="b">
        <v>0</v>
      </c>
      <c r="M942" s="33">
        <v>0</v>
      </c>
      <c r="N942" s="33">
        <v>0</v>
      </c>
      <c r="O942" s="52">
        <v>0</v>
      </c>
      <c r="P942" s="33">
        <v>0</v>
      </c>
      <c r="Q942" s="33">
        <v>0</v>
      </c>
      <c r="R942" s="33"/>
      <c r="S942" s="33"/>
      <c r="T942" s="33" t="s">
        <v>616</v>
      </c>
      <c r="U942" s="41" t="str">
        <f>IFERROR(HYPERLINK("#'Main'!B"&amp;MATCH(TRIM(A942),Main!B:B,0),"Open"),HYPERLINK("#'Main'!B1","Open"))</f>
        <v>Open</v>
      </c>
      <c r="V942" s="41"/>
    </row>
    <row r="943" spans="1:22" ht="30" customHeight="1" x14ac:dyDescent="0.25">
      <c r="A943" s="51" t="s">
        <v>214</v>
      </c>
      <c r="B943" s="42" t="s">
        <v>614</v>
      </c>
      <c r="C943" s="44" t="s">
        <v>1181</v>
      </c>
      <c r="D943" s="42"/>
      <c r="E943" s="52">
        <v>200</v>
      </c>
      <c r="F943" s="42" t="b">
        <v>1</v>
      </c>
      <c r="G943" s="42">
        <v>0</v>
      </c>
      <c r="H943" s="52">
        <v>0</v>
      </c>
      <c r="I943" s="42">
        <v>0</v>
      </c>
      <c r="J943" s="42">
        <v>0</v>
      </c>
      <c r="K943" s="42">
        <v>0</v>
      </c>
      <c r="L943" s="46" t="b">
        <v>0</v>
      </c>
      <c r="M943" s="42">
        <v>0</v>
      </c>
      <c r="N943" s="42">
        <v>0</v>
      </c>
      <c r="O943" s="52">
        <v>0</v>
      </c>
      <c r="P943" s="42">
        <v>0</v>
      </c>
      <c r="Q943" s="42">
        <v>0</v>
      </c>
      <c r="R943" s="42"/>
      <c r="S943" s="42"/>
      <c r="T943" s="42" t="s">
        <v>616</v>
      </c>
      <c r="U943" t="str">
        <f>IFERROR(HYPERLINK("#'Main'!B"&amp;MATCH(TRIM(A943),Main!B:B,0),"Open"),HYPERLINK("#'Main'!B1","Open"))</f>
        <v>Open</v>
      </c>
    </row>
    <row r="944" spans="1:22" ht="30" customHeight="1" x14ac:dyDescent="0.25">
      <c r="A944" s="50" t="s">
        <v>214</v>
      </c>
      <c r="B944" s="33" t="s">
        <v>614</v>
      </c>
      <c r="C944" s="37" t="s">
        <v>1182</v>
      </c>
      <c r="D944" s="33"/>
      <c r="E944" s="52">
        <v>200</v>
      </c>
      <c r="F944" s="33" t="b">
        <v>1</v>
      </c>
      <c r="G944" s="33">
        <v>0</v>
      </c>
      <c r="H944" s="52">
        <v>0</v>
      </c>
      <c r="I944" s="33">
        <v>0</v>
      </c>
      <c r="J944" s="33">
        <v>0</v>
      </c>
      <c r="K944" s="33">
        <v>0</v>
      </c>
      <c r="L944" s="40" t="b">
        <v>0</v>
      </c>
      <c r="M944" s="33">
        <v>0</v>
      </c>
      <c r="N944" s="33">
        <v>0</v>
      </c>
      <c r="O944" s="52">
        <v>0</v>
      </c>
      <c r="P944" s="33">
        <v>0</v>
      </c>
      <c r="Q944" s="33">
        <v>0</v>
      </c>
      <c r="R944" s="33"/>
      <c r="S944" s="33"/>
      <c r="T944" s="33" t="s">
        <v>616</v>
      </c>
      <c r="U944" s="41" t="str">
        <f>IFERROR(HYPERLINK("#'Main'!B"&amp;MATCH(TRIM(A944),Main!B:B,0),"Open"),HYPERLINK("#'Main'!B1","Open"))</f>
        <v>Open</v>
      </c>
      <c r="V944" s="41"/>
    </row>
    <row r="945" spans="1:22" ht="30" customHeight="1" x14ac:dyDescent="0.25">
      <c r="A945" s="51" t="s">
        <v>214</v>
      </c>
      <c r="B945" s="42" t="s">
        <v>614</v>
      </c>
      <c r="C945" s="44" t="s">
        <v>1183</v>
      </c>
      <c r="D945" s="42"/>
      <c r="E945" s="52">
        <v>200</v>
      </c>
      <c r="F945" s="42" t="b">
        <v>1</v>
      </c>
      <c r="G945" s="42">
        <v>0</v>
      </c>
      <c r="H945" s="52">
        <v>0</v>
      </c>
      <c r="I945" s="42">
        <v>0</v>
      </c>
      <c r="J945" s="42">
        <v>0</v>
      </c>
      <c r="K945" s="42">
        <v>0</v>
      </c>
      <c r="L945" s="46" t="b">
        <v>0</v>
      </c>
      <c r="M945" s="42">
        <v>0</v>
      </c>
      <c r="N945" s="42">
        <v>0</v>
      </c>
      <c r="O945" s="52">
        <v>0</v>
      </c>
      <c r="P945" s="42">
        <v>0</v>
      </c>
      <c r="Q945" s="42">
        <v>0</v>
      </c>
      <c r="R945" s="42"/>
      <c r="S945" s="42"/>
      <c r="T945" s="42" t="s">
        <v>616</v>
      </c>
      <c r="U945" t="str">
        <f>IFERROR(HYPERLINK("#'Main'!B"&amp;MATCH(TRIM(A945),Main!B:B,0),"Open"),HYPERLINK("#'Main'!B1","Open"))</f>
        <v>Open</v>
      </c>
    </row>
    <row r="946" spans="1:22" ht="30" customHeight="1" x14ac:dyDescent="0.25">
      <c r="A946" s="50" t="s">
        <v>214</v>
      </c>
      <c r="B946" s="33" t="s">
        <v>614</v>
      </c>
      <c r="C946" s="37" t="s">
        <v>1184</v>
      </c>
      <c r="D946" s="33"/>
      <c r="E946" s="52">
        <v>200</v>
      </c>
      <c r="F946" s="33" t="b">
        <v>1</v>
      </c>
      <c r="G946" s="33">
        <v>0</v>
      </c>
      <c r="H946" s="52">
        <v>0</v>
      </c>
      <c r="I946" s="33">
        <v>0</v>
      </c>
      <c r="J946" s="33">
        <v>0</v>
      </c>
      <c r="K946" s="33">
        <v>0</v>
      </c>
      <c r="L946" s="40" t="b">
        <v>0</v>
      </c>
      <c r="M946" s="33">
        <v>0</v>
      </c>
      <c r="N946" s="33">
        <v>0</v>
      </c>
      <c r="O946" s="52">
        <v>0</v>
      </c>
      <c r="P946" s="33">
        <v>0</v>
      </c>
      <c r="Q946" s="33">
        <v>0</v>
      </c>
      <c r="R946" s="33"/>
      <c r="S946" s="33"/>
      <c r="T946" s="33" t="s">
        <v>616</v>
      </c>
      <c r="U946" s="41" t="str">
        <f>IFERROR(HYPERLINK("#'Main'!B"&amp;MATCH(TRIM(A946),Main!B:B,0),"Open"),HYPERLINK("#'Main'!B1","Open"))</f>
        <v>Open</v>
      </c>
      <c r="V946" s="41"/>
    </row>
    <row r="947" spans="1:22" ht="30" customHeight="1" x14ac:dyDescent="0.25">
      <c r="A947" s="51" t="s">
        <v>214</v>
      </c>
      <c r="B947" s="42" t="s">
        <v>614</v>
      </c>
      <c r="C947" s="44" t="s">
        <v>1185</v>
      </c>
      <c r="D947" s="42"/>
      <c r="E947" s="52">
        <v>200</v>
      </c>
      <c r="F947" s="42" t="b">
        <v>1</v>
      </c>
      <c r="G947" s="42">
        <v>0</v>
      </c>
      <c r="H947" s="52">
        <v>0</v>
      </c>
      <c r="I947" s="42">
        <v>0</v>
      </c>
      <c r="J947" s="42">
        <v>0</v>
      </c>
      <c r="K947" s="42">
        <v>0</v>
      </c>
      <c r="L947" s="46" t="b">
        <v>0</v>
      </c>
      <c r="M947" s="42">
        <v>0</v>
      </c>
      <c r="N947" s="42">
        <v>0</v>
      </c>
      <c r="O947" s="52">
        <v>0</v>
      </c>
      <c r="P947" s="42">
        <v>0</v>
      </c>
      <c r="Q947" s="42">
        <v>0</v>
      </c>
      <c r="R947" s="42"/>
      <c r="S947" s="42"/>
      <c r="T947" s="42" t="s">
        <v>616</v>
      </c>
      <c r="U947" t="str">
        <f>IFERROR(HYPERLINK("#'Main'!B"&amp;MATCH(TRIM(A947),Main!B:B,0),"Open"),HYPERLINK("#'Main'!B1","Open"))</f>
        <v>Open</v>
      </c>
    </row>
    <row r="948" spans="1:22" ht="30" customHeight="1" x14ac:dyDescent="0.25">
      <c r="A948" s="50" t="s">
        <v>214</v>
      </c>
      <c r="B948" s="33" t="s">
        <v>614</v>
      </c>
      <c r="C948" s="37" t="s">
        <v>1186</v>
      </c>
      <c r="D948" s="33"/>
      <c r="E948" s="52">
        <v>200</v>
      </c>
      <c r="F948" s="33" t="b">
        <v>1</v>
      </c>
      <c r="G948" s="33">
        <v>0</v>
      </c>
      <c r="H948" s="52">
        <v>0</v>
      </c>
      <c r="I948" s="33">
        <v>0</v>
      </c>
      <c r="J948" s="33">
        <v>0</v>
      </c>
      <c r="K948" s="33">
        <v>0</v>
      </c>
      <c r="L948" s="40" t="b">
        <v>0</v>
      </c>
      <c r="M948" s="33">
        <v>0</v>
      </c>
      <c r="N948" s="33">
        <v>0</v>
      </c>
      <c r="O948" s="52">
        <v>0</v>
      </c>
      <c r="P948" s="33">
        <v>0</v>
      </c>
      <c r="Q948" s="33">
        <v>0</v>
      </c>
      <c r="R948" s="33"/>
      <c r="S948" s="33"/>
      <c r="T948" s="33" t="s">
        <v>616</v>
      </c>
      <c r="U948" s="41" t="str">
        <f>IFERROR(HYPERLINK("#'Main'!B"&amp;MATCH(TRIM(A948),Main!B:B,0),"Open"),HYPERLINK("#'Main'!B1","Open"))</f>
        <v>Open</v>
      </c>
      <c r="V948" s="41"/>
    </row>
    <row r="949" spans="1:22" ht="30" customHeight="1" x14ac:dyDescent="0.25">
      <c r="A949" s="51" t="s">
        <v>214</v>
      </c>
      <c r="B949" s="42" t="s">
        <v>614</v>
      </c>
      <c r="C949" s="44" t="s">
        <v>1187</v>
      </c>
      <c r="D949" s="42"/>
      <c r="E949" s="52">
        <v>200</v>
      </c>
      <c r="F949" s="42" t="b">
        <v>1</v>
      </c>
      <c r="G949" s="42">
        <v>0</v>
      </c>
      <c r="H949" s="52">
        <v>0</v>
      </c>
      <c r="I949" s="42">
        <v>0</v>
      </c>
      <c r="J949" s="42">
        <v>0</v>
      </c>
      <c r="K949" s="42">
        <v>0</v>
      </c>
      <c r="L949" s="46" t="b">
        <v>0</v>
      </c>
      <c r="M949" s="42">
        <v>0</v>
      </c>
      <c r="N949" s="42">
        <v>0</v>
      </c>
      <c r="O949" s="52">
        <v>0</v>
      </c>
      <c r="P949" s="42">
        <v>0</v>
      </c>
      <c r="Q949" s="42">
        <v>0</v>
      </c>
      <c r="R949" s="42"/>
      <c r="S949" s="42"/>
      <c r="T949" s="42" t="s">
        <v>616</v>
      </c>
      <c r="U949" t="str">
        <f>IFERROR(HYPERLINK("#'Main'!B"&amp;MATCH(TRIM(A949),Main!B:B,0),"Open"),HYPERLINK("#'Main'!B1","Open"))</f>
        <v>Open</v>
      </c>
    </row>
    <row r="950" spans="1:22" ht="30" customHeight="1" x14ac:dyDescent="0.25">
      <c r="A950" s="50" t="s">
        <v>214</v>
      </c>
      <c r="B950" s="33" t="s">
        <v>614</v>
      </c>
      <c r="C950" s="37" t="s">
        <v>1188</v>
      </c>
      <c r="D950" s="33"/>
      <c r="E950" s="52">
        <v>200</v>
      </c>
      <c r="F950" s="33" t="b">
        <v>1</v>
      </c>
      <c r="G950" s="33">
        <v>0</v>
      </c>
      <c r="H950" s="52">
        <v>0</v>
      </c>
      <c r="I950" s="33">
        <v>0</v>
      </c>
      <c r="J950" s="33">
        <v>0</v>
      </c>
      <c r="K950" s="33">
        <v>0</v>
      </c>
      <c r="L950" s="40" t="b">
        <v>0</v>
      </c>
      <c r="M950" s="33">
        <v>0</v>
      </c>
      <c r="N950" s="33">
        <v>0</v>
      </c>
      <c r="O950" s="52">
        <v>0</v>
      </c>
      <c r="P950" s="33">
        <v>0</v>
      </c>
      <c r="Q950" s="33">
        <v>0</v>
      </c>
      <c r="R950" s="33"/>
      <c r="S950" s="33"/>
      <c r="T950" s="33" t="s">
        <v>616</v>
      </c>
      <c r="U950" s="41" t="str">
        <f>IFERROR(HYPERLINK("#'Main'!B"&amp;MATCH(TRIM(A950),Main!B:B,0),"Open"),HYPERLINK("#'Main'!B1","Open"))</f>
        <v>Open</v>
      </c>
      <c r="V950" s="41"/>
    </row>
    <row r="951" spans="1:22" ht="30" customHeight="1" x14ac:dyDescent="0.25">
      <c r="A951" s="51" t="s">
        <v>214</v>
      </c>
      <c r="B951" s="42" t="s">
        <v>614</v>
      </c>
      <c r="C951" s="44" t="s">
        <v>1189</v>
      </c>
      <c r="D951" s="42"/>
      <c r="E951" s="52">
        <v>200</v>
      </c>
      <c r="F951" s="42" t="b">
        <v>1</v>
      </c>
      <c r="G951" s="42">
        <v>0</v>
      </c>
      <c r="H951" s="52">
        <v>0</v>
      </c>
      <c r="I951" s="42">
        <v>0</v>
      </c>
      <c r="J951" s="42">
        <v>0</v>
      </c>
      <c r="K951" s="42">
        <v>0</v>
      </c>
      <c r="L951" s="46" t="b">
        <v>0</v>
      </c>
      <c r="M951" s="42">
        <v>0</v>
      </c>
      <c r="N951" s="42">
        <v>0</v>
      </c>
      <c r="O951" s="52">
        <v>0</v>
      </c>
      <c r="P951" s="42">
        <v>0</v>
      </c>
      <c r="Q951" s="42">
        <v>0</v>
      </c>
      <c r="R951" s="42"/>
      <c r="S951" s="42"/>
      <c r="T951" s="42" t="s">
        <v>616</v>
      </c>
      <c r="U951" t="str">
        <f>IFERROR(HYPERLINK("#'Main'!B"&amp;MATCH(TRIM(A951),Main!B:B,0),"Open"),HYPERLINK("#'Main'!B1","Open"))</f>
        <v>Open</v>
      </c>
    </row>
    <row r="952" spans="1:22" ht="30" customHeight="1" x14ac:dyDescent="0.25">
      <c r="A952" s="50" t="s">
        <v>214</v>
      </c>
      <c r="B952" s="33" t="s">
        <v>614</v>
      </c>
      <c r="C952" s="37" t="s">
        <v>1190</v>
      </c>
      <c r="D952" s="33"/>
      <c r="E952" s="52">
        <v>200</v>
      </c>
      <c r="F952" s="33" t="b">
        <v>1</v>
      </c>
      <c r="G952" s="33">
        <v>0</v>
      </c>
      <c r="H952" s="52">
        <v>0</v>
      </c>
      <c r="I952" s="33">
        <v>0</v>
      </c>
      <c r="J952" s="33">
        <v>0</v>
      </c>
      <c r="K952" s="33">
        <v>0</v>
      </c>
      <c r="L952" s="40" t="b">
        <v>0</v>
      </c>
      <c r="M952" s="33">
        <v>0</v>
      </c>
      <c r="N952" s="33">
        <v>0</v>
      </c>
      <c r="O952" s="52">
        <v>0</v>
      </c>
      <c r="P952" s="33">
        <v>0</v>
      </c>
      <c r="Q952" s="33">
        <v>0</v>
      </c>
      <c r="R952" s="33"/>
      <c r="S952" s="33"/>
      <c r="T952" s="33" t="s">
        <v>616</v>
      </c>
      <c r="U952" s="41" t="str">
        <f>IFERROR(HYPERLINK("#'Main'!B"&amp;MATCH(TRIM(A952),Main!B:B,0),"Open"),HYPERLINK("#'Main'!B1","Open"))</f>
        <v>Open</v>
      </c>
      <c r="V952" s="41"/>
    </row>
    <row r="953" spans="1:22" ht="30" customHeight="1" x14ac:dyDescent="0.25">
      <c r="A953" s="51" t="s">
        <v>214</v>
      </c>
      <c r="B953" s="42" t="s">
        <v>614</v>
      </c>
      <c r="C953" s="44" t="s">
        <v>1191</v>
      </c>
      <c r="D953" s="42"/>
      <c r="E953" s="52">
        <v>200</v>
      </c>
      <c r="F953" s="42" t="b">
        <v>1</v>
      </c>
      <c r="G953" s="42">
        <v>0</v>
      </c>
      <c r="H953" s="52">
        <v>0</v>
      </c>
      <c r="I953" s="42">
        <v>0</v>
      </c>
      <c r="J953" s="42">
        <v>0</v>
      </c>
      <c r="K953" s="42">
        <v>0</v>
      </c>
      <c r="L953" s="46" t="b">
        <v>0</v>
      </c>
      <c r="M953" s="42">
        <v>0</v>
      </c>
      <c r="N953" s="42">
        <v>0</v>
      </c>
      <c r="O953" s="52">
        <v>0</v>
      </c>
      <c r="P953" s="42">
        <v>0</v>
      </c>
      <c r="Q953" s="42">
        <v>0</v>
      </c>
      <c r="R953" s="42"/>
      <c r="S953" s="42"/>
      <c r="T953" s="42" t="s">
        <v>616</v>
      </c>
      <c r="U953" t="str">
        <f>IFERROR(HYPERLINK("#'Main'!B"&amp;MATCH(TRIM(A953),Main!B:B,0),"Open"),HYPERLINK("#'Main'!B1","Open"))</f>
        <v>Open</v>
      </c>
    </row>
    <row r="954" spans="1:22" ht="30" customHeight="1" x14ac:dyDescent="0.25">
      <c r="A954" s="50" t="s">
        <v>214</v>
      </c>
      <c r="B954" s="33" t="s">
        <v>614</v>
      </c>
      <c r="C954" s="37" t="s">
        <v>1192</v>
      </c>
      <c r="D954" s="33"/>
      <c r="E954" s="52">
        <v>200</v>
      </c>
      <c r="F954" s="33" t="b">
        <v>1</v>
      </c>
      <c r="G954" s="33">
        <v>0</v>
      </c>
      <c r="H954" s="52">
        <v>0</v>
      </c>
      <c r="I954" s="33">
        <v>0</v>
      </c>
      <c r="J954" s="33">
        <v>0</v>
      </c>
      <c r="K954" s="33">
        <v>0</v>
      </c>
      <c r="L954" s="40" t="b">
        <v>0</v>
      </c>
      <c r="M954" s="33">
        <v>0</v>
      </c>
      <c r="N954" s="33">
        <v>0</v>
      </c>
      <c r="O954" s="52">
        <v>0</v>
      </c>
      <c r="P954" s="33">
        <v>0</v>
      </c>
      <c r="Q954" s="33">
        <v>0</v>
      </c>
      <c r="R954" s="33"/>
      <c r="S954" s="33"/>
      <c r="T954" s="33" t="s">
        <v>616</v>
      </c>
      <c r="U954" s="41" t="str">
        <f>IFERROR(HYPERLINK("#'Main'!B"&amp;MATCH(TRIM(A954),Main!B:B,0),"Open"),HYPERLINK("#'Main'!B1","Open"))</f>
        <v>Open</v>
      </c>
      <c r="V954" s="41"/>
    </row>
    <row r="955" spans="1:22" ht="30" customHeight="1" x14ac:dyDescent="0.25">
      <c r="A955" s="51" t="s">
        <v>214</v>
      </c>
      <c r="B955" s="42" t="s">
        <v>614</v>
      </c>
      <c r="C955" s="44" t="s">
        <v>1193</v>
      </c>
      <c r="D955" s="42"/>
      <c r="E955" s="52">
        <v>200</v>
      </c>
      <c r="F955" s="42" t="b">
        <v>1</v>
      </c>
      <c r="G955" s="42">
        <v>0</v>
      </c>
      <c r="H955" s="52">
        <v>0</v>
      </c>
      <c r="I955" s="42">
        <v>0</v>
      </c>
      <c r="J955" s="42">
        <v>0</v>
      </c>
      <c r="K955" s="42">
        <v>0</v>
      </c>
      <c r="L955" s="46" t="b">
        <v>0</v>
      </c>
      <c r="M955" s="42">
        <v>0</v>
      </c>
      <c r="N955" s="42">
        <v>0</v>
      </c>
      <c r="O955" s="52">
        <v>0</v>
      </c>
      <c r="P955" s="42">
        <v>0</v>
      </c>
      <c r="Q955" s="42">
        <v>0</v>
      </c>
      <c r="R955" s="42"/>
      <c r="S955" s="42"/>
      <c r="T955" s="42" t="s">
        <v>616</v>
      </c>
      <c r="U955" t="str">
        <f>IFERROR(HYPERLINK("#'Main'!B"&amp;MATCH(TRIM(A955),Main!B:B,0),"Open"),HYPERLINK("#'Main'!B1","Open"))</f>
        <v>Open</v>
      </c>
    </row>
    <row r="956" spans="1:22" ht="30" customHeight="1" x14ac:dyDescent="0.25">
      <c r="A956" s="50" t="s">
        <v>214</v>
      </c>
      <c r="B956" s="33" t="s">
        <v>614</v>
      </c>
      <c r="C956" s="37" t="s">
        <v>1194</v>
      </c>
      <c r="D956" s="33"/>
      <c r="E956" s="52">
        <v>200</v>
      </c>
      <c r="F956" s="33" t="b">
        <v>1</v>
      </c>
      <c r="G956" s="33">
        <v>0</v>
      </c>
      <c r="H956" s="52">
        <v>0</v>
      </c>
      <c r="I956" s="33">
        <v>0</v>
      </c>
      <c r="J956" s="33">
        <v>0</v>
      </c>
      <c r="K956" s="33">
        <v>0</v>
      </c>
      <c r="L956" s="40" t="b">
        <v>0</v>
      </c>
      <c r="M956" s="33">
        <v>0</v>
      </c>
      <c r="N956" s="33">
        <v>0</v>
      </c>
      <c r="O956" s="52">
        <v>0</v>
      </c>
      <c r="P956" s="33">
        <v>0</v>
      </c>
      <c r="Q956" s="33">
        <v>0</v>
      </c>
      <c r="R956" s="33"/>
      <c r="S956" s="33"/>
      <c r="T956" s="33" t="s">
        <v>616</v>
      </c>
      <c r="U956" s="41" t="str">
        <f>IFERROR(HYPERLINK("#'Main'!B"&amp;MATCH(TRIM(A956),Main!B:B,0),"Open"),HYPERLINK("#'Main'!B1","Open"))</f>
        <v>Open</v>
      </c>
      <c r="V956" s="41"/>
    </row>
    <row r="957" spans="1:22" ht="30" customHeight="1" x14ac:dyDescent="0.25">
      <c r="A957" s="51" t="s">
        <v>214</v>
      </c>
      <c r="B957" s="42" t="s">
        <v>614</v>
      </c>
      <c r="C957" s="44" t="s">
        <v>1195</v>
      </c>
      <c r="D957" s="42"/>
      <c r="E957" s="52">
        <v>200</v>
      </c>
      <c r="F957" s="42" t="b">
        <v>1</v>
      </c>
      <c r="G957" s="42">
        <v>0</v>
      </c>
      <c r="H957" s="52">
        <v>0</v>
      </c>
      <c r="I957" s="42">
        <v>0</v>
      </c>
      <c r="J957" s="42">
        <v>0</v>
      </c>
      <c r="K957" s="42">
        <v>0</v>
      </c>
      <c r="L957" s="46" t="b">
        <v>0</v>
      </c>
      <c r="M957" s="42">
        <v>0</v>
      </c>
      <c r="N957" s="42">
        <v>0</v>
      </c>
      <c r="O957" s="52">
        <v>0</v>
      </c>
      <c r="P957" s="42">
        <v>0</v>
      </c>
      <c r="Q957" s="42">
        <v>0</v>
      </c>
      <c r="R957" s="42"/>
      <c r="S957" s="42"/>
      <c r="T957" s="42" t="s">
        <v>616</v>
      </c>
      <c r="U957" t="str">
        <f>IFERROR(HYPERLINK("#'Main'!B"&amp;MATCH(TRIM(A957),Main!B:B,0),"Open"),HYPERLINK("#'Main'!B1","Open"))</f>
        <v>Open</v>
      </c>
    </row>
    <row r="958" spans="1:22" ht="30" customHeight="1" x14ac:dyDescent="0.25">
      <c r="A958" s="50" t="s">
        <v>214</v>
      </c>
      <c r="B958" s="33" t="s">
        <v>614</v>
      </c>
      <c r="C958" s="37" t="s">
        <v>1196</v>
      </c>
      <c r="D958" s="33"/>
      <c r="E958" s="52">
        <v>200</v>
      </c>
      <c r="F958" s="33" t="b">
        <v>1</v>
      </c>
      <c r="G958" s="33">
        <v>0</v>
      </c>
      <c r="H958" s="52">
        <v>0</v>
      </c>
      <c r="I958" s="33">
        <v>0</v>
      </c>
      <c r="J958" s="33">
        <v>0</v>
      </c>
      <c r="K958" s="33">
        <v>0</v>
      </c>
      <c r="L958" s="40" t="b">
        <v>0</v>
      </c>
      <c r="M958" s="33">
        <v>0</v>
      </c>
      <c r="N958" s="33">
        <v>0</v>
      </c>
      <c r="O958" s="52">
        <v>0</v>
      </c>
      <c r="P958" s="33">
        <v>0</v>
      </c>
      <c r="Q958" s="33">
        <v>0</v>
      </c>
      <c r="R958" s="33"/>
      <c r="S958" s="33"/>
      <c r="T958" s="33" t="s">
        <v>616</v>
      </c>
      <c r="U958" s="41" t="str">
        <f>IFERROR(HYPERLINK("#'Main'!B"&amp;MATCH(TRIM(A958),Main!B:B,0),"Open"),HYPERLINK("#'Main'!B1","Open"))</f>
        <v>Open</v>
      </c>
      <c r="V958" s="41"/>
    </row>
    <row r="959" spans="1:22" ht="30" customHeight="1" x14ac:dyDescent="0.25">
      <c r="A959" s="51" t="s">
        <v>214</v>
      </c>
      <c r="B959" s="42" t="s">
        <v>614</v>
      </c>
      <c r="C959" s="44" t="s">
        <v>1197</v>
      </c>
      <c r="D959" s="42"/>
      <c r="E959" s="52">
        <v>200</v>
      </c>
      <c r="F959" s="42" t="b">
        <v>1</v>
      </c>
      <c r="G959" s="42">
        <v>0</v>
      </c>
      <c r="H959" s="52">
        <v>0</v>
      </c>
      <c r="I959" s="42">
        <v>0</v>
      </c>
      <c r="J959" s="42">
        <v>0</v>
      </c>
      <c r="K959" s="42">
        <v>0</v>
      </c>
      <c r="L959" s="46" t="b">
        <v>0</v>
      </c>
      <c r="M959" s="42">
        <v>0</v>
      </c>
      <c r="N959" s="42">
        <v>0</v>
      </c>
      <c r="O959" s="52">
        <v>0</v>
      </c>
      <c r="P959" s="42">
        <v>0</v>
      </c>
      <c r="Q959" s="42">
        <v>0</v>
      </c>
      <c r="R959" s="42"/>
      <c r="S959" s="42"/>
      <c r="T959" s="42" t="s">
        <v>616</v>
      </c>
      <c r="U959" t="str">
        <f>IFERROR(HYPERLINK("#'Main'!B"&amp;MATCH(TRIM(A959),Main!B:B,0),"Open"),HYPERLINK("#'Main'!B1","Open"))</f>
        <v>Open</v>
      </c>
    </row>
    <row r="960" spans="1:22" ht="30" customHeight="1" x14ac:dyDescent="0.25">
      <c r="A960" s="50" t="s">
        <v>214</v>
      </c>
      <c r="B960" s="33" t="s">
        <v>614</v>
      </c>
      <c r="C960" s="37" t="s">
        <v>1198</v>
      </c>
      <c r="D960" s="33"/>
      <c r="E960" s="52">
        <v>200</v>
      </c>
      <c r="F960" s="33" t="b">
        <v>1</v>
      </c>
      <c r="G960" s="33">
        <v>0</v>
      </c>
      <c r="H960" s="52">
        <v>0</v>
      </c>
      <c r="I960" s="33">
        <v>0</v>
      </c>
      <c r="J960" s="33">
        <v>0</v>
      </c>
      <c r="K960" s="33">
        <v>0</v>
      </c>
      <c r="L960" s="40" t="b">
        <v>0</v>
      </c>
      <c r="M960" s="33">
        <v>0</v>
      </c>
      <c r="N960" s="33">
        <v>0</v>
      </c>
      <c r="O960" s="52">
        <v>0</v>
      </c>
      <c r="P960" s="33">
        <v>0</v>
      </c>
      <c r="Q960" s="33">
        <v>0</v>
      </c>
      <c r="R960" s="33"/>
      <c r="S960" s="33"/>
      <c r="T960" s="33" t="s">
        <v>616</v>
      </c>
      <c r="U960" s="41" t="str">
        <f>IFERROR(HYPERLINK("#'Main'!B"&amp;MATCH(TRIM(A960),Main!B:B,0),"Open"),HYPERLINK("#'Main'!B1","Open"))</f>
        <v>Open</v>
      </c>
      <c r="V960" s="41"/>
    </row>
    <row r="961" spans="1:22" ht="30" customHeight="1" x14ac:dyDescent="0.25">
      <c r="A961" s="51" t="s">
        <v>214</v>
      </c>
      <c r="B961" s="42" t="s">
        <v>614</v>
      </c>
      <c r="C961" s="44" t="s">
        <v>1199</v>
      </c>
      <c r="D961" s="42"/>
      <c r="E961" s="52">
        <v>200</v>
      </c>
      <c r="F961" s="42" t="b">
        <v>1</v>
      </c>
      <c r="G961" s="42">
        <v>0</v>
      </c>
      <c r="H961" s="52">
        <v>0</v>
      </c>
      <c r="I961" s="42">
        <v>0</v>
      </c>
      <c r="J961" s="42">
        <v>0</v>
      </c>
      <c r="K961" s="42">
        <v>0</v>
      </c>
      <c r="L961" s="46" t="b">
        <v>0</v>
      </c>
      <c r="M961" s="42">
        <v>0</v>
      </c>
      <c r="N961" s="42">
        <v>0</v>
      </c>
      <c r="O961" s="52">
        <v>0</v>
      </c>
      <c r="P961" s="42">
        <v>0</v>
      </c>
      <c r="Q961" s="42">
        <v>0</v>
      </c>
      <c r="R961" s="42"/>
      <c r="S961" s="42"/>
      <c r="T961" s="42" t="s">
        <v>616</v>
      </c>
      <c r="U961" t="str">
        <f>IFERROR(HYPERLINK("#'Main'!B"&amp;MATCH(TRIM(A961),Main!B:B,0),"Open"),HYPERLINK("#'Main'!B1","Open"))</f>
        <v>Open</v>
      </c>
    </row>
    <row r="962" spans="1:22" ht="30" customHeight="1" x14ac:dyDescent="0.25">
      <c r="A962" s="50" t="s">
        <v>214</v>
      </c>
      <c r="B962" s="33" t="s">
        <v>614</v>
      </c>
      <c r="C962" s="37" t="s">
        <v>1200</v>
      </c>
      <c r="D962" s="33"/>
      <c r="E962" s="52">
        <v>200</v>
      </c>
      <c r="F962" s="33" t="b">
        <v>1</v>
      </c>
      <c r="G962" s="33">
        <v>0</v>
      </c>
      <c r="H962" s="52">
        <v>0</v>
      </c>
      <c r="I962" s="33">
        <v>0</v>
      </c>
      <c r="J962" s="33">
        <v>0</v>
      </c>
      <c r="K962" s="33">
        <v>0</v>
      </c>
      <c r="L962" s="40" t="b">
        <v>0</v>
      </c>
      <c r="M962" s="33">
        <v>0</v>
      </c>
      <c r="N962" s="33">
        <v>0</v>
      </c>
      <c r="O962" s="52">
        <v>0</v>
      </c>
      <c r="P962" s="33">
        <v>0</v>
      </c>
      <c r="Q962" s="33">
        <v>0</v>
      </c>
      <c r="R962" s="33"/>
      <c r="S962" s="33"/>
      <c r="T962" s="33" t="s">
        <v>616</v>
      </c>
      <c r="U962" s="41" t="str">
        <f>IFERROR(HYPERLINK("#'Main'!B"&amp;MATCH(TRIM(A962),Main!B:B,0),"Open"),HYPERLINK("#'Main'!B1","Open"))</f>
        <v>Open</v>
      </c>
      <c r="V962" s="41"/>
    </row>
    <row r="963" spans="1:22" ht="30" customHeight="1" x14ac:dyDescent="0.25">
      <c r="A963" s="51" t="s">
        <v>214</v>
      </c>
      <c r="B963" s="42" t="s">
        <v>614</v>
      </c>
      <c r="C963" s="44" t="s">
        <v>1201</v>
      </c>
      <c r="D963" s="42"/>
      <c r="E963" s="52">
        <v>200</v>
      </c>
      <c r="F963" s="42" t="b">
        <v>1</v>
      </c>
      <c r="G963" s="42">
        <v>0</v>
      </c>
      <c r="H963" s="52">
        <v>0</v>
      </c>
      <c r="I963" s="42">
        <v>0</v>
      </c>
      <c r="J963" s="42">
        <v>0</v>
      </c>
      <c r="K963" s="42">
        <v>0</v>
      </c>
      <c r="L963" s="46" t="b">
        <v>0</v>
      </c>
      <c r="M963" s="42">
        <v>0</v>
      </c>
      <c r="N963" s="42">
        <v>0</v>
      </c>
      <c r="O963" s="52">
        <v>0</v>
      </c>
      <c r="P963" s="42">
        <v>0</v>
      </c>
      <c r="Q963" s="42">
        <v>0</v>
      </c>
      <c r="R963" s="42"/>
      <c r="S963" s="42"/>
      <c r="T963" s="42" t="s">
        <v>616</v>
      </c>
      <c r="U963" t="str">
        <f>IFERROR(HYPERLINK("#'Main'!B"&amp;MATCH(TRIM(A963),Main!B:B,0),"Open"),HYPERLINK("#'Main'!B1","Open"))</f>
        <v>Open</v>
      </c>
    </row>
    <row r="964" spans="1:22" ht="30" customHeight="1" x14ac:dyDescent="0.25">
      <c r="A964" s="50" t="s">
        <v>214</v>
      </c>
      <c r="B964" s="33" t="s">
        <v>614</v>
      </c>
      <c r="C964" s="37" t="s">
        <v>1202</v>
      </c>
      <c r="D964" s="33"/>
      <c r="E964" s="52">
        <v>200</v>
      </c>
      <c r="F964" s="33" t="b">
        <v>1</v>
      </c>
      <c r="G964" s="33">
        <v>0</v>
      </c>
      <c r="H964" s="52">
        <v>0</v>
      </c>
      <c r="I964" s="33">
        <v>0</v>
      </c>
      <c r="J964" s="33">
        <v>0</v>
      </c>
      <c r="K964" s="33">
        <v>0</v>
      </c>
      <c r="L964" s="40" t="b">
        <v>0</v>
      </c>
      <c r="M964" s="33">
        <v>0</v>
      </c>
      <c r="N964" s="33">
        <v>0</v>
      </c>
      <c r="O964" s="52">
        <v>0</v>
      </c>
      <c r="P964" s="33">
        <v>0</v>
      </c>
      <c r="Q964" s="33">
        <v>0</v>
      </c>
      <c r="R964" s="33"/>
      <c r="S964" s="33"/>
      <c r="T964" s="33" t="s">
        <v>616</v>
      </c>
      <c r="U964" s="41" t="str">
        <f>IFERROR(HYPERLINK("#'Main'!B"&amp;MATCH(TRIM(A964),Main!B:B,0),"Open"),HYPERLINK("#'Main'!B1","Open"))</f>
        <v>Open</v>
      </c>
      <c r="V964" s="41"/>
    </row>
    <row r="965" spans="1:22" ht="30" customHeight="1" x14ac:dyDescent="0.25">
      <c r="A965" s="51" t="s">
        <v>214</v>
      </c>
      <c r="B965" s="42" t="s">
        <v>614</v>
      </c>
      <c r="C965" s="44" t="s">
        <v>1203</v>
      </c>
      <c r="D965" s="42"/>
      <c r="E965" s="52">
        <v>200</v>
      </c>
      <c r="F965" s="42" t="b">
        <v>1</v>
      </c>
      <c r="G965" s="42">
        <v>0</v>
      </c>
      <c r="H965" s="52">
        <v>0</v>
      </c>
      <c r="I965" s="42">
        <v>0</v>
      </c>
      <c r="J965" s="42">
        <v>0</v>
      </c>
      <c r="K965" s="42">
        <v>0</v>
      </c>
      <c r="L965" s="46" t="b">
        <v>0</v>
      </c>
      <c r="M965" s="42">
        <v>0</v>
      </c>
      <c r="N965" s="42">
        <v>0</v>
      </c>
      <c r="O965" s="52">
        <v>0</v>
      </c>
      <c r="P965" s="42">
        <v>0</v>
      </c>
      <c r="Q965" s="42">
        <v>0</v>
      </c>
      <c r="R965" s="42"/>
      <c r="S965" s="42"/>
      <c r="T965" s="42" t="s">
        <v>616</v>
      </c>
      <c r="U965" t="str">
        <f>IFERROR(HYPERLINK("#'Main'!B"&amp;MATCH(TRIM(A965),Main!B:B,0),"Open"),HYPERLINK("#'Main'!B1","Open"))</f>
        <v>Open</v>
      </c>
    </row>
    <row r="966" spans="1:22" ht="30" customHeight="1" x14ac:dyDescent="0.25">
      <c r="A966" s="50" t="s">
        <v>214</v>
      </c>
      <c r="B966" s="33" t="s">
        <v>614</v>
      </c>
      <c r="C966" s="37" t="s">
        <v>1204</v>
      </c>
      <c r="D966" s="33"/>
      <c r="E966" s="52">
        <v>200</v>
      </c>
      <c r="F966" s="33" t="b">
        <v>1</v>
      </c>
      <c r="G966" s="33">
        <v>0</v>
      </c>
      <c r="H966" s="52">
        <v>0</v>
      </c>
      <c r="I966" s="33">
        <v>0</v>
      </c>
      <c r="J966" s="33">
        <v>0</v>
      </c>
      <c r="K966" s="33">
        <v>0</v>
      </c>
      <c r="L966" s="40" t="b">
        <v>0</v>
      </c>
      <c r="M966" s="33">
        <v>0</v>
      </c>
      <c r="N966" s="33">
        <v>0</v>
      </c>
      <c r="O966" s="52">
        <v>0</v>
      </c>
      <c r="P966" s="33">
        <v>0</v>
      </c>
      <c r="Q966" s="33">
        <v>0</v>
      </c>
      <c r="R966" s="33"/>
      <c r="S966" s="33"/>
      <c r="T966" s="33" t="s">
        <v>616</v>
      </c>
      <c r="U966" s="41" t="str">
        <f>IFERROR(HYPERLINK("#'Main'!B"&amp;MATCH(TRIM(A966),Main!B:B,0),"Open"),HYPERLINK("#'Main'!B1","Open"))</f>
        <v>Open</v>
      </c>
      <c r="V966" s="41"/>
    </row>
    <row r="967" spans="1:22" ht="30" customHeight="1" x14ac:dyDescent="0.25">
      <c r="A967" s="51" t="s">
        <v>214</v>
      </c>
      <c r="B967" s="42" t="s">
        <v>614</v>
      </c>
      <c r="C967" s="44" t="s">
        <v>1205</v>
      </c>
      <c r="D967" s="42"/>
      <c r="E967" s="52">
        <v>200</v>
      </c>
      <c r="F967" s="42" t="b">
        <v>1</v>
      </c>
      <c r="G967" s="42">
        <v>0</v>
      </c>
      <c r="H967" s="52">
        <v>0</v>
      </c>
      <c r="I967" s="42">
        <v>0</v>
      </c>
      <c r="J967" s="42">
        <v>0</v>
      </c>
      <c r="K967" s="42">
        <v>0</v>
      </c>
      <c r="L967" s="46" t="b">
        <v>0</v>
      </c>
      <c r="M967" s="42">
        <v>0</v>
      </c>
      <c r="N967" s="42">
        <v>0</v>
      </c>
      <c r="O967" s="52">
        <v>0</v>
      </c>
      <c r="P967" s="42">
        <v>0</v>
      </c>
      <c r="Q967" s="42">
        <v>0</v>
      </c>
      <c r="R967" s="42"/>
      <c r="S967" s="42"/>
      <c r="T967" s="42" t="s">
        <v>616</v>
      </c>
      <c r="U967" t="str">
        <f>IFERROR(HYPERLINK("#'Main'!B"&amp;MATCH(TRIM(A967),Main!B:B,0),"Open"),HYPERLINK("#'Main'!B1","Open"))</f>
        <v>Open</v>
      </c>
    </row>
    <row r="968" spans="1:22" ht="30" customHeight="1" x14ac:dyDescent="0.25">
      <c r="A968" s="50" t="s">
        <v>214</v>
      </c>
      <c r="B968" s="33" t="s">
        <v>614</v>
      </c>
      <c r="C968" s="37" t="s">
        <v>1206</v>
      </c>
      <c r="D968" s="33"/>
      <c r="E968" s="52">
        <v>200</v>
      </c>
      <c r="F968" s="33" t="b">
        <v>1</v>
      </c>
      <c r="G968" s="33">
        <v>0</v>
      </c>
      <c r="H968" s="52">
        <v>0</v>
      </c>
      <c r="I968" s="33">
        <v>0</v>
      </c>
      <c r="J968" s="33">
        <v>0</v>
      </c>
      <c r="K968" s="33">
        <v>0</v>
      </c>
      <c r="L968" s="40" t="b">
        <v>0</v>
      </c>
      <c r="M968" s="33">
        <v>0</v>
      </c>
      <c r="N968" s="33">
        <v>0</v>
      </c>
      <c r="O968" s="52">
        <v>0</v>
      </c>
      <c r="P968" s="33">
        <v>0</v>
      </c>
      <c r="Q968" s="33">
        <v>0</v>
      </c>
      <c r="R968" s="33"/>
      <c r="S968" s="33"/>
      <c r="T968" s="33" t="s">
        <v>616</v>
      </c>
      <c r="U968" s="41" t="str">
        <f>IFERROR(HYPERLINK("#'Main'!B"&amp;MATCH(TRIM(A968),Main!B:B,0),"Open"),HYPERLINK("#'Main'!B1","Open"))</f>
        <v>Open</v>
      </c>
      <c r="V968" s="41"/>
    </row>
    <row r="969" spans="1:22" ht="30" customHeight="1" x14ac:dyDescent="0.25">
      <c r="A969" s="51" t="s">
        <v>214</v>
      </c>
      <c r="B969" s="42" t="s">
        <v>614</v>
      </c>
      <c r="C969" s="44" t="s">
        <v>1207</v>
      </c>
      <c r="D969" s="42"/>
      <c r="E969" s="52">
        <v>200</v>
      </c>
      <c r="F969" s="42" t="b">
        <v>1</v>
      </c>
      <c r="G969" s="42">
        <v>0</v>
      </c>
      <c r="H969" s="52">
        <v>0</v>
      </c>
      <c r="I969" s="42">
        <v>0</v>
      </c>
      <c r="J969" s="42">
        <v>0</v>
      </c>
      <c r="K969" s="42">
        <v>0</v>
      </c>
      <c r="L969" s="46" t="b">
        <v>0</v>
      </c>
      <c r="M969" s="42">
        <v>0</v>
      </c>
      <c r="N969" s="42">
        <v>0</v>
      </c>
      <c r="O969" s="52">
        <v>0</v>
      </c>
      <c r="P969" s="42">
        <v>0</v>
      </c>
      <c r="Q969" s="42">
        <v>0</v>
      </c>
      <c r="R969" s="42"/>
      <c r="S969" s="42"/>
      <c r="T969" s="42" t="s">
        <v>616</v>
      </c>
      <c r="U969" t="str">
        <f>IFERROR(HYPERLINK("#'Main'!B"&amp;MATCH(TRIM(A969),Main!B:B,0),"Open"),HYPERLINK("#'Main'!B1","Open"))</f>
        <v>Open</v>
      </c>
    </row>
    <row r="970" spans="1:22" ht="30" customHeight="1" x14ac:dyDescent="0.25">
      <c r="A970" s="50" t="s">
        <v>214</v>
      </c>
      <c r="B970" s="33" t="s">
        <v>614</v>
      </c>
      <c r="C970" s="37" t="s">
        <v>1208</v>
      </c>
      <c r="D970" s="33"/>
      <c r="E970" s="52">
        <v>200</v>
      </c>
      <c r="F970" s="33" t="b">
        <v>1</v>
      </c>
      <c r="G970" s="33">
        <v>0</v>
      </c>
      <c r="H970" s="52">
        <v>0</v>
      </c>
      <c r="I970" s="33">
        <v>0</v>
      </c>
      <c r="J970" s="33">
        <v>0</v>
      </c>
      <c r="K970" s="33">
        <v>0</v>
      </c>
      <c r="L970" s="40" t="b">
        <v>0</v>
      </c>
      <c r="M970" s="33">
        <v>0</v>
      </c>
      <c r="N970" s="33">
        <v>0</v>
      </c>
      <c r="O970" s="52">
        <v>0</v>
      </c>
      <c r="P970" s="33">
        <v>0</v>
      </c>
      <c r="Q970" s="33">
        <v>0</v>
      </c>
      <c r="R970" s="33"/>
      <c r="S970" s="33"/>
      <c r="T970" s="33" t="s">
        <v>616</v>
      </c>
      <c r="U970" s="41" t="str">
        <f>IFERROR(HYPERLINK("#'Main'!B"&amp;MATCH(TRIM(A970),Main!B:B,0),"Open"),HYPERLINK("#'Main'!B1","Open"))</f>
        <v>Open</v>
      </c>
      <c r="V970" s="41"/>
    </row>
    <row r="971" spans="1:22" ht="30" customHeight="1" x14ac:dyDescent="0.25">
      <c r="A971" s="51" t="s">
        <v>214</v>
      </c>
      <c r="B971" s="42" t="s">
        <v>614</v>
      </c>
      <c r="C971" s="44" t="s">
        <v>1209</v>
      </c>
      <c r="D971" s="42"/>
      <c r="E971" s="52">
        <v>200</v>
      </c>
      <c r="F971" s="42" t="b">
        <v>1</v>
      </c>
      <c r="G971" s="42">
        <v>0</v>
      </c>
      <c r="H971" s="52">
        <v>0</v>
      </c>
      <c r="I971" s="42">
        <v>0</v>
      </c>
      <c r="J971" s="42">
        <v>0</v>
      </c>
      <c r="K971" s="42">
        <v>0</v>
      </c>
      <c r="L971" s="46" t="b">
        <v>0</v>
      </c>
      <c r="M971" s="42">
        <v>0</v>
      </c>
      <c r="N971" s="42">
        <v>0</v>
      </c>
      <c r="O971" s="52">
        <v>0</v>
      </c>
      <c r="P971" s="42">
        <v>0</v>
      </c>
      <c r="Q971" s="42">
        <v>0</v>
      </c>
      <c r="R971" s="42"/>
      <c r="S971" s="42"/>
      <c r="T971" s="42" t="s">
        <v>616</v>
      </c>
      <c r="U971" t="str">
        <f>IFERROR(HYPERLINK("#'Main'!B"&amp;MATCH(TRIM(A971),Main!B:B,0),"Open"),HYPERLINK("#'Main'!B1","Open"))</f>
        <v>Open</v>
      </c>
    </row>
    <row r="972" spans="1:22" ht="30" customHeight="1" x14ac:dyDescent="0.25">
      <c r="A972" s="50" t="s">
        <v>214</v>
      </c>
      <c r="B972" s="33" t="s">
        <v>614</v>
      </c>
      <c r="C972" s="37" t="s">
        <v>1210</v>
      </c>
      <c r="D972" s="33"/>
      <c r="E972" s="52">
        <v>200</v>
      </c>
      <c r="F972" s="33" t="b">
        <v>1</v>
      </c>
      <c r="G972" s="33">
        <v>0</v>
      </c>
      <c r="H972" s="52">
        <v>0</v>
      </c>
      <c r="I972" s="33">
        <v>0</v>
      </c>
      <c r="J972" s="33">
        <v>0</v>
      </c>
      <c r="K972" s="33">
        <v>0</v>
      </c>
      <c r="L972" s="40" t="b">
        <v>0</v>
      </c>
      <c r="M972" s="33">
        <v>0</v>
      </c>
      <c r="N972" s="33">
        <v>0</v>
      </c>
      <c r="O972" s="52">
        <v>0</v>
      </c>
      <c r="P972" s="33">
        <v>0</v>
      </c>
      <c r="Q972" s="33">
        <v>0</v>
      </c>
      <c r="R972" s="33"/>
      <c r="S972" s="33"/>
      <c r="T972" s="33" t="s">
        <v>616</v>
      </c>
      <c r="U972" s="41" t="str">
        <f>IFERROR(HYPERLINK("#'Main'!B"&amp;MATCH(TRIM(A972),Main!B:B,0),"Open"),HYPERLINK("#'Main'!B1","Open"))</f>
        <v>Open</v>
      </c>
      <c r="V972" s="41"/>
    </row>
    <row r="973" spans="1:22" ht="30" customHeight="1" x14ac:dyDescent="0.25">
      <c r="A973" s="51" t="s">
        <v>214</v>
      </c>
      <c r="B973" s="42" t="s">
        <v>614</v>
      </c>
      <c r="C973" s="44" t="s">
        <v>1211</v>
      </c>
      <c r="D973" s="42"/>
      <c r="E973" s="52">
        <v>200</v>
      </c>
      <c r="F973" s="42" t="b">
        <v>1</v>
      </c>
      <c r="G973" s="42">
        <v>0</v>
      </c>
      <c r="H973" s="52">
        <v>0</v>
      </c>
      <c r="I973" s="42">
        <v>0</v>
      </c>
      <c r="J973" s="42">
        <v>0</v>
      </c>
      <c r="K973" s="42">
        <v>0</v>
      </c>
      <c r="L973" s="46" t="b">
        <v>0</v>
      </c>
      <c r="M973" s="42">
        <v>0</v>
      </c>
      <c r="N973" s="42">
        <v>0</v>
      </c>
      <c r="O973" s="52">
        <v>0</v>
      </c>
      <c r="P973" s="42">
        <v>0</v>
      </c>
      <c r="Q973" s="42">
        <v>0</v>
      </c>
      <c r="R973" s="42"/>
      <c r="S973" s="42"/>
      <c r="T973" s="42" t="s">
        <v>616</v>
      </c>
      <c r="U973" t="str">
        <f>IFERROR(HYPERLINK("#'Main'!B"&amp;MATCH(TRIM(A973),Main!B:B,0),"Open"),HYPERLINK("#'Main'!B1","Open"))</f>
        <v>Open</v>
      </c>
    </row>
    <row r="974" spans="1:22" ht="30" customHeight="1" x14ac:dyDescent="0.25">
      <c r="A974" s="50" t="s">
        <v>214</v>
      </c>
      <c r="B974" s="33" t="s">
        <v>614</v>
      </c>
      <c r="C974" s="37" t="s">
        <v>1212</v>
      </c>
      <c r="D974" s="33"/>
      <c r="E974" s="52">
        <v>200</v>
      </c>
      <c r="F974" s="33" t="b">
        <v>1</v>
      </c>
      <c r="G974" s="33">
        <v>0</v>
      </c>
      <c r="H974" s="52">
        <v>0</v>
      </c>
      <c r="I974" s="33">
        <v>0</v>
      </c>
      <c r="J974" s="33">
        <v>0</v>
      </c>
      <c r="K974" s="33">
        <v>0</v>
      </c>
      <c r="L974" s="40" t="b">
        <v>0</v>
      </c>
      <c r="M974" s="33">
        <v>0</v>
      </c>
      <c r="N974" s="33">
        <v>0</v>
      </c>
      <c r="O974" s="52">
        <v>0</v>
      </c>
      <c r="P974" s="33">
        <v>0</v>
      </c>
      <c r="Q974" s="33">
        <v>0</v>
      </c>
      <c r="R974" s="33"/>
      <c r="S974" s="33"/>
      <c r="T974" s="33" t="s">
        <v>616</v>
      </c>
      <c r="U974" s="41" t="str">
        <f>IFERROR(HYPERLINK("#'Main'!B"&amp;MATCH(TRIM(A974),Main!B:B,0),"Open"),HYPERLINK("#'Main'!B1","Open"))</f>
        <v>Open</v>
      </c>
      <c r="V974" s="41"/>
    </row>
    <row r="975" spans="1:22" ht="30" customHeight="1" x14ac:dyDescent="0.25">
      <c r="A975" s="51" t="s">
        <v>214</v>
      </c>
      <c r="B975" s="42" t="s">
        <v>614</v>
      </c>
      <c r="C975" s="44" t="s">
        <v>1213</v>
      </c>
      <c r="D975" s="42"/>
      <c r="E975" s="52">
        <v>200</v>
      </c>
      <c r="F975" s="42" t="b">
        <v>1</v>
      </c>
      <c r="G975" s="42">
        <v>0</v>
      </c>
      <c r="H975" s="52">
        <v>0</v>
      </c>
      <c r="I975" s="42">
        <v>0</v>
      </c>
      <c r="J975" s="42">
        <v>0</v>
      </c>
      <c r="K975" s="42">
        <v>0</v>
      </c>
      <c r="L975" s="46" t="b">
        <v>0</v>
      </c>
      <c r="M975" s="42">
        <v>0</v>
      </c>
      <c r="N975" s="42">
        <v>0</v>
      </c>
      <c r="O975" s="52">
        <v>0</v>
      </c>
      <c r="P975" s="42">
        <v>0</v>
      </c>
      <c r="Q975" s="42">
        <v>0</v>
      </c>
      <c r="R975" s="42"/>
      <c r="S975" s="42"/>
      <c r="T975" s="42" t="s">
        <v>616</v>
      </c>
      <c r="U975" t="str">
        <f>IFERROR(HYPERLINK("#'Main'!B"&amp;MATCH(TRIM(A975),Main!B:B,0),"Open"),HYPERLINK("#'Main'!B1","Open"))</f>
        <v>Open</v>
      </c>
    </row>
    <row r="976" spans="1:22" ht="30" customHeight="1" x14ac:dyDescent="0.25">
      <c r="A976" s="50" t="s">
        <v>214</v>
      </c>
      <c r="B976" s="33" t="s">
        <v>614</v>
      </c>
      <c r="C976" s="37" t="s">
        <v>1214</v>
      </c>
      <c r="D976" s="33"/>
      <c r="E976" s="52">
        <v>200</v>
      </c>
      <c r="F976" s="33" t="b">
        <v>1</v>
      </c>
      <c r="G976" s="33">
        <v>0</v>
      </c>
      <c r="H976" s="52">
        <v>0</v>
      </c>
      <c r="I976" s="33">
        <v>0</v>
      </c>
      <c r="J976" s="33">
        <v>0</v>
      </c>
      <c r="K976" s="33">
        <v>0</v>
      </c>
      <c r="L976" s="40" t="b">
        <v>0</v>
      </c>
      <c r="M976" s="33">
        <v>0</v>
      </c>
      <c r="N976" s="33">
        <v>0</v>
      </c>
      <c r="O976" s="52">
        <v>0</v>
      </c>
      <c r="P976" s="33">
        <v>0</v>
      </c>
      <c r="Q976" s="33">
        <v>0</v>
      </c>
      <c r="R976" s="33"/>
      <c r="S976" s="33"/>
      <c r="T976" s="33" t="s">
        <v>616</v>
      </c>
      <c r="U976" s="41" t="str">
        <f>IFERROR(HYPERLINK("#'Main'!B"&amp;MATCH(TRIM(A976),Main!B:B,0),"Open"),HYPERLINK("#'Main'!B1","Open"))</f>
        <v>Open</v>
      </c>
      <c r="V976" s="41"/>
    </row>
    <row r="977" spans="1:22" ht="30" customHeight="1" x14ac:dyDescent="0.25">
      <c r="A977" s="51" t="s">
        <v>214</v>
      </c>
      <c r="B977" s="42" t="s">
        <v>614</v>
      </c>
      <c r="C977" s="44" t="s">
        <v>1215</v>
      </c>
      <c r="D977" s="42"/>
      <c r="E977" s="52">
        <v>200</v>
      </c>
      <c r="F977" s="42" t="b">
        <v>1</v>
      </c>
      <c r="G977" s="42">
        <v>0</v>
      </c>
      <c r="H977" s="52">
        <v>0</v>
      </c>
      <c r="I977" s="42">
        <v>0</v>
      </c>
      <c r="J977" s="42">
        <v>0</v>
      </c>
      <c r="K977" s="42">
        <v>0</v>
      </c>
      <c r="L977" s="46" t="b">
        <v>0</v>
      </c>
      <c r="M977" s="42">
        <v>0</v>
      </c>
      <c r="N977" s="42">
        <v>0</v>
      </c>
      <c r="O977" s="52">
        <v>0</v>
      </c>
      <c r="P977" s="42">
        <v>0</v>
      </c>
      <c r="Q977" s="42">
        <v>0</v>
      </c>
      <c r="R977" s="42"/>
      <c r="S977" s="42"/>
      <c r="T977" s="42" t="s">
        <v>616</v>
      </c>
      <c r="U977" t="str">
        <f>IFERROR(HYPERLINK("#'Main'!B"&amp;MATCH(TRIM(A977),Main!B:B,0),"Open"),HYPERLINK("#'Main'!B1","Open"))</f>
        <v>Open</v>
      </c>
    </row>
    <row r="978" spans="1:22" ht="30" customHeight="1" x14ac:dyDescent="0.25">
      <c r="A978" s="50" t="s">
        <v>214</v>
      </c>
      <c r="B978" s="33" t="s">
        <v>614</v>
      </c>
      <c r="C978" s="37" t="s">
        <v>1216</v>
      </c>
      <c r="D978" s="33"/>
      <c r="E978" s="52">
        <v>200</v>
      </c>
      <c r="F978" s="33" t="b">
        <v>1</v>
      </c>
      <c r="G978" s="33">
        <v>0</v>
      </c>
      <c r="H978" s="52">
        <v>0</v>
      </c>
      <c r="I978" s="33">
        <v>0</v>
      </c>
      <c r="J978" s="33">
        <v>0</v>
      </c>
      <c r="K978" s="33">
        <v>0</v>
      </c>
      <c r="L978" s="40" t="b">
        <v>0</v>
      </c>
      <c r="M978" s="33">
        <v>0</v>
      </c>
      <c r="N978" s="33">
        <v>0</v>
      </c>
      <c r="O978" s="52">
        <v>0</v>
      </c>
      <c r="P978" s="33">
        <v>0</v>
      </c>
      <c r="Q978" s="33">
        <v>0</v>
      </c>
      <c r="R978" s="33"/>
      <c r="S978" s="33"/>
      <c r="T978" s="33" t="s">
        <v>616</v>
      </c>
      <c r="U978" s="41" t="str">
        <f>IFERROR(HYPERLINK("#'Main'!B"&amp;MATCH(TRIM(A978),Main!B:B,0),"Open"),HYPERLINK("#'Main'!B1","Open"))</f>
        <v>Open</v>
      </c>
      <c r="V978" s="41"/>
    </row>
    <row r="979" spans="1:22" ht="30" customHeight="1" x14ac:dyDescent="0.25">
      <c r="A979" s="51" t="s">
        <v>214</v>
      </c>
      <c r="B979" s="42" t="s">
        <v>614</v>
      </c>
      <c r="C979" s="44" t="s">
        <v>1217</v>
      </c>
      <c r="D979" s="42"/>
      <c r="E979" s="52">
        <v>200</v>
      </c>
      <c r="F979" s="42" t="b">
        <v>1</v>
      </c>
      <c r="G979" s="42">
        <v>0</v>
      </c>
      <c r="H979" s="52">
        <v>0</v>
      </c>
      <c r="I979" s="42">
        <v>0</v>
      </c>
      <c r="J979" s="42">
        <v>0</v>
      </c>
      <c r="K979" s="42">
        <v>0</v>
      </c>
      <c r="L979" s="46" t="b">
        <v>0</v>
      </c>
      <c r="M979" s="42">
        <v>0</v>
      </c>
      <c r="N979" s="42">
        <v>0</v>
      </c>
      <c r="O979" s="52">
        <v>0</v>
      </c>
      <c r="P979" s="42">
        <v>0</v>
      </c>
      <c r="Q979" s="42">
        <v>0</v>
      </c>
      <c r="R979" s="42"/>
      <c r="S979" s="42"/>
      <c r="T979" s="42" t="s">
        <v>616</v>
      </c>
      <c r="U979" t="str">
        <f>IFERROR(HYPERLINK("#'Main'!B"&amp;MATCH(TRIM(A979),Main!B:B,0),"Open"),HYPERLINK("#'Main'!B1","Open"))</f>
        <v>Open</v>
      </c>
    </row>
    <row r="980" spans="1:22" ht="30" customHeight="1" x14ac:dyDescent="0.25">
      <c r="A980" s="50" t="s">
        <v>214</v>
      </c>
      <c r="B980" s="33" t="s">
        <v>614</v>
      </c>
      <c r="C980" s="37" t="s">
        <v>1218</v>
      </c>
      <c r="D980" s="33"/>
      <c r="E980" s="52">
        <v>200</v>
      </c>
      <c r="F980" s="33" t="b">
        <v>1</v>
      </c>
      <c r="G980" s="33">
        <v>0</v>
      </c>
      <c r="H980" s="52">
        <v>0</v>
      </c>
      <c r="I980" s="33">
        <v>0</v>
      </c>
      <c r="J980" s="33">
        <v>0</v>
      </c>
      <c r="K980" s="33">
        <v>0</v>
      </c>
      <c r="L980" s="40" t="b">
        <v>0</v>
      </c>
      <c r="M980" s="33">
        <v>0</v>
      </c>
      <c r="N980" s="33">
        <v>0</v>
      </c>
      <c r="O980" s="52">
        <v>0</v>
      </c>
      <c r="P980" s="33">
        <v>0</v>
      </c>
      <c r="Q980" s="33">
        <v>0</v>
      </c>
      <c r="R980" s="33"/>
      <c r="S980" s="33"/>
      <c r="T980" s="33" t="s">
        <v>616</v>
      </c>
      <c r="U980" s="41" t="str">
        <f>IFERROR(HYPERLINK("#'Main'!B"&amp;MATCH(TRIM(A980),Main!B:B,0),"Open"),HYPERLINK("#'Main'!B1","Open"))</f>
        <v>Open</v>
      </c>
      <c r="V980" s="41"/>
    </row>
    <row r="981" spans="1:22" ht="30" customHeight="1" x14ac:dyDescent="0.25">
      <c r="A981" s="51" t="s">
        <v>214</v>
      </c>
      <c r="B981" s="42" t="s">
        <v>614</v>
      </c>
      <c r="C981" s="44" t="s">
        <v>1219</v>
      </c>
      <c r="D981" s="42"/>
      <c r="E981" s="52">
        <v>200</v>
      </c>
      <c r="F981" s="42" t="b">
        <v>1</v>
      </c>
      <c r="G981" s="42">
        <v>0</v>
      </c>
      <c r="H981" s="52">
        <v>0</v>
      </c>
      <c r="I981" s="42">
        <v>0</v>
      </c>
      <c r="J981" s="42">
        <v>0</v>
      </c>
      <c r="K981" s="42">
        <v>0</v>
      </c>
      <c r="L981" s="46" t="b">
        <v>0</v>
      </c>
      <c r="M981" s="42">
        <v>0</v>
      </c>
      <c r="N981" s="42">
        <v>0</v>
      </c>
      <c r="O981" s="52">
        <v>0</v>
      </c>
      <c r="P981" s="42">
        <v>0</v>
      </c>
      <c r="Q981" s="42">
        <v>0</v>
      </c>
      <c r="R981" s="42"/>
      <c r="S981" s="42"/>
      <c r="T981" s="42" t="s">
        <v>616</v>
      </c>
      <c r="U981" t="str">
        <f>IFERROR(HYPERLINK("#'Main'!B"&amp;MATCH(TRIM(A981),Main!B:B,0),"Open"),HYPERLINK("#'Main'!B1","Open"))</f>
        <v>Open</v>
      </c>
    </row>
    <row r="982" spans="1:22" ht="30" customHeight="1" x14ac:dyDescent="0.25">
      <c r="A982" s="50" t="s">
        <v>214</v>
      </c>
      <c r="B982" s="33" t="s">
        <v>614</v>
      </c>
      <c r="C982" s="37" t="s">
        <v>1220</v>
      </c>
      <c r="D982" s="33"/>
      <c r="E982" s="52">
        <v>200</v>
      </c>
      <c r="F982" s="33" t="b">
        <v>1</v>
      </c>
      <c r="G982" s="33">
        <v>0</v>
      </c>
      <c r="H982" s="52">
        <v>0</v>
      </c>
      <c r="I982" s="33">
        <v>0</v>
      </c>
      <c r="J982" s="33">
        <v>0</v>
      </c>
      <c r="K982" s="33">
        <v>0</v>
      </c>
      <c r="L982" s="40" t="b">
        <v>0</v>
      </c>
      <c r="M982" s="33">
        <v>0</v>
      </c>
      <c r="N982" s="33">
        <v>0</v>
      </c>
      <c r="O982" s="52">
        <v>0</v>
      </c>
      <c r="P982" s="33">
        <v>0</v>
      </c>
      <c r="Q982" s="33">
        <v>0</v>
      </c>
      <c r="R982" s="33"/>
      <c r="S982" s="33"/>
      <c r="T982" s="33" t="s">
        <v>616</v>
      </c>
      <c r="U982" s="41" t="str">
        <f>IFERROR(HYPERLINK("#'Main'!B"&amp;MATCH(TRIM(A982),Main!B:B,0),"Open"),HYPERLINK("#'Main'!B1","Open"))</f>
        <v>Open</v>
      </c>
      <c r="V982" s="41"/>
    </row>
    <row r="983" spans="1:22" ht="30" customHeight="1" x14ac:dyDescent="0.25">
      <c r="A983" s="51" t="s">
        <v>214</v>
      </c>
      <c r="B983" s="42" t="s">
        <v>614</v>
      </c>
      <c r="C983" s="44" t="s">
        <v>1221</v>
      </c>
      <c r="D983" s="42"/>
      <c r="E983" s="52">
        <v>200</v>
      </c>
      <c r="F983" s="42" t="b">
        <v>1</v>
      </c>
      <c r="G983" s="42">
        <v>0</v>
      </c>
      <c r="H983" s="52">
        <v>0</v>
      </c>
      <c r="I983" s="42">
        <v>0</v>
      </c>
      <c r="J983" s="42">
        <v>0</v>
      </c>
      <c r="K983" s="42">
        <v>0</v>
      </c>
      <c r="L983" s="46" t="b">
        <v>0</v>
      </c>
      <c r="M983" s="42">
        <v>0</v>
      </c>
      <c r="N983" s="42">
        <v>0</v>
      </c>
      <c r="O983" s="52">
        <v>0</v>
      </c>
      <c r="P983" s="42">
        <v>0</v>
      </c>
      <c r="Q983" s="42">
        <v>0</v>
      </c>
      <c r="R983" s="42"/>
      <c r="S983" s="42"/>
      <c r="T983" s="42" t="s">
        <v>616</v>
      </c>
      <c r="U983" t="str">
        <f>IFERROR(HYPERLINK("#'Main'!B"&amp;MATCH(TRIM(A983),Main!B:B,0),"Open"),HYPERLINK("#'Main'!B1","Open"))</f>
        <v>Open</v>
      </c>
    </row>
    <row r="984" spans="1:22" ht="30" customHeight="1" x14ac:dyDescent="0.25">
      <c r="A984" s="50" t="s">
        <v>214</v>
      </c>
      <c r="B984" s="33" t="s">
        <v>614</v>
      </c>
      <c r="C984" s="37" t="s">
        <v>1222</v>
      </c>
      <c r="D984" s="33"/>
      <c r="E984" s="52">
        <v>200</v>
      </c>
      <c r="F984" s="33" t="b">
        <v>1</v>
      </c>
      <c r="G984" s="33">
        <v>0</v>
      </c>
      <c r="H984" s="52">
        <v>0</v>
      </c>
      <c r="I984" s="33">
        <v>0</v>
      </c>
      <c r="J984" s="33">
        <v>0</v>
      </c>
      <c r="K984" s="33">
        <v>0</v>
      </c>
      <c r="L984" s="40" t="b">
        <v>0</v>
      </c>
      <c r="M984" s="33">
        <v>0</v>
      </c>
      <c r="N984" s="33">
        <v>0</v>
      </c>
      <c r="O984" s="52">
        <v>0</v>
      </c>
      <c r="P984" s="33">
        <v>0</v>
      </c>
      <c r="Q984" s="33">
        <v>0</v>
      </c>
      <c r="R984" s="33"/>
      <c r="S984" s="33"/>
      <c r="T984" s="33" t="s">
        <v>616</v>
      </c>
      <c r="U984" s="41" t="str">
        <f>IFERROR(HYPERLINK("#'Main'!B"&amp;MATCH(TRIM(A984),Main!B:B,0),"Open"),HYPERLINK("#'Main'!B1","Open"))</f>
        <v>Open</v>
      </c>
      <c r="V984" s="41"/>
    </row>
    <row r="985" spans="1:22" ht="30" customHeight="1" x14ac:dyDescent="0.25">
      <c r="A985" s="51" t="s">
        <v>214</v>
      </c>
      <c r="B985" s="42" t="s">
        <v>614</v>
      </c>
      <c r="C985" s="44" t="s">
        <v>1223</v>
      </c>
      <c r="D985" s="42"/>
      <c r="E985" s="52">
        <v>200</v>
      </c>
      <c r="F985" s="42" t="b">
        <v>1</v>
      </c>
      <c r="G985" s="42">
        <v>0</v>
      </c>
      <c r="H985" s="52">
        <v>0</v>
      </c>
      <c r="I985" s="42">
        <v>0</v>
      </c>
      <c r="J985" s="42">
        <v>0</v>
      </c>
      <c r="K985" s="42">
        <v>0</v>
      </c>
      <c r="L985" s="46" t="b">
        <v>0</v>
      </c>
      <c r="M985" s="42">
        <v>0</v>
      </c>
      <c r="N985" s="42">
        <v>0</v>
      </c>
      <c r="O985" s="52">
        <v>0</v>
      </c>
      <c r="P985" s="42">
        <v>0</v>
      </c>
      <c r="Q985" s="42">
        <v>0</v>
      </c>
      <c r="R985" s="42"/>
      <c r="S985" s="42"/>
      <c r="T985" s="42" t="s">
        <v>616</v>
      </c>
      <c r="U985" t="str">
        <f>IFERROR(HYPERLINK("#'Main'!B"&amp;MATCH(TRIM(A985),Main!B:B,0),"Open"),HYPERLINK("#'Main'!B1","Open"))</f>
        <v>Open</v>
      </c>
    </row>
    <row r="986" spans="1:22" ht="30" customHeight="1" x14ac:dyDescent="0.25">
      <c r="A986" s="50" t="s">
        <v>214</v>
      </c>
      <c r="B986" s="33" t="s">
        <v>614</v>
      </c>
      <c r="C986" s="37" t="s">
        <v>1224</v>
      </c>
      <c r="D986" s="33"/>
      <c r="E986" s="52">
        <v>200</v>
      </c>
      <c r="F986" s="33" t="b">
        <v>1</v>
      </c>
      <c r="G986" s="33">
        <v>0</v>
      </c>
      <c r="H986" s="52">
        <v>0</v>
      </c>
      <c r="I986" s="33">
        <v>0</v>
      </c>
      <c r="J986" s="33">
        <v>0</v>
      </c>
      <c r="K986" s="33">
        <v>0</v>
      </c>
      <c r="L986" s="40" t="b">
        <v>0</v>
      </c>
      <c r="M986" s="33">
        <v>0</v>
      </c>
      <c r="N986" s="33">
        <v>0</v>
      </c>
      <c r="O986" s="52">
        <v>0</v>
      </c>
      <c r="P986" s="33">
        <v>0</v>
      </c>
      <c r="Q986" s="33">
        <v>0</v>
      </c>
      <c r="R986" s="33"/>
      <c r="S986" s="33"/>
      <c r="T986" s="33" t="s">
        <v>616</v>
      </c>
      <c r="U986" s="41" t="str">
        <f>IFERROR(HYPERLINK("#'Main'!B"&amp;MATCH(TRIM(A986),Main!B:B,0),"Open"),HYPERLINK("#'Main'!B1","Open"))</f>
        <v>Open</v>
      </c>
      <c r="V986" s="41"/>
    </row>
    <row r="987" spans="1:22" ht="30" customHeight="1" x14ac:dyDescent="0.25">
      <c r="A987" s="51" t="s">
        <v>214</v>
      </c>
      <c r="B987" s="42" t="s">
        <v>614</v>
      </c>
      <c r="C987" s="44" t="s">
        <v>1225</v>
      </c>
      <c r="D987" s="42"/>
      <c r="E987" s="52">
        <v>200</v>
      </c>
      <c r="F987" s="42" t="b">
        <v>1</v>
      </c>
      <c r="G987" s="42">
        <v>0</v>
      </c>
      <c r="H987" s="52">
        <v>0</v>
      </c>
      <c r="I987" s="42">
        <v>0</v>
      </c>
      <c r="J987" s="42">
        <v>0</v>
      </c>
      <c r="K987" s="42">
        <v>0</v>
      </c>
      <c r="L987" s="46" t="b">
        <v>0</v>
      </c>
      <c r="M987" s="42">
        <v>0</v>
      </c>
      <c r="N987" s="42">
        <v>0</v>
      </c>
      <c r="O987" s="52">
        <v>0</v>
      </c>
      <c r="P987" s="42">
        <v>0</v>
      </c>
      <c r="Q987" s="42">
        <v>0</v>
      </c>
      <c r="R987" s="42"/>
      <c r="S987" s="42"/>
      <c r="T987" s="42" t="s">
        <v>616</v>
      </c>
      <c r="U987" t="str">
        <f>IFERROR(HYPERLINK("#'Main'!B"&amp;MATCH(TRIM(A987),Main!B:B,0),"Open"),HYPERLINK("#'Main'!B1","Open"))</f>
        <v>Open</v>
      </c>
    </row>
    <row r="988" spans="1:22" ht="30" customHeight="1" x14ac:dyDescent="0.25">
      <c r="A988" s="50" t="s">
        <v>214</v>
      </c>
      <c r="B988" s="33" t="s">
        <v>614</v>
      </c>
      <c r="C988" s="37" t="s">
        <v>1226</v>
      </c>
      <c r="D988" s="33"/>
      <c r="E988" s="52">
        <v>200</v>
      </c>
      <c r="F988" s="33" t="b">
        <v>1</v>
      </c>
      <c r="G988" s="33">
        <v>0</v>
      </c>
      <c r="H988" s="52">
        <v>0</v>
      </c>
      <c r="I988" s="33">
        <v>0</v>
      </c>
      <c r="J988" s="33">
        <v>0</v>
      </c>
      <c r="K988" s="33">
        <v>0</v>
      </c>
      <c r="L988" s="40" t="b">
        <v>0</v>
      </c>
      <c r="M988" s="33">
        <v>0</v>
      </c>
      <c r="N988" s="33">
        <v>0</v>
      </c>
      <c r="O988" s="52">
        <v>0</v>
      </c>
      <c r="P988" s="33">
        <v>0</v>
      </c>
      <c r="Q988" s="33">
        <v>0</v>
      </c>
      <c r="R988" s="33"/>
      <c r="S988" s="33"/>
      <c r="T988" s="33" t="s">
        <v>616</v>
      </c>
      <c r="U988" s="41" t="str">
        <f>IFERROR(HYPERLINK("#'Main'!B"&amp;MATCH(TRIM(A988),Main!B:B,0),"Open"),HYPERLINK("#'Main'!B1","Open"))</f>
        <v>Open</v>
      </c>
      <c r="V988" s="41"/>
    </row>
    <row r="989" spans="1:22" ht="30" customHeight="1" x14ac:dyDescent="0.25">
      <c r="A989" s="51" t="s">
        <v>214</v>
      </c>
      <c r="B989" s="42" t="s">
        <v>614</v>
      </c>
      <c r="C989" s="44" t="s">
        <v>1227</v>
      </c>
      <c r="D989" s="42"/>
      <c r="E989" s="52">
        <v>200</v>
      </c>
      <c r="F989" s="42" t="b">
        <v>1</v>
      </c>
      <c r="G989" s="42">
        <v>0</v>
      </c>
      <c r="H989" s="52">
        <v>0</v>
      </c>
      <c r="I989" s="42">
        <v>0</v>
      </c>
      <c r="J989" s="42">
        <v>0</v>
      </c>
      <c r="K989" s="42">
        <v>0</v>
      </c>
      <c r="L989" s="46" t="b">
        <v>0</v>
      </c>
      <c r="M989" s="42">
        <v>0</v>
      </c>
      <c r="N989" s="42">
        <v>0</v>
      </c>
      <c r="O989" s="52">
        <v>0</v>
      </c>
      <c r="P989" s="42">
        <v>0</v>
      </c>
      <c r="Q989" s="42">
        <v>0</v>
      </c>
      <c r="R989" s="42"/>
      <c r="S989" s="42"/>
      <c r="T989" s="42" t="s">
        <v>616</v>
      </c>
      <c r="U989" t="str">
        <f>IFERROR(HYPERLINK("#'Main'!B"&amp;MATCH(TRIM(A989),Main!B:B,0),"Open"),HYPERLINK("#'Main'!B1","Open"))</f>
        <v>Open</v>
      </c>
    </row>
    <row r="990" spans="1:22" ht="30" customHeight="1" x14ac:dyDescent="0.25">
      <c r="A990" s="50" t="s">
        <v>214</v>
      </c>
      <c r="B990" s="33" t="s">
        <v>614</v>
      </c>
      <c r="C990" s="37" t="s">
        <v>1228</v>
      </c>
      <c r="D990" s="33"/>
      <c r="E990" s="52">
        <v>200</v>
      </c>
      <c r="F990" s="33" t="b">
        <v>1</v>
      </c>
      <c r="G990" s="33">
        <v>0</v>
      </c>
      <c r="H990" s="52">
        <v>0</v>
      </c>
      <c r="I990" s="33">
        <v>0</v>
      </c>
      <c r="J990" s="33">
        <v>0</v>
      </c>
      <c r="K990" s="33">
        <v>0</v>
      </c>
      <c r="L990" s="40" t="b">
        <v>0</v>
      </c>
      <c r="M990" s="33">
        <v>0</v>
      </c>
      <c r="N990" s="33">
        <v>0</v>
      </c>
      <c r="O990" s="52">
        <v>0</v>
      </c>
      <c r="P990" s="33">
        <v>0</v>
      </c>
      <c r="Q990" s="33">
        <v>0</v>
      </c>
      <c r="R990" s="33"/>
      <c r="S990" s="33"/>
      <c r="T990" s="33" t="s">
        <v>616</v>
      </c>
      <c r="U990" s="41" t="str">
        <f>IFERROR(HYPERLINK("#'Main'!B"&amp;MATCH(TRIM(A990),Main!B:B,0),"Open"),HYPERLINK("#'Main'!B1","Open"))</f>
        <v>Open</v>
      </c>
      <c r="V990" s="41"/>
    </row>
    <row r="991" spans="1:22" ht="30" customHeight="1" x14ac:dyDescent="0.25">
      <c r="A991" s="51" t="s">
        <v>214</v>
      </c>
      <c r="B991" s="42" t="s">
        <v>614</v>
      </c>
      <c r="C991" s="44" t="s">
        <v>1229</v>
      </c>
      <c r="D991" s="42"/>
      <c r="E991" s="52">
        <v>200</v>
      </c>
      <c r="F991" s="42" t="b">
        <v>1</v>
      </c>
      <c r="G991" s="42">
        <v>0</v>
      </c>
      <c r="H991" s="52">
        <v>0</v>
      </c>
      <c r="I991" s="42">
        <v>0</v>
      </c>
      <c r="J991" s="42">
        <v>0</v>
      </c>
      <c r="K991" s="42">
        <v>0</v>
      </c>
      <c r="L991" s="46" t="b">
        <v>0</v>
      </c>
      <c r="M991" s="42">
        <v>0</v>
      </c>
      <c r="N991" s="42">
        <v>0</v>
      </c>
      <c r="O991" s="52">
        <v>0</v>
      </c>
      <c r="P991" s="42">
        <v>0</v>
      </c>
      <c r="Q991" s="42">
        <v>0</v>
      </c>
      <c r="R991" s="42"/>
      <c r="S991" s="42"/>
      <c r="T991" s="42" t="s">
        <v>616</v>
      </c>
      <c r="U991" t="str">
        <f>IFERROR(HYPERLINK("#'Main'!B"&amp;MATCH(TRIM(A991),Main!B:B,0),"Open"),HYPERLINK("#'Main'!B1","Open"))</f>
        <v>Open</v>
      </c>
    </row>
    <row r="992" spans="1:22" ht="30" customHeight="1" x14ac:dyDescent="0.25">
      <c r="A992" s="50" t="s">
        <v>214</v>
      </c>
      <c r="B992" s="33" t="s">
        <v>614</v>
      </c>
      <c r="C992" s="37" t="s">
        <v>1230</v>
      </c>
      <c r="D992" s="33"/>
      <c r="E992" s="52">
        <v>200</v>
      </c>
      <c r="F992" s="33" t="b">
        <v>1</v>
      </c>
      <c r="G992" s="33">
        <v>0</v>
      </c>
      <c r="H992" s="52">
        <v>0</v>
      </c>
      <c r="I992" s="33">
        <v>0</v>
      </c>
      <c r="J992" s="33">
        <v>0</v>
      </c>
      <c r="K992" s="33">
        <v>0</v>
      </c>
      <c r="L992" s="40" t="b">
        <v>0</v>
      </c>
      <c r="M992" s="33">
        <v>0</v>
      </c>
      <c r="N992" s="33">
        <v>0</v>
      </c>
      <c r="O992" s="52">
        <v>0</v>
      </c>
      <c r="P992" s="33">
        <v>0</v>
      </c>
      <c r="Q992" s="33">
        <v>0</v>
      </c>
      <c r="R992" s="33"/>
      <c r="S992" s="33"/>
      <c r="T992" s="33" t="s">
        <v>616</v>
      </c>
      <c r="U992" s="41" t="str">
        <f>IFERROR(HYPERLINK("#'Main'!B"&amp;MATCH(TRIM(A992),Main!B:B,0),"Open"),HYPERLINK("#'Main'!B1","Open"))</f>
        <v>Open</v>
      </c>
      <c r="V992" s="41"/>
    </row>
    <row r="993" spans="1:22" ht="30" customHeight="1" x14ac:dyDescent="0.25">
      <c r="A993" s="51" t="s">
        <v>214</v>
      </c>
      <c r="B993" s="42" t="s">
        <v>614</v>
      </c>
      <c r="C993" s="44" t="s">
        <v>1231</v>
      </c>
      <c r="D993" s="42"/>
      <c r="E993" s="52">
        <v>200</v>
      </c>
      <c r="F993" s="42" t="b">
        <v>1</v>
      </c>
      <c r="G993" s="42">
        <v>0</v>
      </c>
      <c r="H993" s="52">
        <v>0</v>
      </c>
      <c r="I993" s="42">
        <v>0</v>
      </c>
      <c r="J993" s="42">
        <v>0</v>
      </c>
      <c r="K993" s="42">
        <v>0</v>
      </c>
      <c r="L993" s="46" t="b">
        <v>0</v>
      </c>
      <c r="M993" s="42">
        <v>0</v>
      </c>
      <c r="N993" s="42">
        <v>0</v>
      </c>
      <c r="O993" s="52">
        <v>0</v>
      </c>
      <c r="P993" s="42">
        <v>0</v>
      </c>
      <c r="Q993" s="42">
        <v>0</v>
      </c>
      <c r="R993" s="42"/>
      <c r="S993" s="42"/>
      <c r="T993" s="42" t="s">
        <v>616</v>
      </c>
      <c r="U993" t="str">
        <f>IFERROR(HYPERLINK("#'Main'!B"&amp;MATCH(TRIM(A993),Main!B:B,0),"Open"),HYPERLINK("#'Main'!B1","Open"))</f>
        <v>Open</v>
      </c>
    </row>
    <row r="994" spans="1:22" ht="30" customHeight="1" x14ac:dyDescent="0.25">
      <c r="A994" s="50" t="s">
        <v>214</v>
      </c>
      <c r="B994" s="33" t="s">
        <v>614</v>
      </c>
      <c r="C994" s="37" t="s">
        <v>1232</v>
      </c>
      <c r="D994" s="33"/>
      <c r="E994" s="52">
        <v>200</v>
      </c>
      <c r="F994" s="33" t="b">
        <v>1</v>
      </c>
      <c r="G994" s="33">
        <v>0</v>
      </c>
      <c r="H994" s="52">
        <v>0</v>
      </c>
      <c r="I994" s="33">
        <v>0</v>
      </c>
      <c r="J994" s="33">
        <v>0</v>
      </c>
      <c r="K994" s="33">
        <v>0</v>
      </c>
      <c r="L994" s="40" t="b">
        <v>0</v>
      </c>
      <c r="M994" s="33">
        <v>0</v>
      </c>
      <c r="N994" s="33">
        <v>0</v>
      </c>
      <c r="O994" s="52">
        <v>0</v>
      </c>
      <c r="P994" s="33">
        <v>0</v>
      </c>
      <c r="Q994" s="33">
        <v>0</v>
      </c>
      <c r="R994" s="33"/>
      <c r="S994" s="33"/>
      <c r="T994" s="33" t="s">
        <v>616</v>
      </c>
      <c r="U994" s="41" t="str">
        <f>IFERROR(HYPERLINK("#'Main'!B"&amp;MATCH(TRIM(A994),Main!B:B,0),"Open"),HYPERLINK("#'Main'!B1","Open"))</f>
        <v>Open</v>
      </c>
      <c r="V994" s="41"/>
    </row>
    <row r="995" spans="1:22" ht="30" customHeight="1" x14ac:dyDescent="0.25">
      <c r="A995" s="51" t="s">
        <v>214</v>
      </c>
      <c r="B995" s="42" t="s">
        <v>614</v>
      </c>
      <c r="C995" s="44" t="s">
        <v>1233</v>
      </c>
      <c r="D995" s="42"/>
      <c r="E995" s="52">
        <v>200</v>
      </c>
      <c r="F995" s="42" t="b">
        <v>1</v>
      </c>
      <c r="G995" s="42">
        <v>0</v>
      </c>
      <c r="H995" s="52">
        <v>0</v>
      </c>
      <c r="I995" s="42">
        <v>0</v>
      </c>
      <c r="J995" s="42">
        <v>0</v>
      </c>
      <c r="K995" s="42">
        <v>0</v>
      </c>
      <c r="L995" s="46" t="b">
        <v>0</v>
      </c>
      <c r="M995" s="42">
        <v>0</v>
      </c>
      <c r="N995" s="42">
        <v>0</v>
      </c>
      <c r="O995" s="52">
        <v>0</v>
      </c>
      <c r="P995" s="42">
        <v>0</v>
      </c>
      <c r="Q995" s="42">
        <v>0</v>
      </c>
      <c r="R995" s="42"/>
      <c r="S995" s="42"/>
      <c r="T995" s="42" t="s">
        <v>616</v>
      </c>
      <c r="U995" t="str">
        <f>IFERROR(HYPERLINK("#'Main'!B"&amp;MATCH(TRIM(A995),Main!B:B,0),"Open"),HYPERLINK("#'Main'!B1","Open"))</f>
        <v>Open</v>
      </c>
    </row>
    <row r="996" spans="1:22" ht="30" customHeight="1" x14ac:dyDescent="0.25">
      <c r="A996" s="50" t="s">
        <v>214</v>
      </c>
      <c r="B996" s="33" t="s">
        <v>614</v>
      </c>
      <c r="C996" s="37" t="s">
        <v>1234</v>
      </c>
      <c r="D996" s="33"/>
      <c r="E996" s="52">
        <v>200</v>
      </c>
      <c r="F996" s="33" t="b">
        <v>1</v>
      </c>
      <c r="G996" s="33">
        <v>0</v>
      </c>
      <c r="H996" s="52">
        <v>0</v>
      </c>
      <c r="I996" s="33">
        <v>0</v>
      </c>
      <c r="J996" s="33">
        <v>0</v>
      </c>
      <c r="K996" s="33">
        <v>0</v>
      </c>
      <c r="L996" s="40" t="b">
        <v>0</v>
      </c>
      <c r="M996" s="33">
        <v>0</v>
      </c>
      <c r="N996" s="33">
        <v>0</v>
      </c>
      <c r="O996" s="52">
        <v>0</v>
      </c>
      <c r="P996" s="33">
        <v>0</v>
      </c>
      <c r="Q996" s="33">
        <v>0</v>
      </c>
      <c r="R996" s="33"/>
      <c r="S996" s="33"/>
      <c r="T996" s="33" t="s">
        <v>616</v>
      </c>
      <c r="U996" s="41" t="str">
        <f>IFERROR(HYPERLINK("#'Main'!B"&amp;MATCH(TRIM(A996),Main!B:B,0),"Open"),HYPERLINK("#'Main'!B1","Open"))</f>
        <v>Open</v>
      </c>
      <c r="V996" s="41"/>
    </row>
    <row r="997" spans="1:22" ht="30" customHeight="1" x14ac:dyDescent="0.25">
      <c r="A997" s="51" t="s">
        <v>214</v>
      </c>
      <c r="B997" s="42" t="s">
        <v>614</v>
      </c>
      <c r="C997" s="44" t="s">
        <v>1235</v>
      </c>
      <c r="D997" s="42"/>
      <c r="E997" s="52">
        <v>200</v>
      </c>
      <c r="F997" s="42" t="b">
        <v>1</v>
      </c>
      <c r="G997" s="42">
        <v>0</v>
      </c>
      <c r="H997" s="52">
        <v>0</v>
      </c>
      <c r="I997" s="42">
        <v>0</v>
      </c>
      <c r="J997" s="42">
        <v>0</v>
      </c>
      <c r="K997" s="42">
        <v>0</v>
      </c>
      <c r="L997" s="46" t="b">
        <v>0</v>
      </c>
      <c r="M997" s="42">
        <v>0</v>
      </c>
      <c r="N997" s="42">
        <v>0</v>
      </c>
      <c r="O997" s="52">
        <v>0</v>
      </c>
      <c r="P997" s="42">
        <v>0</v>
      </c>
      <c r="Q997" s="42">
        <v>0</v>
      </c>
      <c r="R997" s="42"/>
      <c r="S997" s="42"/>
      <c r="T997" s="42" t="s">
        <v>616</v>
      </c>
      <c r="U997" t="str">
        <f>IFERROR(HYPERLINK("#'Main'!B"&amp;MATCH(TRIM(A997),Main!B:B,0),"Open"),HYPERLINK("#'Main'!B1","Open"))</f>
        <v>Open</v>
      </c>
    </row>
    <row r="998" spans="1:22" ht="30" customHeight="1" x14ac:dyDescent="0.25">
      <c r="A998" s="50" t="s">
        <v>214</v>
      </c>
      <c r="B998" s="33" t="s">
        <v>614</v>
      </c>
      <c r="C998" s="37" t="s">
        <v>1236</v>
      </c>
      <c r="D998" s="33"/>
      <c r="E998" s="52">
        <v>200</v>
      </c>
      <c r="F998" s="33" t="b">
        <v>1</v>
      </c>
      <c r="G998" s="33">
        <v>0</v>
      </c>
      <c r="H998" s="52">
        <v>0</v>
      </c>
      <c r="I998" s="33">
        <v>0</v>
      </c>
      <c r="J998" s="33">
        <v>0</v>
      </c>
      <c r="K998" s="33">
        <v>0</v>
      </c>
      <c r="L998" s="40" t="b">
        <v>0</v>
      </c>
      <c r="M998" s="33">
        <v>0</v>
      </c>
      <c r="N998" s="33">
        <v>0</v>
      </c>
      <c r="O998" s="52">
        <v>0</v>
      </c>
      <c r="P998" s="33">
        <v>0</v>
      </c>
      <c r="Q998" s="33">
        <v>0</v>
      </c>
      <c r="R998" s="33"/>
      <c r="S998" s="33"/>
      <c r="T998" s="33" t="s">
        <v>616</v>
      </c>
      <c r="U998" s="41" t="str">
        <f>IFERROR(HYPERLINK("#'Main'!B"&amp;MATCH(TRIM(A998),Main!B:B,0),"Open"),HYPERLINK("#'Main'!B1","Open"))</f>
        <v>Open</v>
      </c>
      <c r="V998" s="41"/>
    </row>
    <row r="999" spans="1:22" ht="30" customHeight="1" x14ac:dyDescent="0.25">
      <c r="A999" s="51" t="s">
        <v>214</v>
      </c>
      <c r="B999" s="42" t="s">
        <v>614</v>
      </c>
      <c r="C999" s="44" t="s">
        <v>1237</v>
      </c>
      <c r="D999" s="42"/>
      <c r="E999" s="52">
        <v>200</v>
      </c>
      <c r="F999" s="42" t="b">
        <v>1</v>
      </c>
      <c r="G999" s="42">
        <v>0</v>
      </c>
      <c r="H999" s="52">
        <v>0</v>
      </c>
      <c r="I999" s="42">
        <v>0</v>
      </c>
      <c r="J999" s="42">
        <v>0</v>
      </c>
      <c r="K999" s="42">
        <v>0</v>
      </c>
      <c r="L999" s="46" t="b">
        <v>0</v>
      </c>
      <c r="M999" s="42">
        <v>0</v>
      </c>
      <c r="N999" s="42">
        <v>0</v>
      </c>
      <c r="O999" s="52">
        <v>0</v>
      </c>
      <c r="P999" s="42">
        <v>0</v>
      </c>
      <c r="Q999" s="42">
        <v>0</v>
      </c>
      <c r="R999" s="42"/>
      <c r="S999" s="42"/>
      <c r="T999" s="42" t="s">
        <v>616</v>
      </c>
      <c r="U999" t="str">
        <f>IFERROR(HYPERLINK("#'Main'!B"&amp;MATCH(TRIM(A999),Main!B:B,0),"Open"),HYPERLINK("#'Main'!B1","Open"))</f>
        <v>Open</v>
      </c>
    </row>
    <row r="1000" spans="1:22" ht="30" customHeight="1" x14ac:dyDescent="0.25">
      <c r="A1000" s="50" t="s">
        <v>214</v>
      </c>
      <c r="B1000" s="33" t="s">
        <v>614</v>
      </c>
      <c r="C1000" s="37" t="s">
        <v>1238</v>
      </c>
      <c r="D1000" s="33"/>
      <c r="E1000" s="52">
        <v>200</v>
      </c>
      <c r="F1000" s="33" t="b">
        <v>1</v>
      </c>
      <c r="G1000" s="33">
        <v>0</v>
      </c>
      <c r="H1000" s="52">
        <v>0</v>
      </c>
      <c r="I1000" s="33">
        <v>0</v>
      </c>
      <c r="J1000" s="33">
        <v>0</v>
      </c>
      <c r="K1000" s="33">
        <v>0</v>
      </c>
      <c r="L1000" s="40" t="b">
        <v>0</v>
      </c>
      <c r="M1000" s="33">
        <v>0</v>
      </c>
      <c r="N1000" s="33">
        <v>0</v>
      </c>
      <c r="O1000" s="52">
        <v>0</v>
      </c>
      <c r="P1000" s="33">
        <v>0</v>
      </c>
      <c r="Q1000" s="33">
        <v>0</v>
      </c>
      <c r="R1000" s="33"/>
      <c r="S1000" s="33"/>
      <c r="T1000" s="33" t="s">
        <v>616</v>
      </c>
      <c r="U1000" s="41" t="str">
        <f>IFERROR(HYPERLINK("#'Main'!B"&amp;MATCH(TRIM(A1000),Main!B:B,0),"Open"),HYPERLINK("#'Main'!B1","Open"))</f>
        <v>Open</v>
      </c>
      <c r="V1000" s="41"/>
    </row>
    <row r="1001" spans="1:22" ht="30" customHeight="1" x14ac:dyDescent="0.25">
      <c r="A1001" s="51" t="s">
        <v>214</v>
      </c>
      <c r="B1001" s="42" t="s">
        <v>614</v>
      </c>
      <c r="C1001" s="44" t="s">
        <v>1239</v>
      </c>
      <c r="D1001" s="42"/>
      <c r="E1001" s="52">
        <v>200</v>
      </c>
      <c r="F1001" s="42" t="b">
        <v>1</v>
      </c>
      <c r="G1001" s="42">
        <v>0</v>
      </c>
      <c r="H1001" s="52">
        <v>0</v>
      </c>
      <c r="I1001" s="42">
        <v>0</v>
      </c>
      <c r="J1001" s="42">
        <v>0</v>
      </c>
      <c r="K1001" s="42">
        <v>0</v>
      </c>
      <c r="L1001" s="46" t="b">
        <v>0</v>
      </c>
      <c r="M1001" s="42">
        <v>0</v>
      </c>
      <c r="N1001" s="42">
        <v>0</v>
      </c>
      <c r="O1001" s="52">
        <v>0</v>
      </c>
      <c r="P1001" s="42">
        <v>0</v>
      </c>
      <c r="Q1001" s="42">
        <v>0</v>
      </c>
      <c r="R1001" s="42"/>
      <c r="S1001" s="42"/>
      <c r="T1001" s="42" t="s">
        <v>616</v>
      </c>
      <c r="U1001" t="str">
        <f>IFERROR(HYPERLINK("#'Main'!B"&amp;MATCH(TRIM(A1001),Main!B:B,0),"Open"),HYPERLINK("#'Main'!B1","Open"))</f>
        <v>Open</v>
      </c>
    </row>
    <row r="1002" spans="1:22" ht="30" customHeight="1" x14ac:dyDescent="0.25">
      <c r="A1002" s="50" t="s">
        <v>214</v>
      </c>
      <c r="B1002" s="33" t="s">
        <v>614</v>
      </c>
      <c r="C1002" s="37" t="s">
        <v>1240</v>
      </c>
      <c r="D1002" s="33"/>
      <c r="E1002" s="52">
        <v>200</v>
      </c>
      <c r="F1002" s="33" t="b">
        <v>1</v>
      </c>
      <c r="G1002" s="33">
        <v>0</v>
      </c>
      <c r="H1002" s="52">
        <v>0</v>
      </c>
      <c r="I1002" s="33">
        <v>0</v>
      </c>
      <c r="J1002" s="33">
        <v>0</v>
      </c>
      <c r="K1002" s="33">
        <v>0</v>
      </c>
      <c r="L1002" s="40" t="b">
        <v>0</v>
      </c>
      <c r="M1002" s="33">
        <v>0</v>
      </c>
      <c r="N1002" s="33">
        <v>0</v>
      </c>
      <c r="O1002" s="52">
        <v>0</v>
      </c>
      <c r="P1002" s="33">
        <v>0</v>
      </c>
      <c r="Q1002" s="33">
        <v>0</v>
      </c>
      <c r="R1002" s="33"/>
      <c r="S1002" s="33"/>
      <c r="T1002" s="33" t="s">
        <v>616</v>
      </c>
      <c r="U1002" s="41" t="str">
        <f>IFERROR(HYPERLINK("#'Main'!B"&amp;MATCH(TRIM(A1002),Main!B:B,0),"Open"),HYPERLINK("#'Main'!B1","Open"))</f>
        <v>Open</v>
      </c>
      <c r="V1002" s="41"/>
    </row>
    <row r="1003" spans="1:22" ht="30" customHeight="1" x14ac:dyDescent="0.25">
      <c r="A1003" s="51" t="s">
        <v>214</v>
      </c>
      <c r="B1003" s="42" t="s">
        <v>614</v>
      </c>
      <c r="C1003" s="44" t="s">
        <v>1241</v>
      </c>
      <c r="D1003" s="42"/>
      <c r="E1003" s="52">
        <v>200</v>
      </c>
      <c r="F1003" s="42" t="b">
        <v>1</v>
      </c>
      <c r="G1003" s="42">
        <v>0</v>
      </c>
      <c r="H1003" s="52">
        <v>0</v>
      </c>
      <c r="I1003" s="42">
        <v>0</v>
      </c>
      <c r="J1003" s="42">
        <v>0</v>
      </c>
      <c r="K1003" s="42">
        <v>0</v>
      </c>
      <c r="L1003" s="46" t="b">
        <v>0</v>
      </c>
      <c r="M1003" s="42">
        <v>0</v>
      </c>
      <c r="N1003" s="42">
        <v>0</v>
      </c>
      <c r="O1003" s="52">
        <v>0</v>
      </c>
      <c r="P1003" s="42">
        <v>0</v>
      </c>
      <c r="Q1003" s="42">
        <v>0</v>
      </c>
      <c r="R1003" s="42"/>
      <c r="S1003" s="42"/>
      <c r="T1003" s="42" t="s">
        <v>616</v>
      </c>
      <c r="U1003" t="str">
        <f>IFERROR(HYPERLINK("#'Main'!B"&amp;MATCH(TRIM(A1003),Main!B:B,0),"Open"),HYPERLINK("#'Main'!B1","Open"))</f>
        <v>Open</v>
      </c>
    </row>
    <row r="1004" spans="1:22" ht="30" customHeight="1" x14ac:dyDescent="0.25">
      <c r="A1004" s="50" t="s">
        <v>214</v>
      </c>
      <c r="B1004" s="33" t="s">
        <v>614</v>
      </c>
      <c r="C1004" s="37" t="s">
        <v>1242</v>
      </c>
      <c r="D1004" s="33"/>
      <c r="E1004" s="52">
        <v>200</v>
      </c>
      <c r="F1004" s="33" t="b">
        <v>1</v>
      </c>
      <c r="G1004" s="33">
        <v>0</v>
      </c>
      <c r="H1004" s="52">
        <v>0</v>
      </c>
      <c r="I1004" s="33">
        <v>0</v>
      </c>
      <c r="J1004" s="33">
        <v>0</v>
      </c>
      <c r="K1004" s="33">
        <v>0</v>
      </c>
      <c r="L1004" s="40" t="b">
        <v>0</v>
      </c>
      <c r="M1004" s="33">
        <v>0</v>
      </c>
      <c r="N1004" s="33">
        <v>0</v>
      </c>
      <c r="O1004" s="52">
        <v>0</v>
      </c>
      <c r="P1004" s="33">
        <v>0</v>
      </c>
      <c r="Q1004" s="33">
        <v>0</v>
      </c>
      <c r="R1004" s="33"/>
      <c r="S1004" s="33"/>
      <c r="T1004" s="33" t="s">
        <v>616</v>
      </c>
      <c r="U1004" s="41" t="str">
        <f>IFERROR(HYPERLINK("#'Main'!B"&amp;MATCH(TRIM(A1004),Main!B:B,0),"Open"),HYPERLINK("#'Main'!B1","Open"))</f>
        <v>Open</v>
      </c>
      <c r="V1004" s="41"/>
    </row>
    <row r="1005" spans="1:22" ht="30" customHeight="1" x14ac:dyDescent="0.25">
      <c r="A1005" s="51" t="s">
        <v>214</v>
      </c>
      <c r="B1005" s="42" t="s">
        <v>614</v>
      </c>
      <c r="C1005" s="44" t="s">
        <v>1243</v>
      </c>
      <c r="D1005" s="42"/>
      <c r="E1005" s="52">
        <v>200</v>
      </c>
      <c r="F1005" s="42" t="b">
        <v>1</v>
      </c>
      <c r="G1005" s="42">
        <v>0</v>
      </c>
      <c r="H1005" s="52">
        <v>0</v>
      </c>
      <c r="I1005" s="42">
        <v>0</v>
      </c>
      <c r="J1005" s="42">
        <v>0</v>
      </c>
      <c r="K1005" s="42">
        <v>0</v>
      </c>
      <c r="L1005" s="46" t="b">
        <v>0</v>
      </c>
      <c r="M1005" s="42">
        <v>0</v>
      </c>
      <c r="N1005" s="42">
        <v>0</v>
      </c>
      <c r="O1005" s="52">
        <v>0</v>
      </c>
      <c r="P1005" s="42">
        <v>0</v>
      </c>
      <c r="Q1005" s="42">
        <v>0</v>
      </c>
      <c r="R1005" s="42"/>
      <c r="S1005" s="42"/>
      <c r="T1005" s="42" t="s">
        <v>616</v>
      </c>
      <c r="U1005" t="str">
        <f>IFERROR(HYPERLINK("#'Main'!B"&amp;MATCH(TRIM(A1005),Main!B:B,0),"Open"),HYPERLINK("#'Main'!B1","Open"))</f>
        <v>Open</v>
      </c>
    </row>
    <row r="1006" spans="1:22" ht="30" customHeight="1" x14ac:dyDescent="0.25">
      <c r="A1006" s="50" t="s">
        <v>214</v>
      </c>
      <c r="B1006" s="33" t="s">
        <v>614</v>
      </c>
      <c r="C1006" s="37" t="s">
        <v>1244</v>
      </c>
      <c r="D1006" s="33"/>
      <c r="E1006" s="52">
        <v>200</v>
      </c>
      <c r="F1006" s="33" t="b">
        <v>1</v>
      </c>
      <c r="G1006" s="33">
        <v>0</v>
      </c>
      <c r="H1006" s="52">
        <v>0</v>
      </c>
      <c r="I1006" s="33">
        <v>0</v>
      </c>
      <c r="J1006" s="33">
        <v>0</v>
      </c>
      <c r="K1006" s="33">
        <v>0</v>
      </c>
      <c r="L1006" s="40" t="b">
        <v>0</v>
      </c>
      <c r="M1006" s="33">
        <v>0</v>
      </c>
      <c r="N1006" s="33">
        <v>0</v>
      </c>
      <c r="O1006" s="52">
        <v>0</v>
      </c>
      <c r="P1006" s="33">
        <v>0</v>
      </c>
      <c r="Q1006" s="33">
        <v>0</v>
      </c>
      <c r="R1006" s="33"/>
      <c r="S1006" s="33"/>
      <c r="T1006" s="33" t="s">
        <v>616</v>
      </c>
      <c r="U1006" s="41" t="str">
        <f>IFERROR(HYPERLINK("#'Main'!B"&amp;MATCH(TRIM(A1006),Main!B:B,0),"Open"),HYPERLINK("#'Main'!B1","Open"))</f>
        <v>Open</v>
      </c>
      <c r="V1006" s="41"/>
    </row>
    <row r="1007" spans="1:22" ht="30" customHeight="1" x14ac:dyDescent="0.25">
      <c r="A1007" s="51" t="s">
        <v>214</v>
      </c>
      <c r="B1007" s="42" t="s">
        <v>614</v>
      </c>
      <c r="C1007" s="44" t="s">
        <v>1245</v>
      </c>
      <c r="D1007" s="42"/>
      <c r="E1007" s="52">
        <v>200</v>
      </c>
      <c r="F1007" s="42" t="b">
        <v>1</v>
      </c>
      <c r="G1007" s="42">
        <v>0</v>
      </c>
      <c r="H1007" s="52">
        <v>0</v>
      </c>
      <c r="I1007" s="42">
        <v>0</v>
      </c>
      <c r="J1007" s="42">
        <v>0</v>
      </c>
      <c r="K1007" s="42">
        <v>0</v>
      </c>
      <c r="L1007" s="46" t="b">
        <v>0</v>
      </c>
      <c r="M1007" s="42">
        <v>0</v>
      </c>
      <c r="N1007" s="42">
        <v>0</v>
      </c>
      <c r="O1007" s="52">
        <v>0</v>
      </c>
      <c r="P1007" s="42">
        <v>0</v>
      </c>
      <c r="Q1007" s="42">
        <v>0</v>
      </c>
      <c r="R1007" s="42"/>
      <c r="S1007" s="42"/>
      <c r="T1007" s="42" t="s">
        <v>616</v>
      </c>
      <c r="U1007" t="str">
        <f>IFERROR(HYPERLINK("#'Main'!B"&amp;MATCH(TRIM(A1007),Main!B:B,0),"Open"),HYPERLINK("#'Main'!B1","Open"))</f>
        <v>Open</v>
      </c>
    </row>
    <row r="1008" spans="1:22" ht="30" customHeight="1" x14ac:dyDescent="0.25">
      <c r="A1008" s="50" t="s">
        <v>214</v>
      </c>
      <c r="B1008" s="33" t="s">
        <v>614</v>
      </c>
      <c r="C1008" s="37" t="s">
        <v>1246</v>
      </c>
      <c r="D1008" s="33"/>
      <c r="E1008" s="52">
        <v>200</v>
      </c>
      <c r="F1008" s="33" t="b">
        <v>1</v>
      </c>
      <c r="G1008" s="33">
        <v>0</v>
      </c>
      <c r="H1008" s="52">
        <v>0</v>
      </c>
      <c r="I1008" s="33">
        <v>0</v>
      </c>
      <c r="J1008" s="33">
        <v>0</v>
      </c>
      <c r="K1008" s="33">
        <v>0</v>
      </c>
      <c r="L1008" s="40" t="b">
        <v>0</v>
      </c>
      <c r="M1008" s="33">
        <v>0</v>
      </c>
      <c r="N1008" s="33">
        <v>0</v>
      </c>
      <c r="O1008" s="52">
        <v>0</v>
      </c>
      <c r="P1008" s="33">
        <v>0</v>
      </c>
      <c r="Q1008" s="33">
        <v>0</v>
      </c>
      <c r="R1008" s="33"/>
      <c r="S1008" s="33"/>
      <c r="T1008" s="33" t="s">
        <v>616</v>
      </c>
      <c r="U1008" s="41" t="str">
        <f>IFERROR(HYPERLINK("#'Main'!B"&amp;MATCH(TRIM(A1008),Main!B:B,0),"Open"),HYPERLINK("#'Main'!B1","Open"))</f>
        <v>Open</v>
      </c>
      <c r="V1008" s="41"/>
    </row>
    <row r="1009" spans="1:22" ht="30" customHeight="1" x14ac:dyDescent="0.25">
      <c r="A1009" s="51" t="s">
        <v>214</v>
      </c>
      <c r="B1009" s="42" t="s">
        <v>614</v>
      </c>
      <c r="C1009" s="44" t="s">
        <v>1247</v>
      </c>
      <c r="D1009" s="42"/>
      <c r="E1009" s="52">
        <v>200</v>
      </c>
      <c r="F1009" s="42" t="b">
        <v>1</v>
      </c>
      <c r="G1009" s="42">
        <v>0</v>
      </c>
      <c r="H1009" s="52">
        <v>0</v>
      </c>
      <c r="I1009" s="42">
        <v>0</v>
      </c>
      <c r="J1009" s="42">
        <v>0</v>
      </c>
      <c r="K1009" s="42">
        <v>0</v>
      </c>
      <c r="L1009" s="46" t="b">
        <v>0</v>
      </c>
      <c r="M1009" s="42">
        <v>0</v>
      </c>
      <c r="N1009" s="42">
        <v>0</v>
      </c>
      <c r="O1009" s="52">
        <v>0</v>
      </c>
      <c r="P1009" s="42">
        <v>0</v>
      </c>
      <c r="Q1009" s="42">
        <v>0</v>
      </c>
      <c r="R1009" s="42"/>
      <c r="S1009" s="42"/>
      <c r="T1009" s="42" t="s">
        <v>616</v>
      </c>
      <c r="U1009" t="str">
        <f>IFERROR(HYPERLINK("#'Main'!B"&amp;MATCH(TRIM(A1009),Main!B:B,0),"Open"),HYPERLINK("#'Main'!B1","Open"))</f>
        <v>Open</v>
      </c>
    </row>
    <row r="1010" spans="1:22" ht="30" customHeight="1" x14ac:dyDescent="0.25">
      <c r="A1010" s="50" t="s">
        <v>214</v>
      </c>
      <c r="B1010" s="33" t="s">
        <v>614</v>
      </c>
      <c r="C1010" s="37" t="s">
        <v>1248</v>
      </c>
      <c r="D1010" s="33"/>
      <c r="E1010" s="52">
        <v>200</v>
      </c>
      <c r="F1010" s="33" t="b">
        <v>1</v>
      </c>
      <c r="G1010" s="33">
        <v>0</v>
      </c>
      <c r="H1010" s="52">
        <v>0</v>
      </c>
      <c r="I1010" s="33">
        <v>0</v>
      </c>
      <c r="J1010" s="33">
        <v>0</v>
      </c>
      <c r="K1010" s="33">
        <v>0</v>
      </c>
      <c r="L1010" s="40" t="b">
        <v>0</v>
      </c>
      <c r="M1010" s="33">
        <v>0</v>
      </c>
      <c r="N1010" s="33">
        <v>0</v>
      </c>
      <c r="O1010" s="52">
        <v>0</v>
      </c>
      <c r="P1010" s="33">
        <v>0</v>
      </c>
      <c r="Q1010" s="33">
        <v>0</v>
      </c>
      <c r="R1010" s="33"/>
      <c r="S1010" s="33"/>
      <c r="T1010" s="33" t="s">
        <v>616</v>
      </c>
      <c r="U1010" s="41" t="str">
        <f>IFERROR(HYPERLINK("#'Main'!B"&amp;MATCH(TRIM(A1010),Main!B:B,0),"Open"),HYPERLINK("#'Main'!B1","Open"))</f>
        <v>Open</v>
      </c>
      <c r="V1010" s="41"/>
    </row>
    <row r="1011" spans="1:22" ht="30" customHeight="1" x14ac:dyDescent="0.25">
      <c r="A1011" s="51" t="s">
        <v>214</v>
      </c>
      <c r="B1011" s="42" t="s">
        <v>614</v>
      </c>
      <c r="C1011" s="44" t="s">
        <v>1249</v>
      </c>
      <c r="D1011" s="42"/>
      <c r="E1011" s="52">
        <v>200</v>
      </c>
      <c r="F1011" s="42" t="b">
        <v>1</v>
      </c>
      <c r="G1011" s="42">
        <v>0</v>
      </c>
      <c r="H1011" s="52">
        <v>0</v>
      </c>
      <c r="I1011" s="42">
        <v>0</v>
      </c>
      <c r="J1011" s="42">
        <v>0</v>
      </c>
      <c r="K1011" s="42">
        <v>0</v>
      </c>
      <c r="L1011" s="46" t="b">
        <v>0</v>
      </c>
      <c r="M1011" s="42">
        <v>0</v>
      </c>
      <c r="N1011" s="42">
        <v>0</v>
      </c>
      <c r="O1011" s="52">
        <v>0</v>
      </c>
      <c r="P1011" s="42">
        <v>0</v>
      </c>
      <c r="Q1011" s="42">
        <v>0</v>
      </c>
      <c r="R1011" s="42"/>
      <c r="S1011" s="42"/>
      <c r="T1011" s="42" t="s">
        <v>616</v>
      </c>
      <c r="U1011" t="str">
        <f>IFERROR(HYPERLINK("#'Main'!B"&amp;MATCH(TRIM(A1011),Main!B:B,0),"Open"),HYPERLINK("#'Main'!B1","Open"))</f>
        <v>Open</v>
      </c>
    </row>
    <row r="1012" spans="1:22" ht="30" customHeight="1" x14ac:dyDescent="0.25">
      <c r="A1012" s="50" t="s">
        <v>214</v>
      </c>
      <c r="B1012" s="33" t="s">
        <v>614</v>
      </c>
      <c r="C1012" s="37" t="s">
        <v>752</v>
      </c>
      <c r="D1012" s="33"/>
      <c r="E1012" s="52">
        <v>200</v>
      </c>
      <c r="F1012" s="33" t="b">
        <v>1</v>
      </c>
      <c r="G1012" s="33">
        <v>0</v>
      </c>
      <c r="H1012" s="52">
        <v>0</v>
      </c>
      <c r="I1012" s="33">
        <v>0</v>
      </c>
      <c r="J1012" s="33">
        <v>0</v>
      </c>
      <c r="K1012" s="33">
        <v>0</v>
      </c>
      <c r="L1012" s="40" t="b">
        <v>0</v>
      </c>
      <c r="M1012" s="33">
        <v>0</v>
      </c>
      <c r="N1012" s="33">
        <v>0</v>
      </c>
      <c r="O1012" s="52">
        <v>0</v>
      </c>
      <c r="P1012" s="33">
        <v>0</v>
      </c>
      <c r="Q1012" s="33">
        <v>0</v>
      </c>
      <c r="R1012" s="33"/>
      <c r="S1012" s="33"/>
      <c r="T1012" s="33" t="s">
        <v>616</v>
      </c>
      <c r="U1012" s="41" t="str">
        <f>IFERROR(HYPERLINK("#'Main'!B"&amp;MATCH(TRIM(A1012),Main!B:B,0),"Open"),HYPERLINK("#'Main'!B1","Open"))</f>
        <v>Open</v>
      </c>
      <c r="V1012" s="41"/>
    </row>
    <row r="1013" spans="1:22" ht="30" customHeight="1" x14ac:dyDescent="0.25">
      <c r="A1013" s="51" t="s">
        <v>214</v>
      </c>
      <c r="B1013" s="42" t="s">
        <v>614</v>
      </c>
      <c r="C1013" s="44" t="s">
        <v>1250</v>
      </c>
      <c r="D1013" s="42"/>
      <c r="E1013" s="52">
        <v>200</v>
      </c>
      <c r="F1013" s="42" t="b">
        <v>1</v>
      </c>
      <c r="G1013" s="42">
        <v>0</v>
      </c>
      <c r="H1013" s="52">
        <v>0</v>
      </c>
      <c r="I1013" s="42">
        <v>0</v>
      </c>
      <c r="J1013" s="42">
        <v>0</v>
      </c>
      <c r="K1013" s="42">
        <v>0</v>
      </c>
      <c r="L1013" s="46" t="b">
        <v>0</v>
      </c>
      <c r="M1013" s="42">
        <v>0</v>
      </c>
      <c r="N1013" s="42">
        <v>0</v>
      </c>
      <c r="O1013" s="52">
        <v>0</v>
      </c>
      <c r="P1013" s="42">
        <v>0</v>
      </c>
      <c r="Q1013" s="42">
        <v>0</v>
      </c>
      <c r="R1013" s="42"/>
      <c r="S1013" s="42"/>
      <c r="T1013" s="42" t="s">
        <v>616</v>
      </c>
      <c r="U1013" t="str">
        <f>IFERROR(HYPERLINK("#'Main'!B"&amp;MATCH(TRIM(A1013),Main!B:B,0),"Open"),HYPERLINK("#'Main'!B1","Open"))</f>
        <v>Open</v>
      </c>
    </row>
    <row r="1014" spans="1:22" ht="30" customHeight="1" x14ac:dyDescent="0.25">
      <c r="A1014" s="50" t="s">
        <v>214</v>
      </c>
      <c r="B1014" s="33" t="s">
        <v>614</v>
      </c>
      <c r="C1014" s="37" t="s">
        <v>1251</v>
      </c>
      <c r="D1014" s="33"/>
      <c r="E1014" s="52">
        <v>200</v>
      </c>
      <c r="F1014" s="33" t="b">
        <v>1</v>
      </c>
      <c r="G1014" s="33">
        <v>0</v>
      </c>
      <c r="H1014" s="52">
        <v>0</v>
      </c>
      <c r="I1014" s="33">
        <v>0</v>
      </c>
      <c r="J1014" s="33">
        <v>0</v>
      </c>
      <c r="K1014" s="33">
        <v>0</v>
      </c>
      <c r="L1014" s="40" t="b">
        <v>0</v>
      </c>
      <c r="M1014" s="33">
        <v>0</v>
      </c>
      <c r="N1014" s="33">
        <v>0</v>
      </c>
      <c r="O1014" s="52">
        <v>0</v>
      </c>
      <c r="P1014" s="33">
        <v>0</v>
      </c>
      <c r="Q1014" s="33">
        <v>0</v>
      </c>
      <c r="R1014" s="33"/>
      <c r="S1014" s="33"/>
      <c r="T1014" s="33" t="s">
        <v>616</v>
      </c>
      <c r="U1014" s="41" t="str">
        <f>IFERROR(HYPERLINK("#'Main'!B"&amp;MATCH(TRIM(A1014),Main!B:B,0),"Open"),HYPERLINK("#'Main'!B1","Open"))</f>
        <v>Open</v>
      </c>
      <c r="V1014" s="41"/>
    </row>
    <row r="1015" spans="1:22" ht="30" customHeight="1" x14ac:dyDescent="0.25">
      <c r="A1015" s="51" t="s">
        <v>214</v>
      </c>
      <c r="B1015" s="42" t="s">
        <v>614</v>
      </c>
      <c r="C1015" s="44" t="s">
        <v>1252</v>
      </c>
      <c r="D1015" s="42"/>
      <c r="E1015" s="52">
        <v>200</v>
      </c>
      <c r="F1015" s="42" t="b">
        <v>1</v>
      </c>
      <c r="G1015" s="42">
        <v>0</v>
      </c>
      <c r="H1015" s="52">
        <v>0</v>
      </c>
      <c r="I1015" s="42">
        <v>0</v>
      </c>
      <c r="J1015" s="42">
        <v>0</v>
      </c>
      <c r="K1015" s="42">
        <v>0</v>
      </c>
      <c r="L1015" s="46" t="b">
        <v>0</v>
      </c>
      <c r="M1015" s="42">
        <v>0</v>
      </c>
      <c r="N1015" s="42">
        <v>0</v>
      </c>
      <c r="O1015" s="52">
        <v>0</v>
      </c>
      <c r="P1015" s="42">
        <v>0</v>
      </c>
      <c r="Q1015" s="42">
        <v>0</v>
      </c>
      <c r="R1015" s="42"/>
      <c r="S1015" s="42"/>
      <c r="T1015" s="42" t="s">
        <v>616</v>
      </c>
      <c r="U1015" t="str">
        <f>IFERROR(HYPERLINK("#'Main'!B"&amp;MATCH(TRIM(A1015),Main!B:B,0),"Open"),HYPERLINK("#'Main'!B1","Open"))</f>
        <v>Open</v>
      </c>
    </row>
    <row r="1016" spans="1:22" ht="30" customHeight="1" x14ac:dyDescent="0.25">
      <c r="A1016" s="50" t="s">
        <v>214</v>
      </c>
      <c r="B1016" s="33" t="s">
        <v>614</v>
      </c>
      <c r="C1016" s="37" t="s">
        <v>1253</v>
      </c>
      <c r="D1016" s="33"/>
      <c r="E1016" s="52">
        <v>200</v>
      </c>
      <c r="F1016" s="33" t="b">
        <v>1</v>
      </c>
      <c r="G1016" s="33">
        <v>0</v>
      </c>
      <c r="H1016" s="52">
        <v>0</v>
      </c>
      <c r="I1016" s="33">
        <v>0</v>
      </c>
      <c r="J1016" s="33">
        <v>0</v>
      </c>
      <c r="K1016" s="33">
        <v>0</v>
      </c>
      <c r="L1016" s="40" t="b">
        <v>0</v>
      </c>
      <c r="M1016" s="33">
        <v>0</v>
      </c>
      <c r="N1016" s="33">
        <v>0</v>
      </c>
      <c r="O1016" s="52">
        <v>0</v>
      </c>
      <c r="P1016" s="33">
        <v>0</v>
      </c>
      <c r="Q1016" s="33">
        <v>0</v>
      </c>
      <c r="R1016" s="33"/>
      <c r="S1016" s="33"/>
      <c r="T1016" s="33" t="s">
        <v>616</v>
      </c>
      <c r="U1016" s="41" t="str">
        <f>IFERROR(HYPERLINK("#'Main'!B"&amp;MATCH(TRIM(A1016),Main!B:B,0),"Open"),HYPERLINK("#'Main'!B1","Open"))</f>
        <v>Open</v>
      </c>
      <c r="V1016" s="41"/>
    </row>
    <row r="1017" spans="1:22" ht="30" customHeight="1" x14ac:dyDescent="0.25">
      <c r="A1017" s="51" t="s">
        <v>214</v>
      </c>
      <c r="B1017" s="42" t="s">
        <v>614</v>
      </c>
      <c r="C1017" s="44" t="s">
        <v>1254</v>
      </c>
      <c r="D1017" s="42"/>
      <c r="E1017" s="52">
        <v>200</v>
      </c>
      <c r="F1017" s="42" t="b">
        <v>1</v>
      </c>
      <c r="G1017" s="42">
        <v>0</v>
      </c>
      <c r="H1017" s="52">
        <v>0</v>
      </c>
      <c r="I1017" s="42">
        <v>0</v>
      </c>
      <c r="J1017" s="42">
        <v>0</v>
      </c>
      <c r="K1017" s="42">
        <v>0</v>
      </c>
      <c r="L1017" s="46" t="b">
        <v>0</v>
      </c>
      <c r="M1017" s="42">
        <v>0</v>
      </c>
      <c r="N1017" s="42">
        <v>0</v>
      </c>
      <c r="O1017" s="52">
        <v>0</v>
      </c>
      <c r="P1017" s="42">
        <v>0</v>
      </c>
      <c r="Q1017" s="42">
        <v>0</v>
      </c>
      <c r="R1017" s="42"/>
      <c r="S1017" s="42"/>
      <c r="T1017" s="42" t="s">
        <v>616</v>
      </c>
      <c r="U1017" t="str">
        <f>IFERROR(HYPERLINK("#'Main'!B"&amp;MATCH(TRIM(A1017),Main!B:B,0),"Open"),HYPERLINK("#'Main'!B1","Open"))</f>
        <v>Open</v>
      </c>
    </row>
    <row r="1018" spans="1:22" ht="30" customHeight="1" x14ac:dyDescent="0.25">
      <c r="A1018" s="50" t="s">
        <v>214</v>
      </c>
      <c r="B1018" s="33" t="s">
        <v>614</v>
      </c>
      <c r="C1018" s="37" t="s">
        <v>1255</v>
      </c>
      <c r="D1018" s="33"/>
      <c r="E1018" s="52">
        <v>200</v>
      </c>
      <c r="F1018" s="33" t="b">
        <v>1</v>
      </c>
      <c r="G1018" s="33">
        <v>0</v>
      </c>
      <c r="H1018" s="52">
        <v>0</v>
      </c>
      <c r="I1018" s="33">
        <v>0</v>
      </c>
      <c r="J1018" s="33">
        <v>0</v>
      </c>
      <c r="K1018" s="33">
        <v>0</v>
      </c>
      <c r="L1018" s="40" t="b">
        <v>0</v>
      </c>
      <c r="M1018" s="33">
        <v>0</v>
      </c>
      <c r="N1018" s="33">
        <v>0</v>
      </c>
      <c r="O1018" s="52">
        <v>0</v>
      </c>
      <c r="P1018" s="33">
        <v>0</v>
      </c>
      <c r="Q1018" s="33">
        <v>0</v>
      </c>
      <c r="R1018" s="33"/>
      <c r="S1018" s="33"/>
      <c r="T1018" s="33" t="s">
        <v>616</v>
      </c>
      <c r="U1018" s="41" t="str">
        <f>IFERROR(HYPERLINK("#'Main'!B"&amp;MATCH(TRIM(A1018),Main!B:B,0),"Open"),HYPERLINK("#'Main'!B1","Open"))</f>
        <v>Open</v>
      </c>
      <c r="V1018" s="41"/>
    </row>
    <row r="1019" spans="1:22" ht="30" customHeight="1" x14ac:dyDescent="0.25">
      <c r="A1019" s="51" t="s">
        <v>214</v>
      </c>
      <c r="B1019" s="42" t="s">
        <v>614</v>
      </c>
      <c r="C1019" s="44" t="s">
        <v>1256</v>
      </c>
      <c r="D1019" s="42"/>
      <c r="E1019" s="52">
        <v>200</v>
      </c>
      <c r="F1019" s="42" t="b">
        <v>1</v>
      </c>
      <c r="G1019" s="42">
        <v>0</v>
      </c>
      <c r="H1019" s="52">
        <v>0</v>
      </c>
      <c r="I1019" s="42">
        <v>0</v>
      </c>
      <c r="J1019" s="42">
        <v>0</v>
      </c>
      <c r="K1019" s="42">
        <v>0</v>
      </c>
      <c r="L1019" s="46" t="b">
        <v>0</v>
      </c>
      <c r="M1019" s="42">
        <v>0</v>
      </c>
      <c r="N1019" s="42">
        <v>0</v>
      </c>
      <c r="O1019" s="52">
        <v>0</v>
      </c>
      <c r="P1019" s="42">
        <v>0</v>
      </c>
      <c r="Q1019" s="42">
        <v>0</v>
      </c>
      <c r="R1019" s="42"/>
      <c r="S1019" s="42"/>
      <c r="T1019" s="42" t="s">
        <v>616</v>
      </c>
      <c r="U1019" t="str">
        <f>IFERROR(HYPERLINK("#'Main'!B"&amp;MATCH(TRIM(A1019),Main!B:B,0),"Open"),HYPERLINK("#'Main'!B1","Open"))</f>
        <v>Open</v>
      </c>
    </row>
    <row r="1020" spans="1:22" ht="30" customHeight="1" x14ac:dyDescent="0.25">
      <c r="A1020" s="50" t="s">
        <v>214</v>
      </c>
      <c r="B1020" s="33" t="s">
        <v>614</v>
      </c>
      <c r="C1020" s="37" t="s">
        <v>1257</v>
      </c>
      <c r="D1020" s="33"/>
      <c r="E1020" s="52">
        <v>200</v>
      </c>
      <c r="F1020" s="33" t="b">
        <v>1</v>
      </c>
      <c r="G1020" s="33">
        <v>0</v>
      </c>
      <c r="H1020" s="52">
        <v>0</v>
      </c>
      <c r="I1020" s="33">
        <v>0</v>
      </c>
      <c r="J1020" s="33">
        <v>0</v>
      </c>
      <c r="K1020" s="33">
        <v>0</v>
      </c>
      <c r="L1020" s="40" t="b">
        <v>0</v>
      </c>
      <c r="M1020" s="33">
        <v>0</v>
      </c>
      <c r="N1020" s="33">
        <v>0</v>
      </c>
      <c r="O1020" s="52">
        <v>0</v>
      </c>
      <c r="P1020" s="33">
        <v>0</v>
      </c>
      <c r="Q1020" s="33">
        <v>0</v>
      </c>
      <c r="R1020" s="33"/>
      <c r="S1020" s="33"/>
      <c r="T1020" s="33" t="s">
        <v>616</v>
      </c>
      <c r="U1020" s="41" t="str">
        <f>IFERROR(HYPERLINK("#'Main'!B"&amp;MATCH(TRIM(A1020),Main!B:B,0),"Open"),HYPERLINK("#'Main'!B1","Open"))</f>
        <v>Open</v>
      </c>
      <c r="V1020" s="41"/>
    </row>
    <row r="1021" spans="1:22" ht="30" customHeight="1" x14ac:dyDescent="0.25">
      <c r="A1021" s="51" t="s">
        <v>214</v>
      </c>
      <c r="B1021" s="42" t="s">
        <v>614</v>
      </c>
      <c r="C1021" s="44" t="s">
        <v>1258</v>
      </c>
      <c r="D1021" s="42"/>
      <c r="E1021" s="52">
        <v>200</v>
      </c>
      <c r="F1021" s="42" t="b">
        <v>1</v>
      </c>
      <c r="G1021" s="42">
        <v>0</v>
      </c>
      <c r="H1021" s="52">
        <v>0</v>
      </c>
      <c r="I1021" s="42">
        <v>0</v>
      </c>
      <c r="J1021" s="42">
        <v>0</v>
      </c>
      <c r="K1021" s="42">
        <v>0</v>
      </c>
      <c r="L1021" s="46" t="b">
        <v>0</v>
      </c>
      <c r="M1021" s="42">
        <v>0</v>
      </c>
      <c r="N1021" s="42">
        <v>0</v>
      </c>
      <c r="O1021" s="52">
        <v>0</v>
      </c>
      <c r="P1021" s="42">
        <v>0</v>
      </c>
      <c r="Q1021" s="42">
        <v>0</v>
      </c>
      <c r="R1021" s="42"/>
      <c r="S1021" s="42"/>
      <c r="T1021" s="42" t="s">
        <v>616</v>
      </c>
      <c r="U1021" t="str">
        <f>IFERROR(HYPERLINK("#'Main'!B"&amp;MATCH(TRIM(A1021),Main!B:B,0),"Open"),HYPERLINK("#'Main'!B1","Open"))</f>
        <v>Open</v>
      </c>
    </row>
    <row r="1022" spans="1:22" ht="30" customHeight="1" x14ac:dyDescent="0.25">
      <c r="A1022" s="50" t="s">
        <v>214</v>
      </c>
      <c r="B1022" s="33" t="s">
        <v>614</v>
      </c>
      <c r="C1022" s="37" t="s">
        <v>1259</v>
      </c>
      <c r="D1022" s="33"/>
      <c r="E1022" s="52">
        <v>200</v>
      </c>
      <c r="F1022" s="33" t="b">
        <v>1</v>
      </c>
      <c r="G1022" s="33">
        <v>0</v>
      </c>
      <c r="H1022" s="52">
        <v>0</v>
      </c>
      <c r="I1022" s="33">
        <v>0</v>
      </c>
      <c r="J1022" s="33">
        <v>0</v>
      </c>
      <c r="K1022" s="33">
        <v>0</v>
      </c>
      <c r="L1022" s="40" t="b">
        <v>0</v>
      </c>
      <c r="M1022" s="33">
        <v>0</v>
      </c>
      <c r="N1022" s="33">
        <v>0</v>
      </c>
      <c r="O1022" s="52">
        <v>0</v>
      </c>
      <c r="P1022" s="33">
        <v>0</v>
      </c>
      <c r="Q1022" s="33">
        <v>0</v>
      </c>
      <c r="R1022" s="33"/>
      <c r="S1022" s="33"/>
      <c r="T1022" s="33" t="s">
        <v>616</v>
      </c>
      <c r="U1022" s="41" t="str">
        <f>IFERROR(HYPERLINK("#'Main'!B"&amp;MATCH(TRIM(A1022),Main!B:B,0),"Open"),HYPERLINK("#'Main'!B1","Open"))</f>
        <v>Open</v>
      </c>
      <c r="V1022" s="41"/>
    </row>
    <row r="1023" spans="1:22" ht="30" customHeight="1" x14ac:dyDescent="0.25">
      <c r="A1023" s="51" t="s">
        <v>214</v>
      </c>
      <c r="B1023" s="42" t="s">
        <v>614</v>
      </c>
      <c r="C1023" s="44" t="s">
        <v>1260</v>
      </c>
      <c r="D1023" s="42"/>
      <c r="E1023" s="52">
        <v>200</v>
      </c>
      <c r="F1023" s="42" t="b">
        <v>1</v>
      </c>
      <c r="G1023" s="42">
        <v>0</v>
      </c>
      <c r="H1023" s="52">
        <v>0</v>
      </c>
      <c r="I1023" s="42">
        <v>0</v>
      </c>
      <c r="J1023" s="42">
        <v>0</v>
      </c>
      <c r="K1023" s="42">
        <v>0</v>
      </c>
      <c r="L1023" s="46" t="b">
        <v>0</v>
      </c>
      <c r="M1023" s="42">
        <v>0</v>
      </c>
      <c r="N1023" s="42">
        <v>0</v>
      </c>
      <c r="O1023" s="52">
        <v>0</v>
      </c>
      <c r="P1023" s="42">
        <v>0</v>
      </c>
      <c r="Q1023" s="42">
        <v>0</v>
      </c>
      <c r="R1023" s="42"/>
      <c r="S1023" s="42"/>
      <c r="T1023" s="42" t="s">
        <v>616</v>
      </c>
      <c r="U1023" t="str">
        <f>IFERROR(HYPERLINK("#'Main'!B"&amp;MATCH(TRIM(A1023),Main!B:B,0),"Open"),HYPERLINK("#'Main'!B1","Open"))</f>
        <v>Open</v>
      </c>
    </row>
    <row r="1024" spans="1:22" ht="30" customHeight="1" x14ac:dyDescent="0.25">
      <c r="A1024" s="50" t="s">
        <v>214</v>
      </c>
      <c r="B1024" s="33" t="s">
        <v>614</v>
      </c>
      <c r="C1024" s="37" t="s">
        <v>1261</v>
      </c>
      <c r="D1024" s="33"/>
      <c r="E1024" s="52">
        <v>200</v>
      </c>
      <c r="F1024" s="33" t="b">
        <v>1</v>
      </c>
      <c r="G1024" s="33">
        <v>0</v>
      </c>
      <c r="H1024" s="52">
        <v>0</v>
      </c>
      <c r="I1024" s="33">
        <v>0</v>
      </c>
      <c r="J1024" s="33">
        <v>0</v>
      </c>
      <c r="K1024" s="33">
        <v>0</v>
      </c>
      <c r="L1024" s="40" t="b">
        <v>0</v>
      </c>
      <c r="M1024" s="33">
        <v>0</v>
      </c>
      <c r="N1024" s="33">
        <v>0</v>
      </c>
      <c r="O1024" s="52">
        <v>0</v>
      </c>
      <c r="P1024" s="33">
        <v>0</v>
      </c>
      <c r="Q1024" s="33">
        <v>0</v>
      </c>
      <c r="R1024" s="33"/>
      <c r="S1024" s="33"/>
      <c r="T1024" s="33" t="s">
        <v>616</v>
      </c>
      <c r="U1024" s="41" t="str">
        <f>IFERROR(HYPERLINK("#'Main'!B"&amp;MATCH(TRIM(A1024),Main!B:B,0),"Open"),HYPERLINK("#'Main'!B1","Open"))</f>
        <v>Open</v>
      </c>
      <c r="V1024" s="41"/>
    </row>
    <row r="1025" spans="1:22" ht="30" customHeight="1" x14ac:dyDescent="0.25">
      <c r="A1025" s="51" t="s">
        <v>214</v>
      </c>
      <c r="B1025" s="42" t="s">
        <v>614</v>
      </c>
      <c r="C1025" s="44" t="s">
        <v>1262</v>
      </c>
      <c r="D1025" s="42"/>
      <c r="E1025" s="52">
        <v>200</v>
      </c>
      <c r="F1025" s="42" t="b">
        <v>1</v>
      </c>
      <c r="G1025" s="42">
        <v>0</v>
      </c>
      <c r="H1025" s="52">
        <v>0</v>
      </c>
      <c r="I1025" s="42">
        <v>0</v>
      </c>
      <c r="J1025" s="42">
        <v>0</v>
      </c>
      <c r="K1025" s="42">
        <v>0</v>
      </c>
      <c r="L1025" s="46" t="b">
        <v>0</v>
      </c>
      <c r="M1025" s="42">
        <v>0</v>
      </c>
      <c r="N1025" s="42">
        <v>0</v>
      </c>
      <c r="O1025" s="52">
        <v>0</v>
      </c>
      <c r="P1025" s="42">
        <v>0</v>
      </c>
      <c r="Q1025" s="42">
        <v>0</v>
      </c>
      <c r="R1025" s="42"/>
      <c r="S1025" s="42"/>
      <c r="T1025" s="42" t="s">
        <v>616</v>
      </c>
      <c r="U1025" t="str">
        <f>IFERROR(HYPERLINK("#'Main'!B"&amp;MATCH(TRIM(A1025),Main!B:B,0),"Open"),HYPERLINK("#'Main'!B1","Open"))</f>
        <v>Open</v>
      </c>
    </row>
    <row r="1026" spans="1:22" ht="30" customHeight="1" x14ac:dyDescent="0.25">
      <c r="A1026" s="50" t="s">
        <v>214</v>
      </c>
      <c r="B1026" s="33" t="s">
        <v>614</v>
      </c>
      <c r="C1026" s="37" t="s">
        <v>751</v>
      </c>
      <c r="D1026" s="33"/>
      <c r="E1026" s="52">
        <v>200</v>
      </c>
      <c r="F1026" s="33" t="b">
        <v>1</v>
      </c>
      <c r="G1026" s="33">
        <v>0</v>
      </c>
      <c r="H1026" s="52">
        <v>0</v>
      </c>
      <c r="I1026" s="33">
        <v>0</v>
      </c>
      <c r="J1026" s="33">
        <v>0</v>
      </c>
      <c r="K1026" s="33">
        <v>0</v>
      </c>
      <c r="L1026" s="40" t="b">
        <v>0</v>
      </c>
      <c r="M1026" s="33">
        <v>0</v>
      </c>
      <c r="N1026" s="33">
        <v>0</v>
      </c>
      <c r="O1026" s="52">
        <v>0</v>
      </c>
      <c r="P1026" s="33">
        <v>0</v>
      </c>
      <c r="Q1026" s="33">
        <v>0</v>
      </c>
      <c r="R1026" s="33"/>
      <c r="S1026" s="33"/>
      <c r="T1026" s="33" t="s">
        <v>616</v>
      </c>
      <c r="U1026" s="41" t="str">
        <f>IFERROR(HYPERLINK("#'Main'!B"&amp;MATCH(TRIM(A1026),Main!B:B,0),"Open"),HYPERLINK("#'Main'!B1","Open"))</f>
        <v>Open</v>
      </c>
      <c r="V1026" s="41"/>
    </row>
    <row r="1027" spans="1:22" ht="30" customHeight="1" x14ac:dyDescent="0.25">
      <c r="A1027" s="51" t="s">
        <v>214</v>
      </c>
      <c r="B1027" s="42" t="s">
        <v>614</v>
      </c>
      <c r="C1027" s="44" t="s">
        <v>1263</v>
      </c>
      <c r="D1027" s="42"/>
      <c r="E1027" s="52">
        <v>200</v>
      </c>
      <c r="F1027" s="42" t="b">
        <v>1</v>
      </c>
      <c r="G1027" s="42">
        <v>0</v>
      </c>
      <c r="H1027" s="52">
        <v>0</v>
      </c>
      <c r="I1027" s="42">
        <v>0</v>
      </c>
      <c r="J1027" s="42">
        <v>0</v>
      </c>
      <c r="K1027" s="42">
        <v>0</v>
      </c>
      <c r="L1027" s="46" t="b">
        <v>0</v>
      </c>
      <c r="M1027" s="42">
        <v>0</v>
      </c>
      <c r="N1027" s="42">
        <v>0</v>
      </c>
      <c r="O1027" s="52">
        <v>0</v>
      </c>
      <c r="P1027" s="42">
        <v>0</v>
      </c>
      <c r="Q1027" s="42">
        <v>0</v>
      </c>
      <c r="R1027" s="42"/>
      <c r="S1027" s="42"/>
      <c r="T1027" s="42" t="s">
        <v>616</v>
      </c>
      <c r="U1027" t="str">
        <f>IFERROR(HYPERLINK("#'Main'!B"&amp;MATCH(TRIM(A1027),Main!B:B,0),"Open"),HYPERLINK("#'Main'!B1","Open"))</f>
        <v>Open</v>
      </c>
    </row>
    <row r="1028" spans="1:22" ht="30" customHeight="1" x14ac:dyDescent="0.25">
      <c r="A1028" s="50" t="s">
        <v>214</v>
      </c>
      <c r="B1028" s="33" t="s">
        <v>614</v>
      </c>
      <c r="C1028" s="37" t="s">
        <v>1264</v>
      </c>
      <c r="D1028" s="33"/>
      <c r="E1028" s="52">
        <v>200</v>
      </c>
      <c r="F1028" s="33" t="b">
        <v>1</v>
      </c>
      <c r="G1028" s="33">
        <v>0</v>
      </c>
      <c r="H1028" s="52">
        <v>0</v>
      </c>
      <c r="I1028" s="33">
        <v>0</v>
      </c>
      <c r="J1028" s="33">
        <v>0</v>
      </c>
      <c r="K1028" s="33">
        <v>0</v>
      </c>
      <c r="L1028" s="40" t="b">
        <v>0</v>
      </c>
      <c r="M1028" s="33">
        <v>0</v>
      </c>
      <c r="N1028" s="33">
        <v>0</v>
      </c>
      <c r="O1028" s="52">
        <v>0</v>
      </c>
      <c r="P1028" s="33">
        <v>0</v>
      </c>
      <c r="Q1028" s="33">
        <v>0</v>
      </c>
      <c r="R1028" s="33"/>
      <c r="S1028" s="33"/>
      <c r="T1028" s="33" t="s">
        <v>616</v>
      </c>
      <c r="U1028" s="41" t="str">
        <f>IFERROR(HYPERLINK("#'Main'!B"&amp;MATCH(TRIM(A1028),Main!B:B,0),"Open"),HYPERLINK("#'Main'!B1","Open"))</f>
        <v>Open</v>
      </c>
      <c r="V1028" s="41"/>
    </row>
    <row r="1029" spans="1:22" ht="30" customHeight="1" x14ac:dyDescent="0.25">
      <c r="A1029" s="51" t="s">
        <v>214</v>
      </c>
      <c r="B1029" s="42" t="s">
        <v>614</v>
      </c>
      <c r="C1029" s="44" t="s">
        <v>1265</v>
      </c>
      <c r="D1029" s="42"/>
      <c r="E1029" s="52">
        <v>200</v>
      </c>
      <c r="F1029" s="42" t="b">
        <v>1</v>
      </c>
      <c r="G1029" s="42">
        <v>0</v>
      </c>
      <c r="H1029" s="52">
        <v>0</v>
      </c>
      <c r="I1029" s="42">
        <v>0</v>
      </c>
      <c r="J1029" s="42">
        <v>0</v>
      </c>
      <c r="K1029" s="42">
        <v>0</v>
      </c>
      <c r="L1029" s="46" t="b">
        <v>0</v>
      </c>
      <c r="M1029" s="42">
        <v>0</v>
      </c>
      <c r="N1029" s="42">
        <v>0</v>
      </c>
      <c r="O1029" s="52">
        <v>0</v>
      </c>
      <c r="P1029" s="42">
        <v>0</v>
      </c>
      <c r="Q1029" s="42">
        <v>0</v>
      </c>
      <c r="R1029" s="42"/>
      <c r="S1029" s="42"/>
      <c r="T1029" s="42" t="s">
        <v>616</v>
      </c>
      <c r="U1029" t="str">
        <f>IFERROR(HYPERLINK("#'Main'!B"&amp;MATCH(TRIM(A1029),Main!B:B,0),"Open"),HYPERLINK("#'Main'!B1","Open"))</f>
        <v>Open</v>
      </c>
    </row>
    <row r="1030" spans="1:22" ht="30" customHeight="1" x14ac:dyDescent="0.25">
      <c r="A1030" s="50" t="s">
        <v>214</v>
      </c>
      <c r="B1030" s="33" t="s">
        <v>614</v>
      </c>
      <c r="C1030" s="37" t="s">
        <v>1266</v>
      </c>
      <c r="D1030" s="33"/>
      <c r="E1030" s="52">
        <v>200</v>
      </c>
      <c r="F1030" s="33" t="b">
        <v>1</v>
      </c>
      <c r="G1030" s="33">
        <v>0</v>
      </c>
      <c r="H1030" s="52">
        <v>0</v>
      </c>
      <c r="I1030" s="33">
        <v>0</v>
      </c>
      <c r="J1030" s="33">
        <v>0</v>
      </c>
      <c r="K1030" s="33">
        <v>0</v>
      </c>
      <c r="L1030" s="40" t="b">
        <v>0</v>
      </c>
      <c r="M1030" s="33">
        <v>0</v>
      </c>
      <c r="N1030" s="33">
        <v>0</v>
      </c>
      <c r="O1030" s="52">
        <v>0</v>
      </c>
      <c r="P1030" s="33">
        <v>0</v>
      </c>
      <c r="Q1030" s="33">
        <v>0</v>
      </c>
      <c r="R1030" s="33"/>
      <c r="S1030" s="33"/>
      <c r="T1030" s="33" t="s">
        <v>616</v>
      </c>
      <c r="U1030" s="41" t="str">
        <f>IFERROR(HYPERLINK("#'Main'!B"&amp;MATCH(TRIM(A1030),Main!B:B,0),"Open"),HYPERLINK("#'Main'!B1","Open"))</f>
        <v>Open</v>
      </c>
      <c r="V1030" s="41"/>
    </row>
    <row r="1031" spans="1:22" ht="30" customHeight="1" x14ac:dyDescent="0.25">
      <c r="A1031" s="51" t="s">
        <v>214</v>
      </c>
      <c r="B1031" s="42" t="s">
        <v>614</v>
      </c>
      <c r="C1031" s="44" t="s">
        <v>1267</v>
      </c>
      <c r="D1031" s="42"/>
      <c r="E1031" s="52">
        <v>200</v>
      </c>
      <c r="F1031" s="42" t="b">
        <v>1</v>
      </c>
      <c r="G1031" s="42">
        <v>0</v>
      </c>
      <c r="H1031" s="52">
        <v>0</v>
      </c>
      <c r="I1031" s="42">
        <v>0</v>
      </c>
      <c r="J1031" s="42">
        <v>0</v>
      </c>
      <c r="K1031" s="42">
        <v>0</v>
      </c>
      <c r="L1031" s="46" t="b">
        <v>0</v>
      </c>
      <c r="M1031" s="42">
        <v>0</v>
      </c>
      <c r="N1031" s="42">
        <v>0</v>
      </c>
      <c r="O1031" s="52">
        <v>0</v>
      </c>
      <c r="P1031" s="42">
        <v>0</v>
      </c>
      <c r="Q1031" s="42">
        <v>0</v>
      </c>
      <c r="R1031" s="42"/>
      <c r="S1031" s="42"/>
      <c r="T1031" s="42" t="s">
        <v>616</v>
      </c>
      <c r="U1031" t="str">
        <f>IFERROR(HYPERLINK("#'Main'!B"&amp;MATCH(TRIM(A1031),Main!B:B,0),"Open"),HYPERLINK("#'Main'!B1","Open"))</f>
        <v>Open</v>
      </c>
    </row>
    <row r="1032" spans="1:22" ht="30" customHeight="1" x14ac:dyDescent="0.25">
      <c r="A1032" s="50" t="s">
        <v>214</v>
      </c>
      <c r="B1032" s="33" t="s">
        <v>614</v>
      </c>
      <c r="C1032" s="37" t="s">
        <v>1268</v>
      </c>
      <c r="D1032" s="33"/>
      <c r="E1032" s="52">
        <v>200</v>
      </c>
      <c r="F1032" s="33" t="b">
        <v>1</v>
      </c>
      <c r="G1032" s="33">
        <v>0</v>
      </c>
      <c r="H1032" s="52">
        <v>0</v>
      </c>
      <c r="I1032" s="33">
        <v>0</v>
      </c>
      <c r="J1032" s="33">
        <v>0</v>
      </c>
      <c r="K1032" s="33">
        <v>0</v>
      </c>
      <c r="L1032" s="40" t="b">
        <v>0</v>
      </c>
      <c r="M1032" s="33">
        <v>0</v>
      </c>
      <c r="N1032" s="33">
        <v>0</v>
      </c>
      <c r="O1032" s="52">
        <v>0</v>
      </c>
      <c r="P1032" s="33">
        <v>0</v>
      </c>
      <c r="Q1032" s="33">
        <v>0</v>
      </c>
      <c r="R1032" s="33"/>
      <c r="S1032" s="33"/>
      <c r="T1032" s="33" t="s">
        <v>616</v>
      </c>
      <c r="U1032" s="41" t="str">
        <f>IFERROR(HYPERLINK("#'Main'!B"&amp;MATCH(TRIM(A1032),Main!B:B,0),"Open"),HYPERLINK("#'Main'!B1","Open"))</f>
        <v>Open</v>
      </c>
      <c r="V1032" s="41"/>
    </row>
    <row r="1033" spans="1:22" ht="30" customHeight="1" x14ac:dyDescent="0.25">
      <c r="A1033" s="51" t="s">
        <v>214</v>
      </c>
      <c r="B1033" s="42" t="s">
        <v>614</v>
      </c>
      <c r="C1033" s="44" t="s">
        <v>1269</v>
      </c>
      <c r="D1033" s="42"/>
      <c r="E1033" s="52">
        <v>200</v>
      </c>
      <c r="F1033" s="42" t="b">
        <v>1</v>
      </c>
      <c r="G1033" s="42">
        <v>0</v>
      </c>
      <c r="H1033" s="52">
        <v>0</v>
      </c>
      <c r="I1033" s="42">
        <v>0</v>
      </c>
      <c r="J1033" s="42">
        <v>0</v>
      </c>
      <c r="K1033" s="42">
        <v>0</v>
      </c>
      <c r="L1033" s="46" t="b">
        <v>0</v>
      </c>
      <c r="M1033" s="42">
        <v>0</v>
      </c>
      <c r="N1033" s="42">
        <v>0</v>
      </c>
      <c r="O1033" s="52">
        <v>0</v>
      </c>
      <c r="P1033" s="42">
        <v>0</v>
      </c>
      <c r="Q1033" s="42">
        <v>0</v>
      </c>
      <c r="R1033" s="42"/>
      <c r="S1033" s="42"/>
      <c r="T1033" s="42" t="s">
        <v>616</v>
      </c>
      <c r="U1033" t="str">
        <f>IFERROR(HYPERLINK("#'Main'!B"&amp;MATCH(TRIM(A1033),Main!B:B,0),"Open"),HYPERLINK("#'Main'!B1","Open"))</f>
        <v>Open</v>
      </c>
    </row>
    <row r="1034" spans="1:22" ht="30" customHeight="1" x14ac:dyDescent="0.25">
      <c r="A1034" s="50" t="s">
        <v>214</v>
      </c>
      <c r="B1034" s="33" t="s">
        <v>614</v>
      </c>
      <c r="C1034" s="37" t="s">
        <v>1270</v>
      </c>
      <c r="D1034" s="33"/>
      <c r="E1034" s="52">
        <v>200</v>
      </c>
      <c r="F1034" s="33" t="b">
        <v>1</v>
      </c>
      <c r="G1034" s="33">
        <v>0</v>
      </c>
      <c r="H1034" s="52">
        <v>0</v>
      </c>
      <c r="I1034" s="33">
        <v>0</v>
      </c>
      <c r="J1034" s="33">
        <v>0</v>
      </c>
      <c r="K1034" s="33">
        <v>0</v>
      </c>
      <c r="L1034" s="40" t="b">
        <v>0</v>
      </c>
      <c r="M1034" s="33">
        <v>0</v>
      </c>
      <c r="N1034" s="33">
        <v>0</v>
      </c>
      <c r="O1034" s="52">
        <v>0</v>
      </c>
      <c r="P1034" s="33">
        <v>0</v>
      </c>
      <c r="Q1034" s="33">
        <v>0</v>
      </c>
      <c r="R1034" s="33"/>
      <c r="S1034" s="33"/>
      <c r="T1034" s="33" t="s">
        <v>616</v>
      </c>
      <c r="U1034" s="41" t="str">
        <f>IFERROR(HYPERLINK("#'Main'!B"&amp;MATCH(TRIM(A1034),Main!B:B,0),"Open"),HYPERLINK("#'Main'!B1","Open"))</f>
        <v>Open</v>
      </c>
      <c r="V1034" s="41"/>
    </row>
    <row r="1035" spans="1:22" ht="30" customHeight="1" x14ac:dyDescent="0.25">
      <c r="A1035" s="51" t="s">
        <v>214</v>
      </c>
      <c r="B1035" s="42" t="s">
        <v>614</v>
      </c>
      <c r="C1035" s="44" t="s">
        <v>1271</v>
      </c>
      <c r="D1035" s="42"/>
      <c r="E1035" s="52">
        <v>200</v>
      </c>
      <c r="F1035" s="42" t="b">
        <v>1</v>
      </c>
      <c r="G1035" s="42">
        <v>0</v>
      </c>
      <c r="H1035" s="52">
        <v>0</v>
      </c>
      <c r="I1035" s="42">
        <v>0</v>
      </c>
      <c r="J1035" s="42">
        <v>0</v>
      </c>
      <c r="K1035" s="42">
        <v>0</v>
      </c>
      <c r="L1035" s="46" t="b">
        <v>0</v>
      </c>
      <c r="M1035" s="42">
        <v>0</v>
      </c>
      <c r="N1035" s="42">
        <v>0</v>
      </c>
      <c r="O1035" s="52">
        <v>0</v>
      </c>
      <c r="P1035" s="42">
        <v>0</v>
      </c>
      <c r="Q1035" s="42">
        <v>0</v>
      </c>
      <c r="R1035" s="42"/>
      <c r="S1035" s="42"/>
      <c r="T1035" s="42" t="s">
        <v>616</v>
      </c>
      <c r="U1035" t="str">
        <f>IFERROR(HYPERLINK("#'Main'!B"&amp;MATCH(TRIM(A1035),Main!B:B,0),"Open"),HYPERLINK("#'Main'!B1","Open"))</f>
        <v>Open</v>
      </c>
    </row>
    <row r="1036" spans="1:22" ht="30" customHeight="1" x14ac:dyDescent="0.25">
      <c r="A1036" s="50" t="s">
        <v>214</v>
      </c>
      <c r="B1036" s="33" t="s">
        <v>614</v>
      </c>
      <c r="C1036" s="37" t="s">
        <v>1272</v>
      </c>
      <c r="D1036" s="33"/>
      <c r="E1036" s="52">
        <v>200</v>
      </c>
      <c r="F1036" s="33" t="b">
        <v>1</v>
      </c>
      <c r="G1036" s="33">
        <v>0</v>
      </c>
      <c r="H1036" s="52">
        <v>0</v>
      </c>
      <c r="I1036" s="33">
        <v>0</v>
      </c>
      <c r="J1036" s="33">
        <v>0</v>
      </c>
      <c r="K1036" s="33">
        <v>0</v>
      </c>
      <c r="L1036" s="40" t="b">
        <v>0</v>
      </c>
      <c r="M1036" s="33">
        <v>0</v>
      </c>
      <c r="N1036" s="33">
        <v>0</v>
      </c>
      <c r="O1036" s="52">
        <v>0</v>
      </c>
      <c r="P1036" s="33">
        <v>0</v>
      </c>
      <c r="Q1036" s="33">
        <v>0</v>
      </c>
      <c r="R1036" s="33"/>
      <c r="S1036" s="33"/>
      <c r="T1036" s="33" t="s">
        <v>616</v>
      </c>
      <c r="U1036" s="41" t="str">
        <f>IFERROR(HYPERLINK("#'Main'!B"&amp;MATCH(TRIM(A1036),Main!B:B,0),"Open"),HYPERLINK("#'Main'!B1","Open"))</f>
        <v>Open</v>
      </c>
      <c r="V1036" s="41"/>
    </row>
    <row r="1037" spans="1:22" ht="30" customHeight="1" x14ac:dyDescent="0.25">
      <c r="A1037" s="51" t="s">
        <v>214</v>
      </c>
      <c r="B1037" s="42" t="s">
        <v>614</v>
      </c>
      <c r="C1037" s="44" t="s">
        <v>1273</v>
      </c>
      <c r="D1037" s="42"/>
      <c r="E1037" s="52">
        <v>200</v>
      </c>
      <c r="F1037" s="42" t="b">
        <v>1</v>
      </c>
      <c r="G1037" s="42">
        <v>0</v>
      </c>
      <c r="H1037" s="52">
        <v>0</v>
      </c>
      <c r="I1037" s="42">
        <v>0</v>
      </c>
      <c r="J1037" s="42">
        <v>0</v>
      </c>
      <c r="K1037" s="42">
        <v>0</v>
      </c>
      <c r="L1037" s="46" t="b">
        <v>0</v>
      </c>
      <c r="M1037" s="42">
        <v>0</v>
      </c>
      <c r="N1037" s="42">
        <v>0</v>
      </c>
      <c r="O1037" s="52">
        <v>0</v>
      </c>
      <c r="P1037" s="42">
        <v>0</v>
      </c>
      <c r="Q1037" s="42">
        <v>0</v>
      </c>
      <c r="R1037" s="42"/>
      <c r="S1037" s="42"/>
      <c r="T1037" s="42" t="s">
        <v>616</v>
      </c>
      <c r="U1037" t="str">
        <f>IFERROR(HYPERLINK("#'Main'!B"&amp;MATCH(TRIM(A1037),Main!B:B,0),"Open"),HYPERLINK("#'Main'!B1","Open"))</f>
        <v>Open</v>
      </c>
    </row>
    <row r="1038" spans="1:22" ht="30" customHeight="1" x14ac:dyDescent="0.25">
      <c r="A1038" s="50" t="s">
        <v>214</v>
      </c>
      <c r="B1038" s="33" t="s">
        <v>614</v>
      </c>
      <c r="C1038" s="37" t="s">
        <v>1274</v>
      </c>
      <c r="D1038" s="33"/>
      <c r="E1038" s="52">
        <v>200</v>
      </c>
      <c r="F1038" s="33" t="b">
        <v>1</v>
      </c>
      <c r="G1038" s="33">
        <v>0</v>
      </c>
      <c r="H1038" s="52">
        <v>0</v>
      </c>
      <c r="I1038" s="33">
        <v>0</v>
      </c>
      <c r="J1038" s="33">
        <v>0</v>
      </c>
      <c r="K1038" s="33">
        <v>0</v>
      </c>
      <c r="L1038" s="40" t="b">
        <v>0</v>
      </c>
      <c r="M1038" s="33">
        <v>0</v>
      </c>
      <c r="N1038" s="33">
        <v>0</v>
      </c>
      <c r="O1038" s="52">
        <v>0</v>
      </c>
      <c r="P1038" s="33">
        <v>0</v>
      </c>
      <c r="Q1038" s="33">
        <v>0</v>
      </c>
      <c r="R1038" s="33"/>
      <c r="S1038" s="33"/>
      <c r="T1038" s="33" t="s">
        <v>616</v>
      </c>
      <c r="U1038" s="41" t="str">
        <f>IFERROR(HYPERLINK("#'Main'!B"&amp;MATCH(TRIM(A1038),Main!B:B,0),"Open"),HYPERLINK("#'Main'!B1","Open"))</f>
        <v>Open</v>
      </c>
      <c r="V1038" s="41"/>
    </row>
    <row r="1039" spans="1:22" ht="30" customHeight="1" x14ac:dyDescent="0.25">
      <c r="A1039" s="51" t="s">
        <v>214</v>
      </c>
      <c r="B1039" s="42" t="s">
        <v>614</v>
      </c>
      <c r="C1039" s="44" t="s">
        <v>750</v>
      </c>
      <c r="D1039" s="42"/>
      <c r="E1039" s="52">
        <v>200</v>
      </c>
      <c r="F1039" s="42" t="b">
        <v>1</v>
      </c>
      <c r="G1039" s="42">
        <v>0</v>
      </c>
      <c r="H1039" s="52">
        <v>0</v>
      </c>
      <c r="I1039" s="42">
        <v>0</v>
      </c>
      <c r="J1039" s="42">
        <v>0</v>
      </c>
      <c r="K1039" s="42">
        <v>0</v>
      </c>
      <c r="L1039" s="46" t="b">
        <v>0</v>
      </c>
      <c r="M1039" s="42">
        <v>0</v>
      </c>
      <c r="N1039" s="42">
        <v>0</v>
      </c>
      <c r="O1039" s="52">
        <v>0</v>
      </c>
      <c r="P1039" s="42">
        <v>0</v>
      </c>
      <c r="Q1039" s="42">
        <v>0</v>
      </c>
      <c r="R1039" s="42"/>
      <c r="S1039" s="42"/>
      <c r="T1039" s="42" t="s">
        <v>616</v>
      </c>
      <c r="U1039" t="str">
        <f>IFERROR(HYPERLINK("#'Main'!B"&amp;MATCH(TRIM(A1039),Main!B:B,0),"Open"),HYPERLINK("#'Main'!B1","Open"))</f>
        <v>Open</v>
      </c>
    </row>
    <row r="1040" spans="1:22" ht="30" customHeight="1" x14ac:dyDescent="0.25">
      <c r="A1040" s="50" t="s">
        <v>214</v>
      </c>
      <c r="B1040" s="33" t="s">
        <v>614</v>
      </c>
      <c r="C1040" s="37" t="s">
        <v>1275</v>
      </c>
      <c r="D1040" s="33"/>
      <c r="E1040" s="52">
        <v>200</v>
      </c>
      <c r="F1040" s="33" t="b">
        <v>1</v>
      </c>
      <c r="G1040" s="33">
        <v>0</v>
      </c>
      <c r="H1040" s="52">
        <v>0</v>
      </c>
      <c r="I1040" s="33">
        <v>0</v>
      </c>
      <c r="J1040" s="33">
        <v>0</v>
      </c>
      <c r="K1040" s="33">
        <v>0</v>
      </c>
      <c r="L1040" s="40" t="b">
        <v>0</v>
      </c>
      <c r="M1040" s="33">
        <v>0</v>
      </c>
      <c r="N1040" s="33">
        <v>0</v>
      </c>
      <c r="O1040" s="52">
        <v>0</v>
      </c>
      <c r="P1040" s="33">
        <v>0</v>
      </c>
      <c r="Q1040" s="33">
        <v>0</v>
      </c>
      <c r="R1040" s="33"/>
      <c r="S1040" s="33"/>
      <c r="T1040" s="33" t="s">
        <v>616</v>
      </c>
      <c r="U1040" s="41" t="str">
        <f>IFERROR(HYPERLINK("#'Main'!B"&amp;MATCH(TRIM(A1040),Main!B:B,0),"Open"),HYPERLINK("#'Main'!B1","Open"))</f>
        <v>Open</v>
      </c>
      <c r="V1040" s="41"/>
    </row>
    <row r="1041" spans="1:22" ht="30" customHeight="1" x14ac:dyDescent="0.25">
      <c r="A1041" s="51" t="s">
        <v>214</v>
      </c>
      <c r="B1041" s="42" t="s">
        <v>614</v>
      </c>
      <c r="C1041" s="44" t="s">
        <v>1276</v>
      </c>
      <c r="D1041" s="42"/>
      <c r="E1041" s="52">
        <v>200</v>
      </c>
      <c r="F1041" s="42" t="b">
        <v>1</v>
      </c>
      <c r="G1041" s="42">
        <v>0</v>
      </c>
      <c r="H1041" s="52">
        <v>0</v>
      </c>
      <c r="I1041" s="42">
        <v>0</v>
      </c>
      <c r="J1041" s="42">
        <v>0</v>
      </c>
      <c r="K1041" s="42">
        <v>0</v>
      </c>
      <c r="L1041" s="46" t="b">
        <v>0</v>
      </c>
      <c r="M1041" s="42">
        <v>0</v>
      </c>
      <c r="N1041" s="42">
        <v>0</v>
      </c>
      <c r="O1041" s="52">
        <v>0</v>
      </c>
      <c r="P1041" s="42">
        <v>0</v>
      </c>
      <c r="Q1041" s="42">
        <v>0</v>
      </c>
      <c r="R1041" s="42"/>
      <c r="S1041" s="42"/>
      <c r="T1041" s="42" t="s">
        <v>616</v>
      </c>
      <c r="U1041" t="str">
        <f>IFERROR(HYPERLINK("#'Main'!B"&amp;MATCH(TRIM(A1041),Main!B:B,0),"Open"),HYPERLINK("#'Main'!B1","Open"))</f>
        <v>Open</v>
      </c>
    </row>
    <row r="1042" spans="1:22" ht="30" customHeight="1" x14ac:dyDescent="0.25">
      <c r="A1042" s="50" t="s">
        <v>214</v>
      </c>
      <c r="B1042" s="33" t="s">
        <v>614</v>
      </c>
      <c r="C1042" s="37" t="s">
        <v>1277</v>
      </c>
      <c r="D1042" s="33"/>
      <c r="E1042" s="52">
        <v>200</v>
      </c>
      <c r="F1042" s="33" t="b">
        <v>1</v>
      </c>
      <c r="G1042" s="33">
        <v>0</v>
      </c>
      <c r="H1042" s="52">
        <v>0</v>
      </c>
      <c r="I1042" s="33">
        <v>0</v>
      </c>
      <c r="J1042" s="33">
        <v>0</v>
      </c>
      <c r="K1042" s="33">
        <v>0</v>
      </c>
      <c r="L1042" s="40" t="b">
        <v>0</v>
      </c>
      <c r="M1042" s="33">
        <v>0</v>
      </c>
      <c r="N1042" s="33">
        <v>0</v>
      </c>
      <c r="O1042" s="52">
        <v>0</v>
      </c>
      <c r="P1042" s="33">
        <v>0</v>
      </c>
      <c r="Q1042" s="33">
        <v>0</v>
      </c>
      <c r="R1042" s="33"/>
      <c r="S1042" s="33"/>
      <c r="T1042" s="33" t="s">
        <v>616</v>
      </c>
      <c r="U1042" s="41" t="str">
        <f>IFERROR(HYPERLINK("#'Main'!B"&amp;MATCH(TRIM(A1042),Main!B:B,0),"Open"),HYPERLINK("#'Main'!B1","Open"))</f>
        <v>Open</v>
      </c>
      <c r="V1042" s="41"/>
    </row>
    <row r="1043" spans="1:22" ht="30" customHeight="1" x14ac:dyDescent="0.25">
      <c r="A1043" s="51" t="s">
        <v>214</v>
      </c>
      <c r="B1043" s="42" t="s">
        <v>614</v>
      </c>
      <c r="C1043" s="44" t="s">
        <v>1278</v>
      </c>
      <c r="D1043" s="42"/>
      <c r="E1043" s="52">
        <v>200</v>
      </c>
      <c r="F1043" s="42" t="b">
        <v>1</v>
      </c>
      <c r="G1043" s="42">
        <v>0</v>
      </c>
      <c r="H1043" s="52">
        <v>0</v>
      </c>
      <c r="I1043" s="42">
        <v>0</v>
      </c>
      <c r="J1043" s="42">
        <v>0</v>
      </c>
      <c r="K1043" s="42">
        <v>0</v>
      </c>
      <c r="L1043" s="46" t="b">
        <v>0</v>
      </c>
      <c r="M1043" s="42">
        <v>0</v>
      </c>
      <c r="N1043" s="42">
        <v>0</v>
      </c>
      <c r="O1043" s="52">
        <v>0</v>
      </c>
      <c r="P1043" s="42">
        <v>0</v>
      </c>
      <c r="Q1043" s="42">
        <v>0</v>
      </c>
      <c r="R1043" s="42"/>
      <c r="S1043" s="42"/>
      <c r="T1043" s="42" t="s">
        <v>616</v>
      </c>
      <c r="U1043" t="str">
        <f>IFERROR(HYPERLINK("#'Main'!B"&amp;MATCH(TRIM(A1043),Main!B:B,0),"Open"),HYPERLINK("#'Main'!B1","Open"))</f>
        <v>Open</v>
      </c>
    </row>
    <row r="1044" spans="1:22" ht="30" customHeight="1" x14ac:dyDescent="0.25">
      <c r="A1044" s="50" t="s">
        <v>214</v>
      </c>
      <c r="B1044" s="33" t="s">
        <v>614</v>
      </c>
      <c r="C1044" s="37" t="s">
        <v>1279</v>
      </c>
      <c r="D1044" s="33"/>
      <c r="E1044" s="52">
        <v>200</v>
      </c>
      <c r="F1044" s="33" t="b">
        <v>1</v>
      </c>
      <c r="G1044" s="33">
        <v>0</v>
      </c>
      <c r="H1044" s="52">
        <v>0</v>
      </c>
      <c r="I1044" s="33">
        <v>0</v>
      </c>
      <c r="J1044" s="33">
        <v>0</v>
      </c>
      <c r="K1044" s="33">
        <v>0</v>
      </c>
      <c r="L1044" s="40" t="b">
        <v>0</v>
      </c>
      <c r="M1044" s="33">
        <v>0</v>
      </c>
      <c r="N1044" s="33">
        <v>0</v>
      </c>
      <c r="O1044" s="52">
        <v>0</v>
      </c>
      <c r="P1044" s="33">
        <v>0</v>
      </c>
      <c r="Q1044" s="33">
        <v>0</v>
      </c>
      <c r="R1044" s="33"/>
      <c r="S1044" s="33"/>
      <c r="T1044" s="33" t="s">
        <v>616</v>
      </c>
      <c r="U1044" s="41" t="str">
        <f>IFERROR(HYPERLINK("#'Main'!B"&amp;MATCH(TRIM(A1044),Main!B:B,0),"Open"),HYPERLINK("#'Main'!B1","Open"))</f>
        <v>Open</v>
      </c>
      <c r="V1044" s="41"/>
    </row>
    <row r="1045" spans="1:22" ht="30" customHeight="1" x14ac:dyDescent="0.25">
      <c r="A1045" s="51" t="s">
        <v>214</v>
      </c>
      <c r="B1045" s="42" t="s">
        <v>614</v>
      </c>
      <c r="C1045" s="44" t="s">
        <v>749</v>
      </c>
      <c r="D1045" s="42"/>
      <c r="E1045" s="52">
        <v>200</v>
      </c>
      <c r="F1045" s="42" t="b">
        <v>1</v>
      </c>
      <c r="G1045" s="42">
        <v>0</v>
      </c>
      <c r="H1045" s="52">
        <v>0</v>
      </c>
      <c r="I1045" s="42">
        <v>0</v>
      </c>
      <c r="J1045" s="42">
        <v>0</v>
      </c>
      <c r="K1045" s="42">
        <v>0</v>
      </c>
      <c r="L1045" s="46" t="b">
        <v>0</v>
      </c>
      <c r="M1045" s="42">
        <v>0</v>
      </c>
      <c r="N1045" s="42">
        <v>0</v>
      </c>
      <c r="O1045" s="52">
        <v>0</v>
      </c>
      <c r="P1045" s="42">
        <v>0</v>
      </c>
      <c r="Q1045" s="42">
        <v>0</v>
      </c>
      <c r="R1045" s="42"/>
      <c r="S1045" s="42"/>
      <c r="T1045" s="42" t="s">
        <v>616</v>
      </c>
      <c r="U1045" t="str">
        <f>IFERROR(HYPERLINK("#'Main'!B"&amp;MATCH(TRIM(A1045),Main!B:B,0),"Open"),HYPERLINK("#'Main'!B1","Open"))</f>
        <v>Open</v>
      </c>
    </row>
    <row r="1046" spans="1:22" ht="30" customHeight="1" x14ac:dyDescent="0.25">
      <c r="A1046" s="50" t="s">
        <v>214</v>
      </c>
      <c r="B1046" s="33" t="s">
        <v>614</v>
      </c>
      <c r="C1046" s="37" t="s">
        <v>1280</v>
      </c>
      <c r="D1046" s="33"/>
      <c r="E1046" s="52">
        <v>200</v>
      </c>
      <c r="F1046" s="33" t="b">
        <v>1</v>
      </c>
      <c r="G1046" s="33">
        <v>0</v>
      </c>
      <c r="H1046" s="52">
        <v>0</v>
      </c>
      <c r="I1046" s="33">
        <v>0</v>
      </c>
      <c r="J1046" s="33">
        <v>0</v>
      </c>
      <c r="K1046" s="33">
        <v>0</v>
      </c>
      <c r="L1046" s="40" t="b">
        <v>0</v>
      </c>
      <c r="M1046" s="33">
        <v>0</v>
      </c>
      <c r="N1046" s="33">
        <v>0</v>
      </c>
      <c r="O1046" s="52">
        <v>0</v>
      </c>
      <c r="P1046" s="33">
        <v>0</v>
      </c>
      <c r="Q1046" s="33">
        <v>0</v>
      </c>
      <c r="R1046" s="33"/>
      <c r="S1046" s="33"/>
      <c r="T1046" s="33" t="s">
        <v>616</v>
      </c>
      <c r="U1046" s="41" t="str">
        <f>IFERROR(HYPERLINK("#'Main'!B"&amp;MATCH(TRIM(A1046),Main!B:B,0),"Open"),HYPERLINK("#'Main'!B1","Open"))</f>
        <v>Open</v>
      </c>
      <c r="V1046" s="41"/>
    </row>
    <row r="1047" spans="1:22" ht="30" customHeight="1" x14ac:dyDescent="0.25">
      <c r="A1047" s="51" t="s">
        <v>214</v>
      </c>
      <c r="B1047" s="42" t="s">
        <v>614</v>
      </c>
      <c r="C1047" s="44" t="s">
        <v>1281</v>
      </c>
      <c r="D1047" s="42"/>
      <c r="E1047" s="52">
        <v>200</v>
      </c>
      <c r="F1047" s="42" t="b">
        <v>1</v>
      </c>
      <c r="G1047" s="42">
        <v>0</v>
      </c>
      <c r="H1047" s="52">
        <v>0</v>
      </c>
      <c r="I1047" s="42">
        <v>0</v>
      </c>
      <c r="J1047" s="42">
        <v>0</v>
      </c>
      <c r="K1047" s="42">
        <v>0</v>
      </c>
      <c r="L1047" s="46" t="b">
        <v>0</v>
      </c>
      <c r="M1047" s="42">
        <v>0</v>
      </c>
      <c r="N1047" s="42">
        <v>0</v>
      </c>
      <c r="O1047" s="52">
        <v>0</v>
      </c>
      <c r="P1047" s="42">
        <v>0</v>
      </c>
      <c r="Q1047" s="42">
        <v>0</v>
      </c>
      <c r="R1047" s="42"/>
      <c r="S1047" s="42"/>
      <c r="T1047" s="42" t="s">
        <v>616</v>
      </c>
      <c r="U1047" t="str">
        <f>IFERROR(HYPERLINK("#'Main'!B"&amp;MATCH(TRIM(A1047),Main!B:B,0),"Open"),HYPERLINK("#'Main'!B1","Open"))</f>
        <v>Open</v>
      </c>
    </row>
    <row r="1048" spans="1:22" ht="30" customHeight="1" x14ac:dyDescent="0.25">
      <c r="A1048" s="50" t="s">
        <v>214</v>
      </c>
      <c r="B1048" s="33" t="s">
        <v>614</v>
      </c>
      <c r="C1048" s="37" t="s">
        <v>1282</v>
      </c>
      <c r="D1048" s="33"/>
      <c r="E1048" s="52">
        <v>200</v>
      </c>
      <c r="F1048" s="33" t="b">
        <v>1</v>
      </c>
      <c r="G1048" s="33">
        <v>0</v>
      </c>
      <c r="H1048" s="52">
        <v>0</v>
      </c>
      <c r="I1048" s="33">
        <v>0</v>
      </c>
      <c r="J1048" s="33">
        <v>0</v>
      </c>
      <c r="K1048" s="33">
        <v>0</v>
      </c>
      <c r="L1048" s="40" t="b">
        <v>0</v>
      </c>
      <c r="M1048" s="33">
        <v>0</v>
      </c>
      <c r="N1048" s="33">
        <v>0</v>
      </c>
      <c r="O1048" s="52">
        <v>0</v>
      </c>
      <c r="P1048" s="33">
        <v>0</v>
      </c>
      <c r="Q1048" s="33">
        <v>0</v>
      </c>
      <c r="R1048" s="33"/>
      <c r="S1048" s="33"/>
      <c r="T1048" s="33" t="s">
        <v>616</v>
      </c>
      <c r="U1048" s="41" t="str">
        <f>IFERROR(HYPERLINK("#'Main'!B"&amp;MATCH(TRIM(A1048),Main!B:B,0),"Open"),HYPERLINK("#'Main'!B1","Open"))</f>
        <v>Open</v>
      </c>
      <c r="V1048" s="41"/>
    </row>
    <row r="1049" spans="1:22" ht="30" customHeight="1" x14ac:dyDescent="0.25">
      <c r="A1049" s="51" t="s">
        <v>214</v>
      </c>
      <c r="B1049" s="42" t="s">
        <v>614</v>
      </c>
      <c r="C1049" s="44" t="s">
        <v>1283</v>
      </c>
      <c r="D1049" s="42"/>
      <c r="E1049" s="52">
        <v>200</v>
      </c>
      <c r="F1049" s="42" t="b">
        <v>1</v>
      </c>
      <c r="G1049" s="42">
        <v>0</v>
      </c>
      <c r="H1049" s="52">
        <v>0</v>
      </c>
      <c r="I1049" s="42">
        <v>0</v>
      </c>
      <c r="J1049" s="42">
        <v>0</v>
      </c>
      <c r="K1049" s="42">
        <v>0</v>
      </c>
      <c r="L1049" s="46" t="b">
        <v>0</v>
      </c>
      <c r="M1049" s="42">
        <v>0</v>
      </c>
      <c r="N1049" s="42">
        <v>0</v>
      </c>
      <c r="O1049" s="52">
        <v>0</v>
      </c>
      <c r="P1049" s="42">
        <v>0</v>
      </c>
      <c r="Q1049" s="42">
        <v>0</v>
      </c>
      <c r="R1049" s="42"/>
      <c r="S1049" s="42"/>
      <c r="T1049" s="42" t="s">
        <v>616</v>
      </c>
      <c r="U1049" t="str">
        <f>IFERROR(HYPERLINK("#'Main'!B"&amp;MATCH(TRIM(A1049),Main!B:B,0),"Open"),HYPERLINK("#'Main'!B1","Open"))</f>
        <v>Open</v>
      </c>
    </row>
    <row r="1050" spans="1:22" ht="30" customHeight="1" x14ac:dyDescent="0.25">
      <c r="A1050" s="50" t="s">
        <v>214</v>
      </c>
      <c r="B1050" s="33" t="s">
        <v>614</v>
      </c>
      <c r="C1050" s="37" t="s">
        <v>748</v>
      </c>
      <c r="D1050" s="33"/>
      <c r="E1050" s="52">
        <v>200</v>
      </c>
      <c r="F1050" s="33" t="b">
        <v>1</v>
      </c>
      <c r="G1050" s="33">
        <v>0</v>
      </c>
      <c r="H1050" s="52">
        <v>0</v>
      </c>
      <c r="I1050" s="33">
        <v>0</v>
      </c>
      <c r="J1050" s="33">
        <v>0</v>
      </c>
      <c r="K1050" s="33">
        <v>0</v>
      </c>
      <c r="L1050" s="40" t="b">
        <v>0</v>
      </c>
      <c r="M1050" s="33">
        <v>0</v>
      </c>
      <c r="N1050" s="33">
        <v>0</v>
      </c>
      <c r="O1050" s="52">
        <v>0</v>
      </c>
      <c r="P1050" s="33">
        <v>0</v>
      </c>
      <c r="Q1050" s="33">
        <v>0</v>
      </c>
      <c r="R1050" s="33"/>
      <c r="S1050" s="33"/>
      <c r="T1050" s="33" t="s">
        <v>616</v>
      </c>
      <c r="U1050" s="41" t="str">
        <f>IFERROR(HYPERLINK("#'Main'!B"&amp;MATCH(TRIM(A1050),Main!B:B,0),"Open"),HYPERLINK("#'Main'!B1","Open"))</f>
        <v>Open</v>
      </c>
      <c r="V1050" s="41"/>
    </row>
    <row r="1051" spans="1:22" ht="30" customHeight="1" x14ac:dyDescent="0.25">
      <c r="A1051" s="51" t="s">
        <v>214</v>
      </c>
      <c r="B1051" s="42" t="s">
        <v>614</v>
      </c>
      <c r="C1051" s="44" t="s">
        <v>1284</v>
      </c>
      <c r="D1051" s="42"/>
      <c r="E1051" s="52">
        <v>200</v>
      </c>
      <c r="F1051" s="42" t="b">
        <v>1</v>
      </c>
      <c r="G1051" s="42">
        <v>0</v>
      </c>
      <c r="H1051" s="52">
        <v>0</v>
      </c>
      <c r="I1051" s="42">
        <v>0</v>
      </c>
      <c r="J1051" s="42">
        <v>0</v>
      </c>
      <c r="K1051" s="42">
        <v>0</v>
      </c>
      <c r="L1051" s="46" t="b">
        <v>0</v>
      </c>
      <c r="M1051" s="42">
        <v>0</v>
      </c>
      <c r="N1051" s="42">
        <v>0</v>
      </c>
      <c r="O1051" s="52">
        <v>0</v>
      </c>
      <c r="P1051" s="42">
        <v>0</v>
      </c>
      <c r="Q1051" s="42">
        <v>0</v>
      </c>
      <c r="R1051" s="42"/>
      <c r="S1051" s="42"/>
      <c r="T1051" s="42" t="s">
        <v>616</v>
      </c>
      <c r="U1051" t="str">
        <f>IFERROR(HYPERLINK("#'Main'!B"&amp;MATCH(TRIM(A1051),Main!B:B,0),"Open"),HYPERLINK("#'Main'!B1","Open"))</f>
        <v>Open</v>
      </c>
    </row>
    <row r="1052" spans="1:22" ht="30" customHeight="1" x14ac:dyDescent="0.25">
      <c r="A1052" s="50" t="s">
        <v>214</v>
      </c>
      <c r="B1052" s="33" t="s">
        <v>614</v>
      </c>
      <c r="C1052" s="37" t="s">
        <v>1285</v>
      </c>
      <c r="D1052" s="33"/>
      <c r="E1052" s="52">
        <v>200</v>
      </c>
      <c r="F1052" s="33" t="b">
        <v>1</v>
      </c>
      <c r="G1052" s="33">
        <v>0</v>
      </c>
      <c r="H1052" s="52">
        <v>0</v>
      </c>
      <c r="I1052" s="33">
        <v>0</v>
      </c>
      <c r="J1052" s="33">
        <v>0</v>
      </c>
      <c r="K1052" s="33">
        <v>0</v>
      </c>
      <c r="L1052" s="40" t="b">
        <v>0</v>
      </c>
      <c r="M1052" s="33">
        <v>0</v>
      </c>
      <c r="N1052" s="33">
        <v>0</v>
      </c>
      <c r="O1052" s="52">
        <v>0</v>
      </c>
      <c r="P1052" s="33">
        <v>0</v>
      </c>
      <c r="Q1052" s="33">
        <v>0</v>
      </c>
      <c r="R1052" s="33"/>
      <c r="S1052" s="33"/>
      <c r="T1052" s="33" t="s">
        <v>616</v>
      </c>
      <c r="U1052" s="41" t="str">
        <f>IFERROR(HYPERLINK("#'Main'!B"&amp;MATCH(TRIM(A1052),Main!B:B,0),"Open"),HYPERLINK("#'Main'!B1","Open"))</f>
        <v>Open</v>
      </c>
      <c r="V1052" s="41"/>
    </row>
    <row r="1053" spans="1:22" ht="30" customHeight="1" x14ac:dyDescent="0.25">
      <c r="A1053" s="51" t="s">
        <v>214</v>
      </c>
      <c r="B1053" s="42" t="s">
        <v>614</v>
      </c>
      <c r="C1053" s="44" t="s">
        <v>1286</v>
      </c>
      <c r="D1053" s="42"/>
      <c r="E1053" s="52">
        <v>200</v>
      </c>
      <c r="F1053" s="42" t="b">
        <v>1</v>
      </c>
      <c r="G1053" s="42">
        <v>0</v>
      </c>
      <c r="H1053" s="52">
        <v>0</v>
      </c>
      <c r="I1053" s="42">
        <v>0</v>
      </c>
      <c r="J1053" s="42">
        <v>0</v>
      </c>
      <c r="K1053" s="42">
        <v>0</v>
      </c>
      <c r="L1053" s="46" t="b">
        <v>0</v>
      </c>
      <c r="M1053" s="42">
        <v>0</v>
      </c>
      <c r="N1053" s="42">
        <v>0</v>
      </c>
      <c r="O1053" s="52">
        <v>0</v>
      </c>
      <c r="P1053" s="42">
        <v>0</v>
      </c>
      <c r="Q1053" s="42">
        <v>0</v>
      </c>
      <c r="R1053" s="42"/>
      <c r="S1053" s="42"/>
      <c r="T1053" s="42" t="s">
        <v>616</v>
      </c>
      <c r="U1053" t="str">
        <f>IFERROR(HYPERLINK("#'Main'!B"&amp;MATCH(TRIM(A1053),Main!B:B,0),"Open"),HYPERLINK("#'Main'!B1","Open"))</f>
        <v>Open</v>
      </c>
    </row>
    <row r="1054" spans="1:22" ht="30" customHeight="1" x14ac:dyDescent="0.25">
      <c r="A1054" s="50" t="s">
        <v>214</v>
      </c>
      <c r="B1054" s="33" t="s">
        <v>614</v>
      </c>
      <c r="C1054" s="37" t="s">
        <v>1287</v>
      </c>
      <c r="D1054" s="33"/>
      <c r="E1054" s="52">
        <v>200</v>
      </c>
      <c r="F1054" s="33" t="b">
        <v>1</v>
      </c>
      <c r="G1054" s="33">
        <v>0</v>
      </c>
      <c r="H1054" s="52">
        <v>0</v>
      </c>
      <c r="I1054" s="33">
        <v>0</v>
      </c>
      <c r="J1054" s="33">
        <v>0</v>
      </c>
      <c r="K1054" s="33">
        <v>0</v>
      </c>
      <c r="L1054" s="40" t="b">
        <v>0</v>
      </c>
      <c r="M1054" s="33">
        <v>0</v>
      </c>
      <c r="N1054" s="33">
        <v>0</v>
      </c>
      <c r="O1054" s="52">
        <v>0</v>
      </c>
      <c r="P1054" s="33">
        <v>0</v>
      </c>
      <c r="Q1054" s="33">
        <v>0</v>
      </c>
      <c r="R1054" s="33"/>
      <c r="S1054" s="33"/>
      <c r="T1054" s="33" t="s">
        <v>616</v>
      </c>
      <c r="U1054" s="41" t="str">
        <f>IFERROR(HYPERLINK("#'Main'!B"&amp;MATCH(TRIM(A1054),Main!B:B,0),"Open"),HYPERLINK("#'Main'!B1","Open"))</f>
        <v>Open</v>
      </c>
      <c r="V1054" s="41"/>
    </row>
    <row r="1055" spans="1:22" ht="30" customHeight="1" x14ac:dyDescent="0.25">
      <c r="A1055" s="51" t="s">
        <v>214</v>
      </c>
      <c r="B1055" s="42" t="s">
        <v>614</v>
      </c>
      <c r="C1055" s="44" t="s">
        <v>1288</v>
      </c>
      <c r="D1055" s="42"/>
      <c r="E1055" s="52">
        <v>200</v>
      </c>
      <c r="F1055" s="42" t="b">
        <v>1</v>
      </c>
      <c r="G1055" s="42">
        <v>0</v>
      </c>
      <c r="H1055" s="52">
        <v>0</v>
      </c>
      <c r="I1055" s="42">
        <v>0</v>
      </c>
      <c r="J1055" s="42">
        <v>0</v>
      </c>
      <c r="K1055" s="42">
        <v>0</v>
      </c>
      <c r="L1055" s="46" t="b">
        <v>0</v>
      </c>
      <c r="M1055" s="42">
        <v>0</v>
      </c>
      <c r="N1055" s="42">
        <v>0</v>
      </c>
      <c r="O1055" s="52">
        <v>0</v>
      </c>
      <c r="P1055" s="42">
        <v>0</v>
      </c>
      <c r="Q1055" s="42">
        <v>0</v>
      </c>
      <c r="R1055" s="42"/>
      <c r="S1055" s="42"/>
      <c r="T1055" s="42" t="s">
        <v>616</v>
      </c>
      <c r="U1055" t="str">
        <f>IFERROR(HYPERLINK("#'Main'!B"&amp;MATCH(TRIM(A1055),Main!B:B,0),"Open"),HYPERLINK("#'Main'!B1","Open"))</f>
        <v>Open</v>
      </c>
    </row>
    <row r="1056" spans="1:22" ht="30" customHeight="1" x14ac:dyDescent="0.25">
      <c r="A1056" s="50" t="s">
        <v>214</v>
      </c>
      <c r="B1056" s="33" t="s">
        <v>614</v>
      </c>
      <c r="C1056" s="37" t="s">
        <v>747</v>
      </c>
      <c r="D1056" s="33"/>
      <c r="E1056" s="52">
        <v>200</v>
      </c>
      <c r="F1056" s="33" t="b">
        <v>1</v>
      </c>
      <c r="G1056" s="33">
        <v>0</v>
      </c>
      <c r="H1056" s="52">
        <v>0</v>
      </c>
      <c r="I1056" s="33">
        <v>0</v>
      </c>
      <c r="J1056" s="33">
        <v>0</v>
      </c>
      <c r="K1056" s="33">
        <v>0</v>
      </c>
      <c r="L1056" s="40" t="b">
        <v>0</v>
      </c>
      <c r="M1056" s="33">
        <v>0</v>
      </c>
      <c r="N1056" s="33">
        <v>0</v>
      </c>
      <c r="O1056" s="52">
        <v>0</v>
      </c>
      <c r="P1056" s="33">
        <v>0</v>
      </c>
      <c r="Q1056" s="33">
        <v>0</v>
      </c>
      <c r="R1056" s="33"/>
      <c r="S1056" s="33"/>
      <c r="T1056" s="33" t="s">
        <v>616</v>
      </c>
      <c r="U1056" s="41" t="str">
        <f>IFERROR(HYPERLINK("#'Main'!B"&amp;MATCH(TRIM(A1056),Main!B:B,0),"Open"),HYPERLINK("#'Main'!B1","Open"))</f>
        <v>Open</v>
      </c>
      <c r="V1056" s="41"/>
    </row>
    <row r="1057" spans="1:22" ht="30" customHeight="1" x14ac:dyDescent="0.25">
      <c r="A1057" s="51" t="s">
        <v>214</v>
      </c>
      <c r="B1057" s="42" t="s">
        <v>614</v>
      </c>
      <c r="C1057" s="44" t="s">
        <v>1289</v>
      </c>
      <c r="D1057" s="42"/>
      <c r="E1057" s="52">
        <v>200</v>
      </c>
      <c r="F1057" s="42" t="b">
        <v>1</v>
      </c>
      <c r="G1057" s="42">
        <v>0</v>
      </c>
      <c r="H1057" s="52">
        <v>0</v>
      </c>
      <c r="I1057" s="42">
        <v>0</v>
      </c>
      <c r="J1057" s="42">
        <v>0</v>
      </c>
      <c r="K1057" s="42">
        <v>0</v>
      </c>
      <c r="L1057" s="46" t="b">
        <v>0</v>
      </c>
      <c r="M1057" s="42">
        <v>0</v>
      </c>
      <c r="N1057" s="42">
        <v>0</v>
      </c>
      <c r="O1057" s="52">
        <v>0</v>
      </c>
      <c r="P1057" s="42">
        <v>0</v>
      </c>
      <c r="Q1057" s="42">
        <v>0</v>
      </c>
      <c r="R1057" s="42"/>
      <c r="S1057" s="42"/>
      <c r="T1057" s="42" t="s">
        <v>616</v>
      </c>
      <c r="U1057" t="str">
        <f>IFERROR(HYPERLINK("#'Main'!B"&amp;MATCH(TRIM(A1057),Main!B:B,0),"Open"),HYPERLINK("#'Main'!B1","Open"))</f>
        <v>Open</v>
      </c>
    </row>
    <row r="1058" spans="1:22" ht="30" customHeight="1" x14ac:dyDescent="0.25">
      <c r="A1058" s="50" t="s">
        <v>214</v>
      </c>
      <c r="B1058" s="33" t="s">
        <v>614</v>
      </c>
      <c r="C1058" s="37" t="s">
        <v>1290</v>
      </c>
      <c r="D1058" s="33"/>
      <c r="E1058" s="52">
        <v>200</v>
      </c>
      <c r="F1058" s="33" t="b">
        <v>1</v>
      </c>
      <c r="G1058" s="33">
        <v>0</v>
      </c>
      <c r="H1058" s="52">
        <v>0</v>
      </c>
      <c r="I1058" s="33">
        <v>0</v>
      </c>
      <c r="J1058" s="33">
        <v>0</v>
      </c>
      <c r="K1058" s="33">
        <v>0</v>
      </c>
      <c r="L1058" s="40" t="b">
        <v>0</v>
      </c>
      <c r="M1058" s="33">
        <v>0</v>
      </c>
      <c r="N1058" s="33">
        <v>0</v>
      </c>
      <c r="O1058" s="52">
        <v>0</v>
      </c>
      <c r="P1058" s="33">
        <v>0</v>
      </c>
      <c r="Q1058" s="33">
        <v>0</v>
      </c>
      <c r="R1058" s="33"/>
      <c r="S1058" s="33"/>
      <c r="T1058" s="33" t="s">
        <v>616</v>
      </c>
      <c r="U1058" s="41" t="str">
        <f>IFERROR(HYPERLINK("#'Main'!B"&amp;MATCH(TRIM(A1058),Main!B:B,0),"Open"),HYPERLINK("#'Main'!B1","Open"))</f>
        <v>Open</v>
      </c>
      <c r="V1058" s="41"/>
    </row>
    <row r="1059" spans="1:22" ht="30" customHeight="1" x14ac:dyDescent="0.25">
      <c r="A1059" s="51" t="s">
        <v>214</v>
      </c>
      <c r="B1059" s="42" t="s">
        <v>614</v>
      </c>
      <c r="C1059" s="44" t="s">
        <v>1291</v>
      </c>
      <c r="D1059" s="42"/>
      <c r="E1059" s="52">
        <v>200</v>
      </c>
      <c r="F1059" s="42" t="b">
        <v>1</v>
      </c>
      <c r="G1059" s="42">
        <v>0</v>
      </c>
      <c r="H1059" s="52">
        <v>0</v>
      </c>
      <c r="I1059" s="42">
        <v>0</v>
      </c>
      <c r="J1059" s="42">
        <v>0</v>
      </c>
      <c r="K1059" s="42">
        <v>0</v>
      </c>
      <c r="L1059" s="46" t="b">
        <v>0</v>
      </c>
      <c r="M1059" s="42">
        <v>0</v>
      </c>
      <c r="N1059" s="42">
        <v>0</v>
      </c>
      <c r="O1059" s="52">
        <v>0</v>
      </c>
      <c r="P1059" s="42">
        <v>0</v>
      </c>
      <c r="Q1059" s="42">
        <v>0</v>
      </c>
      <c r="R1059" s="42"/>
      <c r="S1059" s="42"/>
      <c r="T1059" s="42" t="s">
        <v>616</v>
      </c>
      <c r="U1059" t="str">
        <f>IFERROR(HYPERLINK("#'Main'!B"&amp;MATCH(TRIM(A1059),Main!B:B,0),"Open"),HYPERLINK("#'Main'!B1","Open"))</f>
        <v>Open</v>
      </c>
    </row>
    <row r="1060" spans="1:22" ht="30" customHeight="1" x14ac:dyDescent="0.25">
      <c r="A1060" s="50" t="s">
        <v>214</v>
      </c>
      <c r="B1060" s="33" t="s">
        <v>614</v>
      </c>
      <c r="C1060" s="37" t="s">
        <v>1292</v>
      </c>
      <c r="D1060" s="33"/>
      <c r="E1060" s="52">
        <v>200</v>
      </c>
      <c r="F1060" s="33" t="b">
        <v>1</v>
      </c>
      <c r="G1060" s="33">
        <v>0</v>
      </c>
      <c r="H1060" s="52">
        <v>0</v>
      </c>
      <c r="I1060" s="33">
        <v>0</v>
      </c>
      <c r="J1060" s="33">
        <v>0</v>
      </c>
      <c r="K1060" s="33">
        <v>0</v>
      </c>
      <c r="L1060" s="40" t="b">
        <v>0</v>
      </c>
      <c r="M1060" s="33">
        <v>0</v>
      </c>
      <c r="N1060" s="33">
        <v>0</v>
      </c>
      <c r="O1060" s="52">
        <v>0</v>
      </c>
      <c r="P1060" s="33">
        <v>0</v>
      </c>
      <c r="Q1060" s="33">
        <v>0</v>
      </c>
      <c r="R1060" s="33"/>
      <c r="S1060" s="33"/>
      <c r="T1060" s="33" t="s">
        <v>616</v>
      </c>
      <c r="U1060" s="41" t="str">
        <f>IFERROR(HYPERLINK("#'Main'!B"&amp;MATCH(TRIM(A1060),Main!B:B,0),"Open"),HYPERLINK("#'Main'!B1","Open"))</f>
        <v>Open</v>
      </c>
      <c r="V1060" s="41"/>
    </row>
    <row r="1061" spans="1:22" ht="30" customHeight="1" x14ac:dyDescent="0.25">
      <c r="A1061" s="51" t="s">
        <v>214</v>
      </c>
      <c r="B1061" s="42" t="s">
        <v>614</v>
      </c>
      <c r="C1061" s="44" t="s">
        <v>1293</v>
      </c>
      <c r="D1061" s="42"/>
      <c r="E1061" s="52">
        <v>200</v>
      </c>
      <c r="F1061" s="42" t="b">
        <v>1</v>
      </c>
      <c r="G1061" s="42">
        <v>0</v>
      </c>
      <c r="H1061" s="52">
        <v>0</v>
      </c>
      <c r="I1061" s="42">
        <v>0</v>
      </c>
      <c r="J1061" s="42">
        <v>0</v>
      </c>
      <c r="K1061" s="42">
        <v>0</v>
      </c>
      <c r="L1061" s="46" t="b">
        <v>0</v>
      </c>
      <c r="M1061" s="42">
        <v>0</v>
      </c>
      <c r="N1061" s="42">
        <v>0</v>
      </c>
      <c r="O1061" s="52">
        <v>0</v>
      </c>
      <c r="P1061" s="42">
        <v>0</v>
      </c>
      <c r="Q1061" s="42">
        <v>0</v>
      </c>
      <c r="R1061" s="42"/>
      <c r="S1061" s="42"/>
      <c r="T1061" s="42" t="s">
        <v>616</v>
      </c>
      <c r="U1061" t="str">
        <f>IFERROR(HYPERLINK("#'Main'!B"&amp;MATCH(TRIM(A1061),Main!B:B,0),"Open"),HYPERLINK("#'Main'!B1","Open"))</f>
        <v>Open</v>
      </c>
    </row>
    <row r="1062" spans="1:22" ht="30" customHeight="1" x14ac:dyDescent="0.25">
      <c r="A1062" s="50" t="s">
        <v>214</v>
      </c>
      <c r="B1062" s="33" t="s">
        <v>614</v>
      </c>
      <c r="C1062" s="37" t="s">
        <v>1294</v>
      </c>
      <c r="D1062" s="33"/>
      <c r="E1062" s="52">
        <v>200</v>
      </c>
      <c r="F1062" s="33" t="b">
        <v>1</v>
      </c>
      <c r="G1062" s="33">
        <v>0</v>
      </c>
      <c r="H1062" s="52">
        <v>0</v>
      </c>
      <c r="I1062" s="33">
        <v>0</v>
      </c>
      <c r="J1062" s="33">
        <v>0</v>
      </c>
      <c r="K1062" s="33">
        <v>0</v>
      </c>
      <c r="L1062" s="40" t="b">
        <v>0</v>
      </c>
      <c r="M1062" s="33">
        <v>0</v>
      </c>
      <c r="N1062" s="33">
        <v>0</v>
      </c>
      <c r="O1062" s="52">
        <v>0</v>
      </c>
      <c r="P1062" s="33">
        <v>0</v>
      </c>
      <c r="Q1062" s="33">
        <v>0</v>
      </c>
      <c r="R1062" s="33"/>
      <c r="S1062" s="33"/>
      <c r="T1062" s="33" t="s">
        <v>616</v>
      </c>
      <c r="U1062" s="41" t="str">
        <f>IFERROR(HYPERLINK("#'Main'!B"&amp;MATCH(TRIM(A1062),Main!B:B,0),"Open"),HYPERLINK("#'Main'!B1","Open"))</f>
        <v>Open</v>
      </c>
      <c r="V1062" s="41"/>
    </row>
    <row r="1063" spans="1:22" ht="30" customHeight="1" x14ac:dyDescent="0.25">
      <c r="A1063" s="51" t="s">
        <v>214</v>
      </c>
      <c r="B1063" s="42" t="s">
        <v>614</v>
      </c>
      <c r="C1063" s="44" t="s">
        <v>1295</v>
      </c>
      <c r="D1063" s="42"/>
      <c r="E1063" s="52">
        <v>200</v>
      </c>
      <c r="F1063" s="42" t="b">
        <v>1</v>
      </c>
      <c r="G1063" s="42">
        <v>0</v>
      </c>
      <c r="H1063" s="52">
        <v>0</v>
      </c>
      <c r="I1063" s="42">
        <v>0</v>
      </c>
      <c r="J1063" s="42">
        <v>0</v>
      </c>
      <c r="K1063" s="42">
        <v>0</v>
      </c>
      <c r="L1063" s="46" t="b">
        <v>0</v>
      </c>
      <c r="M1063" s="42">
        <v>0</v>
      </c>
      <c r="N1063" s="42">
        <v>0</v>
      </c>
      <c r="O1063" s="52">
        <v>0</v>
      </c>
      <c r="P1063" s="42">
        <v>0</v>
      </c>
      <c r="Q1063" s="42">
        <v>0</v>
      </c>
      <c r="R1063" s="42"/>
      <c r="S1063" s="42"/>
      <c r="T1063" s="42" t="s">
        <v>616</v>
      </c>
      <c r="U1063" t="str">
        <f>IFERROR(HYPERLINK("#'Main'!B"&amp;MATCH(TRIM(A1063),Main!B:B,0),"Open"),HYPERLINK("#'Main'!B1","Open"))</f>
        <v>Open</v>
      </c>
    </row>
    <row r="1064" spans="1:22" ht="30" customHeight="1" x14ac:dyDescent="0.25">
      <c r="A1064" s="50" t="s">
        <v>214</v>
      </c>
      <c r="B1064" s="33" t="s">
        <v>614</v>
      </c>
      <c r="C1064" s="37" t="s">
        <v>766</v>
      </c>
      <c r="D1064" s="33"/>
      <c r="E1064" s="52">
        <v>200</v>
      </c>
      <c r="F1064" s="33" t="b">
        <v>1</v>
      </c>
      <c r="G1064" s="33">
        <v>0</v>
      </c>
      <c r="H1064" s="52">
        <v>0</v>
      </c>
      <c r="I1064" s="33">
        <v>0</v>
      </c>
      <c r="J1064" s="33">
        <v>0</v>
      </c>
      <c r="K1064" s="33">
        <v>0</v>
      </c>
      <c r="L1064" s="40" t="b">
        <v>0</v>
      </c>
      <c r="M1064" s="33">
        <v>0</v>
      </c>
      <c r="N1064" s="33">
        <v>0</v>
      </c>
      <c r="O1064" s="52">
        <v>0</v>
      </c>
      <c r="P1064" s="33">
        <v>0</v>
      </c>
      <c r="Q1064" s="33">
        <v>0</v>
      </c>
      <c r="R1064" s="33"/>
      <c r="S1064" s="33"/>
      <c r="T1064" s="33" t="s">
        <v>616</v>
      </c>
      <c r="U1064" s="41" t="str">
        <f>IFERROR(HYPERLINK("#'Main'!B"&amp;MATCH(TRIM(A1064),Main!B:B,0),"Open"),HYPERLINK("#'Main'!B1","Open"))</f>
        <v>Open</v>
      </c>
      <c r="V1064" s="41"/>
    </row>
    <row r="1065" spans="1:22" ht="30" customHeight="1" x14ac:dyDescent="0.25">
      <c r="A1065" s="51" t="s">
        <v>214</v>
      </c>
      <c r="B1065" s="42" t="s">
        <v>614</v>
      </c>
      <c r="C1065" s="44" t="s">
        <v>1296</v>
      </c>
      <c r="D1065" s="42"/>
      <c r="E1065" s="52">
        <v>200</v>
      </c>
      <c r="F1065" s="42" t="b">
        <v>1</v>
      </c>
      <c r="G1065" s="42">
        <v>0</v>
      </c>
      <c r="H1065" s="52">
        <v>0</v>
      </c>
      <c r="I1065" s="42">
        <v>0</v>
      </c>
      <c r="J1065" s="42">
        <v>0</v>
      </c>
      <c r="K1065" s="42">
        <v>0</v>
      </c>
      <c r="L1065" s="46" t="b">
        <v>0</v>
      </c>
      <c r="M1065" s="42">
        <v>0</v>
      </c>
      <c r="N1065" s="42">
        <v>0</v>
      </c>
      <c r="O1065" s="52">
        <v>0</v>
      </c>
      <c r="P1065" s="42">
        <v>0</v>
      </c>
      <c r="Q1065" s="42">
        <v>0</v>
      </c>
      <c r="R1065" s="42"/>
      <c r="S1065" s="42"/>
      <c r="T1065" s="42" t="s">
        <v>616</v>
      </c>
      <c r="U1065" t="str">
        <f>IFERROR(HYPERLINK("#'Main'!B"&amp;MATCH(TRIM(A1065),Main!B:B,0),"Open"),HYPERLINK("#'Main'!B1","Open"))</f>
        <v>Open</v>
      </c>
    </row>
    <row r="1066" spans="1:22" ht="30" customHeight="1" x14ac:dyDescent="0.25">
      <c r="A1066" s="50" t="s">
        <v>214</v>
      </c>
      <c r="B1066" s="33" t="s">
        <v>614</v>
      </c>
      <c r="C1066" s="37" t="s">
        <v>1297</v>
      </c>
      <c r="D1066" s="33"/>
      <c r="E1066" s="52">
        <v>200</v>
      </c>
      <c r="F1066" s="33" t="b">
        <v>1</v>
      </c>
      <c r="G1066" s="33">
        <v>0</v>
      </c>
      <c r="H1066" s="52">
        <v>0</v>
      </c>
      <c r="I1066" s="33">
        <v>0</v>
      </c>
      <c r="J1066" s="33">
        <v>0</v>
      </c>
      <c r="K1066" s="33">
        <v>0</v>
      </c>
      <c r="L1066" s="40" t="b">
        <v>0</v>
      </c>
      <c r="M1066" s="33">
        <v>0</v>
      </c>
      <c r="N1066" s="33">
        <v>0</v>
      </c>
      <c r="O1066" s="52">
        <v>0</v>
      </c>
      <c r="P1066" s="33">
        <v>0</v>
      </c>
      <c r="Q1066" s="33">
        <v>0</v>
      </c>
      <c r="R1066" s="33"/>
      <c r="S1066" s="33"/>
      <c r="T1066" s="33" t="s">
        <v>616</v>
      </c>
      <c r="U1066" s="41" t="str">
        <f>IFERROR(HYPERLINK("#'Main'!B"&amp;MATCH(TRIM(A1066),Main!B:B,0),"Open"),HYPERLINK("#'Main'!B1","Open"))</f>
        <v>Open</v>
      </c>
      <c r="V1066" s="41"/>
    </row>
    <row r="1067" spans="1:22" ht="30" customHeight="1" x14ac:dyDescent="0.25">
      <c r="A1067" s="51" t="s">
        <v>214</v>
      </c>
      <c r="B1067" s="42" t="s">
        <v>614</v>
      </c>
      <c r="C1067" s="44" t="s">
        <v>1298</v>
      </c>
      <c r="D1067" s="42"/>
      <c r="E1067" s="52">
        <v>200</v>
      </c>
      <c r="F1067" s="42" t="b">
        <v>1</v>
      </c>
      <c r="G1067" s="42">
        <v>0</v>
      </c>
      <c r="H1067" s="52">
        <v>0</v>
      </c>
      <c r="I1067" s="42">
        <v>0</v>
      </c>
      <c r="J1067" s="42">
        <v>0</v>
      </c>
      <c r="K1067" s="42">
        <v>0</v>
      </c>
      <c r="L1067" s="46" t="b">
        <v>0</v>
      </c>
      <c r="M1067" s="42">
        <v>0</v>
      </c>
      <c r="N1067" s="42">
        <v>0</v>
      </c>
      <c r="O1067" s="52">
        <v>0</v>
      </c>
      <c r="P1067" s="42">
        <v>0</v>
      </c>
      <c r="Q1067" s="42">
        <v>0</v>
      </c>
      <c r="R1067" s="42"/>
      <c r="S1067" s="42"/>
      <c r="T1067" s="42" t="s">
        <v>616</v>
      </c>
      <c r="U1067" t="str">
        <f>IFERROR(HYPERLINK("#'Main'!B"&amp;MATCH(TRIM(A1067),Main!B:B,0),"Open"),HYPERLINK("#'Main'!B1","Open"))</f>
        <v>Open</v>
      </c>
    </row>
    <row r="1068" spans="1:22" ht="30" customHeight="1" x14ac:dyDescent="0.25">
      <c r="A1068" s="50" t="s">
        <v>214</v>
      </c>
      <c r="B1068" s="33" t="s">
        <v>614</v>
      </c>
      <c r="C1068" s="37" t="s">
        <v>1299</v>
      </c>
      <c r="D1068" s="33"/>
      <c r="E1068" s="52">
        <v>200</v>
      </c>
      <c r="F1068" s="33" t="b">
        <v>1</v>
      </c>
      <c r="G1068" s="33">
        <v>0</v>
      </c>
      <c r="H1068" s="52">
        <v>0</v>
      </c>
      <c r="I1068" s="33">
        <v>0</v>
      </c>
      <c r="J1068" s="33">
        <v>0</v>
      </c>
      <c r="K1068" s="33">
        <v>0</v>
      </c>
      <c r="L1068" s="40" t="b">
        <v>0</v>
      </c>
      <c r="M1068" s="33">
        <v>0</v>
      </c>
      <c r="N1068" s="33">
        <v>0</v>
      </c>
      <c r="O1068" s="52">
        <v>0</v>
      </c>
      <c r="P1068" s="33">
        <v>0</v>
      </c>
      <c r="Q1068" s="33">
        <v>0</v>
      </c>
      <c r="R1068" s="33"/>
      <c r="S1068" s="33"/>
      <c r="T1068" s="33" t="s">
        <v>616</v>
      </c>
      <c r="U1068" s="41" t="str">
        <f>IFERROR(HYPERLINK("#'Main'!B"&amp;MATCH(TRIM(A1068),Main!B:B,0),"Open"),HYPERLINK("#'Main'!B1","Open"))</f>
        <v>Open</v>
      </c>
      <c r="V1068" s="41"/>
    </row>
    <row r="1069" spans="1:22" ht="30" customHeight="1" x14ac:dyDescent="0.25">
      <c r="A1069" s="51" t="s">
        <v>214</v>
      </c>
      <c r="B1069" s="42" t="s">
        <v>614</v>
      </c>
      <c r="C1069" s="44" t="s">
        <v>1300</v>
      </c>
      <c r="D1069" s="42"/>
      <c r="E1069" s="52">
        <v>200</v>
      </c>
      <c r="F1069" s="42" t="b">
        <v>1</v>
      </c>
      <c r="G1069" s="42">
        <v>0</v>
      </c>
      <c r="H1069" s="52">
        <v>0</v>
      </c>
      <c r="I1069" s="42">
        <v>0</v>
      </c>
      <c r="J1069" s="42">
        <v>0</v>
      </c>
      <c r="K1069" s="42">
        <v>0</v>
      </c>
      <c r="L1069" s="46" t="b">
        <v>0</v>
      </c>
      <c r="M1069" s="42">
        <v>0</v>
      </c>
      <c r="N1069" s="42">
        <v>0</v>
      </c>
      <c r="O1069" s="52">
        <v>0</v>
      </c>
      <c r="P1069" s="42">
        <v>0</v>
      </c>
      <c r="Q1069" s="42">
        <v>0</v>
      </c>
      <c r="R1069" s="42"/>
      <c r="S1069" s="42"/>
      <c r="T1069" s="42" t="s">
        <v>616</v>
      </c>
      <c r="U1069" t="str">
        <f>IFERROR(HYPERLINK("#'Main'!B"&amp;MATCH(TRIM(A1069),Main!B:B,0),"Open"),HYPERLINK("#'Main'!B1","Open"))</f>
        <v>Open</v>
      </c>
    </row>
    <row r="1070" spans="1:22" ht="30" customHeight="1" x14ac:dyDescent="0.25">
      <c r="A1070" s="50" t="s">
        <v>214</v>
      </c>
      <c r="B1070" s="33" t="s">
        <v>614</v>
      </c>
      <c r="C1070" s="37" t="s">
        <v>1301</v>
      </c>
      <c r="D1070" s="33"/>
      <c r="E1070" s="52">
        <v>200</v>
      </c>
      <c r="F1070" s="33" t="b">
        <v>1</v>
      </c>
      <c r="G1070" s="33">
        <v>0</v>
      </c>
      <c r="H1070" s="52">
        <v>0</v>
      </c>
      <c r="I1070" s="33">
        <v>0</v>
      </c>
      <c r="J1070" s="33">
        <v>0</v>
      </c>
      <c r="K1070" s="33">
        <v>0</v>
      </c>
      <c r="L1070" s="40" t="b">
        <v>0</v>
      </c>
      <c r="M1070" s="33">
        <v>0</v>
      </c>
      <c r="N1070" s="33">
        <v>0</v>
      </c>
      <c r="O1070" s="52">
        <v>0</v>
      </c>
      <c r="P1070" s="33">
        <v>0</v>
      </c>
      <c r="Q1070" s="33">
        <v>0</v>
      </c>
      <c r="R1070" s="33"/>
      <c r="S1070" s="33"/>
      <c r="T1070" s="33" t="s">
        <v>616</v>
      </c>
      <c r="U1070" s="41" t="str">
        <f>IFERROR(HYPERLINK("#'Main'!B"&amp;MATCH(TRIM(A1070),Main!B:B,0),"Open"),HYPERLINK("#'Main'!B1","Open"))</f>
        <v>Open</v>
      </c>
      <c r="V1070" s="41"/>
    </row>
    <row r="1071" spans="1:22" ht="30" customHeight="1" x14ac:dyDescent="0.25">
      <c r="A1071" s="51" t="s">
        <v>214</v>
      </c>
      <c r="B1071" s="42" t="s">
        <v>614</v>
      </c>
      <c r="C1071" s="44" t="s">
        <v>1302</v>
      </c>
      <c r="D1071" s="42"/>
      <c r="E1071" s="52">
        <v>200</v>
      </c>
      <c r="F1071" s="42" t="b">
        <v>1</v>
      </c>
      <c r="G1071" s="42">
        <v>0</v>
      </c>
      <c r="H1071" s="52">
        <v>0</v>
      </c>
      <c r="I1071" s="42">
        <v>0</v>
      </c>
      <c r="J1071" s="42">
        <v>0</v>
      </c>
      <c r="K1071" s="42">
        <v>0</v>
      </c>
      <c r="L1071" s="46" t="b">
        <v>0</v>
      </c>
      <c r="M1071" s="42">
        <v>0</v>
      </c>
      <c r="N1071" s="42">
        <v>0</v>
      </c>
      <c r="O1071" s="52">
        <v>0</v>
      </c>
      <c r="P1071" s="42">
        <v>0</v>
      </c>
      <c r="Q1071" s="42">
        <v>0</v>
      </c>
      <c r="R1071" s="42"/>
      <c r="S1071" s="42"/>
      <c r="T1071" s="42" t="s">
        <v>616</v>
      </c>
      <c r="U1071" t="str">
        <f>IFERROR(HYPERLINK("#'Main'!B"&amp;MATCH(TRIM(A1071),Main!B:B,0),"Open"),HYPERLINK("#'Main'!B1","Open"))</f>
        <v>Open</v>
      </c>
    </row>
    <row r="1072" spans="1:22" ht="30" customHeight="1" x14ac:dyDescent="0.25">
      <c r="A1072" s="50" t="s">
        <v>214</v>
      </c>
      <c r="B1072" s="33" t="s">
        <v>614</v>
      </c>
      <c r="C1072" s="37" t="s">
        <v>1303</v>
      </c>
      <c r="D1072" s="33"/>
      <c r="E1072" s="52">
        <v>200</v>
      </c>
      <c r="F1072" s="33" t="b">
        <v>1</v>
      </c>
      <c r="G1072" s="33">
        <v>0</v>
      </c>
      <c r="H1072" s="52">
        <v>0</v>
      </c>
      <c r="I1072" s="33">
        <v>0</v>
      </c>
      <c r="J1072" s="33">
        <v>0</v>
      </c>
      <c r="K1072" s="33">
        <v>0</v>
      </c>
      <c r="L1072" s="40" t="b">
        <v>0</v>
      </c>
      <c r="M1072" s="33">
        <v>0</v>
      </c>
      <c r="N1072" s="33">
        <v>0</v>
      </c>
      <c r="O1072" s="52">
        <v>0</v>
      </c>
      <c r="P1072" s="33">
        <v>0</v>
      </c>
      <c r="Q1072" s="33">
        <v>0</v>
      </c>
      <c r="R1072" s="33"/>
      <c r="S1072" s="33"/>
      <c r="T1072" s="33" t="s">
        <v>616</v>
      </c>
      <c r="U1072" s="41" t="str">
        <f>IFERROR(HYPERLINK("#'Main'!B"&amp;MATCH(TRIM(A1072),Main!B:B,0),"Open"),HYPERLINK("#'Main'!B1","Open"))</f>
        <v>Open</v>
      </c>
      <c r="V1072" s="41"/>
    </row>
    <row r="1073" spans="1:22" ht="30" customHeight="1" x14ac:dyDescent="0.25">
      <c r="A1073" s="51" t="s">
        <v>214</v>
      </c>
      <c r="B1073" s="42" t="s">
        <v>614</v>
      </c>
      <c r="C1073" s="44" t="s">
        <v>1304</v>
      </c>
      <c r="D1073" s="42"/>
      <c r="E1073" s="52">
        <v>200</v>
      </c>
      <c r="F1073" s="42" t="b">
        <v>1</v>
      </c>
      <c r="G1073" s="42">
        <v>0</v>
      </c>
      <c r="H1073" s="52">
        <v>0</v>
      </c>
      <c r="I1073" s="42">
        <v>0</v>
      </c>
      <c r="J1073" s="42">
        <v>0</v>
      </c>
      <c r="K1073" s="42">
        <v>0</v>
      </c>
      <c r="L1073" s="46" t="b">
        <v>0</v>
      </c>
      <c r="M1073" s="42">
        <v>0</v>
      </c>
      <c r="N1073" s="42">
        <v>0</v>
      </c>
      <c r="O1073" s="52">
        <v>0</v>
      </c>
      <c r="P1073" s="42">
        <v>0</v>
      </c>
      <c r="Q1073" s="42">
        <v>0</v>
      </c>
      <c r="R1073" s="42"/>
      <c r="S1073" s="42"/>
      <c r="T1073" s="42" t="s">
        <v>616</v>
      </c>
      <c r="U1073" t="str">
        <f>IFERROR(HYPERLINK("#'Main'!B"&amp;MATCH(TRIM(A1073),Main!B:B,0),"Open"),HYPERLINK("#'Main'!B1","Open"))</f>
        <v>Open</v>
      </c>
    </row>
    <row r="1074" spans="1:22" ht="30" customHeight="1" x14ac:dyDescent="0.25">
      <c r="A1074" s="50" t="s">
        <v>214</v>
      </c>
      <c r="B1074" s="33" t="s">
        <v>614</v>
      </c>
      <c r="C1074" s="37" t="s">
        <v>1305</v>
      </c>
      <c r="D1074" s="33"/>
      <c r="E1074" s="52">
        <v>200</v>
      </c>
      <c r="F1074" s="33" t="b">
        <v>1</v>
      </c>
      <c r="G1074" s="33">
        <v>0</v>
      </c>
      <c r="H1074" s="52">
        <v>0</v>
      </c>
      <c r="I1074" s="33">
        <v>0</v>
      </c>
      <c r="J1074" s="33">
        <v>0</v>
      </c>
      <c r="K1074" s="33">
        <v>0</v>
      </c>
      <c r="L1074" s="40" t="b">
        <v>0</v>
      </c>
      <c r="M1074" s="33">
        <v>0</v>
      </c>
      <c r="N1074" s="33">
        <v>0</v>
      </c>
      <c r="O1074" s="52">
        <v>0</v>
      </c>
      <c r="P1074" s="33">
        <v>0</v>
      </c>
      <c r="Q1074" s="33">
        <v>0</v>
      </c>
      <c r="R1074" s="33"/>
      <c r="S1074" s="33"/>
      <c r="T1074" s="33" t="s">
        <v>616</v>
      </c>
      <c r="U1074" s="41" t="str">
        <f>IFERROR(HYPERLINK("#'Main'!B"&amp;MATCH(TRIM(A1074),Main!B:B,0),"Open"),HYPERLINK("#'Main'!B1","Open"))</f>
        <v>Open</v>
      </c>
      <c r="V1074" s="41"/>
    </row>
    <row r="1075" spans="1:22" ht="30" customHeight="1" x14ac:dyDescent="0.25">
      <c r="A1075" s="51" t="s">
        <v>214</v>
      </c>
      <c r="B1075" s="42" t="s">
        <v>614</v>
      </c>
      <c r="C1075" s="44" t="s">
        <v>1306</v>
      </c>
      <c r="D1075" s="42"/>
      <c r="E1075" s="52">
        <v>200</v>
      </c>
      <c r="F1075" s="42" t="b">
        <v>1</v>
      </c>
      <c r="G1075" s="42">
        <v>0</v>
      </c>
      <c r="H1075" s="52">
        <v>0</v>
      </c>
      <c r="I1075" s="42">
        <v>0</v>
      </c>
      <c r="J1075" s="42">
        <v>0</v>
      </c>
      <c r="K1075" s="42">
        <v>0</v>
      </c>
      <c r="L1075" s="46" t="b">
        <v>0</v>
      </c>
      <c r="M1075" s="42">
        <v>0</v>
      </c>
      <c r="N1075" s="42">
        <v>0</v>
      </c>
      <c r="O1075" s="52">
        <v>0</v>
      </c>
      <c r="P1075" s="42">
        <v>0</v>
      </c>
      <c r="Q1075" s="42">
        <v>0</v>
      </c>
      <c r="R1075" s="42"/>
      <c r="S1075" s="42"/>
      <c r="T1075" s="42" t="s">
        <v>616</v>
      </c>
      <c r="U1075" t="str">
        <f>IFERROR(HYPERLINK("#'Main'!B"&amp;MATCH(TRIM(A1075),Main!B:B,0),"Open"),HYPERLINK("#'Main'!B1","Open"))</f>
        <v>Open</v>
      </c>
    </row>
    <row r="1076" spans="1:22" ht="30" customHeight="1" x14ac:dyDescent="0.25">
      <c r="A1076" s="50" t="s">
        <v>214</v>
      </c>
      <c r="B1076" s="33" t="s">
        <v>614</v>
      </c>
      <c r="C1076" s="37" t="s">
        <v>1307</v>
      </c>
      <c r="D1076" s="33"/>
      <c r="E1076" s="52">
        <v>200</v>
      </c>
      <c r="F1076" s="33" t="b">
        <v>1</v>
      </c>
      <c r="G1076" s="33">
        <v>0</v>
      </c>
      <c r="H1076" s="52">
        <v>0</v>
      </c>
      <c r="I1076" s="33">
        <v>0</v>
      </c>
      <c r="J1076" s="33">
        <v>0</v>
      </c>
      <c r="K1076" s="33">
        <v>0</v>
      </c>
      <c r="L1076" s="40" t="b">
        <v>0</v>
      </c>
      <c r="M1076" s="33">
        <v>0</v>
      </c>
      <c r="N1076" s="33">
        <v>0</v>
      </c>
      <c r="O1076" s="52">
        <v>0</v>
      </c>
      <c r="P1076" s="33">
        <v>0</v>
      </c>
      <c r="Q1076" s="33">
        <v>0</v>
      </c>
      <c r="R1076" s="33"/>
      <c r="S1076" s="33"/>
      <c r="T1076" s="33" t="s">
        <v>616</v>
      </c>
      <c r="U1076" s="41" t="str">
        <f>IFERROR(HYPERLINK("#'Main'!B"&amp;MATCH(TRIM(A1076),Main!B:B,0),"Open"),HYPERLINK("#'Main'!B1","Open"))</f>
        <v>Open</v>
      </c>
      <c r="V1076" s="41"/>
    </row>
    <row r="1077" spans="1:22" ht="30" customHeight="1" x14ac:dyDescent="0.25">
      <c r="A1077" s="51" t="s">
        <v>214</v>
      </c>
      <c r="B1077" s="42" t="s">
        <v>614</v>
      </c>
      <c r="C1077" s="44" t="s">
        <v>1308</v>
      </c>
      <c r="D1077" s="42"/>
      <c r="E1077" s="52">
        <v>200</v>
      </c>
      <c r="F1077" s="42" t="b">
        <v>1</v>
      </c>
      <c r="G1077" s="42">
        <v>0</v>
      </c>
      <c r="H1077" s="52">
        <v>0</v>
      </c>
      <c r="I1077" s="42">
        <v>0</v>
      </c>
      <c r="J1077" s="42">
        <v>0</v>
      </c>
      <c r="K1077" s="42">
        <v>0</v>
      </c>
      <c r="L1077" s="46" t="b">
        <v>0</v>
      </c>
      <c r="M1077" s="42">
        <v>0</v>
      </c>
      <c r="N1077" s="42">
        <v>0</v>
      </c>
      <c r="O1077" s="52">
        <v>0</v>
      </c>
      <c r="P1077" s="42">
        <v>0</v>
      </c>
      <c r="Q1077" s="42">
        <v>0</v>
      </c>
      <c r="R1077" s="42"/>
      <c r="S1077" s="42"/>
      <c r="T1077" s="42" t="s">
        <v>616</v>
      </c>
      <c r="U1077" t="str">
        <f>IFERROR(HYPERLINK("#'Main'!B"&amp;MATCH(TRIM(A1077),Main!B:B,0),"Open"),HYPERLINK("#'Main'!B1","Open"))</f>
        <v>Open</v>
      </c>
    </row>
    <row r="1078" spans="1:22" ht="30" customHeight="1" x14ac:dyDescent="0.25">
      <c r="A1078" s="50" t="s">
        <v>214</v>
      </c>
      <c r="B1078" s="33" t="s">
        <v>614</v>
      </c>
      <c r="C1078" s="37" t="s">
        <v>1309</v>
      </c>
      <c r="D1078" s="33"/>
      <c r="E1078" s="52">
        <v>200</v>
      </c>
      <c r="F1078" s="33" t="b">
        <v>1</v>
      </c>
      <c r="G1078" s="33">
        <v>0</v>
      </c>
      <c r="H1078" s="52">
        <v>0</v>
      </c>
      <c r="I1078" s="33">
        <v>0</v>
      </c>
      <c r="J1078" s="33">
        <v>0</v>
      </c>
      <c r="K1078" s="33">
        <v>0</v>
      </c>
      <c r="L1078" s="40" t="b">
        <v>0</v>
      </c>
      <c r="M1078" s="33">
        <v>0</v>
      </c>
      <c r="N1078" s="33">
        <v>0</v>
      </c>
      <c r="O1078" s="52">
        <v>0</v>
      </c>
      <c r="P1078" s="33">
        <v>0</v>
      </c>
      <c r="Q1078" s="33">
        <v>0</v>
      </c>
      <c r="R1078" s="33"/>
      <c r="S1078" s="33"/>
      <c r="T1078" s="33" t="s">
        <v>616</v>
      </c>
      <c r="U1078" s="41" t="str">
        <f>IFERROR(HYPERLINK("#'Main'!B"&amp;MATCH(TRIM(A1078),Main!B:B,0),"Open"),HYPERLINK("#'Main'!B1","Open"))</f>
        <v>Open</v>
      </c>
      <c r="V1078" s="41"/>
    </row>
    <row r="1079" spans="1:22" ht="30" customHeight="1" x14ac:dyDescent="0.25">
      <c r="A1079" s="51" t="s">
        <v>214</v>
      </c>
      <c r="B1079" s="42" t="s">
        <v>614</v>
      </c>
      <c r="C1079" s="44" t="s">
        <v>1310</v>
      </c>
      <c r="D1079" s="42"/>
      <c r="E1079" s="52">
        <v>200</v>
      </c>
      <c r="F1079" s="42" t="b">
        <v>1</v>
      </c>
      <c r="G1079" s="42">
        <v>0</v>
      </c>
      <c r="H1079" s="52">
        <v>0</v>
      </c>
      <c r="I1079" s="42">
        <v>0</v>
      </c>
      <c r="J1079" s="42">
        <v>0</v>
      </c>
      <c r="K1079" s="42">
        <v>0</v>
      </c>
      <c r="L1079" s="46" t="b">
        <v>0</v>
      </c>
      <c r="M1079" s="42">
        <v>0</v>
      </c>
      <c r="N1079" s="42">
        <v>0</v>
      </c>
      <c r="O1079" s="52">
        <v>0</v>
      </c>
      <c r="P1079" s="42">
        <v>0</v>
      </c>
      <c r="Q1079" s="42">
        <v>0</v>
      </c>
      <c r="R1079" s="42"/>
      <c r="S1079" s="42"/>
      <c r="T1079" s="42" t="s">
        <v>616</v>
      </c>
      <c r="U1079" t="str">
        <f>IFERROR(HYPERLINK("#'Main'!B"&amp;MATCH(TRIM(A1079),Main!B:B,0),"Open"),HYPERLINK("#'Main'!B1","Open"))</f>
        <v>Open</v>
      </c>
    </row>
    <row r="1080" spans="1:22" ht="30" customHeight="1" x14ac:dyDescent="0.25">
      <c r="A1080" s="50" t="s">
        <v>214</v>
      </c>
      <c r="B1080" s="33" t="s">
        <v>614</v>
      </c>
      <c r="C1080" s="37" t="s">
        <v>1311</v>
      </c>
      <c r="D1080" s="33"/>
      <c r="E1080" s="52">
        <v>200</v>
      </c>
      <c r="F1080" s="33" t="b">
        <v>1</v>
      </c>
      <c r="G1080" s="33">
        <v>0</v>
      </c>
      <c r="H1080" s="52">
        <v>0</v>
      </c>
      <c r="I1080" s="33">
        <v>0</v>
      </c>
      <c r="J1080" s="33">
        <v>0</v>
      </c>
      <c r="K1080" s="33">
        <v>0</v>
      </c>
      <c r="L1080" s="40" t="b">
        <v>0</v>
      </c>
      <c r="M1080" s="33">
        <v>0</v>
      </c>
      <c r="N1080" s="33">
        <v>0</v>
      </c>
      <c r="O1080" s="52">
        <v>0</v>
      </c>
      <c r="P1080" s="33">
        <v>0</v>
      </c>
      <c r="Q1080" s="33">
        <v>0</v>
      </c>
      <c r="R1080" s="33"/>
      <c r="S1080" s="33"/>
      <c r="T1080" s="33" t="s">
        <v>616</v>
      </c>
      <c r="U1080" s="41" t="str">
        <f>IFERROR(HYPERLINK("#'Main'!B"&amp;MATCH(TRIM(A1080),Main!B:B,0),"Open"),HYPERLINK("#'Main'!B1","Open"))</f>
        <v>Open</v>
      </c>
      <c r="V1080" s="41"/>
    </row>
    <row r="1081" spans="1:22" ht="30" customHeight="1" x14ac:dyDescent="0.25">
      <c r="A1081" s="51" t="s">
        <v>214</v>
      </c>
      <c r="B1081" s="42" t="s">
        <v>614</v>
      </c>
      <c r="C1081" s="44" t="s">
        <v>1312</v>
      </c>
      <c r="D1081" s="42"/>
      <c r="E1081" s="52">
        <v>200</v>
      </c>
      <c r="F1081" s="42" t="b">
        <v>1</v>
      </c>
      <c r="G1081" s="42">
        <v>0</v>
      </c>
      <c r="H1081" s="52">
        <v>0</v>
      </c>
      <c r="I1081" s="42">
        <v>0</v>
      </c>
      <c r="J1081" s="42">
        <v>0</v>
      </c>
      <c r="K1081" s="42">
        <v>0</v>
      </c>
      <c r="L1081" s="46" t="b">
        <v>0</v>
      </c>
      <c r="M1081" s="42">
        <v>0</v>
      </c>
      <c r="N1081" s="42">
        <v>0</v>
      </c>
      <c r="O1081" s="52">
        <v>0</v>
      </c>
      <c r="P1081" s="42">
        <v>0</v>
      </c>
      <c r="Q1081" s="42">
        <v>0</v>
      </c>
      <c r="R1081" s="42"/>
      <c r="S1081" s="42"/>
      <c r="T1081" s="42" t="s">
        <v>616</v>
      </c>
      <c r="U1081" t="str">
        <f>IFERROR(HYPERLINK("#'Main'!B"&amp;MATCH(TRIM(A1081),Main!B:B,0),"Open"),HYPERLINK("#'Main'!B1","Open"))</f>
        <v>Open</v>
      </c>
    </row>
    <row r="1082" spans="1:22" ht="30" customHeight="1" x14ac:dyDescent="0.25">
      <c r="A1082" s="50" t="s">
        <v>214</v>
      </c>
      <c r="B1082" s="33" t="s">
        <v>614</v>
      </c>
      <c r="C1082" s="37" t="s">
        <v>1313</v>
      </c>
      <c r="D1082" s="33"/>
      <c r="E1082" s="52">
        <v>200</v>
      </c>
      <c r="F1082" s="33" t="b">
        <v>1</v>
      </c>
      <c r="G1082" s="33">
        <v>0</v>
      </c>
      <c r="H1082" s="52">
        <v>0</v>
      </c>
      <c r="I1082" s="33">
        <v>0</v>
      </c>
      <c r="J1082" s="33">
        <v>0</v>
      </c>
      <c r="K1082" s="33">
        <v>0</v>
      </c>
      <c r="L1082" s="40" t="b">
        <v>0</v>
      </c>
      <c r="M1082" s="33">
        <v>0</v>
      </c>
      <c r="N1082" s="33">
        <v>0</v>
      </c>
      <c r="O1082" s="52">
        <v>0</v>
      </c>
      <c r="P1082" s="33">
        <v>0</v>
      </c>
      <c r="Q1082" s="33">
        <v>0</v>
      </c>
      <c r="R1082" s="33"/>
      <c r="S1082" s="33"/>
      <c r="T1082" s="33" t="s">
        <v>616</v>
      </c>
      <c r="U1082" s="41" t="str">
        <f>IFERROR(HYPERLINK("#'Main'!B"&amp;MATCH(TRIM(A1082),Main!B:B,0),"Open"),HYPERLINK("#'Main'!B1","Open"))</f>
        <v>Open</v>
      </c>
      <c r="V1082" s="41"/>
    </row>
    <row r="1083" spans="1:22" ht="30" customHeight="1" x14ac:dyDescent="0.25">
      <c r="A1083" s="51" t="s">
        <v>214</v>
      </c>
      <c r="B1083" s="42" t="s">
        <v>614</v>
      </c>
      <c r="C1083" s="44" t="s">
        <v>1314</v>
      </c>
      <c r="D1083" s="42"/>
      <c r="E1083" s="52">
        <v>200</v>
      </c>
      <c r="F1083" s="42" t="b">
        <v>1</v>
      </c>
      <c r="G1083" s="42">
        <v>0</v>
      </c>
      <c r="H1083" s="52">
        <v>0</v>
      </c>
      <c r="I1083" s="42">
        <v>0</v>
      </c>
      <c r="J1083" s="42">
        <v>0</v>
      </c>
      <c r="K1083" s="42">
        <v>0</v>
      </c>
      <c r="L1083" s="46" t="b">
        <v>0</v>
      </c>
      <c r="M1083" s="42">
        <v>0</v>
      </c>
      <c r="N1083" s="42">
        <v>0</v>
      </c>
      <c r="O1083" s="52">
        <v>0</v>
      </c>
      <c r="P1083" s="42">
        <v>0</v>
      </c>
      <c r="Q1083" s="42">
        <v>0</v>
      </c>
      <c r="R1083" s="42"/>
      <c r="S1083" s="42"/>
      <c r="T1083" s="42" t="s">
        <v>616</v>
      </c>
      <c r="U1083" t="str">
        <f>IFERROR(HYPERLINK("#'Main'!B"&amp;MATCH(TRIM(A1083),Main!B:B,0),"Open"),HYPERLINK("#'Main'!B1","Open"))</f>
        <v>Open</v>
      </c>
    </row>
    <row r="1084" spans="1:22" ht="30" customHeight="1" x14ac:dyDescent="0.25">
      <c r="A1084" s="50" t="s">
        <v>214</v>
      </c>
      <c r="B1084" s="33" t="s">
        <v>614</v>
      </c>
      <c r="C1084" s="37" t="s">
        <v>1315</v>
      </c>
      <c r="D1084" s="33"/>
      <c r="E1084" s="52">
        <v>200</v>
      </c>
      <c r="F1084" s="33" t="b">
        <v>1</v>
      </c>
      <c r="G1084" s="33">
        <v>0</v>
      </c>
      <c r="H1084" s="52">
        <v>0</v>
      </c>
      <c r="I1084" s="33">
        <v>0</v>
      </c>
      <c r="J1084" s="33">
        <v>0</v>
      </c>
      <c r="K1084" s="33">
        <v>0</v>
      </c>
      <c r="L1084" s="40" t="b">
        <v>0</v>
      </c>
      <c r="M1084" s="33">
        <v>0</v>
      </c>
      <c r="N1084" s="33">
        <v>0</v>
      </c>
      <c r="O1084" s="52">
        <v>0</v>
      </c>
      <c r="P1084" s="33">
        <v>0</v>
      </c>
      <c r="Q1084" s="33">
        <v>0</v>
      </c>
      <c r="R1084" s="33"/>
      <c r="S1084" s="33"/>
      <c r="T1084" s="33" t="s">
        <v>616</v>
      </c>
      <c r="U1084" s="41" t="str">
        <f>IFERROR(HYPERLINK("#'Main'!B"&amp;MATCH(TRIM(A1084),Main!B:B,0),"Open"),HYPERLINK("#'Main'!B1","Open"))</f>
        <v>Open</v>
      </c>
      <c r="V1084" s="41"/>
    </row>
    <row r="1085" spans="1:22" ht="30" customHeight="1" x14ac:dyDescent="0.25">
      <c r="A1085" s="51" t="s">
        <v>214</v>
      </c>
      <c r="B1085" s="42" t="s">
        <v>614</v>
      </c>
      <c r="C1085" s="44" t="s">
        <v>1316</v>
      </c>
      <c r="D1085" s="42"/>
      <c r="E1085" s="52">
        <v>200</v>
      </c>
      <c r="F1085" s="42" t="b">
        <v>1</v>
      </c>
      <c r="G1085" s="42">
        <v>0</v>
      </c>
      <c r="H1085" s="52">
        <v>0</v>
      </c>
      <c r="I1085" s="42">
        <v>0</v>
      </c>
      <c r="J1085" s="42">
        <v>0</v>
      </c>
      <c r="K1085" s="42">
        <v>0</v>
      </c>
      <c r="L1085" s="46" t="b">
        <v>0</v>
      </c>
      <c r="M1085" s="42">
        <v>0</v>
      </c>
      <c r="N1085" s="42">
        <v>0</v>
      </c>
      <c r="O1085" s="52">
        <v>0</v>
      </c>
      <c r="P1085" s="42">
        <v>0</v>
      </c>
      <c r="Q1085" s="42">
        <v>0</v>
      </c>
      <c r="R1085" s="42"/>
      <c r="S1085" s="42"/>
      <c r="T1085" s="42" t="s">
        <v>616</v>
      </c>
      <c r="U1085" t="str">
        <f>IFERROR(HYPERLINK("#'Main'!B"&amp;MATCH(TRIM(A1085),Main!B:B,0),"Open"),HYPERLINK("#'Main'!B1","Open"))</f>
        <v>Open</v>
      </c>
    </row>
    <row r="1086" spans="1:22" ht="30" customHeight="1" x14ac:dyDescent="0.25">
      <c r="A1086" s="50" t="s">
        <v>214</v>
      </c>
      <c r="B1086" s="33" t="s">
        <v>614</v>
      </c>
      <c r="C1086" s="37" t="s">
        <v>1317</v>
      </c>
      <c r="D1086" s="33"/>
      <c r="E1086" s="52">
        <v>200</v>
      </c>
      <c r="F1086" s="33" t="b">
        <v>1</v>
      </c>
      <c r="G1086" s="33">
        <v>0</v>
      </c>
      <c r="H1086" s="52">
        <v>0</v>
      </c>
      <c r="I1086" s="33">
        <v>0</v>
      </c>
      <c r="J1086" s="33">
        <v>0</v>
      </c>
      <c r="K1086" s="33">
        <v>0</v>
      </c>
      <c r="L1086" s="40" t="b">
        <v>0</v>
      </c>
      <c r="M1086" s="33">
        <v>0</v>
      </c>
      <c r="N1086" s="33">
        <v>0</v>
      </c>
      <c r="O1086" s="52">
        <v>0</v>
      </c>
      <c r="P1086" s="33">
        <v>0</v>
      </c>
      <c r="Q1086" s="33">
        <v>0</v>
      </c>
      <c r="R1086" s="33"/>
      <c r="S1086" s="33"/>
      <c r="T1086" s="33" t="s">
        <v>616</v>
      </c>
      <c r="U1086" s="41" t="str">
        <f>IFERROR(HYPERLINK("#'Main'!B"&amp;MATCH(TRIM(A1086),Main!B:B,0),"Open"),HYPERLINK("#'Main'!B1","Open"))</f>
        <v>Open</v>
      </c>
      <c r="V1086" s="41"/>
    </row>
    <row r="1087" spans="1:22" ht="30" customHeight="1" x14ac:dyDescent="0.25">
      <c r="A1087" s="51" t="s">
        <v>214</v>
      </c>
      <c r="B1087" s="42" t="s">
        <v>614</v>
      </c>
      <c r="C1087" s="44" t="s">
        <v>1318</v>
      </c>
      <c r="D1087" s="42"/>
      <c r="E1087" s="52">
        <v>200</v>
      </c>
      <c r="F1087" s="42" t="b">
        <v>1</v>
      </c>
      <c r="G1087" s="42">
        <v>0</v>
      </c>
      <c r="H1087" s="52">
        <v>0</v>
      </c>
      <c r="I1087" s="42">
        <v>0</v>
      </c>
      <c r="J1087" s="42">
        <v>0</v>
      </c>
      <c r="K1087" s="42">
        <v>0</v>
      </c>
      <c r="L1087" s="46" t="b">
        <v>0</v>
      </c>
      <c r="M1087" s="42">
        <v>0</v>
      </c>
      <c r="N1087" s="42">
        <v>0</v>
      </c>
      <c r="O1087" s="52">
        <v>0</v>
      </c>
      <c r="P1087" s="42">
        <v>0</v>
      </c>
      <c r="Q1087" s="42">
        <v>0</v>
      </c>
      <c r="R1087" s="42"/>
      <c r="S1087" s="42"/>
      <c r="T1087" s="42" t="s">
        <v>616</v>
      </c>
      <c r="U1087" t="str">
        <f>IFERROR(HYPERLINK("#'Main'!B"&amp;MATCH(TRIM(A1087),Main!B:B,0),"Open"),HYPERLINK("#'Main'!B1","Open"))</f>
        <v>Open</v>
      </c>
    </row>
    <row r="1088" spans="1:22" ht="30" customHeight="1" x14ac:dyDescent="0.25">
      <c r="A1088" s="50" t="s">
        <v>214</v>
      </c>
      <c r="B1088" s="33" t="s">
        <v>614</v>
      </c>
      <c r="C1088" s="37" t="s">
        <v>1319</v>
      </c>
      <c r="D1088" s="33"/>
      <c r="E1088" s="52">
        <v>200</v>
      </c>
      <c r="F1088" s="33" t="b">
        <v>1</v>
      </c>
      <c r="G1088" s="33">
        <v>0</v>
      </c>
      <c r="H1088" s="52">
        <v>0</v>
      </c>
      <c r="I1088" s="33">
        <v>0</v>
      </c>
      <c r="J1088" s="33">
        <v>0</v>
      </c>
      <c r="K1088" s="33">
        <v>0</v>
      </c>
      <c r="L1088" s="40" t="b">
        <v>0</v>
      </c>
      <c r="M1088" s="33">
        <v>0</v>
      </c>
      <c r="N1088" s="33">
        <v>0</v>
      </c>
      <c r="O1088" s="52">
        <v>0</v>
      </c>
      <c r="P1088" s="33">
        <v>0</v>
      </c>
      <c r="Q1088" s="33">
        <v>0</v>
      </c>
      <c r="R1088" s="33"/>
      <c r="S1088" s="33"/>
      <c r="T1088" s="33" t="s">
        <v>616</v>
      </c>
      <c r="U1088" s="41" t="str">
        <f>IFERROR(HYPERLINK("#'Main'!B"&amp;MATCH(TRIM(A1088),Main!B:B,0),"Open"),HYPERLINK("#'Main'!B1","Open"))</f>
        <v>Open</v>
      </c>
      <c r="V1088" s="41"/>
    </row>
    <row r="1089" spans="1:22" ht="30" customHeight="1" x14ac:dyDescent="0.25">
      <c r="A1089" s="51" t="s">
        <v>214</v>
      </c>
      <c r="B1089" s="42" t="s">
        <v>614</v>
      </c>
      <c r="C1089" s="44" t="s">
        <v>1320</v>
      </c>
      <c r="D1089" s="42"/>
      <c r="E1089" s="52">
        <v>200</v>
      </c>
      <c r="F1089" s="42" t="b">
        <v>1</v>
      </c>
      <c r="G1089" s="42">
        <v>0</v>
      </c>
      <c r="H1089" s="52">
        <v>0</v>
      </c>
      <c r="I1089" s="42">
        <v>0</v>
      </c>
      <c r="J1089" s="42">
        <v>0</v>
      </c>
      <c r="K1089" s="42">
        <v>0</v>
      </c>
      <c r="L1089" s="46" t="b">
        <v>0</v>
      </c>
      <c r="M1089" s="42">
        <v>0</v>
      </c>
      <c r="N1089" s="42">
        <v>0</v>
      </c>
      <c r="O1089" s="52">
        <v>0</v>
      </c>
      <c r="P1089" s="42">
        <v>0</v>
      </c>
      <c r="Q1089" s="42">
        <v>0</v>
      </c>
      <c r="R1089" s="42"/>
      <c r="S1089" s="42"/>
      <c r="T1089" s="42" t="s">
        <v>616</v>
      </c>
      <c r="U1089" t="str">
        <f>IFERROR(HYPERLINK("#'Main'!B"&amp;MATCH(TRIM(A1089),Main!B:B,0),"Open"),HYPERLINK("#'Main'!B1","Open"))</f>
        <v>Open</v>
      </c>
    </row>
    <row r="1090" spans="1:22" ht="30" customHeight="1" x14ac:dyDescent="0.25">
      <c r="A1090" s="50" t="s">
        <v>214</v>
      </c>
      <c r="B1090" s="33" t="s">
        <v>614</v>
      </c>
      <c r="C1090" s="37" t="s">
        <v>1321</v>
      </c>
      <c r="D1090" s="33"/>
      <c r="E1090" s="52">
        <v>200</v>
      </c>
      <c r="F1090" s="33" t="b">
        <v>1</v>
      </c>
      <c r="G1090" s="33">
        <v>0</v>
      </c>
      <c r="H1090" s="52">
        <v>0</v>
      </c>
      <c r="I1090" s="33">
        <v>0</v>
      </c>
      <c r="J1090" s="33">
        <v>0</v>
      </c>
      <c r="K1090" s="33">
        <v>0</v>
      </c>
      <c r="L1090" s="40" t="b">
        <v>0</v>
      </c>
      <c r="M1090" s="33">
        <v>0</v>
      </c>
      <c r="N1090" s="33">
        <v>0</v>
      </c>
      <c r="O1090" s="52">
        <v>0</v>
      </c>
      <c r="P1090" s="33">
        <v>0</v>
      </c>
      <c r="Q1090" s="33">
        <v>0</v>
      </c>
      <c r="R1090" s="33"/>
      <c r="S1090" s="33"/>
      <c r="T1090" s="33" t="s">
        <v>616</v>
      </c>
      <c r="U1090" s="41" t="str">
        <f>IFERROR(HYPERLINK("#'Main'!B"&amp;MATCH(TRIM(A1090),Main!B:B,0),"Open"),HYPERLINK("#'Main'!B1","Open"))</f>
        <v>Open</v>
      </c>
      <c r="V1090" s="41"/>
    </row>
    <row r="1091" spans="1:22" ht="30" customHeight="1" x14ac:dyDescent="0.25">
      <c r="A1091" s="51" t="s">
        <v>214</v>
      </c>
      <c r="B1091" s="42" t="s">
        <v>614</v>
      </c>
      <c r="C1091" s="44" t="s">
        <v>1322</v>
      </c>
      <c r="D1091" s="42"/>
      <c r="E1091" s="52">
        <v>200</v>
      </c>
      <c r="F1091" s="42" t="b">
        <v>1</v>
      </c>
      <c r="G1091" s="42">
        <v>0</v>
      </c>
      <c r="H1091" s="52">
        <v>0</v>
      </c>
      <c r="I1091" s="42">
        <v>0</v>
      </c>
      <c r="J1091" s="42">
        <v>0</v>
      </c>
      <c r="K1091" s="42">
        <v>0</v>
      </c>
      <c r="L1091" s="46" t="b">
        <v>0</v>
      </c>
      <c r="M1091" s="42">
        <v>0</v>
      </c>
      <c r="N1091" s="42">
        <v>0</v>
      </c>
      <c r="O1091" s="52">
        <v>0</v>
      </c>
      <c r="P1091" s="42">
        <v>0</v>
      </c>
      <c r="Q1091" s="42">
        <v>0</v>
      </c>
      <c r="R1091" s="42"/>
      <c r="S1091" s="42"/>
      <c r="T1091" s="42" t="s">
        <v>616</v>
      </c>
      <c r="U1091" t="str">
        <f>IFERROR(HYPERLINK("#'Main'!B"&amp;MATCH(TRIM(A1091),Main!B:B,0),"Open"),HYPERLINK("#'Main'!B1","Open"))</f>
        <v>Open</v>
      </c>
    </row>
    <row r="1092" spans="1:22" ht="30" customHeight="1" x14ac:dyDescent="0.25">
      <c r="A1092" s="50" t="s">
        <v>214</v>
      </c>
      <c r="B1092" s="33" t="s">
        <v>614</v>
      </c>
      <c r="C1092" s="37" t="s">
        <v>1323</v>
      </c>
      <c r="D1092" s="33"/>
      <c r="E1092" s="52">
        <v>200</v>
      </c>
      <c r="F1092" s="33" t="b">
        <v>1</v>
      </c>
      <c r="G1092" s="33">
        <v>0</v>
      </c>
      <c r="H1092" s="52">
        <v>0</v>
      </c>
      <c r="I1092" s="33">
        <v>0</v>
      </c>
      <c r="J1092" s="33">
        <v>0</v>
      </c>
      <c r="K1092" s="33">
        <v>0</v>
      </c>
      <c r="L1092" s="40" t="b">
        <v>0</v>
      </c>
      <c r="M1092" s="33">
        <v>0</v>
      </c>
      <c r="N1092" s="33">
        <v>0</v>
      </c>
      <c r="O1092" s="52">
        <v>0</v>
      </c>
      <c r="P1092" s="33">
        <v>0</v>
      </c>
      <c r="Q1092" s="33">
        <v>0</v>
      </c>
      <c r="R1092" s="33"/>
      <c r="S1092" s="33"/>
      <c r="T1092" s="33" t="s">
        <v>616</v>
      </c>
      <c r="U1092" s="41" t="str">
        <f>IFERROR(HYPERLINK("#'Main'!B"&amp;MATCH(TRIM(A1092),Main!B:B,0),"Open"),HYPERLINK("#'Main'!B1","Open"))</f>
        <v>Open</v>
      </c>
      <c r="V1092" s="41"/>
    </row>
    <row r="1093" spans="1:22" ht="30" customHeight="1" x14ac:dyDescent="0.25">
      <c r="A1093" s="51" t="s">
        <v>214</v>
      </c>
      <c r="B1093" s="42" t="s">
        <v>614</v>
      </c>
      <c r="C1093" s="44" t="s">
        <v>1324</v>
      </c>
      <c r="D1093" s="42"/>
      <c r="E1093" s="52">
        <v>200</v>
      </c>
      <c r="F1093" s="42" t="b">
        <v>1</v>
      </c>
      <c r="G1093" s="42">
        <v>0</v>
      </c>
      <c r="H1093" s="52">
        <v>0</v>
      </c>
      <c r="I1093" s="42">
        <v>0</v>
      </c>
      <c r="J1093" s="42">
        <v>0</v>
      </c>
      <c r="K1093" s="42">
        <v>0</v>
      </c>
      <c r="L1093" s="46" t="b">
        <v>0</v>
      </c>
      <c r="M1093" s="42">
        <v>0</v>
      </c>
      <c r="N1093" s="42">
        <v>0</v>
      </c>
      <c r="O1093" s="52">
        <v>0</v>
      </c>
      <c r="P1093" s="42">
        <v>0</v>
      </c>
      <c r="Q1093" s="42">
        <v>0</v>
      </c>
      <c r="R1093" s="42"/>
      <c r="S1093" s="42"/>
      <c r="T1093" s="42" t="s">
        <v>616</v>
      </c>
      <c r="U1093" t="str">
        <f>IFERROR(HYPERLINK("#'Main'!B"&amp;MATCH(TRIM(A1093),Main!B:B,0),"Open"),HYPERLINK("#'Main'!B1","Open"))</f>
        <v>Open</v>
      </c>
    </row>
    <row r="1094" spans="1:22" ht="30" customHeight="1" x14ac:dyDescent="0.25">
      <c r="A1094" s="50" t="s">
        <v>214</v>
      </c>
      <c r="B1094" s="33" t="s">
        <v>614</v>
      </c>
      <c r="C1094" s="37" t="s">
        <v>1325</v>
      </c>
      <c r="D1094" s="33"/>
      <c r="E1094" s="52">
        <v>200</v>
      </c>
      <c r="F1094" s="33" t="b">
        <v>1</v>
      </c>
      <c r="G1094" s="33">
        <v>0</v>
      </c>
      <c r="H1094" s="52">
        <v>0</v>
      </c>
      <c r="I1094" s="33">
        <v>0</v>
      </c>
      <c r="J1094" s="33">
        <v>0</v>
      </c>
      <c r="K1094" s="33">
        <v>0</v>
      </c>
      <c r="L1094" s="40" t="b">
        <v>0</v>
      </c>
      <c r="M1094" s="33">
        <v>0</v>
      </c>
      <c r="N1094" s="33">
        <v>0</v>
      </c>
      <c r="O1094" s="52">
        <v>0</v>
      </c>
      <c r="P1094" s="33">
        <v>0</v>
      </c>
      <c r="Q1094" s="33">
        <v>0</v>
      </c>
      <c r="R1094" s="33"/>
      <c r="S1094" s="33"/>
      <c r="T1094" s="33" t="s">
        <v>616</v>
      </c>
      <c r="U1094" s="41" t="str">
        <f>IFERROR(HYPERLINK("#'Main'!B"&amp;MATCH(TRIM(A1094),Main!B:B,0),"Open"),HYPERLINK("#'Main'!B1","Open"))</f>
        <v>Open</v>
      </c>
      <c r="V1094" s="41"/>
    </row>
    <row r="1095" spans="1:22" ht="30" customHeight="1" x14ac:dyDescent="0.25">
      <c r="A1095" s="51" t="s">
        <v>214</v>
      </c>
      <c r="B1095" s="42" t="s">
        <v>614</v>
      </c>
      <c r="C1095" s="44" t="s">
        <v>1326</v>
      </c>
      <c r="D1095" s="42"/>
      <c r="E1095" s="52">
        <v>200</v>
      </c>
      <c r="F1095" s="42" t="b">
        <v>1</v>
      </c>
      <c r="G1095" s="42">
        <v>0</v>
      </c>
      <c r="H1095" s="52">
        <v>0</v>
      </c>
      <c r="I1095" s="42">
        <v>0</v>
      </c>
      <c r="J1095" s="42">
        <v>0</v>
      </c>
      <c r="K1095" s="42">
        <v>0</v>
      </c>
      <c r="L1095" s="46" t="b">
        <v>0</v>
      </c>
      <c r="M1095" s="42">
        <v>0</v>
      </c>
      <c r="N1095" s="42">
        <v>0</v>
      </c>
      <c r="O1095" s="52">
        <v>0</v>
      </c>
      <c r="P1095" s="42">
        <v>0</v>
      </c>
      <c r="Q1095" s="42">
        <v>0</v>
      </c>
      <c r="R1095" s="42"/>
      <c r="S1095" s="42"/>
      <c r="T1095" s="42" t="s">
        <v>616</v>
      </c>
      <c r="U1095" t="str">
        <f>IFERROR(HYPERLINK("#'Main'!B"&amp;MATCH(TRIM(A1095),Main!B:B,0),"Open"),HYPERLINK("#'Main'!B1","Open"))</f>
        <v>Open</v>
      </c>
    </row>
    <row r="1096" spans="1:22" ht="30" customHeight="1" x14ac:dyDescent="0.25">
      <c r="A1096" s="50" t="s">
        <v>214</v>
      </c>
      <c r="B1096" s="33" t="s">
        <v>614</v>
      </c>
      <c r="C1096" s="37" t="s">
        <v>1327</v>
      </c>
      <c r="D1096" s="33"/>
      <c r="E1096" s="52">
        <v>200</v>
      </c>
      <c r="F1096" s="33" t="b">
        <v>1</v>
      </c>
      <c r="G1096" s="33">
        <v>0</v>
      </c>
      <c r="H1096" s="52">
        <v>0</v>
      </c>
      <c r="I1096" s="33">
        <v>0</v>
      </c>
      <c r="J1096" s="33">
        <v>0</v>
      </c>
      <c r="K1096" s="33">
        <v>0</v>
      </c>
      <c r="L1096" s="40" t="b">
        <v>0</v>
      </c>
      <c r="M1096" s="33">
        <v>0</v>
      </c>
      <c r="N1096" s="33">
        <v>0</v>
      </c>
      <c r="O1096" s="52">
        <v>0</v>
      </c>
      <c r="P1096" s="33">
        <v>0</v>
      </c>
      <c r="Q1096" s="33">
        <v>0</v>
      </c>
      <c r="R1096" s="33"/>
      <c r="S1096" s="33"/>
      <c r="T1096" s="33" t="s">
        <v>616</v>
      </c>
      <c r="U1096" s="41" t="str">
        <f>IFERROR(HYPERLINK("#'Main'!B"&amp;MATCH(TRIM(A1096),Main!B:B,0),"Open"),HYPERLINK("#'Main'!B1","Open"))</f>
        <v>Open</v>
      </c>
      <c r="V1096" s="41"/>
    </row>
    <row r="1097" spans="1:22" ht="30" customHeight="1" x14ac:dyDescent="0.25">
      <c r="A1097" s="51" t="s">
        <v>214</v>
      </c>
      <c r="B1097" s="42" t="s">
        <v>614</v>
      </c>
      <c r="C1097" s="44" t="s">
        <v>1328</v>
      </c>
      <c r="D1097" s="42"/>
      <c r="E1097" s="52">
        <v>200</v>
      </c>
      <c r="F1097" s="42" t="b">
        <v>1</v>
      </c>
      <c r="G1097" s="42">
        <v>0</v>
      </c>
      <c r="H1097" s="52">
        <v>0</v>
      </c>
      <c r="I1097" s="42">
        <v>0</v>
      </c>
      <c r="J1097" s="42">
        <v>0</v>
      </c>
      <c r="K1097" s="42">
        <v>0</v>
      </c>
      <c r="L1097" s="46" t="b">
        <v>0</v>
      </c>
      <c r="M1097" s="42">
        <v>0</v>
      </c>
      <c r="N1097" s="42">
        <v>0</v>
      </c>
      <c r="O1097" s="52">
        <v>0</v>
      </c>
      <c r="P1097" s="42">
        <v>0</v>
      </c>
      <c r="Q1097" s="42">
        <v>0</v>
      </c>
      <c r="R1097" s="42"/>
      <c r="S1097" s="42"/>
      <c r="T1097" s="42" t="s">
        <v>616</v>
      </c>
      <c r="U1097" t="str">
        <f>IFERROR(HYPERLINK("#'Main'!B"&amp;MATCH(TRIM(A1097),Main!B:B,0),"Open"),HYPERLINK("#'Main'!B1","Open"))</f>
        <v>Open</v>
      </c>
    </row>
    <row r="1098" spans="1:22" ht="30" customHeight="1" x14ac:dyDescent="0.25">
      <c r="A1098" s="50" t="s">
        <v>214</v>
      </c>
      <c r="B1098" s="33" t="s">
        <v>614</v>
      </c>
      <c r="C1098" s="37" t="s">
        <v>1329</v>
      </c>
      <c r="D1098" s="33"/>
      <c r="E1098" s="52">
        <v>200</v>
      </c>
      <c r="F1098" s="33" t="b">
        <v>1</v>
      </c>
      <c r="G1098" s="33">
        <v>0</v>
      </c>
      <c r="H1098" s="52">
        <v>0</v>
      </c>
      <c r="I1098" s="33">
        <v>0</v>
      </c>
      <c r="J1098" s="33">
        <v>0</v>
      </c>
      <c r="K1098" s="33">
        <v>0</v>
      </c>
      <c r="L1098" s="40" t="b">
        <v>0</v>
      </c>
      <c r="M1098" s="33">
        <v>0</v>
      </c>
      <c r="N1098" s="33">
        <v>0</v>
      </c>
      <c r="O1098" s="52">
        <v>0</v>
      </c>
      <c r="P1098" s="33">
        <v>0</v>
      </c>
      <c r="Q1098" s="33">
        <v>0</v>
      </c>
      <c r="R1098" s="33"/>
      <c r="S1098" s="33"/>
      <c r="T1098" s="33" t="s">
        <v>616</v>
      </c>
      <c r="U1098" s="41" t="str">
        <f>IFERROR(HYPERLINK("#'Main'!B"&amp;MATCH(TRIM(A1098),Main!B:B,0),"Open"),HYPERLINK("#'Main'!B1","Open"))</f>
        <v>Open</v>
      </c>
      <c r="V1098" s="41"/>
    </row>
    <row r="1099" spans="1:22" ht="30" customHeight="1" x14ac:dyDescent="0.25">
      <c r="A1099" s="51" t="s">
        <v>214</v>
      </c>
      <c r="B1099" s="42" t="s">
        <v>614</v>
      </c>
      <c r="C1099" s="44" t="s">
        <v>1330</v>
      </c>
      <c r="D1099" s="42"/>
      <c r="E1099" s="52">
        <v>200</v>
      </c>
      <c r="F1099" s="42" t="b">
        <v>1</v>
      </c>
      <c r="G1099" s="42">
        <v>0</v>
      </c>
      <c r="H1099" s="52">
        <v>0</v>
      </c>
      <c r="I1099" s="42">
        <v>0</v>
      </c>
      <c r="J1099" s="42">
        <v>0</v>
      </c>
      <c r="K1099" s="42">
        <v>0</v>
      </c>
      <c r="L1099" s="46" t="b">
        <v>0</v>
      </c>
      <c r="M1099" s="42">
        <v>0</v>
      </c>
      <c r="N1099" s="42">
        <v>0</v>
      </c>
      <c r="O1099" s="52">
        <v>0</v>
      </c>
      <c r="P1099" s="42">
        <v>0</v>
      </c>
      <c r="Q1099" s="42">
        <v>0</v>
      </c>
      <c r="R1099" s="42"/>
      <c r="S1099" s="42"/>
      <c r="T1099" s="42" t="s">
        <v>616</v>
      </c>
      <c r="U1099" t="str">
        <f>IFERROR(HYPERLINK("#'Main'!B"&amp;MATCH(TRIM(A1099),Main!B:B,0),"Open"),HYPERLINK("#'Main'!B1","Open"))</f>
        <v>Open</v>
      </c>
    </row>
    <row r="1100" spans="1:22" ht="30" customHeight="1" x14ac:dyDescent="0.25">
      <c r="A1100" s="50" t="s">
        <v>214</v>
      </c>
      <c r="B1100" s="33" t="s">
        <v>614</v>
      </c>
      <c r="C1100" s="37" t="s">
        <v>1331</v>
      </c>
      <c r="D1100" s="33"/>
      <c r="E1100" s="52">
        <v>200</v>
      </c>
      <c r="F1100" s="33" t="b">
        <v>1</v>
      </c>
      <c r="G1100" s="33">
        <v>0</v>
      </c>
      <c r="H1100" s="52">
        <v>0</v>
      </c>
      <c r="I1100" s="33">
        <v>0</v>
      </c>
      <c r="J1100" s="33">
        <v>0</v>
      </c>
      <c r="K1100" s="33">
        <v>0</v>
      </c>
      <c r="L1100" s="40" t="b">
        <v>0</v>
      </c>
      <c r="M1100" s="33">
        <v>0</v>
      </c>
      <c r="N1100" s="33">
        <v>0</v>
      </c>
      <c r="O1100" s="52">
        <v>0</v>
      </c>
      <c r="P1100" s="33">
        <v>0</v>
      </c>
      <c r="Q1100" s="33">
        <v>0</v>
      </c>
      <c r="R1100" s="33"/>
      <c r="S1100" s="33"/>
      <c r="T1100" s="33" t="s">
        <v>616</v>
      </c>
      <c r="U1100" s="41" t="str">
        <f>IFERROR(HYPERLINK("#'Main'!B"&amp;MATCH(TRIM(A1100),Main!B:B,0),"Open"),HYPERLINK("#'Main'!B1","Open"))</f>
        <v>Open</v>
      </c>
      <c r="V1100" s="41"/>
    </row>
    <row r="1101" spans="1:22" ht="30" customHeight="1" x14ac:dyDescent="0.25">
      <c r="A1101" s="51" t="s">
        <v>214</v>
      </c>
      <c r="B1101" s="42" t="s">
        <v>614</v>
      </c>
      <c r="C1101" s="44" t="s">
        <v>1332</v>
      </c>
      <c r="D1101" s="42"/>
      <c r="E1101" s="52">
        <v>200</v>
      </c>
      <c r="F1101" s="42" t="b">
        <v>1</v>
      </c>
      <c r="G1101" s="42">
        <v>0</v>
      </c>
      <c r="H1101" s="52">
        <v>0</v>
      </c>
      <c r="I1101" s="42">
        <v>0</v>
      </c>
      <c r="J1101" s="42">
        <v>0</v>
      </c>
      <c r="K1101" s="42">
        <v>0</v>
      </c>
      <c r="L1101" s="46" t="b">
        <v>0</v>
      </c>
      <c r="M1101" s="42">
        <v>0</v>
      </c>
      <c r="N1101" s="42">
        <v>0</v>
      </c>
      <c r="O1101" s="52">
        <v>0</v>
      </c>
      <c r="P1101" s="42">
        <v>0</v>
      </c>
      <c r="Q1101" s="42">
        <v>0</v>
      </c>
      <c r="R1101" s="42"/>
      <c r="S1101" s="42"/>
      <c r="T1101" s="42" t="s">
        <v>616</v>
      </c>
      <c r="U1101" t="str">
        <f>IFERROR(HYPERLINK("#'Main'!B"&amp;MATCH(TRIM(A1101),Main!B:B,0),"Open"),HYPERLINK("#'Main'!B1","Open"))</f>
        <v>Open</v>
      </c>
    </row>
    <row r="1102" spans="1:22" ht="30" customHeight="1" x14ac:dyDescent="0.25">
      <c r="A1102" s="50" t="s">
        <v>214</v>
      </c>
      <c r="B1102" s="33" t="s">
        <v>614</v>
      </c>
      <c r="C1102" s="37" t="s">
        <v>1333</v>
      </c>
      <c r="D1102" s="33"/>
      <c r="E1102" s="52">
        <v>200</v>
      </c>
      <c r="F1102" s="33" t="b">
        <v>1</v>
      </c>
      <c r="G1102" s="33">
        <v>0</v>
      </c>
      <c r="H1102" s="52">
        <v>0</v>
      </c>
      <c r="I1102" s="33">
        <v>0</v>
      </c>
      <c r="J1102" s="33">
        <v>0</v>
      </c>
      <c r="K1102" s="33">
        <v>0</v>
      </c>
      <c r="L1102" s="40" t="b">
        <v>0</v>
      </c>
      <c r="M1102" s="33">
        <v>0</v>
      </c>
      <c r="N1102" s="33">
        <v>0</v>
      </c>
      <c r="O1102" s="52">
        <v>0</v>
      </c>
      <c r="P1102" s="33">
        <v>0</v>
      </c>
      <c r="Q1102" s="33">
        <v>0</v>
      </c>
      <c r="R1102" s="33"/>
      <c r="S1102" s="33"/>
      <c r="T1102" s="33" t="s">
        <v>616</v>
      </c>
      <c r="U1102" s="41" t="str">
        <f>IFERROR(HYPERLINK("#'Main'!B"&amp;MATCH(TRIM(A1102),Main!B:B,0),"Open"),HYPERLINK("#'Main'!B1","Open"))</f>
        <v>Open</v>
      </c>
      <c r="V1102" s="41"/>
    </row>
    <row r="1103" spans="1:22" ht="30" customHeight="1" x14ac:dyDescent="0.25">
      <c r="A1103" s="51" t="s">
        <v>214</v>
      </c>
      <c r="B1103" s="42" t="s">
        <v>614</v>
      </c>
      <c r="C1103" s="44" t="s">
        <v>1334</v>
      </c>
      <c r="D1103" s="42"/>
      <c r="E1103" s="52">
        <v>200</v>
      </c>
      <c r="F1103" s="42" t="b">
        <v>1</v>
      </c>
      <c r="G1103" s="42">
        <v>0</v>
      </c>
      <c r="H1103" s="52">
        <v>0</v>
      </c>
      <c r="I1103" s="42">
        <v>0</v>
      </c>
      <c r="J1103" s="42">
        <v>0</v>
      </c>
      <c r="K1103" s="42">
        <v>0</v>
      </c>
      <c r="L1103" s="46" t="b">
        <v>0</v>
      </c>
      <c r="M1103" s="42">
        <v>0</v>
      </c>
      <c r="N1103" s="42">
        <v>0</v>
      </c>
      <c r="O1103" s="52">
        <v>0</v>
      </c>
      <c r="P1103" s="42">
        <v>0</v>
      </c>
      <c r="Q1103" s="42">
        <v>0</v>
      </c>
      <c r="R1103" s="42"/>
      <c r="S1103" s="42"/>
      <c r="T1103" s="42" t="s">
        <v>616</v>
      </c>
      <c r="U1103" t="str">
        <f>IFERROR(HYPERLINK("#'Main'!B"&amp;MATCH(TRIM(A1103),Main!B:B,0),"Open"),HYPERLINK("#'Main'!B1","Open"))</f>
        <v>Open</v>
      </c>
    </row>
    <row r="1104" spans="1:22" ht="30" customHeight="1" x14ac:dyDescent="0.25">
      <c r="A1104" s="50" t="s">
        <v>214</v>
      </c>
      <c r="B1104" s="33" t="s">
        <v>614</v>
      </c>
      <c r="C1104" s="37" t="s">
        <v>1335</v>
      </c>
      <c r="D1104" s="33"/>
      <c r="E1104" s="52">
        <v>200</v>
      </c>
      <c r="F1104" s="33" t="b">
        <v>1</v>
      </c>
      <c r="G1104" s="33">
        <v>0</v>
      </c>
      <c r="H1104" s="52">
        <v>0</v>
      </c>
      <c r="I1104" s="33">
        <v>0</v>
      </c>
      <c r="J1104" s="33">
        <v>0</v>
      </c>
      <c r="K1104" s="33">
        <v>0</v>
      </c>
      <c r="L1104" s="40" t="b">
        <v>0</v>
      </c>
      <c r="M1104" s="33">
        <v>0</v>
      </c>
      <c r="N1104" s="33">
        <v>0</v>
      </c>
      <c r="O1104" s="52">
        <v>0</v>
      </c>
      <c r="P1104" s="33">
        <v>0</v>
      </c>
      <c r="Q1104" s="33">
        <v>0</v>
      </c>
      <c r="R1104" s="33"/>
      <c r="S1104" s="33"/>
      <c r="T1104" s="33" t="s">
        <v>616</v>
      </c>
      <c r="U1104" s="41" t="str">
        <f>IFERROR(HYPERLINK("#'Main'!B"&amp;MATCH(TRIM(A1104),Main!B:B,0),"Open"),HYPERLINK("#'Main'!B1","Open"))</f>
        <v>Open</v>
      </c>
      <c r="V1104" s="41"/>
    </row>
    <row r="1105" spans="1:22" ht="30" customHeight="1" x14ac:dyDescent="0.25">
      <c r="A1105" s="51" t="s">
        <v>214</v>
      </c>
      <c r="B1105" s="42" t="s">
        <v>614</v>
      </c>
      <c r="C1105" s="44" t="s">
        <v>1336</v>
      </c>
      <c r="D1105" s="42"/>
      <c r="E1105" s="52">
        <v>200</v>
      </c>
      <c r="F1105" s="42" t="b">
        <v>1</v>
      </c>
      <c r="G1105" s="42">
        <v>0</v>
      </c>
      <c r="H1105" s="52">
        <v>0</v>
      </c>
      <c r="I1105" s="42">
        <v>0</v>
      </c>
      <c r="J1105" s="42">
        <v>0</v>
      </c>
      <c r="K1105" s="42">
        <v>0</v>
      </c>
      <c r="L1105" s="46" t="b">
        <v>0</v>
      </c>
      <c r="M1105" s="42">
        <v>0</v>
      </c>
      <c r="N1105" s="42">
        <v>0</v>
      </c>
      <c r="O1105" s="52">
        <v>0</v>
      </c>
      <c r="P1105" s="42">
        <v>0</v>
      </c>
      <c r="Q1105" s="42">
        <v>0</v>
      </c>
      <c r="R1105" s="42"/>
      <c r="S1105" s="42"/>
      <c r="T1105" s="42" t="s">
        <v>616</v>
      </c>
      <c r="U1105" t="str">
        <f>IFERROR(HYPERLINK("#'Main'!B"&amp;MATCH(TRIM(A1105),Main!B:B,0),"Open"),HYPERLINK("#'Main'!B1","Open"))</f>
        <v>Open</v>
      </c>
    </row>
    <row r="1106" spans="1:22" ht="30" customHeight="1" x14ac:dyDescent="0.25">
      <c r="A1106" s="50" t="s">
        <v>214</v>
      </c>
      <c r="B1106" s="33" t="s">
        <v>614</v>
      </c>
      <c r="C1106" s="37" t="s">
        <v>1337</v>
      </c>
      <c r="D1106" s="33"/>
      <c r="E1106" s="52">
        <v>200</v>
      </c>
      <c r="F1106" s="33" t="b">
        <v>1</v>
      </c>
      <c r="G1106" s="33">
        <v>0</v>
      </c>
      <c r="H1106" s="52">
        <v>0</v>
      </c>
      <c r="I1106" s="33">
        <v>0</v>
      </c>
      <c r="J1106" s="33">
        <v>0</v>
      </c>
      <c r="K1106" s="33">
        <v>0</v>
      </c>
      <c r="L1106" s="40" t="b">
        <v>0</v>
      </c>
      <c r="M1106" s="33">
        <v>0</v>
      </c>
      <c r="N1106" s="33">
        <v>0</v>
      </c>
      <c r="O1106" s="52">
        <v>0</v>
      </c>
      <c r="P1106" s="33">
        <v>0</v>
      </c>
      <c r="Q1106" s="33">
        <v>0</v>
      </c>
      <c r="R1106" s="33"/>
      <c r="S1106" s="33"/>
      <c r="T1106" s="33" t="s">
        <v>616</v>
      </c>
      <c r="U1106" s="41" t="str">
        <f>IFERROR(HYPERLINK("#'Main'!B"&amp;MATCH(TRIM(A1106),Main!B:B,0),"Open"),HYPERLINK("#'Main'!B1","Open"))</f>
        <v>Open</v>
      </c>
      <c r="V1106" s="41"/>
    </row>
    <row r="1107" spans="1:22" ht="30" customHeight="1" x14ac:dyDescent="0.25">
      <c r="A1107" s="51" t="s">
        <v>214</v>
      </c>
      <c r="B1107" s="42" t="s">
        <v>614</v>
      </c>
      <c r="C1107" s="44" t="s">
        <v>1338</v>
      </c>
      <c r="D1107" s="42"/>
      <c r="E1107" s="52">
        <v>200</v>
      </c>
      <c r="F1107" s="42" t="b">
        <v>1</v>
      </c>
      <c r="G1107" s="42">
        <v>0</v>
      </c>
      <c r="H1107" s="52">
        <v>0</v>
      </c>
      <c r="I1107" s="42">
        <v>0</v>
      </c>
      <c r="J1107" s="42">
        <v>0</v>
      </c>
      <c r="K1107" s="42">
        <v>0</v>
      </c>
      <c r="L1107" s="46" t="b">
        <v>0</v>
      </c>
      <c r="M1107" s="42">
        <v>0</v>
      </c>
      <c r="N1107" s="42">
        <v>0</v>
      </c>
      <c r="O1107" s="52">
        <v>0</v>
      </c>
      <c r="P1107" s="42">
        <v>0</v>
      </c>
      <c r="Q1107" s="42">
        <v>0</v>
      </c>
      <c r="R1107" s="42"/>
      <c r="S1107" s="42"/>
      <c r="T1107" s="42" t="s">
        <v>616</v>
      </c>
      <c r="U1107" t="str">
        <f>IFERROR(HYPERLINK("#'Main'!B"&amp;MATCH(TRIM(A1107),Main!B:B,0),"Open"),HYPERLINK("#'Main'!B1","Open"))</f>
        <v>Open</v>
      </c>
    </row>
    <row r="1108" spans="1:22" ht="30" customHeight="1" x14ac:dyDescent="0.25">
      <c r="A1108" s="50" t="s">
        <v>214</v>
      </c>
      <c r="B1108" s="33" t="s">
        <v>614</v>
      </c>
      <c r="C1108" s="37" t="s">
        <v>1339</v>
      </c>
      <c r="D1108" s="33"/>
      <c r="E1108" s="52">
        <v>200</v>
      </c>
      <c r="F1108" s="33" t="b">
        <v>1</v>
      </c>
      <c r="G1108" s="33">
        <v>0</v>
      </c>
      <c r="H1108" s="52">
        <v>0</v>
      </c>
      <c r="I1108" s="33">
        <v>0</v>
      </c>
      <c r="J1108" s="33">
        <v>0</v>
      </c>
      <c r="K1108" s="33">
        <v>0</v>
      </c>
      <c r="L1108" s="40" t="b">
        <v>0</v>
      </c>
      <c r="M1108" s="33">
        <v>0</v>
      </c>
      <c r="N1108" s="33">
        <v>0</v>
      </c>
      <c r="O1108" s="52">
        <v>0</v>
      </c>
      <c r="P1108" s="33">
        <v>0</v>
      </c>
      <c r="Q1108" s="33">
        <v>0</v>
      </c>
      <c r="R1108" s="33"/>
      <c r="S1108" s="33"/>
      <c r="T1108" s="33" t="s">
        <v>616</v>
      </c>
      <c r="U1108" s="41" t="str">
        <f>IFERROR(HYPERLINK("#'Main'!B"&amp;MATCH(TRIM(A1108),Main!B:B,0),"Open"),HYPERLINK("#'Main'!B1","Open"))</f>
        <v>Open</v>
      </c>
      <c r="V1108" s="41"/>
    </row>
    <row r="1109" spans="1:22" ht="30" customHeight="1" x14ac:dyDescent="0.25">
      <c r="A1109" s="51" t="s">
        <v>214</v>
      </c>
      <c r="B1109" s="42" t="s">
        <v>614</v>
      </c>
      <c r="C1109" s="44" t="s">
        <v>1340</v>
      </c>
      <c r="D1109" s="42"/>
      <c r="E1109" s="52">
        <v>200</v>
      </c>
      <c r="F1109" s="42" t="b">
        <v>1</v>
      </c>
      <c r="G1109" s="42">
        <v>0</v>
      </c>
      <c r="H1109" s="52">
        <v>0</v>
      </c>
      <c r="I1109" s="42">
        <v>0</v>
      </c>
      <c r="J1109" s="42">
        <v>0</v>
      </c>
      <c r="K1109" s="42">
        <v>0</v>
      </c>
      <c r="L1109" s="46" t="b">
        <v>0</v>
      </c>
      <c r="M1109" s="42">
        <v>0</v>
      </c>
      <c r="N1109" s="42">
        <v>0</v>
      </c>
      <c r="O1109" s="52">
        <v>0</v>
      </c>
      <c r="P1109" s="42">
        <v>0</v>
      </c>
      <c r="Q1109" s="42">
        <v>0</v>
      </c>
      <c r="R1109" s="42"/>
      <c r="S1109" s="42"/>
      <c r="T1109" s="42" t="s">
        <v>616</v>
      </c>
      <c r="U1109" t="str">
        <f>IFERROR(HYPERLINK("#'Main'!B"&amp;MATCH(TRIM(A1109),Main!B:B,0),"Open"),HYPERLINK("#'Main'!B1","Open"))</f>
        <v>Open</v>
      </c>
    </row>
    <row r="1110" spans="1:22" ht="30" customHeight="1" x14ac:dyDescent="0.25">
      <c r="A1110" s="50" t="s">
        <v>214</v>
      </c>
      <c r="B1110" s="33" t="s">
        <v>614</v>
      </c>
      <c r="C1110" s="37" t="s">
        <v>1341</v>
      </c>
      <c r="D1110" s="33"/>
      <c r="E1110" s="52">
        <v>200</v>
      </c>
      <c r="F1110" s="33" t="b">
        <v>1</v>
      </c>
      <c r="G1110" s="33">
        <v>0</v>
      </c>
      <c r="H1110" s="52">
        <v>0</v>
      </c>
      <c r="I1110" s="33">
        <v>0</v>
      </c>
      <c r="J1110" s="33">
        <v>0</v>
      </c>
      <c r="K1110" s="33">
        <v>0</v>
      </c>
      <c r="L1110" s="40" t="b">
        <v>0</v>
      </c>
      <c r="M1110" s="33">
        <v>0</v>
      </c>
      <c r="N1110" s="33">
        <v>0</v>
      </c>
      <c r="O1110" s="52">
        <v>0</v>
      </c>
      <c r="P1110" s="33">
        <v>0</v>
      </c>
      <c r="Q1110" s="33">
        <v>0</v>
      </c>
      <c r="R1110" s="33"/>
      <c r="S1110" s="33"/>
      <c r="T1110" s="33" t="s">
        <v>616</v>
      </c>
      <c r="U1110" s="41" t="str">
        <f>IFERROR(HYPERLINK("#'Main'!B"&amp;MATCH(TRIM(A1110),Main!B:B,0),"Open"),HYPERLINK("#'Main'!B1","Open"))</f>
        <v>Open</v>
      </c>
      <c r="V1110" s="41"/>
    </row>
    <row r="1111" spans="1:22" ht="30" customHeight="1" x14ac:dyDescent="0.25">
      <c r="A1111" s="51" t="s">
        <v>214</v>
      </c>
      <c r="B1111" s="42" t="s">
        <v>614</v>
      </c>
      <c r="C1111" s="44" t="s">
        <v>1342</v>
      </c>
      <c r="D1111" s="42"/>
      <c r="E1111" s="52">
        <v>200</v>
      </c>
      <c r="F1111" s="42" t="b">
        <v>1</v>
      </c>
      <c r="G1111" s="42">
        <v>0</v>
      </c>
      <c r="H1111" s="52">
        <v>0</v>
      </c>
      <c r="I1111" s="42">
        <v>0</v>
      </c>
      <c r="J1111" s="42">
        <v>0</v>
      </c>
      <c r="K1111" s="42">
        <v>0</v>
      </c>
      <c r="L1111" s="46" t="b">
        <v>0</v>
      </c>
      <c r="M1111" s="42">
        <v>0</v>
      </c>
      <c r="N1111" s="42">
        <v>0</v>
      </c>
      <c r="O1111" s="52">
        <v>0</v>
      </c>
      <c r="P1111" s="42">
        <v>0</v>
      </c>
      <c r="Q1111" s="42">
        <v>0</v>
      </c>
      <c r="R1111" s="42"/>
      <c r="S1111" s="42"/>
      <c r="T1111" s="42" t="s">
        <v>616</v>
      </c>
      <c r="U1111" t="str">
        <f>IFERROR(HYPERLINK("#'Main'!B"&amp;MATCH(TRIM(A1111),Main!B:B,0),"Open"),HYPERLINK("#'Main'!B1","Open"))</f>
        <v>Open</v>
      </c>
    </row>
    <row r="1112" spans="1:22" ht="30" customHeight="1" x14ac:dyDescent="0.25">
      <c r="A1112" s="50" t="s">
        <v>214</v>
      </c>
      <c r="B1112" s="33" t="s">
        <v>614</v>
      </c>
      <c r="C1112" s="37" t="s">
        <v>1343</v>
      </c>
      <c r="D1112" s="33"/>
      <c r="E1112" s="52">
        <v>200</v>
      </c>
      <c r="F1112" s="33" t="b">
        <v>1</v>
      </c>
      <c r="G1112" s="33">
        <v>0</v>
      </c>
      <c r="H1112" s="52">
        <v>0</v>
      </c>
      <c r="I1112" s="33">
        <v>0</v>
      </c>
      <c r="J1112" s="33">
        <v>0</v>
      </c>
      <c r="K1112" s="33">
        <v>0</v>
      </c>
      <c r="L1112" s="40" t="b">
        <v>0</v>
      </c>
      <c r="M1112" s="33">
        <v>0</v>
      </c>
      <c r="N1112" s="33">
        <v>0</v>
      </c>
      <c r="O1112" s="52">
        <v>0</v>
      </c>
      <c r="P1112" s="33">
        <v>0</v>
      </c>
      <c r="Q1112" s="33">
        <v>0</v>
      </c>
      <c r="R1112" s="33"/>
      <c r="S1112" s="33"/>
      <c r="T1112" s="33" t="s">
        <v>616</v>
      </c>
      <c r="U1112" s="41" t="str">
        <f>IFERROR(HYPERLINK("#'Main'!B"&amp;MATCH(TRIM(A1112),Main!B:B,0),"Open"),HYPERLINK("#'Main'!B1","Open"))</f>
        <v>Open</v>
      </c>
      <c r="V1112" s="41"/>
    </row>
    <row r="1113" spans="1:22" ht="30" customHeight="1" x14ac:dyDescent="0.25">
      <c r="A1113" s="51" t="s">
        <v>214</v>
      </c>
      <c r="B1113" s="42" t="s">
        <v>614</v>
      </c>
      <c r="C1113" s="44" t="s">
        <v>1344</v>
      </c>
      <c r="D1113" s="42"/>
      <c r="E1113" s="52">
        <v>200</v>
      </c>
      <c r="F1113" s="42" t="b">
        <v>1</v>
      </c>
      <c r="G1113" s="42">
        <v>0</v>
      </c>
      <c r="H1113" s="52">
        <v>0</v>
      </c>
      <c r="I1113" s="42">
        <v>0</v>
      </c>
      <c r="J1113" s="42">
        <v>0</v>
      </c>
      <c r="K1113" s="42">
        <v>0</v>
      </c>
      <c r="L1113" s="46" t="b">
        <v>0</v>
      </c>
      <c r="M1113" s="42">
        <v>0</v>
      </c>
      <c r="N1113" s="42">
        <v>0</v>
      </c>
      <c r="O1113" s="52">
        <v>0</v>
      </c>
      <c r="P1113" s="42">
        <v>0</v>
      </c>
      <c r="Q1113" s="42">
        <v>0</v>
      </c>
      <c r="R1113" s="42"/>
      <c r="S1113" s="42"/>
      <c r="T1113" s="42" t="s">
        <v>616</v>
      </c>
      <c r="U1113" t="str">
        <f>IFERROR(HYPERLINK("#'Main'!B"&amp;MATCH(TRIM(A1113),Main!B:B,0),"Open"),HYPERLINK("#'Main'!B1","Open"))</f>
        <v>Open</v>
      </c>
    </row>
    <row r="1114" spans="1:22" ht="30" customHeight="1" x14ac:dyDescent="0.25">
      <c r="A1114" s="50" t="s">
        <v>214</v>
      </c>
      <c r="B1114" s="33" t="s">
        <v>614</v>
      </c>
      <c r="C1114" s="37" t="s">
        <v>1345</v>
      </c>
      <c r="D1114" s="33"/>
      <c r="E1114" s="52">
        <v>200</v>
      </c>
      <c r="F1114" s="33" t="b">
        <v>1</v>
      </c>
      <c r="G1114" s="33">
        <v>0</v>
      </c>
      <c r="H1114" s="52">
        <v>0</v>
      </c>
      <c r="I1114" s="33">
        <v>0</v>
      </c>
      <c r="J1114" s="33">
        <v>0</v>
      </c>
      <c r="K1114" s="33">
        <v>0</v>
      </c>
      <c r="L1114" s="40" t="b">
        <v>0</v>
      </c>
      <c r="M1114" s="33">
        <v>0</v>
      </c>
      <c r="N1114" s="33">
        <v>0</v>
      </c>
      <c r="O1114" s="52">
        <v>0</v>
      </c>
      <c r="P1114" s="33">
        <v>0</v>
      </c>
      <c r="Q1114" s="33">
        <v>0</v>
      </c>
      <c r="R1114" s="33"/>
      <c r="S1114" s="33"/>
      <c r="T1114" s="33" t="s">
        <v>616</v>
      </c>
      <c r="U1114" s="41" t="str">
        <f>IFERROR(HYPERLINK("#'Main'!B"&amp;MATCH(TRIM(A1114),Main!B:B,0),"Open"),HYPERLINK("#'Main'!B1","Open"))</f>
        <v>Open</v>
      </c>
      <c r="V1114" s="41"/>
    </row>
    <row r="1115" spans="1:22" ht="30" customHeight="1" x14ac:dyDescent="0.25">
      <c r="A1115" s="51" t="s">
        <v>214</v>
      </c>
      <c r="B1115" s="42" t="s">
        <v>614</v>
      </c>
      <c r="C1115" s="44" t="s">
        <v>1346</v>
      </c>
      <c r="D1115" s="42"/>
      <c r="E1115" s="52">
        <v>200</v>
      </c>
      <c r="F1115" s="42" t="b">
        <v>1</v>
      </c>
      <c r="G1115" s="42">
        <v>0</v>
      </c>
      <c r="H1115" s="52">
        <v>0</v>
      </c>
      <c r="I1115" s="42">
        <v>0</v>
      </c>
      <c r="J1115" s="42">
        <v>0</v>
      </c>
      <c r="K1115" s="42">
        <v>0</v>
      </c>
      <c r="L1115" s="46" t="b">
        <v>0</v>
      </c>
      <c r="M1115" s="42">
        <v>0</v>
      </c>
      <c r="N1115" s="42">
        <v>0</v>
      </c>
      <c r="O1115" s="52">
        <v>0</v>
      </c>
      <c r="P1115" s="42">
        <v>0</v>
      </c>
      <c r="Q1115" s="42">
        <v>0</v>
      </c>
      <c r="R1115" s="42"/>
      <c r="S1115" s="42"/>
      <c r="T1115" s="42" t="s">
        <v>616</v>
      </c>
      <c r="U1115" t="str">
        <f>IFERROR(HYPERLINK("#'Main'!B"&amp;MATCH(TRIM(A1115),Main!B:B,0),"Open"),HYPERLINK("#'Main'!B1","Open"))</f>
        <v>Open</v>
      </c>
    </row>
    <row r="1116" spans="1:22" ht="30" customHeight="1" x14ac:dyDescent="0.25">
      <c r="A1116" s="50" t="s">
        <v>214</v>
      </c>
      <c r="B1116" s="33" t="s">
        <v>614</v>
      </c>
      <c r="C1116" s="37" t="s">
        <v>1347</v>
      </c>
      <c r="D1116" s="33"/>
      <c r="E1116" s="52">
        <v>200</v>
      </c>
      <c r="F1116" s="33" t="b">
        <v>1</v>
      </c>
      <c r="G1116" s="33">
        <v>0</v>
      </c>
      <c r="H1116" s="52">
        <v>0</v>
      </c>
      <c r="I1116" s="33">
        <v>0</v>
      </c>
      <c r="J1116" s="33">
        <v>0</v>
      </c>
      <c r="K1116" s="33">
        <v>0</v>
      </c>
      <c r="L1116" s="40" t="b">
        <v>0</v>
      </c>
      <c r="M1116" s="33">
        <v>0</v>
      </c>
      <c r="N1116" s="33">
        <v>0</v>
      </c>
      <c r="O1116" s="52">
        <v>0</v>
      </c>
      <c r="P1116" s="33">
        <v>0</v>
      </c>
      <c r="Q1116" s="33">
        <v>0</v>
      </c>
      <c r="R1116" s="33"/>
      <c r="S1116" s="33"/>
      <c r="T1116" s="33" t="s">
        <v>616</v>
      </c>
      <c r="U1116" s="41" t="str">
        <f>IFERROR(HYPERLINK("#'Main'!B"&amp;MATCH(TRIM(A1116),Main!B:B,0),"Open"),HYPERLINK("#'Main'!B1","Open"))</f>
        <v>Open</v>
      </c>
      <c r="V1116" s="41"/>
    </row>
    <row r="1117" spans="1:22" ht="30" customHeight="1" x14ac:dyDescent="0.25">
      <c r="A1117" s="51" t="s">
        <v>214</v>
      </c>
      <c r="B1117" s="42" t="s">
        <v>614</v>
      </c>
      <c r="C1117" s="44" t="s">
        <v>1348</v>
      </c>
      <c r="D1117" s="42"/>
      <c r="E1117" s="52">
        <v>200</v>
      </c>
      <c r="F1117" s="42" t="b">
        <v>1</v>
      </c>
      <c r="G1117" s="42">
        <v>0</v>
      </c>
      <c r="H1117" s="52">
        <v>0</v>
      </c>
      <c r="I1117" s="42">
        <v>0</v>
      </c>
      <c r="J1117" s="42">
        <v>0</v>
      </c>
      <c r="K1117" s="42">
        <v>0</v>
      </c>
      <c r="L1117" s="46" t="b">
        <v>0</v>
      </c>
      <c r="M1117" s="42">
        <v>0</v>
      </c>
      <c r="N1117" s="42">
        <v>0</v>
      </c>
      <c r="O1117" s="52">
        <v>0</v>
      </c>
      <c r="P1117" s="42">
        <v>0</v>
      </c>
      <c r="Q1117" s="42">
        <v>0</v>
      </c>
      <c r="R1117" s="42"/>
      <c r="S1117" s="42"/>
      <c r="T1117" s="42" t="s">
        <v>616</v>
      </c>
      <c r="U1117" t="str">
        <f>IFERROR(HYPERLINK("#'Main'!B"&amp;MATCH(TRIM(A1117),Main!B:B,0),"Open"),HYPERLINK("#'Main'!B1","Open"))</f>
        <v>Open</v>
      </c>
    </row>
    <row r="1118" spans="1:22" ht="30" customHeight="1" x14ac:dyDescent="0.25">
      <c r="A1118" s="50" t="s">
        <v>214</v>
      </c>
      <c r="B1118" s="33" t="s">
        <v>614</v>
      </c>
      <c r="C1118" s="37" t="s">
        <v>1349</v>
      </c>
      <c r="D1118" s="33"/>
      <c r="E1118" s="52">
        <v>200</v>
      </c>
      <c r="F1118" s="33" t="b">
        <v>1</v>
      </c>
      <c r="G1118" s="33">
        <v>0</v>
      </c>
      <c r="H1118" s="52">
        <v>0</v>
      </c>
      <c r="I1118" s="33">
        <v>0</v>
      </c>
      <c r="J1118" s="33">
        <v>0</v>
      </c>
      <c r="K1118" s="33">
        <v>0</v>
      </c>
      <c r="L1118" s="40" t="b">
        <v>0</v>
      </c>
      <c r="M1118" s="33">
        <v>0</v>
      </c>
      <c r="N1118" s="33">
        <v>0</v>
      </c>
      <c r="O1118" s="52">
        <v>0</v>
      </c>
      <c r="P1118" s="33">
        <v>0</v>
      </c>
      <c r="Q1118" s="33">
        <v>0</v>
      </c>
      <c r="R1118" s="33"/>
      <c r="S1118" s="33"/>
      <c r="T1118" s="33" t="s">
        <v>616</v>
      </c>
      <c r="U1118" s="41" t="str">
        <f>IFERROR(HYPERLINK("#'Main'!B"&amp;MATCH(TRIM(A1118),Main!B:B,0),"Open"),HYPERLINK("#'Main'!B1","Open"))</f>
        <v>Open</v>
      </c>
      <c r="V1118" s="41"/>
    </row>
    <row r="1119" spans="1:22" ht="30" customHeight="1" x14ac:dyDescent="0.25">
      <c r="A1119" s="51" t="s">
        <v>214</v>
      </c>
      <c r="B1119" s="42" t="s">
        <v>614</v>
      </c>
      <c r="C1119" s="44" t="s">
        <v>1350</v>
      </c>
      <c r="D1119" s="42"/>
      <c r="E1119" s="52">
        <v>200</v>
      </c>
      <c r="F1119" s="42" t="b">
        <v>1</v>
      </c>
      <c r="G1119" s="42">
        <v>0</v>
      </c>
      <c r="H1119" s="52">
        <v>0</v>
      </c>
      <c r="I1119" s="42">
        <v>0</v>
      </c>
      <c r="J1119" s="42">
        <v>0</v>
      </c>
      <c r="K1119" s="42">
        <v>0</v>
      </c>
      <c r="L1119" s="46" t="b">
        <v>0</v>
      </c>
      <c r="M1119" s="42">
        <v>0</v>
      </c>
      <c r="N1119" s="42">
        <v>0</v>
      </c>
      <c r="O1119" s="52">
        <v>0</v>
      </c>
      <c r="P1119" s="42">
        <v>0</v>
      </c>
      <c r="Q1119" s="42">
        <v>0</v>
      </c>
      <c r="R1119" s="42"/>
      <c r="S1119" s="42"/>
      <c r="T1119" s="42" t="s">
        <v>616</v>
      </c>
      <c r="U1119" t="str">
        <f>IFERROR(HYPERLINK("#'Main'!B"&amp;MATCH(TRIM(A1119),Main!B:B,0),"Open"),HYPERLINK("#'Main'!B1","Open"))</f>
        <v>Open</v>
      </c>
    </row>
    <row r="1120" spans="1:22" ht="30" customHeight="1" x14ac:dyDescent="0.25">
      <c r="A1120" s="50" t="s">
        <v>214</v>
      </c>
      <c r="B1120" s="33" t="s">
        <v>614</v>
      </c>
      <c r="C1120" s="37" t="s">
        <v>1351</v>
      </c>
      <c r="D1120" s="33"/>
      <c r="E1120" s="52">
        <v>200</v>
      </c>
      <c r="F1120" s="33" t="b">
        <v>1</v>
      </c>
      <c r="G1120" s="33">
        <v>0</v>
      </c>
      <c r="H1120" s="52">
        <v>0</v>
      </c>
      <c r="I1120" s="33">
        <v>0</v>
      </c>
      <c r="J1120" s="33">
        <v>0</v>
      </c>
      <c r="K1120" s="33">
        <v>0</v>
      </c>
      <c r="L1120" s="40" t="b">
        <v>0</v>
      </c>
      <c r="M1120" s="33">
        <v>0</v>
      </c>
      <c r="N1120" s="33">
        <v>0</v>
      </c>
      <c r="O1120" s="52">
        <v>0</v>
      </c>
      <c r="P1120" s="33">
        <v>0</v>
      </c>
      <c r="Q1120" s="33">
        <v>0</v>
      </c>
      <c r="R1120" s="33"/>
      <c r="S1120" s="33"/>
      <c r="T1120" s="33" t="s">
        <v>616</v>
      </c>
      <c r="U1120" s="41" t="str">
        <f>IFERROR(HYPERLINK("#'Main'!B"&amp;MATCH(TRIM(A1120),Main!B:B,0),"Open"),HYPERLINK("#'Main'!B1","Open"))</f>
        <v>Open</v>
      </c>
      <c r="V1120" s="41"/>
    </row>
    <row r="1121" spans="1:22" ht="30" customHeight="1" x14ac:dyDescent="0.25">
      <c r="A1121" s="51" t="s">
        <v>214</v>
      </c>
      <c r="B1121" s="42" t="s">
        <v>614</v>
      </c>
      <c r="C1121" s="44" t="s">
        <v>1352</v>
      </c>
      <c r="D1121" s="42"/>
      <c r="E1121" s="52">
        <v>200</v>
      </c>
      <c r="F1121" s="42" t="b">
        <v>1</v>
      </c>
      <c r="G1121" s="42">
        <v>0</v>
      </c>
      <c r="H1121" s="52">
        <v>0</v>
      </c>
      <c r="I1121" s="42">
        <v>0</v>
      </c>
      <c r="J1121" s="42">
        <v>0</v>
      </c>
      <c r="K1121" s="42">
        <v>0</v>
      </c>
      <c r="L1121" s="46" t="b">
        <v>0</v>
      </c>
      <c r="M1121" s="42">
        <v>0</v>
      </c>
      <c r="N1121" s="42">
        <v>0</v>
      </c>
      <c r="O1121" s="52">
        <v>0</v>
      </c>
      <c r="P1121" s="42">
        <v>0</v>
      </c>
      <c r="Q1121" s="42">
        <v>0</v>
      </c>
      <c r="R1121" s="42"/>
      <c r="S1121" s="42"/>
      <c r="T1121" s="42" t="s">
        <v>616</v>
      </c>
      <c r="U1121" t="str">
        <f>IFERROR(HYPERLINK("#'Main'!B"&amp;MATCH(TRIM(A1121),Main!B:B,0),"Open"),HYPERLINK("#'Main'!B1","Open"))</f>
        <v>Open</v>
      </c>
    </row>
    <row r="1122" spans="1:22" ht="30" customHeight="1" x14ac:dyDescent="0.25">
      <c r="A1122" s="50" t="s">
        <v>214</v>
      </c>
      <c r="B1122" s="33" t="s">
        <v>614</v>
      </c>
      <c r="C1122" s="37" t="s">
        <v>1353</v>
      </c>
      <c r="D1122" s="33"/>
      <c r="E1122" s="52">
        <v>200</v>
      </c>
      <c r="F1122" s="33" t="b">
        <v>1</v>
      </c>
      <c r="G1122" s="33">
        <v>0</v>
      </c>
      <c r="H1122" s="52">
        <v>0</v>
      </c>
      <c r="I1122" s="33">
        <v>0</v>
      </c>
      <c r="J1122" s="33">
        <v>0</v>
      </c>
      <c r="K1122" s="33">
        <v>0</v>
      </c>
      <c r="L1122" s="40" t="b">
        <v>0</v>
      </c>
      <c r="M1122" s="33">
        <v>0</v>
      </c>
      <c r="N1122" s="33">
        <v>0</v>
      </c>
      <c r="O1122" s="52">
        <v>0</v>
      </c>
      <c r="P1122" s="33">
        <v>0</v>
      </c>
      <c r="Q1122" s="33">
        <v>0</v>
      </c>
      <c r="R1122" s="33"/>
      <c r="S1122" s="33"/>
      <c r="T1122" s="33" t="s">
        <v>616</v>
      </c>
      <c r="U1122" s="41" t="str">
        <f>IFERROR(HYPERLINK("#'Main'!B"&amp;MATCH(TRIM(A1122),Main!B:B,0),"Open"),HYPERLINK("#'Main'!B1","Open"))</f>
        <v>Open</v>
      </c>
      <c r="V1122" s="41"/>
    </row>
    <row r="1123" spans="1:22" ht="30" customHeight="1" x14ac:dyDescent="0.25">
      <c r="A1123" s="51" t="s">
        <v>214</v>
      </c>
      <c r="B1123" s="42" t="s">
        <v>614</v>
      </c>
      <c r="C1123" s="44" t="s">
        <v>1354</v>
      </c>
      <c r="D1123" s="42"/>
      <c r="E1123" s="52">
        <v>200</v>
      </c>
      <c r="F1123" s="42" t="b">
        <v>1</v>
      </c>
      <c r="G1123" s="42">
        <v>0</v>
      </c>
      <c r="H1123" s="52">
        <v>0</v>
      </c>
      <c r="I1123" s="42">
        <v>0</v>
      </c>
      <c r="J1123" s="42">
        <v>0</v>
      </c>
      <c r="K1123" s="42">
        <v>0</v>
      </c>
      <c r="L1123" s="46" t="b">
        <v>0</v>
      </c>
      <c r="M1123" s="42">
        <v>0</v>
      </c>
      <c r="N1123" s="42">
        <v>0</v>
      </c>
      <c r="O1123" s="52">
        <v>0</v>
      </c>
      <c r="P1123" s="42">
        <v>0</v>
      </c>
      <c r="Q1123" s="42">
        <v>0</v>
      </c>
      <c r="R1123" s="42"/>
      <c r="S1123" s="42"/>
      <c r="T1123" s="42" t="s">
        <v>616</v>
      </c>
      <c r="U1123" t="str">
        <f>IFERROR(HYPERLINK("#'Main'!B"&amp;MATCH(TRIM(A1123),Main!B:B,0),"Open"),HYPERLINK("#'Main'!B1","Open"))</f>
        <v>Open</v>
      </c>
    </row>
    <row r="1124" spans="1:22" ht="30" customHeight="1" x14ac:dyDescent="0.25">
      <c r="A1124" s="50" t="s">
        <v>214</v>
      </c>
      <c r="B1124" s="33" t="s">
        <v>614</v>
      </c>
      <c r="C1124" s="37" t="s">
        <v>1355</v>
      </c>
      <c r="D1124" s="33"/>
      <c r="E1124" s="52">
        <v>200</v>
      </c>
      <c r="F1124" s="33" t="b">
        <v>1</v>
      </c>
      <c r="G1124" s="33">
        <v>0</v>
      </c>
      <c r="H1124" s="52">
        <v>0</v>
      </c>
      <c r="I1124" s="33">
        <v>0</v>
      </c>
      <c r="J1124" s="33">
        <v>0</v>
      </c>
      <c r="K1124" s="33">
        <v>0</v>
      </c>
      <c r="L1124" s="40" t="b">
        <v>0</v>
      </c>
      <c r="M1124" s="33">
        <v>0</v>
      </c>
      <c r="N1124" s="33">
        <v>0</v>
      </c>
      <c r="O1124" s="52">
        <v>0</v>
      </c>
      <c r="P1124" s="33">
        <v>0</v>
      </c>
      <c r="Q1124" s="33">
        <v>0</v>
      </c>
      <c r="R1124" s="33"/>
      <c r="S1124" s="33"/>
      <c r="T1124" s="33" t="s">
        <v>616</v>
      </c>
      <c r="U1124" s="41" t="str">
        <f>IFERROR(HYPERLINK("#'Main'!B"&amp;MATCH(TRIM(A1124),Main!B:B,0),"Open"),HYPERLINK("#'Main'!B1","Open"))</f>
        <v>Open</v>
      </c>
      <c r="V1124" s="41"/>
    </row>
    <row r="1125" spans="1:22" ht="30" customHeight="1" x14ac:dyDescent="0.25">
      <c r="A1125" s="51" t="s">
        <v>214</v>
      </c>
      <c r="B1125" s="42" t="s">
        <v>614</v>
      </c>
      <c r="C1125" s="44" t="s">
        <v>1356</v>
      </c>
      <c r="D1125" s="42"/>
      <c r="E1125" s="52">
        <v>200</v>
      </c>
      <c r="F1125" s="42" t="b">
        <v>1</v>
      </c>
      <c r="G1125" s="42">
        <v>0</v>
      </c>
      <c r="H1125" s="52">
        <v>0</v>
      </c>
      <c r="I1125" s="42">
        <v>0</v>
      </c>
      <c r="J1125" s="42">
        <v>0</v>
      </c>
      <c r="K1125" s="42">
        <v>0</v>
      </c>
      <c r="L1125" s="46" t="b">
        <v>0</v>
      </c>
      <c r="M1125" s="42">
        <v>0</v>
      </c>
      <c r="N1125" s="42">
        <v>0</v>
      </c>
      <c r="O1125" s="52">
        <v>0</v>
      </c>
      <c r="P1125" s="42">
        <v>0</v>
      </c>
      <c r="Q1125" s="42">
        <v>0</v>
      </c>
      <c r="R1125" s="42"/>
      <c r="S1125" s="42"/>
      <c r="T1125" s="42" t="s">
        <v>616</v>
      </c>
      <c r="U1125" t="str">
        <f>IFERROR(HYPERLINK("#'Main'!B"&amp;MATCH(TRIM(A1125),Main!B:B,0),"Open"),HYPERLINK("#'Main'!B1","Open"))</f>
        <v>Open</v>
      </c>
    </row>
    <row r="1126" spans="1:22" ht="30" customHeight="1" x14ac:dyDescent="0.25">
      <c r="A1126" s="50" t="s">
        <v>214</v>
      </c>
      <c r="B1126" s="33" t="s">
        <v>614</v>
      </c>
      <c r="C1126" s="37" t="s">
        <v>1357</v>
      </c>
      <c r="D1126" s="33"/>
      <c r="E1126" s="52">
        <v>200</v>
      </c>
      <c r="F1126" s="33" t="b">
        <v>1</v>
      </c>
      <c r="G1126" s="33">
        <v>0</v>
      </c>
      <c r="H1126" s="52">
        <v>0</v>
      </c>
      <c r="I1126" s="33">
        <v>0</v>
      </c>
      <c r="J1126" s="33">
        <v>0</v>
      </c>
      <c r="K1126" s="33">
        <v>0</v>
      </c>
      <c r="L1126" s="40" t="b">
        <v>0</v>
      </c>
      <c r="M1126" s="33">
        <v>0</v>
      </c>
      <c r="N1126" s="33">
        <v>0</v>
      </c>
      <c r="O1126" s="52">
        <v>0</v>
      </c>
      <c r="P1126" s="33">
        <v>0</v>
      </c>
      <c r="Q1126" s="33">
        <v>0</v>
      </c>
      <c r="R1126" s="33"/>
      <c r="S1126" s="33"/>
      <c r="T1126" s="33" t="s">
        <v>616</v>
      </c>
      <c r="U1126" s="41" t="str">
        <f>IFERROR(HYPERLINK("#'Main'!B"&amp;MATCH(TRIM(A1126),Main!B:B,0),"Open"),HYPERLINK("#'Main'!B1","Open"))</f>
        <v>Open</v>
      </c>
      <c r="V1126" s="41"/>
    </row>
    <row r="1127" spans="1:22" ht="30" customHeight="1" x14ac:dyDescent="0.25">
      <c r="A1127" s="51" t="s">
        <v>214</v>
      </c>
      <c r="B1127" s="42" t="s">
        <v>614</v>
      </c>
      <c r="C1127" s="44" t="s">
        <v>1358</v>
      </c>
      <c r="D1127" s="42"/>
      <c r="E1127" s="52">
        <v>200</v>
      </c>
      <c r="F1127" s="42" t="b">
        <v>1</v>
      </c>
      <c r="G1127" s="42">
        <v>0</v>
      </c>
      <c r="H1127" s="52">
        <v>0</v>
      </c>
      <c r="I1127" s="42">
        <v>0</v>
      </c>
      <c r="J1127" s="42">
        <v>0</v>
      </c>
      <c r="K1127" s="42">
        <v>0</v>
      </c>
      <c r="L1127" s="46" t="b">
        <v>0</v>
      </c>
      <c r="M1127" s="42">
        <v>0</v>
      </c>
      <c r="N1127" s="42">
        <v>0</v>
      </c>
      <c r="O1127" s="52">
        <v>0</v>
      </c>
      <c r="P1127" s="42">
        <v>0</v>
      </c>
      <c r="Q1127" s="42">
        <v>0</v>
      </c>
      <c r="R1127" s="42"/>
      <c r="S1127" s="42"/>
      <c r="T1127" s="42" t="s">
        <v>616</v>
      </c>
      <c r="U1127" t="str">
        <f>IFERROR(HYPERLINK("#'Main'!B"&amp;MATCH(TRIM(A1127),Main!B:B,0),"Open"),HYPERLINK("#'Main'!B1","Open"))</f>
        <v>Open</v>
      </c>
    </row>
    <row r="1128" spans="1:22" ht="30" customHeight="1" x14ac:dyDescent="0.25">
      <c r="A1128" s="50" t="s">
        <v>214</v>
      </c>
      <c r="B1128" s="33" t="s">
        <v>614</v>
      </c>
      <c r="C1128" s="37" t="s">
        <v>1359</v>
      </c>
      <c r="D1128" s="33"/>
      <c r="E1128" s="52">
        <v>200</v>
      </c>
      <c r="F1128" s="33" t="b">
        <v>1</v>
      </c>
      <c r="G1128" s="33">
        <v>0</v>
      </c>
      <c r="H1128" s="52">
        <v>0</v>
      </c>
      <c r="I1128" s="33">
        <v>0</v>
      </c>
      <c r="J1128" s="33">
        <v>0</v>
      </c>
      <c r="K1128" s="33">
        <v>0</v>
      </c>
      <c r="L1128" s="40" t="b">
        <v>0</v>
      </c>
      <c r="M1128" s="33">
        <v>0</v>
      </c>
      <c r="N1128" s="33">
        <v>0</v>
      </c>
      <c r="O1128" s="52">
        <v>0</v>
      </c>
      <c r="P1128" s="33">
        <v>0</v>
      </c>
      <c r="Q1128" s="33">
        <v>0</v>
      </c>
      <c r="R1128" s="33"/>
      <c r="S1128" s="33"/>
      <c r="T1128" s="33" t="s">
        <v>616</v>
      </c>
      <c r="U1128" s="41" t="str">
        <f>IFERROR(HYPERLINK("#'Main'!B"&amp;MATCH(TRIM(A1128),Main!B:B,0),"Open"),HYPERLINK("#'Main'!B1","Open"))</f>
        <v>Open</v>
      </c>
      <c r="V1128" s="41"/>
    </row>
    <row r="1129" spans="1:22" ht="30" customHeight="1" x14ac:dyDescent="0.25">
      <c r="A1129" s="51" t="s">
        <v>214</v>
      </c>
      <c r="B1129" s="42" t="s">
        <v>614</v>
      </c>
      <c r="C1129" s="44" t="s">
        <v>1360</v>
      </c>
      <c r="D1129" s="42"/>
      <c r="E1129" s="52">
        <v>200</v>
      </c>
      <c r="F1129" s="42" t="b">
        <v>1</v>
      </c>
      <c r="G1129" s="42">
        <v>0</v>
      </c>
      <c r="H1129" s="52">
        <v>0</v>
      </c>
      <c r="I1129" s="42">
        <v>0</v>
      </c>
      <c r="J1129" s="42">
        <v>0</v>
      </c>
      <c r="K1129" s="42">
        <v>0</v>
      </c>
      <c r="L1129" s="46" t="b">
        <v>0</v>
      </c>
      <c r="M1129" s="42">
        <v>0</v>
      </c>
      <c r="N1129" s="42">
        <v>0</v>
      </c>
      <c r="O1129" s="52">
        <v>0</v>
      </c>
      <c r="P1129" s="42">
        <v>0</v>
      </c>
      <c r="Q1129" s="42">
        <v>0</v>
      </c>
      <c r="R1129" s="42"/>
      <c r="S1129" s="42"/>
      <c r="T1129" s="42" t="s">
        <v>616</v>
      </c>
      <c r="U1129" t="str">
        <f>IFERROR(HYPERLINK("#'Main'!B"&amp;MATCH(TRIM(A1129),Main!B:B,0),"Open"),HYPERLINK("#'Main'!B1","Open"))</f>
        <v>Open</v>
      </c>
    </row>
    <row r="1130" spans="1:22" ht="30" customHeight="1" x14ac:dyDescent="0.25">
      <c r="A1130" s="50" t="s">
        <v>214</v>
      </c>
      <c r="B1130" s="33" t="s">
        <v>614</v>
      </c>
      <c r="C1130" s="37" t="s">
        <v>1361</v>
      </c>
      <c r="D1130" s="33"/>
      <c r="E1130" s="52">
        <v>200</v>
      </c>
      <c r="F1130" s="33" t="b">
        <v>1</v>
      </c>
      <c r="G1130" s="33">
        <v>0</v>
      </c>
      <c r="H1130" s="52">
        <v>0</v>
      </c>
      <c r="I1130" s="33">
        <v>0</v>
      </c>
      <c r="J1130" s="33">
        <v>0</v>
      </c>
      <c r="K1130" s="33">
        <v>0</v>
      </c>
      <c r="L1130" s="40" t="b">
        <v>0</v>
      </c>
      <c r="M1130" s="33">
        <v>0</v>
      </c>
      <c r="N1130" s="33">
        <v>0</v>
      </c>
      <c r="O1130" s="52">
        <v>0</v>
      </c>
      <c r="P1130" s="33">
        <v>0</v>
      </c>
      <c r="Q1130" s="33">
        <v>0</v>
      </c>
      <c r="R1130" s="33"/>
      <c r="S1130" s="33"/>
      <c r="T1130" s="33" t="s">
        <v>616</v>
      </c>
      <c r="U1130" s="41" t="str">
        <f>IFERROR(HYPERLINK("#'Main'!B"&amp;MATCH(TRIM(A1130),Main!B:B,0),"Open"),HYPERLINK("#'Main'!B1","Open"))</f>
        <v>Open</v>
      </c>
      <c r="V1130" s="41"/>
    </row>
    <row r="1131" spans="1:22" ht="30" customHeight="1" x14ac:dyDescent="0.25">
      <c r="A1131" s="51" t="s">
        <v>214</v>
      </c>
      <c r="B1131" s="42" t="s">
        <v>614</v>
      </c>
      <c r="C1131" s="44" t="s">
        <v>1362</v>
      </c>
      <c r="D1131" s="42"/>
      <c r="E1131" s="52">
        <v>200</v>
      </c>
      <c r="F1131" s="42" t="b">
        <v>1</v>
      </c>
      <c r="G1131" s="42">
        <v>0</v>
      </c>
      <c r="H1131" s="52">
        <v>0</v>
      </c>
      <c r="I1131" s="42">
        <v>0</v>
      </c>
      <c r="J1131" s="42">
        <v>0</v>
      </c>
      <c r="K1131" s="42">
        <v>0</v>
      </c>
      <c r="L1131" s="46" t="b">
        <v>0</v>
      </c>
      <c r="M1131" s="42">
        <v>0</v>
      </c>
      <c r="N1131" s="42">
        <v>0</v>
      </c>
      <c r="O1131" s="52">
        <v>0</v>
      </c>
      <c r="P1131" s="42">
        <v>0</v>
      </c>
      <c r="Q1131" s="42">
        <v>0</v>
      </c>
      <c r="R1131" s="42"/>
      <c r="S1131" s="42"/>
      <c r="T1131" s="42" t="s">
        <v>616</v>
      </c>
      <c r="U1131" t="str">
        <f>IFERROR(HYPERLINK("#'Main'!B"&amp;MATCH(TRIM(A1131),Main!B:B,0),"Open"),HYPERLINK("#'Main'!B1","Open"))</f>
        <v>Open</v>
      </c>
    </row>
    <row r="1132" spans="1:22" ht="30" customHeight="1" x14ac:dyDescent="0.25">
      <c r="A1132" s="50" t="s">
        <v>214</v>
      </c>
      <c r="B1132" s="33" t="s">
        <v>614</v>
      </c>
      <c r="C1132" s="37" t="s">
        <v>1363</v>
      </c>
      <c r="D1132" s="33"/>
      <c r="E1132" s="52">
        <v>200</v>
      </c>
      <c r="F1132" s="33" t="b">
        <v>1</v>
      </c>
      <c r="G1132" s="33">
        <v>0</v>
      </c>
      <c r="H1132" s="52">
        <v>0</v>
      </c>
      <c r="I1132" s="33">
        <v>0</v>
      </c>
      <c r="J1132" s="33">
        <v>0</v>
      </c>
      <c r="K1132" s="33">
        <v>0</v>
      </c>
      <c r="L1132" s="40" t="b">
        <v>0</v>
      </c>
      <c r="M1132" s="33">
        <v>0</v>
      </c>
      <c r="N1132" s="33">
        <v>0</v>
      </c>
      <c r="O1132" s="52">
        <v>0</v>
      </c>
      <c r="P1132" s="33">
        <v>0</v>
      </c>
      <c r="Q1132" s="33">
        <v>0</v>
      </c>
      <c r="R1132" s="33"/>
      <c r="S1132" s="33"/>
      <c r="T1132" s="33" t="s">
        <v>616</v>
      </c>
      <c r="U1132" s="41" t="str">
        <f>IFERROR(HYPERLINK("#'Main'!B"&amp;MATCH(TRIM(A1132),Main!B:B,0),"Open"),HYPERLINK("#'Main'!B1","Open"))</f>
        <v>Open</v>
      </c>
      <c r="V1132" s="41"/>
    </row>
    <row r="1133" spans="1:22" ht="30" customHeight="1" x14ac:dyDescent="0.25">
      <c r="A1133" s="51" t="s">
        <v>214</v>
      </c>
      <c r="B1133" s="42" t="s">
        <v>614</v>
      </c>
      <c r="C1133" s="44" t="s">
        <v>1364</v>
      </c>
      <c r="D1133" s="42"/>
      <c r="E1133" s="52">
        <v>200</v>
      </c>
      <c r="F1133" s="42" t="b">
        <v>1</v>
      </c>
      <c r="G1133" s="42">
        <v>0</v>
      </c>
      <c r="H1133" s="52">
        <v>0</v>
      </c>
      <c r="I1133" s="42">
        <v>0</v>
      </c>
      <c r="J1133" s="42">
        <v>0</v>
      </c>
      <c r="K1133" s="42">
        <v>0</v>
      </c>
      <c r="L1133" s="46" t="b">
        <v>0</v>
      </c>
      <c r="M1133" s="42">
        <v>0</v>
      </c>
      <c r="N1133" s="42">
        <v>0</v>
      </c>
      <c r="O1133" s="52">
        <v>0</v>
      </c>
      <c r="P1133" s="42">
        <v>0</v>
      </c>
      <c r="Q1133" s="42">
        <v>0</v>
      </c>
      <c r="R1133" s="42"/>
      <c r="S1133" s="42"/>
      <c r="T1133" s="42" t="s">
        <v>616</v>
      </c>
      <c r="U1133" t="str">
        <f>IFERROR(HYPERLINK("#'Main'!B"&amp;MATCH(TRIM(A1133),Main!B:B,0),"Open"),HYPERLINK("#'Main'!B1","Open"))</f>
        <v>Open</v>
      </c>
    </row>
    <row r="1134" spans="1:22" ht="30" customHeight="1" x14ac:dyDescent="0.25">
      <c r="A1134" s="50" t="s">
        <v>214</v>
      </c>
      <c r="B1134" s="33" t="s">
        <v>614</v>
      </c>
      <c r="C1134" s="37" t="s">
        <v>1365</v>
      </c>
      <c r="D1134" s="33"/>
      <c r="E1134" s="52">
        <v>200</v>
      </c>
      <c r="F1134" s="33" t="b">
        <v>1</v>
      </c>
      <c r="G1134" s="33">
        <v>0</v>
      </c>
      <c r="H1134" s="52">
        <v>0</v>
      </c>
      <c r="I1134" s="33">
        <v>0</v>
      </c>
      <c r="J1134" s="33">
        <v>0</v>
      </c>
      <c r="K1134" s="33">
        <v>0</v>
      </c>
      <c r="L1134" s="40" t="b">
        <v>0</v>
      </c>
      <c r="M1134" s="33">
        <v>0</v>
      </c>
      <c r="N1134" s="33">
        <v>0</v>
      </c>
      <c r="O1134" s="52">
        <v>0</v>
      </c>
      <c r="P1134" s="33">
        <v>0</v>
      </c>
      <c r="Q1134" s="33">
        <v>0</v>
      </c>
      <c r="R1134" s="33"/>
      <c r="S1134" s="33"/>
      <c r="T1134" s="33" t="s">
        <v>616</v>
      </c>
      <c r="U1134" s="41" t="str">
        <f>IFERROR(HYPERLINK("#'Main'!B"&amp;MATCH(TRIM(A1134),Main!B:B,0),"Open"),HYPERLINK("#'Main'!B1","Open"))</f>
        <v>Open</v>
      </c>
      <c r="V1134" s="41"/>
    </row>
    <row r="1135" spans="1:22" ht="30" customHeight="1" x14ac:dyDescent="0.25">
      <c r="A1135" s="51" t="s">
        <v>214</v>
      </c>
      <c r="B1135" s="42" t="s">
        <v>614</v>
      </c>
      <c r="C1135" s="44" t="s">
        <v>629</v>
      </c>
      <c r="D1135" s="42" t="s">
        <v>630</v>
      </c>
      <c r="E1135" s="52">
        <v>200</v>
      </c>
      <c r="F1135" s="42" t="b">
        <v>1</v>
      </c>
      <c r="G1135" s="42">
        <v>0</v>
      </c>
      <c r="H1135" s="52">
        <v>0</v>
      </c>
      <c r="I1135" s="42">
        <v>0</v>
      </c>
      <c r="J1135" s="42">
        <v>0</v>
      </c>
      <c r="K1135" s="42">
        <v>0</v>
      </c>
      <c r="L1135" s="46" t="b">
        <v>0</v>
      </c>
      <c r="M1135" s="42">
        <v>0</v>
      </c>
      <c r="N1135" s="42">
        <v>0</v>
      </c>
      <c r="O1135" s="52">
        <v>0</v>
      </c>
      <c r="P1135" s="42">
        <v>0</v>
      </c>
      <c r="Q1135" s="42">
        <v>0</v>
      </c>
      <c r="R1135" s="42"/>
      <c r="S1135" s="42"/>
      <c r="T1135" s="42" t="s">
        <v>616</v>
      </c>
      <c r="U1135" t="str">
        <f>IFERROR(HYPERLINK("#'Main'!B"&amp;MATCH(TRIM(A1135),Main!B:B,0),"Open"),HYPERLINK("#'Main'!B1","Open"))</f>
        <v>Open</v>
      </c>
    </row>
    <row r="1136" spans="1:22" ht="30" customHeight="1" x14ac:dyDescent="0.25">
      <c r="A1136" s="50" t="s">
        <v>214</v>
      </c>
      <c r="B1136" s="33" t="s">
        <v>614</v>
      </c>
      <c r="C1136" s="37" t="s">
        <v>631</v>
      </c>
      <c r="D1136" s="33"/>
      <c r="E1136" s="52">
        <v>200</v>
      </c>
      <c r="F1136" s="33" t="b">
        <v>1</v>
      </c>
      <c r="G1136" s="33">
        <v>0</v>
      </c>
      <c r="H1136" s="52">
        <v>0</v>
      </c>
      <c r="I1136" s="33">
        <v>0</v>
      </c>
      <c r="J1136" s="33">
        <v>0</v>
      </c>
      <c r="K1136" s="33">
        <v>0</v>
      </c>
      <c r="L1136" s="40" t="b">
        <v>0</v>
      </c>
      <c r="M1136" s="33">
        <v>0</v>
      </c>
      <c r="N1136" s="33">
        <v>0</v>
      </c>
      <c r="O1136" s="52">
        <v>0</v>
      </c>
      <c r="P1136" s="33">
        <v>0</v>
      </c>
      <c r="Q1136" s="33">
        <v>0</v>
      </c>
      <c r="R1136" s="33"/>
      <c r="S1136" s="33"/>
      <c r="T1136" s="33" t="s">
        <v>616</v>
      </c>
      <c r="U1136" s="41" t="str">
        <f>IFERROR(HYPERLINK("#'Main'!B"&amp;MATCH(TRIM(A1136),Main!B:B,0),"Open"),HYPERLINK("#'Main'!B1","Open"))</f>
        <v>Open</v>
      </c>
      <c r="V1136" s="41"/>
    </row>
    <row r="1137" spans="1:22" ht="30" customHeight="1" x14ac:dyDescent="0.25">
      <c r="A1137" s="51" t="s">
        <v>214</v>
      </c>
      <c r="B1137" s="42" t="s">
        <v>614</v>
      </c>
      <c r="C1137" s="44" t="s">
        <v>632</v>
      </c>
      <c r="D1137" s="42"/>
      <c r="E1137" s="52">
        <v>200</v>
      </c>
      <c r="F1137" s="42" t="b">
        <v>1</v>
      </c>
      <c r="G1137" s="42">
        <v>0</v>
      </c>
      <c r="H1137" s="52">
        <v>0</v>
      </c>
      <c r="I1137" s="42">
        <v>0</v>
      </c>
      <c r="J1137" s="42">
        <v>0</v>
      </c>
      <c r="K1137" s="42">
        <v>0</v>
      </c>
      <c r="L1137" s="46" t="b">
        <v>0</v>
      </c>
      <c r="M1137" s="42">
        <v>0</v>
      </c>
      <c r="N1137" s="42">
        <v>0</v>
      </c>
      <c r="O1137" s="52">
        <v>0</v>
      </c>
      <c r="P1137" s="42">
        <v>0</v>
      </c>
      <c r="Q1137" s="42">
        <v>0</v>
      </c>
      <c r="R1137" s="42"/>
      <c r="S1137" s="42"/>
      <c r="T1137" s="42" t="s">
        <v>616</v>
      </c>
      <c r="U1137" t="str">
        <f>IFERROR(HYPERLINK("#'Main'!B"&amp;MATCH(TRIM(A1137),Main!B:B,0),"Open"),HYPERLINK("#'Main'!B1","Open"))</f>
        <v>Open</v>
      </c>
    </row>
    <row r="1138" spans="1:22" ht="30" customHeight="1" x14ac:dyDescent="0.25">
      <c r="A1138" s="50" t="s">
        <v>214</v>
      </c>
      <c r="B1138" s="33" t="s">
        <v>614</v>
      </c>
      <c r="C1138" s="37" t="s">
        <v>634</v>
      </c>
      <c r="D1138" s="33" t="s">
        <v>666</v>
      </c>
      <c r="E1138" s="52">
        <v>200</v>
      </c>
      <c r="F1138" s="33" t="b">
        <v>1</v>
      </c>
      <c r="G1138" s="33">
        <v>0</v>
      </c>
      <c r="H1138" s="52">
        <v>0</v>
      </c>
      <c r="I1138" s="33">
        <v>0</v>
      </c>
      <c r="J1138" s="33">
        <v>0</v>
      </c>
      <c r="K1138" s="33">
        <v>0</v>
      </c>
      <c r="L1138" s="40" t="b">
        <v>0</v>
      </c>
      <c r="M1138" s="33">
        <v>0</v>
      </c>
      <c r="N1138" s="33">
        <v>0</v>
      </c>
      <c r="O1138" s="52">
        <v>0</v>
      </c>
      <c r="P1138" s="33">
        <v>0</v>
      </c>
      <c r="Q1138" s="33">
        <v>0</v>
      </c>
      <c r="R1138" s="33"/>
      <c r="S1138" s="33"/>
      <c r="T1138" s="33" t="s">
        <v>616</v>
      </c>
      <c r="U1138" s="41" t="str">
        <f>IFERROR(HYPERLINK("#'Main'!B"&amp;MATCH(TRIM(A1138),Main!B:B,0),"Open"),HYPERLINK("#'Main'!B1","Open"))</f>
        <v>Open</v>
      </c>
      <c r="V1138" s="41"/>
    </row>
    <row r="1139" spans="1:22" ht="30" customHeight="1" x14ac:dyDescent="0.25">
      <c r="A1139" s="51" t="s">
        <v>214</v>
      </c>
      <c r="B1139" s="42" t="s">
        <v>614</v>
      </c>
      <c r="C1139" s="44" t="s">
        <v>636</v>
      </c>
      <c r="D1139" s="42" t="s">
        <v>637</v>
      </c>
      <c r="E1139" s="34">
        <v>404</v>
      </c>
      <c r="F1139" s="42" t="b">
        <v>0</v>
      </c>
      <c r="G1139" s="42">
        <v>0</v>
      </c>
      <c r="H1139" s="52">
        <v>0</v>
      </c>
      <c r="I1139" s="42">
        <v>0</v>
      </c>
      <c r="J1139" s="42">
        <v>0</v>
      </c>
      <c r="K1139" s="42">
        <v>0</v>
      </c>
      <c r="L1139" s="46" t="b">
        <v>0</v>
      </c>
      <c r="M1139" s="42">
        <v>0</v>
      </c>
      <c r="N1139" s="42">
        <v>0</v>
      </c>
      <c r="O1139" s="52">
        <v>0</v>
      </c>
      <c r="P1139" s="42">
        <v>0</v>
      </c>
      <c r="Q1139" s="42">
        <v>0</v>
      </c>
      <c r="R1139" s="42"/>
      <c r="S1139" s="42"/>
      <c r="T1139" s="42" t="s">
        <v>616</v>
      </c>
      <c r="U1139" t="str">
        <f>IFERROR(HYPERLINK("#'Main'!B"&amp;MATCH(TRIM(A1139),Main!B:B,0),"Open"),HYPERLINK("#'Main'!B1","Open"))</f>
        <v>Open</v>
      </c>
    </row>
    <row r="1140" spans="1:22" ht="30" customHeight="1" x14ac:dyDescent="0.25">
      <c r="A1140" s="50" t="s">
        <v>214</v>
      </c>
      <c r="B1140" s="33" t="s">
        <v>614</v>
      </c>
      <c r="C1140" s="37" t="s">
        <v>636</v>
      </c>
      <c r="D1140" s="33" t="s">
        <v>638</v>
      </c>
      <c r="E1140" s="34">
        <v>404</v>
      </c>
      <c r="F1140" s="33" t="b">
        <v>0</v>
      </c>
      <c r="G1140" s="33">
        <v>0</v>
      </c>
      <c r="H1140" s="52">
        <v>0</v>
      </c>
      <c r="I1140" s="33">
        <v>0</v>
      </c>
      <c r="J1140" s="33">
        <v>0</v>
      </c>
      <c r="K1140" s="33">
        <v>0</v>
      </c>
      <c r="L1140" s="40" t="b">
        <v>0</v>
      </c>
      <c r="M1140" s="33">
        <v>0</v>
      </c>
      <c r="N1140" s="33">
        <v>0</v>
      </c>
      <c r="O1140" s="52">
        <v>0</v>
      </c>
      <c r="P1140" s="33">
        <v>0</v>
      </c>
      <c r="Q1140" s="33">
        <v>0</v>
      </c>
      <c r="R1140" s="33"/>
      <c r="S1140" s="33"/>
      <c r="T1140" s="33" t="s">
        <v>616</v>
      </c>
      <c r="U1140" s="41" t="str">
        <f>IFERROR(HYPERLINK("#'Main'!B"&amp;MATCH(TRIM(A1140),Main!B:B,0),"Open"),HYPERLINK("#'Main'!B1","Open"))</f>
        <v>Open</v>
      </c>
      <c r="V1140" s="41"/>
    </row>
    <row r="1141" spans="1:22" ht="30" customHeight="1" x14ac:dyDescent="0.25">
      <c r="A1141" s="51" t="s">
        <v>215</v>
      </c>
      <c r="B1141" s="42" t="s">
        <v>614</v>
      </c>
      <c r="C1141" s="44" t="s">
        <v>176</v>
      </c>
      <c r="D1141" s="42" t="s">
        <v>781</v>
      </c>
      <c r="E1141" s="52">
        <v>200</v>
      </c>
      <c r="F1141" s="42" t="b">
        <v>1</v>
      </c>
      <c r="G1141" s="42">
        <v>0</v>
      </c>
      <c r="H1141" s="52">
        <v>0</v>
      </c>
      <c r="I1141" s="42">
        <v>0</v>
      </c>
      <c r="J1141" s="42">
        <v>0</v>
      </c>
      <c r="K1141" s="42">
        <v>0</v>
      </c>
      <c r="L1141" s="46" t="b">
        <v>0</v>
      </c>
      <c r="M1141" s="42">
        <v>0</v>
      </c>
      <c r="N1141" s="42">
        <v>0</v>
      </c>
      <c r="O1141" s="52">
        <v>0</v>
      </c>
      <c r="P1141" s="42">
        <v>0</v>
      </c>
      <c r="Q1141" s="42">
        <v>0</v>
      </c>
      <c r="R1141" s="42"/>
      <c r="S1141" s="42"/>
      <c r="T1141" s="42" t="s">
        <v>616</v>
      </c>
      <c r="U1141" t="str">
        <f>IFERROR(HYPERLINK("#'Main'!B"&amp;MATCH(TRIM(A1141),Main!B:B,0),"Open"),HYPERLINK("#'Main'!B1","Open"))</f>
        <v>Open</v>
      </c>
    </row>
    <row r="1142" spans="1:22" ht="30" customHeight="1" x14ac:dyDescent="0.25">
      <c r="A1142" s="50" t="s">
        <v>215</v>
      </c>
      <c r="B1142" s="33" t="s">
        <v>614</v>
      </c>
      <c r="C1142" s="37" t="s">
        <v>209</v>
      </c>
      <c r="D1142" s="33" t="s">
        <v>782</v>
      </c>
      <c r="E1142" s="52">
        <v>200</v>
      </c>
      <c r="F1142" s="33" t="b">
        <v>1</v>
      </c>
      <c r="G1142" s="33">
        <v>0</v>
      </c>
      <c r="H1142" s="52">
        <v>0</v>
      </c>
      <c r="I1142" s="33">
        <v>0</v>
      </c>
      <c r="J1142" s="33">
        <v>0</v>
      </c>
      <c r="K1142" s="33">
        <v>0</v>
      </c>
      <c r="L1142" s="40" t="b">
        <v>0</v>
      </c>
      <c r="M1142" s="33">
        <v>0</v>
      </c>
      <c r="N1142" s="33">
        <v>0</v>
      </c>
      <c r="O1142" s="52">
        <v>0</v>
      </c>
      <c r="P1142" s="33">
        <v>0</v>
      </c>
      <c r="Q1142" s="33">
        <v>0</v>
      </c>
      <c r="R1142" s="33"/>
      <c r="S1142" s="33"/>
      <c r="T1142" s="33" t="s">
        <v>616</v>
      </c>
      <c r="U1142" s="41" t="str">
        <f>IFERROR(HYPERLINK("#'Main'!B"&amp;MATCH(TRIM(A1142),Main!B:B,0),"Open"),HYPERLINK("#'Main'!B1","Open"))</f>
        <v>Open</v>
      </c>
      <c r="V1142" s="41"/>
    </row>
    <row r="1143" spans="1:22" ht="30" customHeight="1" x14ac:dyDescent="0.25">
      <c r="A1143" s="51" t="s">
        <v>215</v>
      </c>
      <c r="B1143" s="42" t="s">
        <v>614</v>
      </c>
      <c r="C1143" s="44" t="s">
        <v>217</v>
      </c>
      <c r="D1143" s="42" t="s">
        <v>321</v>
      </c>
      <c r="E1143" s="52">
        <v>200</v>
      </c>
      <c r="F1143" s="42" t="b">
        <v>1</v>
      </c>
      <c r="G1143" s="42">
        <v>0</v>
      </c>
      <c r="H1143" s="52">
        <v>0</v>
      </c>
      <c r="I1143" s="42">
        <v>0</v>
      </c>
      <c r="J1143" s="42">
        <v>0</v>
      </c>
      <c r="K1143" s="42">
        <v>0</v>
      </c>
      <c r="L1143" s="46" t="b">
        <v>0</v>
      </c>
      <c r="M1143" s="42">
        <v>0</v>
      </c>
      <c r="N1143" s="42">
        <v>0</v>
      </c>
      <c r="O1143" s="52">
        <v>0</v>
      </c>
      <c r="P1143" s="42">
        <v>0</v>
      </c>
      <c r="Q1143" s="42">
        <v>0</v>
      </c>
      <c r="R1143" s="42"/>
      <c r="S1143" s="42"/>
      <c r="T1143" s="42" t="s">
        <v>616</v>
      </c>
      <c r="U1143" t="str">
        <f>IFERROR(HYPERLINK("#'Main'!B"&amp;MATCH(TRIM(A1143),Main!B:B,0),"Open"),HYPERLINK("#'Main'!B1","Open"))</f>
        <v>Open</v>
      </c>
    </row>
    <row r="1144" spans="1:22" ht="30" customHeight="1" x14ac:dyDescent="0.25">
      <c r="A1144" s="50" t="s">
        <v>215</v>
      </c>
      <c r="B1144" s="33" t="s">
        <v>614</v>
      </c>
      <c r="C1144" s="37" t="s">
        <v>219</v>
      </c>
      <c r="D1144" s="33" t="s">
        <v>327</v>
      </c>
      <c r="E1144" s="52">
        <v>200</v>
      </c>
      <c r="F1144" s="33" t="b">
        <v>1</v>
      </c>
      <c r="G1144" s="33">
        <v>0</v>
      </c>
      <c r="H1144" s="52">
        <v>0</v>
      </c>
      <c r="I1144" s="33">
        <v>0</v>
      </c>
      <c r="J1144" s="33">
        <v>0</v>
      </c>
      <c r="K1144" s="33">
        <v>0</v>
      </c>
      <c r="L1144" s="40" t="b">
        <v>0</v>
      </c>
      <c r="M1144" s="33">
        <v>0</v>
      </c>
      <c r="N1144" s="33">
        <v>0</v>
      </c>
      <c r="O1144" s="52">
        <v>0</v>
      </c>
      <c r="P1144" s="33">
        <v>0</v>
      </c>
      <c r="Q1144" s="33">
        <v>0</v>
      </c>
      <c r="R1144" s="33"/>
      <c r="S1144" s="33"/>
      <c r="T1144" s="33" t="s">
        <v>616</v>
      </c>
      <c r="U1144" s="41" t="str">
        <f>IFERROR(HYPERLINK("#'Main'!B"&amp;MATCH(TRIM(A1144),Main!B:B,0),"Open"),HYPERLINK("#'Main'!B1","Open"))</f>
        <v>Open</v>
      </c>
      <c r="V1144" s="41"/>
    </row>
    <row r="1145" spans="1:22" ht="30" customHeight="1" x14ac:dyDescent="0.25">
      <c r="A1145" s="51" t="s">
        <v>215</v>
      </c>
      <c r="B1145" s="42" t="s">
        <v>614</v>
      </c>
      <c r="C1145" s="44" t="s">
        <v>210</v>
      </c>
      <c r="D1145" s="42" t="s">
        <v>292</v>
      </c>
      <c r="E1145" s="52">
        <v>200</v>
      </c>
      <c r="F1145" s="42" t="b">
        <v>1</v>
      </c>
      <c r="G1145" s="42">
        <v>0</v>
      </c>
      <c r="H1145" s="52">
        <v>0</v>
      </c>
      <c r="I1145" s="42">
        <v>0</v>
      </c>
      <c r="J1145" s="42">
        <v>0</v>
      </c>
      <c r="K1145" s="42">
        <v>0</v>
      </c>
      <c r="L1145" s="46" t="b">
        <v>0</v>
      </c>
      <c r="M1145" s="42">
        <v>0</v>
      </c>
      <c r="N1145" s="42">
        <v>0</v>
      </c>
      <c r="O1145" s="52">
        <v>0</v>
      </c>
      <c r="P1145" s="42">
        <v>0</v>
      </c>
      <c r="Q1145" s="42">
        <v>0</v>
      </c>
      <c r="R1145" s="42"/>
      <c r="S1145" s="42"/>
      <c r="T1145" s="42" t="s">
        <v>616</v>
      </c>
      <c r="U1145" t="str">
        <f>IFERROR(HYPERLINK("#'Main'!B"&amp;MATCH(TRIM(A1145),Main!B:B,0),"Open"),HYPERLINK("#'Main'!B1","Open"))</f>
        <v>Open</v>
      </c>
    </row>
    <row r="1146" spans="1:22" ht="30" customHeight="1" x14ac:dyDescent="0.25">
      <c r="A1146" s="50" t="s">
        <v>215</v>
      </c>
      <c r="B1146" s="33" t="s">
        <v>614</v>
      </c>
      <c r="C1146" s="37" t="s">
        <v>215</v>
      </c>
      <c r="D1146" s="33" t="s">
        <v>783</v>
      </c>
      <c r="E1146" s="52">
        <v>200</v>
      </c>
      <c r="F1146" s="33" t="b">
        <v>1</v>
      </c>
      <c r="G1146" s="33">
        <v>0</v>
      </c>
      <c r="H1146" s="52">
        <v>0</v>
      </c>
      <c r="I1146" s="33">
        <v>0</v>
      </c>
      <c r="J1146" s="33">
        <v>0</v>
      </c>
      <c r="K1146" s="33">
        <v>0</v>
      </c>
      <c r="L1146" s="40" t="b">
        <v>0</v>
      </c>
      <c r="M1146" s="33">
        <v>0</v>
      </c>
      <c r="N1146" s="33">
        <v>0</v>
      </c>
      <c r="O1146" s="52">
        <v>0</v>
      </c>
      <c r="P1146" s="33">
        <v>0</v>
      </c>
      <c r="Q1146" s="33">
        <v>0</v>
      </c>
      <c r="R1146" s="33"/>
      <c r="S1146" s="33"/>
      <c r="T1146" s="33" t="s">
        <v>616</v>
      </c>
      <c r="U1146" s="41" t="str">
        <f>IFERROR(HYPERLINK("#'Main'!B"&amp;MATCH(TRIM(A1146),Main!B:B,0),"Open"),HYPERLINK("#'Main'!B1","Open"))</f>
        <v>Open</v>
      </c>
      <c r="V1146" s="41"/>
    </row>
    <row r="1147" spans="1:22" ht="30" customHeight="1" x14ac:dyDescent="0.25">
      <c r="A1147" s="51" t="s">
        <v>215</v>
      </c>
      <c r="B1147" s="42" t="s">
        <v>614</v>
      </c>
      <c r="C1147" s="44" t="s">
        <v>214</v>
      </c>
      <c r="D1147" s="42" t="s">
        <v>784</v>
      </c>
      <c r="E1147" s="52">
        <v>200</v>
      </c>
      <c r="F1147" s="42" t="b">
        <v>1</v>
      </c>
      <c r="G1147" s="42">
        <v>0</v>
      </c>
      <c r="H1147" s="52">
        <v>0</v>
      </c>
      <c r="I1147" s="42">
        <v>0</v>
      </c>
      <c r="J1147" s="42">
        <v>0</v>
      </c>
      <c r="K1147" s="42">
        <v>0</v>
      </c>
      <c r="L1147" s="46" t="b">
        <v>0</v>
      </c>
      <c r="M1147" s="42">
        <v>0</v>
      </c>
      <c r="N1147" s="42">
        <v>0</v>
      </c>
      <c r="O1147" s="52">
        <v>0</v>
      </c>
      <c r="P1147" s="42">
        <v>0</v>
      </c>
      <c r="Q1147" s="42">
        <v>0</v>
      </c>
      <c r="R1147" s="42"/>
      <c r="S1147" s="42"/>
      <c r="T1147" s="42" t="s">
        <v>616</v>
      </c>
      <c r="U1147" t="str">
        <f>IFERROR(HYPERLINK("#'Main'!B"&amp;MATCH(TRIM(A1147),Main!B:B,0),"Open"),HYPERLINK("#'Main'!B1","Open"))</f>
        <v>Open</v>
      </c>
    </row>
    <row r="1148" spans="1:22" ht="30" customHeight="1" x14ac:dyDescent="0.25">
      <c r="A1148" s="50" t="s">
        <v>215</v>
      </c>
      <c r="B1148" s="33" t="s">
        <v>614</v>
      </c>
      <c r="C1148" s="37" t="s">
        <v>176</v>
      </c>
      <c r="D1148" s="33" t="s">
        <v>781</v>
      </c>
      <c r="E1148" s="52">
        <v>200</v>
      </c>
      <c r="F1148" s="33" t="b">
        <v>1</v>
      </c>
      <c r="G1148" s="33">
        <v>0</v>
      </c>
      <c r="H1148" s="52">
        <v>0</v>
      </c>
      <c r="I1148" s="33">
        <v>0</v>
      </c>
      <c r="J1148" s="33">
        <v>0</v>
      </c>
      <c r="K1148" s="33">
        <v>0</v>
      </c>
      <c r="L1148" s="40" t="b">
        <v>0</v>
      </c>
      <c r="M1148" s="33">
        <v>0</v>
      </c>
      <c r="N1148" s="33">
        <v>0</v>
      </c>
      <c r="O1148" s="52">
        <v>0</v>
      </c>
      <c r="P1148" s="33">
        <v>0</v>
      </c>
      <c r="Q1148" s="33">
        <v>0</v>
      </c>
      <c r="R1148" s="33"/>
      <c r="S1148" s="33"/>
      <c r="T1148" s="33" t="s">
        <v>616</v>
      </c>
      <c r="U1148" s="41" t="str">
        <f>IFERROR(HYPERLINK("#'Main'!B"&amp;MATCH(TRIM(A1148),Main!B:B,0),"Open"),HYPERLINK("#'Main'!B1","Open"))</f>
        <v>Open</v>
      </c>
      <c r="V1148" s="41"/>
    </row>
    <row r="1149" spans="1:22" ht="30" customHeight="1" x14ac:dyDescent="0.25">
      <c r="A1149" s="51" t="s">
        <v>215</v>
      </c>
      <c r="B1149" s="42" t="s">
        <v>614</v>
      </c>
      <c r="C1149" s="44" t="s">
        <v>209</v>
      </c>
      <c r="D1149" s="42" t="s">
        <v>782</v>
      </c>
      <c r="E1149" s="52">
        <v>200</v>
      </c>
      <c r="F1149" s="42" t="b">
        <v>1</v>
      </c>
      <c r="G1149" s="42">
        <v>0</v>
      </c>
      <c r="H1149" s="52">
        <v>0</v>
      </c>
      <c r="I1149" s="42">
        <v>0</v>
      </c>
      <c r="J1149" s="42">
        <v>0</v>
      </c>
      <c r="K1149" s="42">
        <v>0</v>
      </c>
      <c r="L1149" s="46" t="b">
        <v>0</v>
      </c>
      <c r="M1149" s="42">
        <v>0</v>
      </c>
      <c r="N1149" s="42">
        <v>0</v>
      </c>
      <c r="O1149" s="52">
        <v>0</v>
      </c>
      <c r="P1149" s="42">
        <v>0</v>
      </c>
      <c r="Q1149" s="42">
        <v>0</v>
      </c>
      <c r="R1149" s="42"/>
      <c r="S1149" s="42"/>
      <c r="T1149" s="42" t="s">
        <v>616</v>
      </c>
      <c r="U1149" t="str">
        <f>IFERROR(HYPERLINK("#'Main'!B"&amp;MATCH(TRIM(A1149),Main!B:B,0),"Open"),HYPERLINK("#'Main'!B1","Open"))</f>
        <v>Open</v>
      </c>
    </row>
    <row r="1150" spans="1:22" ht="30" customHeight="1" x14ac:dyDescent="0.25">
      <c r="A1150" s="50" t="s">
        <v>215</v>
      </c>
      <c r="B1150" s="33" t="s">
        <v>614</v>
      </c>
      <c r="C1150" s="37" t="s">
        <v>217</v>
      </c>
      <c r="D1150" s="33" t="s">
        <v>321</v>
      </c>
      <c r="E1150" s="52">
        <v>200</v>
      </c>
      <c r="F1150" s="33" t="b">
        <v>1</v>
      </c>
      <c r="G1150" s="33">
        <v>0</v>
      </c>
      <c r="H1150" s="52">
        <v>0</v>
      </c>
      <c r="I1150" s="33">
        <v>0</v>
      </c>
      <c r="J1150" s="33">
        <v>0</v>
      </c>
      <c r="K1150" s="33">
        <v>0</v>
      </c>
      <c r="L1150" s="40" t="b">
        <v>0</v>
      </c>
      <c r="M1150" s="33">
        <v>0</v>
      </c>
      <c r="N1150" s="33">
        <v>0</v>
      </c>
      <c r="O1150" s="52">
        <v>0</v>
      </c>
      <c r="P1150" s="33">
        <v>0</v>
      </c>
      <c r="Q1150" s="33">
        <v>0</v>
      </c>
      <c r="R1150" s="33"/>
      <c r="S1150" s="33"/>
      <c r="T1150" s="33" t="s">
        <v>616</v>
      </c>
      <c r="U1150" s="41" t="str">
        <f>IFERROR(HYPERLINK("#'Main'!B"&amp;MATCH(TRIM(A1150),Main!B:B,0),"Open"),HYPERLINK("#'Main'!B1","Open"))</f>
        <v>Open</v>
      </c>
      <c r="V1150" s="41"/>
    </row>
    <row r="1151" spans="1:22" ht="30" customHeight="1" x14ac:dyDescent="0.25">
      <c r="A1151" s="51" t="s">
        <v>215</v>
      </c>
      <c r="B1151" s="42" t="s">
        <v>614</v>
      </c>
      <c r="C1151" s="44" t="s">
        <v>219</v>
      </c>
      <c r="D1151" s="42" t="s">
        <v>327</v>
      </c>
      <c r="E1151" s="52">
        <v>200</v>
      </c>
      <c r="F1151" s="42" t="b">
        <v>1</v>
      </c>
      <c r="G1151" s="42">
        <v>0</v>
      </c>
      <c r="H1151" s="52">
        <v>0</v>
      </c>
      <c r="I1151" s="42">
        <v>0</v>
      </c>
      <c r="J1151" s="42">
        <v>0</v>
      </c>
      <c r="K1151" s="42">
        <v>0</v>
      </c>
      <c r="L1151" s="46" t="b">
        <v>0</v>
      </c>
      <c r="M1151" s="42">
        <v>0</v>
      </c>
      <c r="N1151" s="42">
        <v>0</v>
      </c>
      <c r="O1151" s="52">
        <v>0</v>
      </c>
      <c r="P1151" s="42">
        <v>0</v>
      </c>
      <c r="Q1151" s="42">
        <v>0</v>
      </c>
      <c r="R1151" s="42"/>
      <c r="S1151" s="42"/>
      <c r="T1151" s="42" t="s">
        <v>616</v>
      </c>
      <c r="U1151" t="str">
        <f>IFERROR(HYPERLINK("#'Main'!B"&amp;MATCH(TRIM(A1151),Main!B:B,0),"Open"),HYPERLINK("#'Main'!B1","Open"))</f>
        <v>Open</v>
      </c>
    </row>
    <row r="1152" spans="1:22" ht="30" customHeight="1" x14ac:dyDescent="0.25">
      <c r="A1152" s="50" t="s">
        <v>215</v>
      </c>
      <c r="B1152" s="33" t="s">
        <v>614</v>
      </c>
      <c r="C1152" s="37" t="s">
        <v>210</v>
      </c>
      <c r="D1152" s="33" t="s">
        <v>292</v>
      </c>
      <c r="E1152" s="52">
        <v>200</v>
      </c>
      <c r="F1152" s="33" t="b">
        <v>1</v>
      </c>
      <c r="G1152" s="33">
        <v>0</v>
      </c>
      <c r="H1152" s="52">
        <v>0</v>
      </c>
      <c r="I1152" s="33">
        <v>0</v>
      </c>
      <c r="J1152" s="33">
        <v>0</v>
      </c>
      <c r="K1152" s="33">
        <v>0</v>
      </c>
      <c r="L1152" s="40" t="b">
        <v>0</v>
      </c>
      <c r="M1152" s="33">
        <v>0</v>
      </c>
      <c r="N1152" s="33">
        <v>0</v>
      </c>
      <c r="O1152" s="52">
        <v>0</v>
      </c>
      <c r="P1152" s="33">
        <v>0</v>
      </c>
      <c r="Q1152" s="33">
        <v>0</v>
      </c>
      <c r="R1152" s="33"/>
      <c r="S1152" s="33"/>
      <c r="T1152" s="33" t="s">
        <v>616</v>
      </c>
      <c r="U1152" s="41" t="str">
        <f>IFERROR(HYPERLINK("#'Main'!B"&amp;MATCH(TRIM(A1152),Main!B:B,0),"Open"),HYPERLINK("#'Main'!B1","Open"))</f>
        <v>Open</v>
      </c>
      <c r="V1152" s="41"/>
    </row>
    <row r="1153" spans="1:22" ht="30" customHeight="1" x14ac:dyDescent="0.25">
      <c r="A1153" s="51" t="s">
        <v>215</v>
      </c>
      <c r="B1153" s="42" t="s">
        <v>614</v>
      </c>
      <c r="C1153" s="44" t="s">
        <v>215</v>
      </c>
      <c r="D1153" s="42" t="s">
        <v>783</v>
      </c>
      <c r="E1153" s="52">
        <v>200</v>
      </c>
      <c r="F1153" s="42" t="b">
        <v>1</v>
      </c>
      <c r="G1153" s="42">
        <v>0</v>
      </c>
      <c r="H1153" s="52">
        <v>0</v>
      </c>
      <c r="I1153" s="42">
        <v>0</v>
      </c>
      <c r="J1153" s="42">
        <v>0</v>
      </c>
      <c r="K1153" s="42">
        <v>0</v>
      </c>
      <c r="L1153" s="46" t="b">
        <v>0</v>
      </c>
      <c r="M1153" s="42">
        <v>0</v>
      </c>
      <c r="N1153" s="42">
        <v>0</v>
      </c>
      <c r="O1153" s="52">
        <v>0</v>
      </c>
      <c r="P1153" s="42">
        <v>0</v>
      </c>
      <c r="Q1153" s="42">
        <v>0</v>
      </c>
      <c r="R1153" s="42"/>
      <c r="S1153" s="42"/>
      <c r="T1153" s="42" t="s">
        <v>616</v>
      </c>
      <c r="U1153" t="str">
        <f>IFERROR(HYPERLINK("#'Main'!B"&amp;MATCH(TRIM(A1153),Main!B:B,0),"Open"),HYPERLINK("#'Main'!B1","Open"))</f>
        <v>Open</v>
      </c>
    </row>
    <row r="1154" spans="1:22" ht="30" customHeight="1" x14ac:dyDescent="0.25">
      <c r="A1154" s="50" t="s">
        <v>215</v>
      </c>
      <c r="B1154" s="33" t="s">
        <v>614</v>
      </c>
      <c r="C1154" s="37" t="s">
        <v>214</v>
      </c>
      <c r="D1154" s="33" t="s">
        <v>784</v>
      </c>
      <c r="E1154" s="52">
        <v>200</v>
      </c>
      <c r="F1154" s="33" t="b">
        <v>1</v>
      </c>
      <c r="G1154" s="33">
        <v>0</v>
      </c>
      <c r="H1154" s="52">
        <v>0</v>
      </c>
      <c r="I1154" s="33">
        <v>0</v>
      </c>
      <c r="J1154" s="33">
        <v>0</v>
      </c>
      <c r="K1154" s="33">
        <v>0</v>
      </c>
      <c r="L1154" s="40" t="b">
        <v>0</v>
      </c>
      <c r="M1154" s="33">
        <v>0</v>
      </c>
      <c r="N1154" s="33">
        <v>0</v>
      </c>
      <c r="O1154" s="52">
        <v>0</v>
      </c>
      <c r="P1154" s="33">
        <v>0</v>
      </c>
      <c r="Q1154" s="33">
        <v>0</v>
      </c>
      <c r="R1154" s="33"/>
      <c r="S1154" s="33"/>
      <c r="T1154" s="33" t="s">
        <v>616</v>
      </c>
      <c r="U1154" s="41" t="str">
        <f>IFERROR(HYPERLINK("#'Main'!B"&amp;MATCH(TRIM(A1154),Main!B:B,0),"Open"),HYPERLINK("#'Main'!B1","Open"))</f>
        <v>Open</v>
      </c>
      <c r="V1154" s="41"/>
    </row>
    <row r="1155" spans="1:22" ht="30" customHeight="1" x14ac:dyDescent="0.25">
      <c r="A1155" s="51" t="s">
        <v>215</v>
      </c>
      <c r="B1155" s="42" t="s">
        <v>614</v>
      </c>
      <c r="C1155" s="44" t="s">
        <v>209</v>
      </c>
      <c r="D1155" s="42" t="s">
        <v>785</v>
      </c>
      <c r="E1155" s="52">
        <v>200</v>
      </c>
      <c r="F1155" s="42" t="b">
        <v>1</v>
      </c>
      <c r="G1155" s="42">
        <v>0</v>
      </c>
      <c r="H1155" s="52">
        <v>0</v>
      </c>
      <c r="I1155" s="42">
        <v>0</v>
      </c>
      <c r="J1155" s="42">
        <v>0</v>
      </c>
      <c r="K1155" s="42">
        <v>0</v>
      </c>
      <c r="L1155" s="46" t="b">
        <v>0</v>
      </c>
      <c r="M1155" s="42">
        <v>0</v>
      </c>
      <c r="N1155" s="42">
        <v>0</v>
      </c>
      <c r="O1155" s="52">
        <v>0</v>
      </c>
      <c r="P1155" s="42">
        <v>0</v>
      </c>
      <c r="Q1155" s="42">
        <v>0</v>
      </c>
      <c r="R1155" s="42"/>
      <c r="S1155" s="42"/>
      <c r="T1155" s="42" t="s">
        <v>616</v>
      </c>
      <c r="U1155" t="str">
        <f>IFERROR(HYPERLINK("#'Main'!B"&amp;MATCH(TRIM(A1155),Main!B:B,0),"Open"),HYPERLINK("#'Main'!B1","Open"))</f>
        <v>Open</v>
      </c>
    </row>
    <row r="1156" spans="1:22" ht="30" customHeight="1" x14ac:dyDescent="0.25">
      <c r="A1156" s="50" t="s">
        <v>215</v>
      </c>
      <c r="B1156" s="33" t="s">
        <v>614</v>
      </c>
      <c r="C1156" s="37" t="s">
        <v>769</v>
      </c>
      <c r="D1156" s="33"/>
      <c r="E1156" s="52">
        <v>200</v>
      </c>
      <c r="F1156" s="33" t="b">
        <v>1</v>
      </c>
      <c r="G1156" s="33">
        <v>0</v>
      </c>
      <c r="H1156" s="52">
        <v>0</v>
      </c>
      <c r="I1156" s="33">
        <v>0</v>
      </c>
      <c r="J1156" s="33">
        <v>0</v>
      </c>
      <c r="K1156" s="33">
        <v>0</v>
      </c>
      <c r="L1156" s="40" t="b">
        <v>0</v>
      </c>
      <c r="M1156" s="33">
        <v>0</v>
      </c>
      <c r="N1156" s="33">
        <v>0</v>
      </c>
      <c r="O1156" s="52">
        <v>0</v>
      </c>
      <c r="P1156" s="33">
        <v>0</v>
      </c>
      <c r="Q1156" s="33">
        <v>0</v>
      </c>
      <c r="R1156" s="33"/>
      <c r="S1156" s="33"/>
      <c r="T1156" s="33" t="s">
        <v>616</v>
      </c>
      <c r="U1156" s="41" t="str">
        <f>IFERROR(HYPERLINK("#'Main'!B"&amp;MATCH(TRIM(A1156),Main!B:B,0),"Open"),HYPERLINK("#'Main'!B1","Open"))</f>
        <v>Open</v>
      </c>
      <c r="V1156" s="41"/>
    </row>
    <row r="1157" spans="1:22" ht="30" customHeight="1" x14ac:dyDescent="0.25">
      <c r="A1157" s="51" t="s">
        <v>215</v>
      </c>
      <c r="B1157" s="42" t="s">
        <v>614</v>
      </c>
      <c r="C1157" s="44" t="s">
        <v>770</v>
      </c>
      <c r="D1157" s="42"/>
      <c r="E1157" s="52">
        <v>200</v>
      </c>
      <c r="F1157" s="42" t="b">
        <v>1</v>
      </c>
      <c r="G1157" s="42">
        <v>0</v>
      </c>
      <c r="H1157" s="52">
        <v>0</v>
      </c>
      <c r="I1157" s="42">
        <v>0</v>
      </c>
      <c r="J1157" s="42">
        <v>0</v>
      </c>
      <c r="K1157" s="42">
        <v>0</v>
      </c>
      <c r="L1157" s="46" t="b">
        <v>0</v>
      </c>
      <c r="M1157" s="42">
        <v>0</v>
      </c>
      <c r="N1157" s="42">
        <v>0</v>
      </c>
      <c r="O1157" s="52">
        <v>0</v>
      </c>
      <c r="P1157" s="42">
        <v>0</v>
      </c>
      <c r="Q1157" s="42">
        <v>0</v>
      </c>
      <c r="R1157" s="42"/>
      <c r="S1157" s="42"/>
      <c r="T1157" s="42" t="s">
        <v>616</v>
      </c>
      <c r="U1157" t="str">
        <f>IFERROR(HYPERLINK("#'Main'!B"&amp;MATCH(TRIM(A1157),Main!B:B,0),"Open"),HYPERLINK("#'Main'!B1","Open"))</f>
        <v>Open</v>
      </c>
    </row>
    <row r="1158" spans="1:22" ht="30" customHeight="1" x14ac:dyDescent="0.25">
      <c r="A1158" s="50" t="s">
        <v>215</v>
      </c>
      <c r="B1158" s="33" t="s">
        <v>614</v>
      </c>
      <c r="C1158" s="37" t="s">
        <v>771</v>
      </c>
      <c r="D1158" s="33"/>
      <c r="E1158" s="52">
        <v>200</v>
      </c>
      <c r="F1158" s="33" t="b">
        <v>1</v>
      </c>
      <c r="G1158" s="33">
        <v>0</v>
      </c>
      <c r="H1158" s="52">
        <v>0</v>
      </c>
      <c r="I1158" s="33">
        <v>0</v>
      </c>
      <c r="J1158" s="33">
        <v>0</v>
      </c>
      <c r="K1158" s="33">
        <v>0</v>
      </c>
      <c r="L1158" s="40" t="b">
        <v>0</v>
      </c>
      <c r="M1158" s="33">
        <v>0</v>
      </c>
      <c r="N1158" s="33">
        <v>0</v>
      </c>
      <c r="O1158" s="52">
        <v>0</v>
      </c>
      <c r="P1158" s="33">
        <v>0</v>
      </c>
      <c r="Q1158" s="33">
        <v>0</v>
      </c>
      <c r="R1158" s="33"/>
      <c r="S1158" s="33"/>
      <c r="T1158" s="33" t="s">
        <v>616</v>
      </c>
      <c r="U1158" s="41" t="str">
        <f>IFERROR(HYPERLINK("#'Main'!B"&amp;MATCH(TRIM(A1158),Main!B:B,0),"Open"),HYPERLINK("#'Main'!B1","Open"))</f>
        <v>Open</v>
      </c>
      <c r="V1158" s="41"/>
    </row>
    <row r="1159" spans="1:22" ht="30" customHeight="1" x14ac:dyDescent="0.25">
      <c r="A1159" s="51" t="s">
        <v>215</v>
      </c>
      <c r="B1159" s="42" t="s">
        <v>614</v>
      </c>
      <c r="C1159" s="44" t="s">
        <v>772</v>
      </c>
      <c r="D1159" s="42"/>
      <c r="E1159" s="52">
        <v>200</v>
      </c>
      <c r="F1159" s="42" t="b">
        <v>1</v>
      </c>
      <c r="G1159" s="42">
        <v>0</v>
      </c>
      <c r="H1159" s="52">
        <v>0</v>
      </c>
      <c r="I1159" s="42">
        <v>0</v>
      </c>
      <c r="J1159" s="42">
        <v>0</v>
      </c>
      <c r="K1159" s="42">
        <v>0</v>
      </c>
      <c r="L1159" s="46" t="b">
        <v>0</v>
      </c>
      <c r="M1159" s="42">
        <v>0</v>
      </c>
      <c r="N1159" s="42">
        <v>0</v>
      </c>
      <c r="O1159" s="52">
        <v>0</v>
      </c>
      <c r="P1159" s="42">
        <v>0</v>
      </c>
      <c r="Q1159" s="42">
        <v>0</v>
      </c>
      <c r="R1159" s="42"/>
      <c r="S1159" s="42"/>
      <c r="T1159" s="42" t="s">
        <v>616</v>
      </c>
      <c r="U1159" t="str">
        <f>IFERROR(HYPERLINK("#'Main'!B"&amp;MATCH(TRIM(A1159),Main!B:B,0),"Open"),HYPERLINK("#'Main'!B1","Open"))</f>
        <v>Open</v>
      </c>
    </row>
    <row r="1160" spans="1:22" ht="30" customHeight="1" x14ac:dyDescent="0.25">
      <c r="A1160" s="50" t="s">
        <v>215</v>
      </c>
      <c r="B1160" s="33" t="s">
        <v>614</v>
      </c>
      <c r="C1160" s="37" t="s">
        <v>773</v>
      </c>
      <c r="D1160" s="33"/>
      <c r="E1160" s="52">
        <v>200</v>
      </c>
      <c r="F1160" s="33" t="b">
        <v>1</v>
      </c>
      <c r="G1160" s="33">
        <v>0</v>
      </c>
      <c r="H1160" s="52">
        <v>0</v>
      </c>
      <c r="I1160" s="33">
        <v>0</v>
      </c>
      <c r="J1160" s="33">
        <v>0</v>
      </c>
      <c r="K1160" s="33">
        <v>0</v>
      </c>
      <c r="L1160" s="40" t="b">
        <v>0</v>
      </c>
      <c r="M1160" s="33">
        <v>0</v>
      </c>
      <c r="N1160" s="33">
        <v>0</v>
      </c>
      <c r="O1160" s="52">
        <v>0</v>
      </c>
      <c r="P1160" s="33">
        <v>0</v>
      </c>
      <c r="Q1160" s="33">
        <v>0</v>
      </c>
      <c r="R1160" s="33"/>
      <c r="S1160" s="33"/>
      <c r="T1160" s="33" t="s">
        <v>616</v>
      </c>
      <c r="U1160" s="41" t="str">
        <f>IFERROR(HYPERLINK("#'Main'!B"&amp;MATCH(TRIM(A1160),Main!B:B,0),"Open"),HYPERLINK("#'Main'!B1","Open"))</f>
        <v>Open</v>
      </c>
      <c r="V1160" s="41"/>
    </row>
    <row r="1161" spans="1:22" ht="30" customHeight="1" x14ac:dyDescent="0.25">
      <c r="A1161" s="51" t="s">
        <v>215</v>
      </c>
      <c r="B1161" s="42" t="s">
        <v>614</v>
      </c>
      <c r="C1161" s="44" t="s">
        <v>774</v>
      </c>
      <c r="D1161" s="42"/>
      <c r="E1161" s="52">
        <v>200</v>
      </c>
      <c r="F1161" s="42" t="b">
        <v>1</v>
      </c>
      <c r="G1161" s="42">
        <v>0</v>
      </c>
      <c r="H1161" s="52">
        <v>0</v>
      </c>
      <c r="I1161" s="42">
        <v>0</v>
      </c>
      <c r="J1161" s="42">
        <v>0</v>
      </c>
      <c r="K1161" s="42">
        <v>0</v>
      </c>
      <c r="L1161" s="46" t="b">
        <v>0</v>
      </c>
      <c r="M1161" s="42">
        <v>0</v>
      </c>
      <c r="N1161" s="42">
        <v>0</v>
      </c>
      <c r="O1161" s="52">
        <v>0</v>
      </c>
      <c r="P1161" s="42">
        <v>0</v>
      </c>
      <c r="Q1161" s="42">
        <v>0</v>
      </c>
      <c r="R1161" s="42"/>
      <c r="S1161" s="42"/>
      <c r="T1161" s="42" t="s">
        <v>616</v>
      </c>
      <c r="U1161" t="str">
        <f>IFERROR(HYPERLINK("#'Main'!B"&amp;MATCH(TRIM(A1161),Main!B:B,0),"Open"),HYPERLINK("#'Main'!B1","Open"))</f>
        <v>Open</v>
      </c>
    </row>
    <row r="1162" spans="1:22" ht="30" customHeight="1" x14ac:dyDescent="0.25">
      <c r="A1162" s="50" t="s">
        <v>215</v>
      </c>
      <c r="B1162" s="33" t="s">
        <v>614</v>
      </c>
      <c r="C1162" s="37" t="s">
        <v>775</v>
      </c>
      <c r="D1162" s="33"/>
      <c r="E1162" s="52">
        <v>200</v>
      </c>
      <c r="F1162" s="33" t="b">
        <v>1</v>
      </c>
      <c r="G1162" s="33">
        <v>0</v>
      </c>
      <c r="H1162" s="52">
        <v>0</v>
      </c>
      <c r="I1162" s="33">
        <v>0</v>
      </c>
      <c r="J1162" s="33">
        <v>0</v>
      </c>
      <c r="K1162" s="33">
        <v>0</v>
      </c>
      <c r="L1162" s="40" t="b">
        <v>0</v>
      </c>
      <c r="M1162" s="33">
        <v>0</v>
      </c>
      <c r="N1162" s="33">
        <v>0</v>
      </c>
      <c r="O1162" s="52">
        <v>0</v>
      </c>
      <c r="P1162" s="33">
        <v>0</v>
      </c>
      <c r="Q1162" s="33">
        <v>0</v>
      </c>
      <c r="R1162" s="33"/>
      <c r="S1162" s="33"/>
      <c r="T1162" s="33" t="s">
        <v>616</v>
      </c>
      <c r="U1162" s="41" t="str">
        <f>IFERROR(HYPERLINK("#'Main'!B"&amp;MATCH(TRIM(A1162),Main!B:B,0),"Open"),HYPERLINK("#'Main'!B1","Open"))</f>
        <v>Open</v>
      </c>
      <c r="V1162" s="41"/>
    </row>
    <row r="1163" spans="1:22" ht="30" customHeight="1" x14ac:dyDescent="0.25">
      <c r="A1163" s="51" t="s">
        <v>215</v>
      </c>
      <c r="B1163" s="42" t="s">
        <v>614</v>
      </c>
      <c r="C1163" s="44" t="s">
        <v>776</v>
      </c>
      <c r="D1163" s="42"/>
      <c r="E1163" s="52">
        <v>200</v>
      </c>
      <c r="F1163" s="42" t="b">
        <v>1</v>
      </c>
      <c r="G1163" s="42">
        <v>0</v>
      </c>
      <c r="H1163" s="52">
        <v>0</v>
      </c>
      <c r="I1163" s="42">
        <v>0</v>
      </c>
      <c r="J1163" s="42">
        <v>0</v>
      </c>
      <c r="K1163" s="42">
        <v>0</v>
      </c>
      <c r="L1163" s="46" t="b">
        <v>0</v>
      </c>
      <c r="M1163" s="42">
        <v>0</v>
      </c>
      <c r="N1163" s="42">
        <v>0</v>
      </c>
      <c r="O1163" s="52">
        <v>0</v>
      </c>
      <c r="P1163" s="42">
        <v>0</v>
      </c>
      <c r="Q1163" s="42">
        <v>0</v>
      </c>
      <c r="R1163" s="42"/>
      <c r="S1163" s="42"/>
      <c r="T1163" s="42" t="s">
        <v>616</v>
      </c>
      <c r="U1163" t="str">
        <f>IFERROR(HYPERLINK("#'Main'!B"&amp;MATCH(TRIM(A1163),Main!B:B,0),"Open"),HYPERLINK("#'Main'!B1","Open"))</f>
        <v>Open</v>
      </c>
    </row>
    <row r="1164" spans="1:22" ht="30" customHeight="1" x14ac:dyDescent="0.25">
      <c r="A1164" s="50" t="s">
        <v>215</v>
      </c>
      <c r="B1164" s="33" t="s">
        <v>614</v>
      </c>
      <c r="C1164" s="37" t="s">
        <v>777</v>
      </c>
      <c r="D1164" s="33"/>
      <c r="E1164" s="34">
        <v>500</v>
      </c>
      <c r="F1164" s="33" t="b">
        <v>0</v>
      </c>
      <c r="G1164" s="33">
        <v>0</v>
      </c>
      <c r="H1164" s="52">
        <v>0</v>
      </c>
      <c r="I1164" s="33">
        <v>0</v>
      </c>
      <c r="J1164" s="33">
        <v>0</v>
      </c>
      <c r="K1164" s="33">
        <v>0</v>
      </c>
      <c r="L1164" s="40" t="b">
        <v>0</v>
      </c>
      <c r="M1164" s="33">
        <v>0</v>
      </c>
      <c r="N1164" s="33">
        <v>0</v>
      </c>
      <c r="O1164" s="52">
        <v>0</v>
      </c>
      <c r="P1164" s="33">
        <v>0</v>
      </c>
      <c r="Q1164" s="33">
        <v>0</v>
      </c>
      <c r="R1164" s="33"/>
      <c r="S1164" s="33"/>
      <c r="T1164" s="33" t="s">
        <v>616</v>
      </c>
      <c r="U1164" s="41" t="str">
        <f>IFERROR(HYPERLINK("#'Main'!B"&amp;MATCH(TRIM(A1164),Main!B:B,0),"Open"),HYPERLINK("#'Main'!B1","Open"))</f>
        <v>Open</v>
      </c>
      <c r="V1164" s="41"/>
    </row>
    <row r="1165" spans="1:22" ht="30" customHeight="1" x14ac:dyDescent="0.25">
      <c r="A1165" s="51" t="s">
        <v>215</v>
      </c>
      <c r="B1165" s="42" t="s">
        <v>614</v>
      </c>
      <c r="C1165" s="44" t="s">
        <v>778</v>
      </c>
      <c r="D1165" s="42"/>
      <c r="E1165" s="52">
        <v>200</v>
      </c>
      <c r="F1165" s="42" t="b">
        <v>1</v>
      </c>
      <c r="G1165" s="42">
        <v>0</v>
      </c>
      <c r="H1165" s="52">
        <v>0</v>
      </c>
      <c r="I1165" s="42">
        <v>0</v>
      </c>
      <c r="J1165" s="42">
        <v>0</v>
      </c>
      <c r="K1165" s="42">
        <v>0</v>
      </c>
      <c r="L1165" s="46" t="b">
        <v>0</v>
      </c>
      <c r="M1165" s="42">
        <v>0</v>
      </c>
      <c r="N1165" s="42">
        <v>0</v>
      </c>
      <c r="O1165" s="52">
        <v>0</v>
      </c>
      <c r="P1165" s="42">
        <v>0</v>
      </c>
      <c r="Q1165" s="42">
        <v>0</v>
      </c>
      <c r="R1165" s="42"/>
      <c r="S1165" s="42"/>
      <c r="T1165" s="42" t="s">
        <v>616</v>
      </c>
      <c r="U1165" t="str">
        <f>IFERROR(HYPERLINK("#'Main'!B"&amp;MATCH(TRIM(A1165),Main!B:B,0),"Open"),HYPERLINK("#'Main'!B1","Open"))</f>
        <v>Open</v>
      </c>
    </row>
    <row r="1166" spans="1:22" ht="30" customHeight="1" x14ac:dyDescent="0.25">
      <c r="A1166" s="50" t="s">
        <v>215</v>
      </c>
      <c r="B1166" s="33" t="s">
        <v>614</v>
      </c>
      <c r="C1166" s="37" t="s">
        <v>629</v>
      </c>
      <c r="D1166" s="33" t="s">
        <v>630</v>
      </c>
      <c r="E1166" s="52">
        <v>200</v>
      </c>
      <c r="F1166" s="33" t="b">
        <v>1</v>
      </c>
      <c r="G1166" s="33">
        <v>0</v>
      </c>
      <c r="H1166" s="52">
        <v>0</v>
      </c>
      <c r="I1166" s="33">
        <v>0</v>
      </c>
      <c r="J1166" s="33">
        <v>0</v>
      </c>
      <c r="K1166" s="33">
        <v>0</v>
      </c>
      <c r="L1166" s="40" t="b">
        <v>0</v>
      </c>
      <c r="M1166" s="33">
        <v>0</v>
      </c>
      <c r="N1166" s="33">
        <v>0</v>
      </c>
      <c r="O1166" s="52">
        <v>0</v>
      </c>
      <c r="P1166" s="33">
        <v>0</v>
      </c>
      <c r="Q1166" s="33">
        <v>0</v>
      </c>
      <c r="R1166" s="33"/>
      <c r="S1166" s="33"/>
      <c r="T1166" s="33" t="s">
        <v>616</v>
      </c>
      <c r="U1166" s="41" t="str">
        <f>IFERROR(HYPERLINK("#'Main'!B"&amp;MATCH(TRIM(A1166),Main!B:B,0),"Open"),HYPERLINK("#'Main'!B1","Open"))</f>
        <v>Open</v>
      </c>
      <c r="V1166" s="41"/>
    </row>
    <row r="1167" spans="1:22" ht="30" customHeight="1" x14ac:dyDescent="0.25">
      <c r="A1167" s="51" t="s">
        <v>215</v>
      </c>
      <c r="B1167" s="42" t="s">
        <v>614</v>
      </c>
      <c r="C1167" s="44" t="s">
        <v>631</v>
      </c>
      <c r="D1167" s="42"/>
      <c r="E1167" s="52">
        <v>200</v>
      </c>
      <c r="F1167" s="42" t="b">
        <v>1</v>
      </c>
      <c r="G1167" s="42">
        <v>0</v>
      </c>
      <c r="H1167" s="52">
        <v>0</v>
      </c>
      <c r="I1167" s="42">
        <v>0</v>
      </c>
      <c r="J1167" s="42">
        <v>0</v>
      </c>
      <c r="K1167" s="42">
        <v>0</v>
      </c>
      <c r="L1167" s="46" t="b">
        <v>0</v>
      </c>
      <c r="M1167" s="42">
        <v>0</v>
      </c>
      <c r="N1167" s="42">
        <v>0</v>
      </c>
      <c r="O1167" s="52">
        <v>0</v>
      </c>
      <c r="P1167" s="42">
        <v>0</v>
      </c>
      <c r="Q1167" s="42">
        <v>0</v>
      </c>
      <c r="R1167" s="42"/>
      <c r="S1167" s="42"/>
      <c r="T1167" s="42" t="s">
        <v>616</v>
      </c>
      <c r="U1167" t="str">
        <f>IFERROR(HYPERLINK("#'Main'!B"&amp;MATCH(TRIM(A1167),Main!B:B,0),"Open"),HYPERLINK("#'Main'!B1","Open"))</f>
        <v>Open</v>
      </c>
    </row>
    <row r="1168" spans="1:22" ht="30" customHeight="1" x14ac:dyDescent="0.25">
      <c r="A1168" s="50" t="s">
        <v>215</v>
      </c>
      <c r="B1168" s="33" t="s">
        <v>614</v>
      </c>
      <c r="C1168" s="37" t="s">
        <v>632</v>
      </c>
      <c r="D1168" s="33"/>
      <c r="E1168" s="52">
        <v>200</v>
      </c>
      <c r="F1168" s="33" t="b">
        <v>1</v>
      </c>
      <c r="G1168" s="33">
        <v>0</v>
      </c>
      <c r="H1168" s="52">
        <v>0</v>
      </c>
      <c r="I1168" s="33">
        <v>0</v>
      </c>
      <c r="J1168" s="33">
        <v>0</v>
      </c>
      <c r="K1168" s="33">
        <v>0</v>
      </c>
      <c r="L1168" s="40" t="b">
        <v>0</v>
      </c>
      <c r="M1168" s="33">
        <v>0</v>
      </c>
      <c r="N1168" s="33">
        <v>0</v>
      </c>
      <c r="O1168" s="52">
        <v>0</v>
      </c>
      <c r="P1168" s="33">
        <v>0</v>
      </c>
      <c r="Q1168" s="33">
        <v>0</v>
      </c>
      <c r="R1168" s="33"/>
      <c r="S1168" s="33"/>
      <c r="T1168" s="33" t="s">
        <v>616</v>
      </c>
      <c r="U1168" s="41" t="str">
        <f>IFERROR(HYPERLINK("#'Main'!B"&amp;MATCH(TRIM(A1168),Main!B:B,0),"Open"),HYPERLINK("#'Main'!B1","Open"))</f>
        <v>Open</v>
      </c>
      <c r="V1168" s="41"/>
    </row>
    <row r="1169" spans="1:22" ht="30" customHeight="1" x14ac:dyDescent="0.25">
      <c r="A1169" s="51" t="s">
        <v>215</v>
      </c>
      <c r="B1169" s="42" t="s">
        <v>614</v>
      </c>
      <c r="C1169" s="44" t="s">
        <v>634</v>
      </c>
      <c r="D1169" s="42" t="s">
        <v>666</v>
      </c>
      <c r="E1169" s="52">
        <v>200</v>
      </c>
      <c r="F1169" s="42" t="b">
        <v>1</v>
      </c>
      <c r="G1169" s="42">
        <v>0</v>
      </c>
      <c r="H1169" s="52">
        <v>0</v>
      </c>
      <c r="I1169" s="42">
        <v>0</v>
      </c>
      <c r="J1169" s="42">
        <v>0</v>
      </c>
      <c r="K1169" s="42">
        <v>0</v>
      </c>
      <c r="L1169" s="46" t="b">
        <v>0</v>
      </c>
      <c r="M1169" s="42">
        <v>0</v>
      </c>
      <c r="N1169" s="42">
        <v>0</v>
      </c>
      <c r="O1169" s="52">
        <v>0</v>
      </c>
      <c r="P1169" s="42">
        <v>0</v>
      </c>
      <c r="Q1169" s="42">
        <v>0</v>
      </c>
      <c r="R1169" s="42"/>
      <c r="S1169" s="42"/>
      <c r="T1169" s="42" t="s">
        <v>616</v>
      </c>
      <c r="U1169" t="str">
        <f>IFERROR(HYPERLINK("#'Main'!B"&amp;MATCH(TRIM(A1169),Main!B:B,0),"Open"),HYPERLINK("#'Main'!B1","Open"))</f>
        <v>Open</v>
      </c>
    </row>
    <row r="1170" spans="1:22" ht="30" customHeight="1" x14ac:dyDescent="0.25">
      <c r="A1170" s="50" t="s">
        <v>215</v>
      </c>
      <c r="B1170" s="33" t="s">
        <v>614</v>
      </c>
      <c r="C1170" s="37" t="s">
        <v>636</v>
      </c>
      <c r="D1170" s="33" t="s">
        <v>637</v>
      </c>
      <c r="E1170" s="34">
        <v>404</v>
      </c>
      <c r="F1170" s="33" t="b">
        <v>0</v>
      </c>
      <c r="G1170" s="33">
        <v>0</v>
      </c>
      <c r="H1170" s="52">
        <v>0</v>
      </c>
      <c r="I1170" s="33">
        <v>0</v>
      </c>
      <c r="J1170" s="33">
        <v>0</v>
      </c>
      <c r="K1170" s="33">
        <v>0</v>
      </c>
      <c r="L1170" s="40" t="b">
        <v>0</v>
      </c>
      <c r="M1170" s="33">
        <v>0</v>
      </c>
      <c r="N1170" s="33">
        <v>0</v>
      </c>
      <c r="O1170" s="52">
        <v>0</v>
      </c>
      <c r="P1170" s="33">
        <v>0</v>
      </c>
      <c r="Q1170" s="33">
        <v>0</v>
      </c>
      <c r="R1170" s="33"/>
      <c r="S1170" s="33"/>
      <c r="T1170" s="33" t="s">
        <v>616</v>
      </c>
      <c r="U1170" s="41" t="str">
        <f>IFERROR(HYPERLINK("#'Main'!B"&amp;MATCH(TRIM(A1170),Main!B:B,0),"Open"),HYPERLINK("#'Main'!B1","Open"))</f>
        <v>Open</v>
      </c>
      <c r="V1170" s="41"/>
    </row>
    <row r="1171" spans="1:22" ht="30" customHeight="1" x14ac:dyDescent="0.25">
      <c r="A1171" s="51" t="s">
        <v>215</v>
      </c>
      <c r="B1171" s="42" t="s">
        <v>614</v>
      </c>
      <c r="C1171" s="44" t="s">
        <v>636</v>
      </c>
      <c r="D1171" s="42" t="s">
        <v>638</v>
      </c>
      <c r="E1171" s="34">
        <v>404</v>
      </c>
      <c r="F1171" s="42" t="b">
        <v>0</v>
      </c>
      <c r="G1171" s="42">
        <v>0</v>
      </c>
      <c r="H1171" s="52">
        <v>0</v>
      </c>
      <c r="I1171" s="42">
        <v>0</v>
      </c>
      <c r="J1171" s="42">
        <v>0</v>
      </c>
      <c r="K1171" s="42">
        <v>0</v>
      </c>
      <c r="L1171" s="46" t="b">
        <v>0</v>
      </c>
      <c r="M1171" s="42">
        <v>0</v>
      </c>
      <c r="N1171" s="42">
        <v>0</v>
      </c>
      <c r="O1171" s="52">
        <v>0</v>
      </c>
      <c r="P1171" s="42">
        <v>0</v>
      </c>
      <c r="Q1171" s="42">
        <v>0</v>
      </c>
      <c r="R1171" s="42"/>
      <c r="S1171" s="42"/>
      <c r="T1171" s="42" t="s">
        <v>616</v>
      </c>
      <c r="U1171" t="str">
        <f>IFERROR(HYPERLINK("#'Main'!B"&amp;MATCH(TRIM(A1171),Main!B:B,0),"Open"),HYPERLINK("#'Main'!B1","Open"))</f>
        <v>Open</v>
      </c>
    </row>
    <row r="1172" spans="1:22" ht="30" customHeight="1" x14ac:dyDescent="0.25">
      <c r="A1172" s="50" t="s">
        <v>216</v>
      </c>
      <c r="B1172" s="33" t="s">
        <v>614</v>
      </c>
      <c r="C1172" s="37" t="s">
        <v>615</v>
      </c>
      <c r="D1172" s="33"/>
      <c r="E1172" s="52">
        <v>200</v>
      </c>
      <c r="F1172" s="33" t="b">
        <v>1</v>
      </c>
      <c r="G1172" s="33">
        <v>0</v>
      </c>
      <c r="H1172" s="52">
        <v>0</v>
      </c>
      <c r="I1172" s="33">
        <v>0</v>
      </c>
      <c r="J1172" s="33">
        <v>0</v>
      </c>
      <c r="K1172" s="33">
        <v>0</v>
      </c>
      <c r="L1172" s="40" t="b">
        <v>0</v>
      </c>
      <c r="M1172" s="33">
        <v>0</v>
      </c>
      <c r="N1172" s="33">
        <v>0</v>
      </c>
      <c r="O1172" s="52">
        <v>0</v>
      </c>
      <c r="P1172" s="33">
        <v>0</v>
      </c>
      <c r="Q1172" s="33">
        <v>0</v>
      </c>
      <c r="R1172" s="33"/>
      <c r="S1172" s="33"/>
      <c r="T1172" s="33" t="s">
        <v>616</v>
      </c>
      <c r="U1172" s="41" t="str">
        <f>IFERROR(HYPERLINK("#'Main'!B"&amp;MATCH(TRIM(A1172),Main!B:B,0),"Open"),HYPERLINK("#'Main'!B1","Open"))</f>
        <v>Open</v>
      </c>
      <c r="V1172" s="41"/>
    </row>
    <row r="1173" spans="1:22" ht="30" customHeight="1" x14ac:dyDescent="0.25">
      <c r="A1173" s="51" t="s">
        <v>216</v>
      </c>
      <c r="B1173" s="42" t="s">
        <v>614</v>
      </c>
      <c r="C1173" s="44" t="s">
        <v>617</v>
      </c>
      <c r="D1173" s="42" t="s">
        <v>618</v>
      </c>
      <c r="E1173" s="52">
        <v>200</v>
      </c>
      <c r="F1173" s="42" t="b">
        <v>1</v>
      </c>
      <c r="G1173" s="42">
        <v>0</v>
      </c>
      <c r="H1173" s="52">
        <v>0</v>
      </c>
      <c r="I1173" s="42">
        <v>0</v>
      </c>
      <c r="J1173" s="42">
        <v>0</v>
      </c>
      <c r="K1173" s="42">
        <v>0</v>
      </c>
      <c r="L1173" s="46" t="b">
        <v>0</v>
      </c>
      <c r="M1173" s="42">
        <v>0</v>
      </c>
      <c r="N1173" s="42">
        <v>0</v>
      </c>
      <c r="O1173" s="52">
        <v>0</v>
      </c>
      <c r="P1173" s="42">
        <v>0</v>
      </c>
      <c r="Q1173" s="42">
        <v>0</v>
      </c>
      <c r="R1173" s="42"/>
      <c r="S1173" s="42"/>
      <c r="T1173" s="42" t="s">
        <v>616</v>
      </c>
      <c r="U1173" t="str">
        <f>IFERROR(HYPERLINK("#'Main'!B"&amp;MATCH(TRIM(A1173),Main!B:B,0),"Open"),HYPERLINK("#'Main'!B1","Open"))</f>
        <v>Open</v>
      </c>
    </row>
    <row r="1174" spans="1:22" ht="30" customHeight="1" x14ac:dyDescent="0.25">
      <c r="A1174" s="50" t="s">
        <v>216</v>
      </c>
      <c r="B1174" s="33" t="s">
        <v>614</v>
      </c>
      <c r="C1174" s="37" t="s">
        <v>619</v>
      </c>
      <c r="D1174" s="33" t="s">
        <v>620</v>
      </c>
      <c r="E1174" s="52">
        <v>200</v>
      </c>
      <c r="F1174" s="33" t="b">
        <v>1</v>
      </c>
      <c r="G1174" s="33">
        <v>0</v>
      </c>
      <c r="H1174" s="52">
        <v>0</v>
      </c>
      <c r="I1174" s="33">
        <v>0</v>
      </c>
      <c r="J1174" s="33">
        <v>0</v>
      </c>
      <c r="K1174" s="33">
        <v>0</v>
      </c>
      <c r="L1174" s="40" t="b">
        <v>0</v>
      </c>
      <c r="M1174" s="33">
        <v>0</v>
      </c>
      <c r="N1174" s="33">
        <v>0</v>
      </c>
      <c r="O1174" s="52">
        <v>0</v>
      </c>
      <c r="P1174" s="33">
        <v>0</v>
      </c>
      <c r="Q1174" s="33">
        <v>0</v>
      </c>
      <c r="R1174" s="33"/>
      <c r="S1174" s="33"/>
      <c r="T1174" s="33" t="s">
        <v>616</v>
      </c>
      <c r="U1174" s="41" t="str">
        <f>IFERROR(HYPERLINK("#'Main'!B"&amp;MATCH(TRIM(A1174),Main!B:B,0),"Open"),HYPERLINK("#'Main'!B1","Open"))</f>
        <v>Open</v>
      </c>
      <c r="V1174" s="41"/>
    </row>
    <row r="1175" spans="1:22" ht="30" customHeight="1" x14ac:dyDescent="0.25">
      <c r="A1175" s="51" t="s">
        <v>216</v>
      </c>
      <c r="B1175" s="42" t="s">
        <v>614</v>
      </c>
      <c r="C1175" s="44" t="s">
        <v>621</v>
      </c>
      <c r="D1175" s="42" t="s">
        <v>622</v>
      </c>
      <c r="E1175" s="52">
        <v>200</v>
      </c>
      <c r="F1175" s="42" t="b">
        <v>1</v>
      </c>
      <c r="G1175" s="42">
        <v>0</v>
      </c>
      <c r="H1175" s="52">
        <v>0</v>
      </c>
      <c r="I1175" s="42">
        <v>0</v>
      </c>
      <c r="J1175" s="42">
        <v>0</v>
      </c>
      <c r="K1175" s="42">
        <v>0</v>
      </c>
      <c r="L1175" s="46" t="b">
        <v>0</v>
      </c>
      <c r="M1175" s="42">
        <v>0</v>
      </c>
      <c r="N1175" s="42">
        <v>0</v>
      </c>
      <c r="O1175" s="52">
        <v>0</v>
      </c>
      <c r="P1175" s="42">
        <v>0</v>
      </c>
      <c r="Q1175" s="42">
        <v>0</v>
      </c>
      <c r="R1175" s="42"/>
      <c r="S1175" s="42"/>
      <c r="T1175" s="42" t="s">
        <v>616</v>
      </c>
      <c r="U1175" t="str">
        <f>IFERROR(HYPERLINK("#'Main'!B"&amp;MATCH(TRIM(A1175),Main!B:B,0),"Open"),HYPERLINK("#'Main'!B1","Open"))</f>
        <v>Open</v>
      </c>
    </row>
    <row r="1176" spans="1:22" ht="30" customHeight="1" x14ac:dyDescent="0.25">
      <c r="A1176" s="50" t="s">
        <v>216</v>
      </c>
      <c r="B1176" s="33" t="s">
        <v>614</v>
      </c>
      <c r="C1176" s="37" t="s">
        <v>623</v>
      </c>
      <c r="D1176" s="33" t="s">
        <v>624</v>
      </c>
      <c r="E1176" s="52">
        <v>200</v>
      </c>
      <c r="F1176" s="33" t="b">
        <v>1</v>
      </c>
      <c r="G1176" s="33">
        <v>0</v>
      </c>
      <c r="H1176" s="52">
        <v>0</v>
      </c>
      <c r="I1176" s="33">
        <v>0</v>
      </c>
      <c r="J1176" s="33">
        <v>0</v>
      </c>
      <c r="K1176" s="33">
        <v>0</v>
      </c>
      <c r="L1176" s="40" t="b">
        <v>0</v>
      </c>
      <c r="M1176" s="33">
        <v>0</v>
      </c>
      <c r="N1176" s="33">
        <v>0</v>
      </c>
      <c r="O1176" s="52">
        <v>0</v>
      </c>
      <c r="P1176" s="33">
        <v>0</v>
      </c>
      <c r="Q1176" s="33">
        <v>0</v>
      </c>
      <c r="R1176" s="33"/>
      <c r="S1176" s="33"/>
      <c r="T1176" s="33" t="s">
        <v>616</v>
      </c>
      <c r="U1176" s="41" t="str">
        <f>IFERROR(HYPERLINK("#'Main'!B"&amp;MATCH(TRIM(A1176),Main!B:B,0),"Open"),HYPERLINK("#'Main'!B1","Open"))</f>
        <v>Open</v>
      </c>
      <c r="V1176" s="41"/>
    </row>
    <row r="1177" spans="1:22" ht="30" customHeight="1" x14ac:dyDescent="0.25">
      <c r="A1177" s="51" t="s">
        <v>216</v>
      </c>
      <c r="B1177" s="42" t="s">
        <v>614</v>
      </c>
      <c r="C1177" s="44" t="s">
        <v>625</v>
      </c>
      <c r="D1177" s="42" t="s">
        <v>626</v>
      </c>
      <c r="E1177" s="52">
        <v>200</v>
      </c>
      <c r="F1177" s="42" t="b">
        <v>1</v>
      </c>
      <c r="G1177" s="42">
        <v>0</v>
      </c>
      <c r="H1177" s="52">
        <v>0</v>
      </c>
      <c r="I1177" s="42">
        <v>0</v>
      </c>
      <c r="J1177" s="42">
        <v>0</v>
      </c>
      <c r="K1177" s="42">
        <v>0</v>
      </c>
      <c r="L1177" s="46" t="b">
        <v>0</v>
      </c>
      <c r="M1177" s="42">
        <v>0</v>
      </c>
      <c r="N1177" s="42">
        <v>0</v>
      </c>
      <c r="O1177" s="52">
        <v>0</v>
      </c>
      <c r="P1177" s="42">
        <v>0</v>
      </c>
      <c r="Q1177" s="42">
        <v>0</v>
      </c>
      <c r="R1177" s="42"/>
      <c r="S1177" s="42"/>
      <c r="T1177" s="42" t="s">
        <v>616</v>
      </c>
      <c r="U1177" t="str">
        <f>IFERROR(HYPERLINK("#'Main'!B"&amp;MATCH(TRIM(A1177),Main!B:B,0),"Open"),HYPERLINK("#'Main'!B1","Open"))</f>
        <v>Open</v>
      </c>
    </row>
    <row r="1178" spans="1:22" ht="30" customHeight="1" x14ac:dyDescent="0.25">
      <c r="A1178" s="50" t="s">
        <v>216</v>
      </c>
      <c r="B1178" s="33" t="s">
        <v>614</v>
      </c>
      <c r="C1178" s="37" t="s">
        <v>627</v>
      </c>
      <c r="D1178" s="33" t="s">
        <v>628</v>
      </c>
      <c r="E1178" s="52">
        <v>200</v>
      </c>
      <c r="F1178" s="33" t="b">
        <v>1</v>
      </c>
      <c r="G1178" s="33">
        <v>0</v>
      </c>
      <c r="H1178" s="52">
        <v>0</v>
      </c>
      <c r="I1178" s="33">
        <v>0</v>
      </c>
      <c r="J1178" s="33">
        <v>0</v>
      </c>
      <c r="K1178" s="33">
        <v>0</v>
      </c>
      <c r="L1178" s="40" t="b">
        <v>0</v>
      </c>
      <c r="M1178" s="33">
        <v>0</v>
      </c>
      <c r="N1178" s="33">
        <v>0</v>
      </c>
      <c r="O1178" s="52">
        <v>0</v>
      </c>
      <c r="P1178" s="33">
        <v>0</v>
      </c>
      <c r="Q1178" s="33">
        <v>0</v>
      </c>
      <c r="R1178" s="33"/>
      <c r="S1178" s="33"/>
      <c r="T1178" s="33" t="s">
        <v>616</v>
      </c>
      <c r="U1178" s="41" t="str">
        <f>IFERROR(HYPERLINK("#'Main'!B"&amp;MATCH(TRIM(A1178),Main!B:B,0),"Open"),HYPERLINK("#'Main'!B1","Open"))</f>
        <v>Open</v>
      </c>
      <c r="V1178" s="41"/>
    </row>
    <row r="1179" spans="1:22" ht="30" customHeight="1" x14ac:dyDescent="0.25">
      <c r="A1179" s="51" t="s">
        <v>216</v>
      </c>
      <c r="B1179" s="42" t="s">
        <v>614</v>
      </c>
      <c r="C1179" s="44" t="s">
        <v>617</v>
      </c>
      <c r="D1179" s="42" t="s">
        <v>618</v>
      </c>
      <c r="E1179" s="52">
        <v>200</v>
      </c>
      <c r="F1179" s="42" t="b">
        <v>1</v>
      </c>
      <c r="G1179" s="42">
        <v>0</v>
      </c>
      <c r="H1179" s="52">
        <v>0</v>
      </c>
      <c r="I1179" s="42">
        <v>0</v>
      </c>
      <c r="J1179" s="42">
        <v>0</v>
      </c>
      <c r="K1179" s="42">
        <v>0</v>
      </c>
      <c r="L1179" s="46" t="b">
        <v>0</v>
      </c>
      <c r="M1179" s="42">
        <v>0</v>
      </c>
      <c r="N1179" s="42">
        <v>0</v>
      </c>
      <c r="O1179" s="52">
        <v>0</v>
      </c>
      <c r="P1179" s="42">
        <v>0</v>
      </c>
      <c r="Q1179" s="42">
        <v>0</v>
      </c>
      <c r="R1179" s="42"/>
      <c r="S1179" s="42"/>
      <c r="T1179" s="42" t="s">
        <v>616</v>
      </c>
      <c r="U1179" t="str">
        <f>IFERROR(HYPERLINK("#'Main'!B"&amp;MATCH(TRIM(A1179),Main!B:B,0),"Open"),HYPERLINK("#'Main'!B1","Open"))</f>
        <v>Open</v>
      </c>
    </row>
    <row r="1180" spans="1:22" ht="30" customHeight="1" x14ac:dyDescent="0.25">
      <c r="A1180" s="50" t="s">
        <v>216</v>
      </c>
      <c r="B1180" s="33" t="s">
        <v>614</v>
      </c>
      <c r="C1180" s="37" t="s">
        <v>619</v>
      </c>
      <c r="D1180" s="33" t="s">
        <v>620</v>
      </c>
      <c r="E1180" s="52">
        <v>200</v>
      </c>
      <c r="F1180" s="33" t="b">
        <v>1</v>
      </c>
      <c r="G1180" s="33">
        <v>0</v>
      </c>
      <c r="H1180" s="52">
        <v>0</v>
      </c>
      <c r="I1180" s="33">
        <v>0</v>
      </c>
      <c r="J1180" s="33">
        <v>0</v>
      </c>
      <c r="K1180" s="33">
        <v>0</v>
      </c>
      <c r="L1180" s="40" t="b">
        <v>0</v>
      </c>
      <c r="M1180" s="33">
        <v>0</v>
      </c>
      <c r="N1180" s="33">
        <v>0</v>
      </c>
      <c r="O1180" s="52">
        <v>0</v>
      </c>
      <c r="P1180" s="33">
        <v>0</v>
      </c>
      <c r="Q1180" s="33">
        <v>0</v>
      </c>
      <c r="R1180" s="33"/>
      <c r="S1180" s="33"/>
      <c r="T1180" s="33" t="s">
        <v>616</v>
      </c>
      <c r="U1180" s="41" t="str">
        <f>IFERROR(HYPERLINK("#'Main'!B"&amp;MATCH(TRIM(A1180),Main!B:B,0),"Open"),HYPERLINK("#'Main'!B1","Open"))</f>
        <v>Open</v>
      </c>
      <c r="V1180" s="41"/>
    </row>
    <row r="1181" spans="1:22" ht="30" customHeight="1" x14ac:dyDescent="0.25">
      <c r="A1181" s="51" t="s">
        <v>216</v>
      </c>
      <c r="B1181" s="42" t="s">
        <v>614</v>
      </c>
      <c r="C1181" s="44" t="s">
        <v>621</v>
      </c>
      <c r="D1181" s="42" t="s">
        <v>622</v>
      </c>
      <c r="E1181" s="52">
        <v>200</v>
      </c>
      <c r="F1181" s="42" t="b">
        <v>1</v>
      </c>
      <c r="G1181" s="42">
        <v>0</v>
      </c>
      <c r="H1181" s="52">
        <v>0</v>
      </c>
      <c r="I1181" s="42">
        <v>0</v>
      </c>
      <c r="J1181" s="42">
        <v>0</v>
      </c>
      <c r="K1181" s="42">
        <v>0</v>
      </c>
      <c r="L1181" s="46" t="b">
        <v>0</v>
      </c>
      <c r="M1181" s="42">
        <v>0</v>
      </c>
      <c r="N1181" s="42">
        <v>0</v>
      </c>
      <c r="O1181" s="52">
        <v>0</v>
      </c>
      <c r="P1181" s="42">
        <v>0</v>
      </c>
      <c r="Q1181" s="42">
        <v>0</v>
      </c>
      <c r="R1181" s="42"/>
      <c r="S1181" s="42"/>
      <c r="T1181" s="42" t="s">
        <v>616</v>
      </c>
      <c r="U1181" t="str">
        <f>IFERROR(HYPERLINK("#'Main'!B"&amp;MATCH(TRIM(A1181),Main!B:B,0),"Open"),HYPERLINK("#'Main'!B1","Open"))</f>
        <v>Open</v>
      </c>
    </row>
    <row r="1182" spans="1:22" ht="30" customHeight="1" x14ac:dyDescent="0.25">
      <c r="A1182" s="50" t="s">
        <v>216</v>
      </c>
      <c r="B1182" s="33" t="s">
        <v>614</v>
      </c>
      <c r="C1182" s="37" t="s">
        <v>623</v>
      </c>
      <c r="D1182" s="33" t="s">
        <v>624</v>
      </c>
      <c r="E1182" s="52">
        <v>200</v>
      </c>
      <c r="F1182" s="33" t="b">
        <v>1</v>
      </c>
      <c r="G1182" s="33">
        <v>0</v>
      </c>
      <c r="H1182" s="52">
        <v>0</v>
      </c>
      <c r="I1182" s="33">
        <v>0</v>
      </c>
      <c r="J1182" s="33">
        <v>0</v>
      </c>
      <c r="K1182" s="33">
        <v>0</v>
      </c>
      <c r="L1182" s="40" t="b">
        <v>0</v>
      </c>
      <c r="M1182" s="33">
        <v>0</v>
      </c>
      <c r="N1182" s="33">
        <v>0</v>
      </c>
      <c r="O1182" s="52">
        <v>0</v>
      </c>
      <c r="P1182" s="33">
        <v>0</v>
      </c>
      <c r="Q1182" s="33">
        <v>0</v>
      </c>
      <c r="R1182" s="33"/>
      <c r="S1182" s="33"/>
      <c r="T1182" s="33" t="s">
        <v>616</v>
      </c>
      <c r="U1182" s="41" t="str">
        <f>IFERROR(HYPERLINK("#'Main'!B"&amp;MATCH(TRIM(A1182),Main!B:B,0),"Open"),HYPERLINK("#'Main'!B1","Open"))</f>
        <v>Open</v>
      </c>
      <c r="V1182" s="41"/>
    </row>
    <row r="1183" spans="1:22" ht="30" customHeight="1" x14ac:dyDescent="0.25">
      <c r="A1183" s="51" t="s">
        <v>216</v>
      </c>
      <c r="B1183" s="42" t="s">
        <v>614</v>
      </c>
      <c r="C1183" s="44" t="s">
        <v>625</v>
      </c>
      <c r="D1183" s="42" t="s">
        <v>626</v>
      </c>
      <c r="E1183" s="52">
        <v>200</v>
      </c>
      <c r="F1183" s="42" t="b">
        <v>1</v>
      </c>
      <c r="G1183" s="42">
        <v>0</v>
      </c>
      <c r="H1183" s="52">
        <v>0</v>
      </c>
      <c r="I1183" s="42">
        <v>0</v>
      </c>
      <c r="J1183" s="42">
        <v>0</v>
      </c>
      <c r="K1183" s="42">
        <v>0</v>
      </c>
      <c r="L1183" s="46" t="b">
        <v>0</v>
      </c>
      <c r="M1183" s="42">
        <v>0</v>
      </c>
      <c r="N1183" s="42">
        <v>0</v>
      </c>
      <c r="O1183" s="52">
        <v>0</v>
      </c>
      <c r="P1183" s="42">
        <v>0</v>
      </c>
      <c r="Q1183" s="42">
        <v>0</v>
      </c>
      <c r="R1183" s="42"/>
      <c r="S1183" s="42"/>
      <c r="T1183" s="42" t="s">
        <v>616</v>
      </c>
      <c r="U1183" t="str">
        <f>IFERROR(HYPERLINK("#'Main'!B"&amp;MATCH(TRIM(A1183),Main!B:B,0),"Open"),HYPERLINK("#'Main'!B1","Open"))</f>
        <v>Open</v>
      </c>
    </row>
    <row r="1184" spans="1:22" ht="30" customHeight="1" x14ac:dyDescent="0.25">
      <c r="A1184" s="50" t="s">
        <v>216</v>
      </c>
      <c r="B1184" s="33" t="s">
        <v>614</v>
      </c>
      <c r="C1184" s="37" t="s">
        <v>627</v>
      </c>
      <c r="D1184" s="33" t="s">
        <v>628</v>
      </c>
      <c r="E1184" s="52">
        <v>200</v>
      </c>
      <c r="F1184" s="33" t="b">
        <v>1</v>
      </c>
      <c r="G1184" s="33">
        <v>0</v>
      </c>
      <c r="H1184" s="52">
        <v>0</v>
      </c>
      <c r="I1184" s="33">
        <v>0</v>
      </c>
      <c r="J1184" s="33">
        <v>0</v>
      </c>
      <c r="K1184" s="33">
        <v>0</v>
      </c>
      <c r="L1184" s="40" t="b">
        <v>0</v>
      </c>
      <c r="M1184" s="33">
        <v>0</v>
      </c>
      <c r="N1184" s="33">
        <v>0</v>
      </c>
      <c r="O1184" s="52">
        <v>0</v>
      </c>
      <c r="P1184" s="33">
        <v>0</v>
      </c>
      <c r="Q1184" s="33">
        <v>0</v>
      </c>
      <c r="R1184" s="33"/>
      <c r="S1184" s="33"/>
      <c r="T1184" s="33" t="s">
        <v>616</v>
      </c>
      <c r="U1184" s="41" t="str">
        <f>IFERROR(HYPERLINK("#'Main'!B"&amp;MATCH(TRIM(A1184),Main!B:B,0),"Open"),HYPERLINK("#'Main'!B1","Open"))</f>
        <v>Open</v>
      </c>
      <c r="V1184" s="41"/>
    </row>
    <row r="1185" spans="1:22" ht="30" customHeight="1" x14ac:dyDescent="0.25">
      <c r="A1185" s="51" t="s">
        <v>216</v>
      </c>
      <c r="B1185" s="42" t="s">
        <v>614</v>
      </c>
      <c r="C1185" s="44" t="s">
        <v>1366</v>
      </c>
      <c r="D1185" s="42" t="s">
        <v>1367</v>
      </c>
      <c r="E1185" s="52">
        <v>200</v>
      </c>
      <c r="F1185" s="42" t="b">
        <v>1</v>
      </c>
      <c r="G1185" s="42">
        <v>0</v>
      </c>
      <c r="H1185" s="52">
        <v>0</v>
      </c>
      <c r="I1185" s="42">
        <v>0</v>
      </c>
      <c r="J1185" s="42">
        <v>0</v>
      </c>
      <c r="K1185" s="42">
        <v>0</v>
      </c>
      <c r="L1185" s="46" t="b">
        <v>0</v>
      </c>
      <c r="M1185" s="42">
        <v>0</v>
      </c>
      <c r="N1185" s="42">
        <v>0</v>
      </c>
      <c r="O1185" s="52">
        <v>0</v>
      </c>
      <c r="P1185" s="42">
        <v>0</v>
      </c>
      <c r="Q1185" s="42">
        <v>0</v>
      </c>
      <c r="R1185" s="42"/>
      <c r="S1185" s="42"/>
      <c r="T1185" s="42" t="s">
        <v>616</v>
      </c>
      <c r="U1185" t="str">
        <f>IFERROR(HYPERLINK("#'Main'!B"&amp;MATCH(TRIM(A1185),Main!B:B,0),"Open"),HYPERLINK("#'Main'!B1","Open"))</f>
        <v>Open</v>
      </c>
    </row>
    <row r="1186" spans="1:22" ht="30" customHeight="1" x14ac:dyDescent="0.25">
      <c r="A1186" s="50" t="s">
        <v>216</v>
      </c>
      <c r="B1186" s="33" t="s">
        <v>614</v>
      </c>
      <c r="C1186" s="37" t="s">
        <v>1366</v>
      </c>
      <c r="D1186" s="33" t="s">
        <v>1367</v>
      </c>
      <c r="E1186" s="52">
        <v>200</v>
      </c>
      <c r="F1186" s="33" t="b">
        <v>1</v>
      </c>
      <c r="G1186" s="33">
        <v>0</v>
      </c>
      <c r="H1186" s="52">
        <v>0</v>
      </c>
      <c r="I1186" s="33">
        <v>0</v>
      </c>
      <c r="J1186" s="33">
        <v>0</v>
      </c>
      <c r="K1186" s="33">
        <v>0</v>
      </c>
      <c r="L1186" s="40" t="b">
        <v>0</v>
      </c>
      <c r="M1186" s="33">
        <v>0</v>
      </c>
      <c r="N1186" s="33">
        <v>0</v>
      </c>
      <c r="O1186" s="52">
        <v>0</v>
      </c>
      <c r="P1186" s="33">
        <v>0</v>
      </c>
      <c r="Q1186" s="33">
        <v>0</v>
      </c>
      <c r="R1186" s="33"/>
      <c r="S1186" s="33"/>
      <c r="T1186" s="33" t="s">
        <v>616</v>
      </c>
      <c r="U1186" s="41" t="str">
        <f>IFERROR(HYPERLINK("#'Main'!B"&amp;MATCH(TRIM(A1186),Main!B:B,0),"Open"),HYPERLINK("#'Main'!B1","Open"))</f>
        <v>Open</v>
      </c>
      <c r="V1186" s="41"/>
    </row>
    <row r="1187" spans="1:22" ht="30" customHeight="1" x14ac:dyDescent="0.25">
      <c r="A1187" s="51" t="s">
        <v>216</v>
      </c>
      <c r="B1187" s="42" t="s">
        <v>614</v>
      </c>
      <c r="C1187" s="44" t="s">
        <v>1368</v>
      </c>
      <c r="D1187" s="42"/>
      <c r="E1187" s="52">
        <v>200</v>
      </c>
      <c r="F1187" s="42" t="b">
        <v>1</v>
      </c>
      <c r="G1187" s="42">
        <v>0</v>
      </c>
      <c r="H1187" s="52">
        <v>0</v>
      </c>
      <c r="I1187" s="42">
        <v>0</v>
      </c>
      <c r="J1187" s="42">
        <v>0</v>
      </c>
      <c r="K1187" s="42">
        <v>0</v>
      </c>
      <c r="L1187" s="46" t="b">
        <v>0</v>
      </c>
      <c r="M1187" s="42">
        <v>0</v>
      </c>
      <c r="N1187" s="42">
        <v>0</v>
      </c>
      <c r="O1187" s="52">
        <v>0</v>
      </c>
      <c r="P1187" s="42">
        <v>0</v>
      </c>
      <c r="Q1187" s="42">
        <v>0</v>
      </c>
      <c r="R1187" s="42"/>
      <c r="S1187" s="42"/>
      <c r="T1187" s="42" t="s">
        <v>616</v>
      </c>
      <c r="U1187" t="str">
        <f>IFERROR(HYPERLINK("#'Main'!B"&amp;MATCH(TRIM(A1187),Main!B:B,0),"Open"),HYPERLINK("#'Main'!B1","Open"))</f>
        <v>Open</v>
      </c>
    </row>
    <row r="1188" spans="1:22" ht="30" customHeight="1" x14ac:dyDescent="0.25">
      <c r="A1188" s="50" t="s">
        <v>216</v>
      </c>
      <c r="B1188" s="33" t="s">
        <v>614</v>
      </c>
      <c r="C1188" s="37" t="s">
        <v>1368</v>
      </c>
      <c r="D1188" s="33"/>
      <c r="E1188" s="52">
        <v>200</v>
      </c>
      <c r="F1188" s="33" t="b">
        <v>1</v>
      </c>
      <c r="G1188" s="33">
        <v>0</v>
      </c>
      <c r="H1188" s="52">
        <v>0</v>
      </c>
      <c r="I1188" s="33">
        <v>0</v>
      </c>
      <c r="J1188" s="33">
        <v>0</v>
      </c>
      <c r="K1188" s="33">
        <v>0</v>
      </c>
      <c r="L1188" s="40" t="b">
        <v>0</v>
      </c>
      <c r="M1188" s="33">
        <v>0</v>
      </c>
      <c r="N1188" s="33">
        <v>0</v>
      </c>
      <c r="O1188" s="52">
        <v>0</v>
      </c>
      <c r="P1188" s="33">
        <v>0</v>
      </c>
      <c r="Q1188" s="33">
        <v>0</v>
      </c>
      <c r="R1188" s="33"/>
      <c r="S1188" s="33"/>
      <c r="T1188" s="33" t="s">
        <v>616</v>
      </c>
      <c r="U1188" s="41" t="str">
        <f>IFERROR(HYPERLINK("#'Main'!B"&amp;MATCH(TRIM(A1188),Main!B:B,0),"Open"),HYPERLINK("#'Main'!B1","Open"))</f>
        <v>Open</v>
      </c>
      <c r="V1188" s="41"/>
    </row>
    <row r="1189" spans="1:22" ht="30" customHeight="1" x14ac:dyDescent="0.25">
      <c r="A1189" s="51" t="s">
        <v>216</v>
      </c>
      <c r="B1189" s="42" t="s">
        <v>614</v>
      </c>
      <c r="C1189" s="44" t="s">
        <v>1369</v>
      </c>
      <c r="D1189" s="42"/>
      <c r="E1189" s="52">
        <v>200</v>
      </c>
      <c r="F1189" s="42" t="b">
        <v>1</v>
      </c>
      <c r="G1189" s="42">
        <v>0</v>
      </c>
      <c r="H1189" s="52">
        <v>0</v>
      </c>
      <c r="I1189" s="42">
        <v>0</v>
      </c>
      <c r="J1189" s="42">
        <v>0</v>
      </c>
      <c r="K1189" s="42">
        <v>0</v>
      </c>
      <c r="L1189" s="46" t="b">
        <v>0</v>
      </c>
      <c r="M1189" s="42">
        <v>0</v>
      </c>
      <c r="N1189" s="42">
        <v>0</v>
      </c>
      <c r="O1189" s="52">
        <v>0</v>
      </c>
      <c r="P1189" s="42">
        <v>0</v>
      </c>
      <c r="Q1189" s="42">
        <v>0</v>
      </c>
      <c r="R1189" s="42"/>
      <c r="S1189" s="42"/>
      <c r="T1189" s="42" t="s">
        <v>616</v>
      </c>
      <c r="U1189" t="str">
        <f>IFERROR(HYPERLINK("#'Main'!B"&amp;MATCH(TRIM(A1189),Main!B:B,0),"Open"),HYPERLINK("#'Main'!B1","Open"))</f>
        <v>Open</v>
      </c>
    </row>
    <row r="1190" spans="1:22" ht="30" customHeight="1" x14ac:dyDescent="0.25">
      <c r="A1190" s="50" t="s">
        <v>216</v>
      </c>
      <c r="B1190" s="33" t="s">
        <v>614</v>
      </c>
      <c r="C1190" s="37" t="s">
        <v>1369</v>
      </c>
      <c r="D1190" s="33"/>
      <c r="E1190" s="52">
        <v>200</v>
      </c>
      <c r="F1190" s="33" t="b">
        <v>1</v>
      </c>
      <c r="G1190" s="33">
        <v>0</v>
      </c>
      <c r="H1190" s="52">
        <v>0</v>
      </c>
      <c r="I1190" s="33">
        <v>0</v>
      </c>
      <c r="J1190" s="33">
        <v>0</v>
      </c>
      <c r="K1190" s="33">
        <v>0</v>
      </c>
      <c r="L1190" s="40" t="b">
        <v>0</v>
      </c>
      <c r="M1190" s="33">
        <v>0</v>
      </c>
      <c r="N1190" s="33">
        <v>0</v>
      </c>
      <c r="O1190" s="52">
        <v>0</v>
      </c>
      <c r="P1190" s="33">
        <v>0</v>
      </c>
      <c r="Q1190" s="33">
        <v>0</v>
      </c>
      <c r="R1190" s="33"/>
      <c r="S1190" s="33"/>
      <c r="T1190" s="33" t="s">
        <v>616</v>
      </c>
      <c r="U1190" s="41" t="str">
        <f>IFERROR(HYPERLINK("#'Main'!B"&amp;MATCH(TRIM(A1190),Main!B:B,0),"Open"),HYPERLINK("#'Main'!B1","Open"))</f>
        <v>Open</v>
      </c>
      <c r="V1190" s="41"/>
    </row>
    <row r="1191" spans="1:22" ht="30" customHeight="1" x14ac:dyDescent="0.25">
      <c r="A1191" s="51" t="s">
        <v>216</v>
      </c>
      <c r="B1191" s="42" t="s">
        <v>614</v>
      </c>
      <c r="C1191" s="44" t="s">
        <v>1370</v>
      </c>
      <c r="D1191" s="42"/>
      <c r="E1191" s="52">
        <v>200</v>
      </c>
      <c r="F1191" s="42" t="b">
        <v>1</v>
      </c>
      <c r="G1191" s="42">
        <v>0</v>
      </c>
      <c r="H1191" s="52">
        <v>0</v>
      </c>
      <c r="I1191" s="42">
        <v>0</v>
      </c>
      <c r="J1191" s="42">
        <v>0</v>
      </c>
      <c r="K1191" s="42">
        <v>0</v>
      </c>
      <c r="L1191" s="46" t="b">
        <v>0</v>
      </c>
      <c r="M1191" s="42">
        <v>0</v>
      </c>
      <c r="N1191" s="42">
        <v>0</v>
      </c>
      <c r="O1191" s="52">
        <v>0</v>
      </c>
      <c r="P1191" s="42">
        <v>0</v>
      </c>
      <c r="Q1191" s="42">
        <v>0</v>
      </c>
      <c r="R1191" s="42"/>
      <c r="S1191" s="42"/>
      <c r="T1191" s="42" t="s">
        <v>616</v>
      </c>
      <c r="U1191" t="str">
        <f>IFERROR(HYPERLINK("#'Main'!B"&amp;MATCH(TRIM(A1191),Main!B:B,0),"Open"),HYPERLINK("#'Main'!B1","Open"))</f>
        <v>Open</v>
      </c>
    </row>
    <row r="1192" spans="1:22" ht="30" customHeight="1" x14ac:dyDescent="0.25">
      <c r="A1192" s="50" t="s">
        <v>216</v>
      </c>
      <c r="B1192" s="33" t="s">
        <v>614</v>
      </c>
      <c r="C1192" s="37" t="s">
        <v>1371</v>
      </c>
      <c r="D1192" s="33"/>
      <c r="E1192" s="52">
        <v>200</v>
      </c>
      <c r="F1192" s="33" t="b">
        <v>1</v>
      </c>
      <c r="G1192" s="33">
        <v>0</v>
      </c>
      <c r="H1192" s="52">
        <v>0</v>
      </c>
      <c r="I1192" s="33">
        <v>0</v>
      </c>
      <c r="J1192" s="33">
        <v>0</v>
      </c>
      <c r="K1192" s="33">
        <v>0</v>
      </c>
      <c r="L1192" s="40" t="b">
        <v>0</v>
      </c>
      <c r="M1192" s="33">
        <v>0</v>
      </c>
      <c r="N1192" s="33">
        <v>0</v>
      </c>
      <c r="O1192" s="52">
        <v>0</v>
      </c>
      <c r="P1192" s="33">
        <v>0</v>
      </c>
      <c r="Q1192" s="33">
        <v>0</v>
      </c>
      <c r="R1192" s="33"/>
      <c r="S1192" s="33"/>
      <c r="T1192" s="33" t="s">
        <v>616</v>
      </c>
      <c r="U1192" s="41" t="str">
        <f>IFERROR(HYPERLINK("#'Main'!B"&amp;MATCH(TRIM(A1192),Main!B:B,0),"Open"),HYPERLINK("#'Main'!B1","Open"))</f>
        <v>Open</v>
      </c>
      <c r="V1192" s="41"/>
    </row>
    <row r="1193" spans="1:22" ht="30" customHeight="1" x14ac:dyDescent="0.25">
      <c r="A1193" s="51" t="s">
        <v>216</v>
      </c>
      <c r="B1193" s="42" t="s">
        <v>614</v>
      </c>
      <c r="C1193" s="44" t="s">
        <v>1372</v>
      </c>
      <c r="D1193" s="42"/>
      <c r="E1193" s="52">
        <v>200</v>
      </c>
      <c r="F1193" s="42" t="b">
        <v>1</v>
      </c>
      <c r="G1193" s="42">
        <v>0</v>
      </c>
      <c r="H1193" s="52">
        <v>0</v>
      </c>
      <c r="I1193" s="42">
        <v>0</v>
      </c>
      <c r="J1193" s="42">
        <v>0</v>
      </c>
      <c r="K1193" s="42">
        <v>0</v>
      </c>
      <c r="L1193" s="46" t="b">
        <v>0</v>
      </c>
      <c r="M1193" s="42">
        <v>0</v>
      </c>
      <c r="N1193" s="42">
        <v>0</v>
      </c>
      <c r="O1193" s="52">
        <v>0</v>
      </c>
      <c r="P1193" s="42">
        <v>0</v>
      </c>
      <c r="Q1193" s="42">
        <v>0</v>
      </c>
      <c r="R1193" s="42"/>
      <c r="S1193" s="42"/>
      <c r="T1193" s="42" t="s">
        <v>616</v>
      </c>
      <c r="U1193" t="str">
        <f>IFERROR(HYPERLINK("#'Main'!B"&amp;MATCH(TRIM(A1193),Main!B:B,0),"Open"),HYPERLINK("#'Main'!B1","Open"))</f>
        <v>Open</v>
      </c>
    </row>
    <row r="1194" spans="1:22" ht="30" customHeight="1" x14ac:dyDescent="0.25">
      <c r="A1194" s="50" t="s">
        <v>216</v>
      </c>
      <c r="B1194" s="33" t="s">
        <v>614</v>
      </c>
      <c r="C1194" s="37" t="s">
        <v>1373</v>
      </c>
      <c r="D1194" s="33"/>
      <c r="E1194" s="52">
        <v>200</v>
      </c>
      <c r="F1194" s="33" t="b">
        <v>1</v>
      </c>
      <c r="G1194" s="33">
        <v>0</v>
      </c>
      <c r="H1194" s="52">
        <v>0</v>
      </c>
      <c r="I1194" s="33">
        <v>0</v>
      </c>
      <c r="J1194" s="33">
        <v>0</v>
      </c>
      <c r="K1194" s="33">
        <v>0</v>
      </c>
      <c r="L1194" s="40" t="b">
        <v>0</v>
      </c>
      <c r="M1194" s="33">
        <v>0</v>
      </c>
      <c r="N1194" s="33">
        <v>0</v>
      </c>
      <c r="O1194" s="52">
        <v>0</v>
      </c>
      <c r="P1194" s="33">
        <v>0</v>
      </c>
      <c r="Q1194" s="33">
        <v>0</v>
      </c>
      <c r="R1194" s="33"/>
      <c r="S1194" s="33"/>
      <c r="T1194" s="33" t="s">
        <v>616</v>
      </c>
      <c r="U1194" s="41" t="str">
        <f>IFERROR(HYPERLINK("#'Main'!B"&amp;MATCH(TRIM(A1194),Main!B:B,0),"Open"),HYPERLINK("#'Main'!B1","Open"))</f>
        <v>Open</v>
      </c>
      <c r="V1194" s="41"/>
    </row>
    <row r="1195" spans="1:22" ht="30" customHeight="1" x14ac:dyDescent="0.25">
      <c r="A1195" s="51" t="s">
        <v>216</v>
      </c>
      <c r="B1195" s="42" t="s">
        <v>614</v>
      </c>
      <c r="C1195" s="44" t="s">
        <v>1374</v>
      </c>
      <c r="D1195" s="42"/>
      <c r="E1195" s="52">
        <v>200</v>
      </c>
      <c r="F1195" s="42" t="b">
        <v>1</v>
      </c>
      <c r="G1195" s="42">
        <v>0</v>
      </c>
      <c r="H1195" s="52">
        <v>0</v>
      </c>
      <c r="I1195" s="42">
        <v>0</v>
      </c>
      <c r="J1195" s="42">
        <v>0</v>
      </c>
      <c r="K1195" s="42">
        <v>0</v>
      </c>
      <c r="L1195" s="46" t="b">
        <v>0</v>
      </c>
      <c r="M1195" s="42">
        <v>0</v>
      </c>
      <c r="N1195" s="42">
        <v>0</v>
      </c>
      <c r="O1195" s="52">
        <v>0</v>
      </c>
      <c r="P1195" s="42">
        <v>0</v>
      </c>
      <c r="Q1195" s="42">
        <v>0</v>
      </c>
      <c r="R1195" s="42"/>
      <c r="S1195" s="42"/>
      <c r="T1195" s="42" t="s">
        <v>616</v>
      </c>
      <c r="U1195" t="str">
        <f>IFERROR(HYPERLINK("#'Main'!B"&amp;MATCH(TRIM(A1195),Main!B:B,0),"Open"),HYPERLINK("#'Main'!B1","Open"))</f>
        <v>Open</v>
      </c>
    </row>
    <row r="1196" spans="1:22" ht="30" customHeight="1" x14ac:dyDescent="0.25">
      <c r="A1196" s="50" t="s">
        <v>216</v>
      </c>
      <c r="B1196" s="33" t="s">
        <v>614</v>
      </c>
      <c r="C1196" s="37" t="s">
        <v>1375</v>
      </c>
      <c r="D1196" s="33"/>
      <c r="E1196" s="52">
        <v>200</v>
      </c>
      <c r="F1196" s="33" t="b">
        <v>1</v>
      </c>
      <c r="G1196" s="33">
        <v>0</v>
      </c>
      <c r="H1196" s="52">
        <v>0</v>
      </c>
      <c r="I1196" s="33">
        <v>0</v>
      </c>
      <c r="J1196" s="33">
        <v>0</v>
      </c>
      <c r="K1196" s="33">
        <v>0</v>
      </c>
      <c r="L1196" s="40" t="b">
        <v>0</v>
      </c>
      <c r="M1196" s="33">
        <v>0</v>
      </c>
      <c r="N1196" s="33">
        <v>0</v>
      </c>
      <c r="O1196" s="52">
        <v>0</v>
      </c>
      <c r="P1196" s="33">
        <v>0</v>
      </c>
      <c r="Q1196" s="33">
        <v>0</v>
      </c>
      <c r="R1196" s="33"/>
      <c r="S1196" s="33"/>
      <c r="T1196" s="33" t="s">
        <v>616</v>
      </c>
      <c r="U1196" s="41" t="str">
        <f>IFERROR(HYPERLINK("#'Main'!B"&amp;MATCH(TRIM(A1196),Main!B:B,0),"Open"),HYPERLINK("#'Main'!B1","Open"))</f>
        <v>Open</v>
      </c>
      <c r="V1196" s="41"/>
    </row>
    <row r="1197" spans="1:22" ht="30" customHeight="1" x14ac:dyDescent="0.25">
      <c r="A1197" s="51" t="s">
        <v>216</v>
      </c>
      <c r="B1197" s="42" t="s">
        <v>614</v>
      </c>
      <c r="C1197" s="44" t="s">
        <v>1376</v>
      </c>
      <c r="D1197" s="42"/>
      <c r="E1197" s="52">
        <v>200</v>
      </c>
      <c r="F1197" s="42" t="b">
        <v>1</v>
      </c>
      <c r="G1197" s="42">
        <v>0</v>
      </c>
      <c r="H1197" s="52">
        <v>0</v>
      </c>
      <c r="I1197" s="42">
        <v>0</v>
      </c>
      <c r="J1197" s="42">
        <v>0</v>
      </c>
      <c r="K1197" s="42">
        <v>0</v>
      </c>
      <c r="L1197" s="46" t="b">
        <v>0</v>
      </c>
      <c r="M1197" s="42">
        <v>0</v>
      </c>
      <c r="N1197" s="42">
        <v>0</v>
      </c>
      <c r="O1197" s="52">
        <v>0</v>
      </c>
      <c r="P1197" s="42">
        <v>0</v>
      </c>
      <c r="Q1197" s="42">
        <v>0</v>
      </c>
      <c r="R1197" s="42"/>
      <c r="S1197" s="42"/>
      <c r="T1197" s="42" t="s">
        <v>616</v>
      </c>
      <c r="U1197" t="str">
        <f>IFERROR(HYPERLINK("#'Main'!B"&amp;MATCH(TRIM(A1197),Main!B:B,0),"Open"),HYPERLINK("#'Main'!B1","Open"))</f>
        <v>Open</v>
      </c>
    </row>
    <row r="1198" spans="1:22" ht="30" customHeight="1" x14ac:dyDescent="0.25">
      <c r="A1198" s="50" t="s">
        <v>216</v>
      </c>
      <c r="B1198" s="33" t="s">
        <v>614</v>
      </c>
      <c r="C1198" s="37" t="s">
        <v>1377</v>
      </c>
      <c r="D1198" s="33"/>
      <c r="E1198" s="52">
        <v>200</v>
      </c>
      <c r="F1198" s="33" t="b">
        <v>1</v>
      </c>
      <c r="G1198" s="33">
        <v>0</v>
      </c>
      <c r="H1198" s="52">
        <v>0</v>
      </c>
      <c r="I1198" s="33">
        <v>0</v>
      </c>
      <c r="J1198" s="33">
        <v>0</v>
      </c>
      <c r="K1198" s="33">
        <v>0</v>
      </c>
      <c r="L1198" s="40" t="b">
        <v>0</v>
      </c>
      <c r="M1198" s="33">
        <v>0</v>
      </c>
      <c r="N1198" s="33">
        <v>0</v>
      </c>
      <c r="O1198" s="52">
        <v>0</v>
      </c>
      <c r="P1198" s="33">
        <v>0</v>
      </c>
      <c r="Q1198" s="33">
        <v>0</v>
      </c>
      <c r="R1198" s="33"/>
      <c r="S1198" s="33"/>
      <c r="T1198" s="33" t="s">
        <v>616</v>
      </c>
      <c r="U1198" s="41" t="str">
        <f>IFERROR(HYPERLINK("#'Main'!B"&amp;MATCH(TRIM(A1198),Main!B:B,0),"Open"),HYPERLINK("#'Main'!B1","Open"))</f>
        <v>Open</v>
      </c>
      <c r="V1198" s="41"/>
    </row>
    <row r="1199" spans="1:22" ht="30" customHeight="1" x14ac:dyDescent="0.25">
      <c r="A1199" s="51" t="s">
        <v>216</v>
      </c>
      <c r="B1199" s="42" t="s">
        <v>614</v>
      </c>
      <c r="C1199" s="44" t="s">
        <v>1378</v>
      </c>
      <c r="D1199" s="42"/>
      <c r="E1199" s="52">
        <v>200</v>
      </c>
      <c r="F1199" s="42" t="b">
        <v>1</v>
      </c>
      <c r="G1199" s="42">
        <v>0</v>
      </c>
      <c r="H1199" s="52">
        <v>0</v>
      </c>
      <c r="I1199" s="42">
        <v>0</v>
      </c>
      <c r="J1199" s="42">
        <v>0</v>
      </c>
      <c r="K1199" s="42">
        <v>0</v>
      </c>
      <c r="L1199" s="46" t="b">
        <v>0</v>
      </c>
      <c r="M1199" s="42">
        <v>0</v>
      </c>
      <c r="N1199" s="42">
        <v>0</v>
      </c>
      <c r="O1199" s="52">
        <v>0</v>
      </c>
      <c r="P1199" s="42">
        <v>0</v>
      </c>
      <c r="Q1199" s="42">
        <v>0</v>
      </c>
      <c r="R1199" s="42"/>
      <c r="S1199" s="42"/>
      <c r="T1199" s="42" t="s">
        <v>616</v>
      </c>
      <c r="U1199" t="str">
        <f>IFERROR(HYPERLINK("#'Main'!B"&amp;MATCH(TRIM(A1199),Main!B:B,0),"Open"),HYPERLINK("#'Main'!B1","Open"))</f>
        <v>Open</v>
      </c>
    </row>
    <row r="1200" spans="1:22" ht="30" customHeight="1" x14ac:dyDescent="0.25">
      <c r="A1200" s="50" t="s">
        <v>216</v>
      </c>
      <c r="B1200" s="33" t="s">
        <v>614</v>
      </c>
      <c r="C1200" s="37" t="s">
        <v>1379</v>
      </c>
      <c r="D1200" s="33"/>
      <c r="E1200" s="52">
        <v>200</v>
      </c>
      <c r="F1200" s="33" t="b">
        <v>1</v>
      </c>
      <c r="G1200" s="33">
        <v>0</v>
      </c>
      <c r="H1200" s="52">
        <v>0</v>
      </c>
      <c r="I1200" s="33">
        <v>0</v>
      </c>
      <c r="J1200" s="33">
        <v>0</v>
      </c>
      <c r="K1200" s="33">
        <v>0</v>
      </c>
      <c r="L1200" s="40" t="b">
        <v>0</v>
      </c>
      <c r="M1200" s="33">
        <v>0</v>
      </c>
      <c r="N1200" s="33">
        <v>0</v>
      </c>
      <c r="O1200" s="52">
        <v>0</v>
      </c>
      <c r="P1200" s="33">
        <v>0</v>
      </c>
      <c r="Q1200" s="33">
        <v>0</v>
      </c>
      <c r="R1200" s="33"/>
      <c r="S1200" s="33"/>
      <c r="T1200" s="33" t="s">
        <v>616</v>
      </c>
      <c r="U1200" s="41" t="str">
        <f>IFERROR(HYPERLINK("#'Main'!B"&amp;MATCH(TRIM(A1200),Main!B:B,0),"Open"),HYPERLINK("#'Main'!B1","Open"))</f>
        <v>Open</v>
      </c>
      <c r="V1200" s="41"/>
    </row>
    <row r="1201" spans="1:22" ht="30" customHeight="1" x14ac:dyDescent="0.25">
      <c r="A1201" s="51" t="s">
        <v>216</v>
      </c>
      <c r="B1201" s="42" t="s">
        <v>614</v>
      </c>
      <c r="C1201" s="44" t="s">
        <v>1380</v>
      </c>
      <c r="D1201" s="42"/>
      <c r="E1201" s="52">
        <v>200</v>
      </c>
      <c r="F1201" s="42" t="b">
        <v>1</v>
      </c>
      <c r="G1201" s="42">
        <v>0</v>
      </c>
      <c r="H1201" s="52">
        <v>0</v>
      </c>
      <c r="I1201" s="42">
        <v>0</v>
      </c>
      <c r="J1201" s="42">
        <v>0</v>
      </c>
      <c r="K1201" s="42">
        <v>0</v>
      </c>
      <c r="L1201" s="46" t="b">
        <v>0</v>
      </c>
      <c r="M1201" s="42">
        <v>0</v>
      </c>
      <c r="N1201" s="42">
        <v>0</v>
      </c>
      <c r="O1201" s="52">
        <v>0</v>
      </c>
      <c r="P1201" s="42">
        <v>0</v>
      </c>
      <c r="Q1201" s="42">
        <v>0</v>
      </c>
      <c r="R1201" s="42"/>
      <c r="S1201" s="42"/>
      <c r="T1201" s="42" t="s">
        <v>616</v>
      </c>
      <c r="U1201" t="str">
        <f>IFERROR(HYPERLINK("#'Main'!B"&amp;MATCH(TRIM(A1201),Main!B:B,0),"Open"),HYPERLINK("#'Main'!B1","Open"))</f>
        <v>Open</v>
      </c>
    </row>
    <row r="1202" spans="1:22" ht="30" customHeight="1" x14ac:dyDescent="0.25">
      <c r="A1202" s="50" t="s">
        <v>216</v>
      </c>
      <c r="B1202" s="33" t="s">
        <v>614</v>
      </c>
      <c r="C1202" s="37" t="s">
        <v>1381</v>
      </c>
      <c r="D1202" s="33"/>
      <c r="E1202" s="52">
        <v>200</v>
      </c>
      <c r="F1202" s="33" t="b">
        <v>1</v>
      </c>
      <c r="G1202" s="33">
        <v>0</v>
      </c>
      <c r="H1202" s="52">
        <v>0</v>
      </c>
      <c r="I1202" s="33">
        <v>0</v>
      </c>
      <c r="J1202" s="33">
        <v>0</v>
      </c>
      <c r="K1202" s="33">
        <v>0</v>
      </c>
      <c r="L1202" s="40" t="b">
        <v>0</v>
      </c>
      <c r="M1202" s="33">
        <v>0</v>
      </c>
      <c r="N1202" s="33">
        <v>0</v>
      </c>
      <c r="O1202" s="52">
        <v>0</v>
      </c>
      <c r="P1202" s="33">
        <v>0</v>
      </c>
      <c r="Q1202" s="33">
        <v>0</v>
      </c>
      <c r="R1202" s="33"/>
      <c r="S1202" s="33"/>
      <c r="T1202" s="33" t="s">
        <v>616</v>
      </c>
      <c r="U1202" s="41" t="str">
        <f>IFERROR(HYPERLINK("#'Main'!B"&amp;MATCH(TRIM(A1202),Main!B:B,0),"Open"),HYPERLINK("#'Main'!B1","Open"))</f>
        <v>Open</v>
      </c>
      <c r="V1202" s="41"/>
    </row>
    <row r="1203" spans="1:22" ht="30" customHeight="1" x14ac:dyDescent="0.25">
      <c r="A1203" s="51" t="s">
        <v>216</v>
      </c>
      <c r="B1203" s="42" t="s">
        <v>614</v>
      </c>
      <c r="C1203" s="44" t="s">
        <v>1382</v>
      </c>
      <c r="D1203" s="42"/>
      <c r="E1203" s="52">
        <v>200</v>
      </c>
      <c r="F1203" s="42" t="b">
        <v>1</v>
      </c>
      <c r="G1203" s="42">
        <v>0</v>
      </c>
      <c r="H1203" s="52">
        <v>0</v>
      </c>
      <c r="I1203" s="42">
        <v>0</v>
      </c>
      <c r="J1203" s="42">
        <v>0</v>
      </c>
      <c r="K1203" s="42">
        <v>0</v>
      </c>
      <c r="L1203" s="46" t="b">
        <v>0</v>
      </c>
      <c r="M1203" s="42">
        <v>0</v>
      </c>
      <c r="N1203" s="42">
        <v>0</v>
      </c>
      <c r="O1203" s="52">
        <v>0</v>
      </c>
      <c r="P1203" s="42">
        <v>0</v>
      </c>
      <c r="Q1203" s="42">
        <v>0</v>
      </c>
      <c r="R1203" s="42"/>
      <c r="S1203" s="42"/>
      <c r="T1203" s="42" t="s">
        <v>616</v>
      </c>
      <c r="U1203" t="str">
        <f>IFERROR(HYPERLINK("#'Main'!B"&amp;MATCH(TRIM(A1203),Main!B:B,0),"Open"),HYPERLINK("#'Main'!B1","Open"))</f>
        <v>Open</v>
      </c>
    </row>
    <row r="1204" spans="1:22" ht="30" customHeight="1" x14ac:dyDescent="0.25">
      <c r="A1204" s="50" t="s">
        <v>216</v>
      </c>
      <c r="B1204" s="33" t="s">
        <v>614</v>
      </c>
      <c r="C1204" s="37" t="s">
        <v>1383</v>
      </c>
      <c r="D1204" s="33"/>
      <c r="E1204" s="34">
        <v>403</v>
      </c>
      <c r="F1204" s="33" t="b">
        <v>0</v>
      </c>
      <c r="G1204" s="33">
        <v>0</v>
      </c>
      <c r="H1204" s="52">
        <v>0</v>
      </c>
      <c r="I1204" s="33">
        <v>0</v>
      </c>
      <c r="J1204" s="33">
        <v>0</v>
      </c>
      <c r="K1204" s="33">
        <v>0</v>
      </c>
      <c r="L1204" s="40" t="b">
        <v>0</v>
      </c>
      <c r="M1204" s="33">
        <v>0</v>
      </c>
      <c r="N1204" s="33">
        <v>0</v>
      </c>
      <c r="O1204" s="52">
        <v>0</v>
      </c>
      <c r="P1204" s="33">
        <v>0</v>
      </c>
      <c r="Q1204" s="33">
        <v>0</v>
      </c>
      <c r="R1204" s="33"/>
      <c r="S1204" s="33"/>
      <c r="T1204" s="33" t="s">
        <v>616</v>
      </c>
      <c r="U1204" s="41" t="str">
        <f>IFERROR(HYPERLINK("#'Main'!B"&amp;MATCH(TRIM(A1204),Main!B:B,0),"Open"),HYPERLINK("#'Main'!B1","Open"))</f>
        <v>Open</v>
      </c>
      <c r="V1204" s="41"/>
    </row>
    <row r="1205" spans="1:22" ht="30" customHeight="1" x14ac:dyDescent="0.25">
      <c r="A1205" s="51" t="s">
        <v>216</v>
      </c>
      <c r="B1205" s="42" t="s">
        <v>614</v>
      </c>
      <c r="C1205" s="44" t="s">
        <v>1384</v>
      </c>
      <c r="D1205" s="42"/>
      <c r="E1205" s="52">
        <v>200</v>
      </c>
      <c r="F1205" s="42" t="b">
        <v>1</v>
      </c>
      <c r="G1205" s="42">
        <v>0</v>
      </c>
      <c r="H1205" s="52">
        <v>0</v>
      </c>
      <c r="I1205" s="42">
        <v>0</v>
      </c>
      <c r="J1205" s="42">
        <v>0</v>
      </c>
      <c r="K1205" s="42">
        <v>0</v>
      </c>
      <c r="L1205" s="46" t="b">
        <v>0</v>
      </c>
      <c r="M1205" s="42">
        <v>0</v>
      </c>
      <c r="N1205" s="42">
        <v>0</v>
      </c>
      <c r="O1205" s="52">
        <v>0</v>
      </c>
      <c r="P1205" s="42">
        <v>0</v>
      </c>
      <c r="Q1205" s="42">
        <v>0</v>
      </c>
      <c r="R1205" s="42"/>
      <c r="S1205" s="42"/>
      <c r="T1205" s="42" t="s">
        <v>616</v>
      </c>
      <c r="U1205" t="str">
        <f>IFERROR(HYPERLINK("#'Main'!B"&amp;MATCH(TRIM(A1205),Main!B:B,0),"Open"),HYPERLINK("#'Main'!B1","Open"))</f>
        <v>Open</v>
      </c>
    </row>
    <row r="1206" spans="1:22" ht="30" customHeight="1" x14ac:dyDescent="0.25">
      <c r="A1206" s="50" t="s">
        <v>216</v>
      </c>
      <c r="B1206" s="33" t="s">
        <v>614</v>
      </c>
      <c r="C1206" s="37" t="s">
        <v>1385</v>
      </c>
      <c r="D1206" s="33"/>
      <c r="E1206" s="52">
        <v>200</v>
      </c>
      <c r="F1206" s="33" t="b">
        <v>1</v>
      </c>
      <c r="G1206" s="33">
        <v>0</v>
      </c>
      <c r="H1206" s="52">
        <v>0</v>
      </c>
      <c r="I1206" s="33">
        <v>0</v>
      </c>
      <c r="J1206" s="33">
        <v>0</v>
      </c>
      <c r="K1206" s="33">
        <v>0</v>
      </c>
      <c r="L1206" s="40" t="b">
        <v>0</v>
      </c>
      <c r="M1206" s="33">
        <v>0</v>
      </c>
      <c r="N1206" s="33">
        <v>0</v>
      </c>
      <c r="O1206" s="52">
        <v>0</v>
      </c>
      <c r="P1206" s="33">
        <v>0</v>
      </c>
      <c r="Q1206" s="33">
        <v>0</v>
      </c>
      <c r="R1206" s="33"/>
      <c r="S1206" s="33"/>
      <c r="T1206" s="33" t="s">
        <v>616</v>
      </c>
      <c r="U1206" s="41" t="str">
        <f>IFERROR(HYPERLINK("#'Main'!B"&amp;MATCH(TRIM(A1206),Main!B:B,0),"Open"),HYPERLINK("#'Main'!B1","Open"))</f>
        <v>Open</v>
      </c>
      <c r="V1206" s="41"/>
    </row>
    <row r="1207" spans="1:22" ht="30" customHeight="1" x14ac:dyDescent="0.25">
      <c r="A1207" s="51" t="s">
        <v>216</v>
      </c>
      <c r="B1207" s="42" t="s">
        <v>614</v>
      </c>
      <c r="C1207" s="44" t="s">
        <v>1386</v>
      </c>
      <c r="D1207" s="42"/>
      <c r="E1207" s="34">
        <v>403</v>
      </c>
      <c r="F1207" s="42" t="b">
        <v>0</v>
      </c>
      <c r="G1207" s="42">
        <v>0</v>
      </c>
      <c r="H1207" s="52">
        <v>0</v>
      </c>
      <c r="I1207" s="42">
        <v>0</v>
      </c>
      <c r="J1207" s="42">
        <v>0</v>
      </c>
      <c r="K1207" s="42">
        <v>0</v>
      </c>
      <c r="L1207" s="46" t="b">
        <v>0</v>
      </c>
      <c r="M1207" s="42">
        <v>0</v>
      </c>
      <c r="N1207" s="42">
        <v>0</v>
      </c>
      <c r="O1207" s="52">
        <v>0</v>
      </c>
      <c r="P1207" s="42">
        <v>0</v>
      </c>
      <c r="Q1207" s="42">
        <v>0</v>
      </c>
      <c r="R1207" s="42"/>
      <c r="S1207" s="42"/>
      <c r="T1207" s="42" t="s">
        <v>616</v>
      </c>
      <c r="U1207" t="str">
        <f>IFERROR(HYPERLINK("#'Main'!B"&amp;MATCH(TRIM(A1207),Main!B:B,0),"Open"),HYPERLINK("#'Main'!B1","Open"))</f>
        <v>Open</v>
      </c>
    </row>
    <row r="1208" spans="1:22" ht="30" customHeight="1" x14ac:dyDescent="0.25">
      <c r="A1208" s="50" t="s">
        <v>216</v>
      </c>
      <c r="B1208" s="33" t="s">
        <v>614</v>
      </c>
      <c r="C1208" s="37" t="s">
        <v>629</v>
      </c>
      <c r="D1208" s="33" t="s">
        <v>630</v>
      </c>
      <c r="E1208" s="52">
        <v>200</v>
      </c>
      <c r="F1208" s="33" t="b">
        <v>1</v>
      </c>
      <c r="G1208" s="33">
        <v>0</v>
      </c>
      <c r="H1208" s="52">
        <v>0</v>
      </c>
      <c r="I1208" s="33">
        <v>0</v>
      </c>
      <c r="J1208" s="33">
        <v>0</v>
      </c>
      <c r="K1208" s="33">
        <v>0</v>
      </c>
      <c r="L1208" s="40" t="b">
        <v>0</v>
      </c>
      <c r="M1208" s="33">
        <v>0</v>
      </c>
      <c r="N1208" s="33">
        <v>0</v>
      </c>
      <c r="O1208" s="52">
        <v>0</v>
      </c>
      <c r="P1208" s="33">
        <v>0</v>
      </c>
      <c r="Q1208" s="33">
        <v>0</v>
      </c>
      <c r="R1208" s="33"/>
      <c r="S1208" s="33"/>
      <c r="T1208" s="33" t="s">
        <v>616</v>
      </c>
      <c r="U1208" s="41" t="str">
        <f>IFERROR(HYPERLINK("#'Main'!B"&amp;MATCH(TRIM(A1208),Main!B:B,0),"Open"),HYPERLINK("#'Main'!B1","Open"))</f>
        <v>Open</v>
      </c>
      <c r="V1208" s="41"/>
    </row>
    <row r="1209" spans="1:22" ht="30" customHeight="1" x14ac:dyDescent="0.25">
      <c r="A1209" s="51" t="s">
        <v>216</v>
      </c>
      <c r="B1209" s="42" t="s">
        <v>614</v>
      </c>
      <c r="C1209" s="44" t="s">
        <v>631</v>
      </c>
      <c r="D1209" s="42"/>
      <c r="E1209" s="52">
        <v>200</v>
      </c>
      <c r="F1209" s="42" t="b">
        <v>1</v>
      </c>
      <c r="G1209" s="42">
        <v>0</v>
      </c>
      <c r="H1209" s="52">
        <v>0</v>
      </c>
      <c r="I1209" s="42">
        <v>0</v>
      </c>
      <c r="J1209" s="42">
        <v>0</v>
      </c>
      <c r="K1209" s="42">
        <v>0</v>
      </c>
      <c r="L1209" s="46" t="b">
        <v>0</v>
      </c>
      <c r="M1209" s="42">
        <v>0</v>
      </c>
      <c r="N1209" s="42">
        <v>0</v>
      </c>
      <c r="O1209" s="52">
        <v>0</v>
      </c>
      <c r="P1209" s="42">
        <v>0</v>
      </c>
      <c r="Q1209" s="42">
        <v>0</v>
      </c>
      <c r="R1209" s="42"/>
      <c r="S1209" s="42"/>
      <c r="T1209" s="42" t="s">
        <v>616</v>
      </c>
      <c r="U1209" t="str">
        <f>IFERROR(HYPERLINK("#'Main'!B"&amp;MATCH(TRIM(A1209),Main!B:B,0),"Open"),HYPERLINK("#'Main'!B1","Open"))</f>
        <v>Open</v>
      </c>
    </row>
    <row r="1210" spans="1:22" ht="30" customHeight="1" x14ac:dyDescent="0.25">
      <c r="A1210" s="50" t="s">
        <v>216</v>
      </c>
      <c r="B1210" s="33" t="s">
        <v>614</v>
      </c>
      <c r="C1210" s="37" t="s">
        <v>632</v>
      </c>
      <c r="D1210" s="33"/>
      <c r="E1210" s="52">
        <v>200</v>
      </c>
      <c r="F1210" s="33" t="b">
        <v>1</v>
      </c>
      <c r="G1210" s="33">
        <v>0</v>
      </c>
      <c r="H1210" s="52">
        <v>0</v>
      </c>
      <c r="I1210" s="33">
        <v>0</v>
      </c>
      <c r="J1210" s="33">
        <v>0</v>
      </c>
      <c r="K1210" s="33">
        <v>0</v>
      </c>
      <c r="L1210" s="40" t="b">
        <v>0</v>
      </c>
      <c r="M1210" s="33">
        <v>0</v>
      </c>
      <c r="N1210" s="33">
        <v>0</v>
      </c>
      <c r="O1210" s="52">
        <v>0</v>
      </c>
      <c r="P1210" s="33">
        <v>0</v>
      </c>
      <c r="Q1210" s="33">
        <v>0</v>
      </c>
      <c r="R1210" s="33"/>
      <c r="S1210" s="33"/>
      <c r="T1210" s="33" t="s">
        <v>616</v>
      </c>
      <c r="U1210" s="41" t="str">
        <f>IFERROR(HYPERLINK("#'Main'!B"&amp;MATCH(TRIM(A1210),Main!B:B,0),"Open"),HYPERLINK("#'Main'!B1","Open"))</f>
        <v>Open</v>
      </c>
      <c r="V1210" s="41"/>
    </row>
    <row r="1211" spans="1:22" ht="30" customHeight="1" x14ac:dyDescent="0.25">
      <c r="A1211" s="51" t="s">
        <v>216</v>
      </c>
      <c r="B1211" s="42" t="s">
        <v>614</v>
      </c>
      <c r="C1211" s="44" t="s">
        <v>633</v>
      </c>
      <c r="D1211" s="42"/>
      <c r="E1211" s="34">
        <v>403</v>
      </c>
      <c r="F1211" s="42" t="b">
        <v>0</v>
      </c>
      <c r="G1211" s="42">
        <v>0</v>
      </c>
      <c r="H1211" s="52">
        <v>0</v>
      </c>
      <c r="I1211" s="42">
        <v>0</v>
      </c>
      <c r="J1211" s="42">
        <v>0</v>
      </c>
      <c r="K1211" s="42">
        <v>0</v>
      </c>
      <c r="L1211" s="46" t="b">
        <v>0</v>
      </c>
      <c r="M1211" s="42">
        <v>0</v>
      </c>
      <c r="N1211" s="42">
        <v>0</v>
      </c>
      <c r="O1211" s="52">
        <v>0</v>
      </c>
      <c r="P1211" s="42">
        <v>0</v>
      </c>
      <c r="Q1211" s="42">
        <v>0</v>
      </c>
      <c r="R1211" s="42"/>
      <c r="S1211" s="42"/>
      <c r="T1211" s="42" t="s">
        <v>616</v>
      </c>
      <c r="U1211" t="str">
        <f>IFERROR(HYPERLINK("#'Main'!B"&amp;MATCH(TRIM(A1211),Main!B:B,0),"Open"),HYPERLINK("#'Main'!B1","Open"))</f>
        <v>Open</v>
      </c>
    </row>
    <row r="1212" spans="1:22" ht="30" customHeight="1" x14ac:dyDescent="0.25">
      <c r="A1212" s="50" t="s">
        <v>216</v>
      </c>
      <c r="B1212" s="33" t="s">
        <v>614</v>
      </c>
      <c r="C1212" s="37" t="s">
        <v>634</v>
      </c>
      <c r="D1212" s="33" t="s">
        <v>635</v>
      </c>
      <c r="E1212" s="52">
        <v>200</v>
      </c>
      <c r="F1212" s="33" t="b">
        <v>1</v>
      </c>
      <c r="G1212" s="33">
        <v>0</v>
      </c>
      <c r="H1212" s="52">
        <v>0</v>
      </c>
      <c r="I1212" s="33">
        <v>0</v>
      </c>
      <c r="J1212" s="33">
        <v>0</v>
      </c>
      <c r="K1212" s="33">
        <v>0</v>
      </c>
      <c r="L1212" s="40" t="b">
        <v>0</v>
      </c>
      <c r="M1212" s="33">
        <v>0</v>
      </c>
      <c r="N1212" s="33">
        <v>0</v>
      </c>
      <c r="O1212" s="52">
        <v>0</v>
      </c>
      <c r="P1212" s="33">
        <v>0</v>
      </c>
      <c r="Q1212" s="33">
        <v>0</v>
      </c>
      <c r="R1212" s="33"/>
      <c r="S1212" s="33"/>
      <c r="T1212" s="33" t="s">
        <v>616</v>
      </c>
      <c r="U1212" s="41" t="str">
        <f>IFERROR(HYPERLINK("#'Main'!B"&amp;MATCH(TRIM(A1212),Main!B:B,0),"Open"),HYPERLINK("#'Main'!B1","Open"))</f>
        <v>Open</v>
      </c>
      <c r="V1212" s="41"/>
    </row>
    <row r="1213" spans="1:22" ht="30" customHeight="1" x14ac:dyDescent="0.25">
      <c r="A1213" s="51" t="s">
        <v>216</v>
      </c>
      <c r="B1213" s="42" t="s">
        <v>614</v>
      </c>
      <c r="C1213" s="44" t="s">
        <v>636</v>
      </c>
      <c r="D1213" s="42" t="s">
        <v>637</v>
      </c>
      <c r="E1213" s="34">
        <v>404</v>
      </c>
      <c r="F1213" s="42" t="b">
        <v>0</v>
      </c>
      <c r="G1213" s="42">
        <v>0</v>
      </c>
      <c r="H1213" s="52">
        <v>0</v>
      </c>
      <c r="I1213" s="42">
        <v>0</v>
      </c>
      <c r="J1213" s="42">
        <v>0</v>
      </c>
      <c r="K1213" s="42">
        <v>0</v>
      </c>
      <c r="L1213" s="46" t="b">
        <v>0</v>
      </c>
      <c r="M1213" s="42">
        <v>0</v>
      </c>
      <c r="N1213" s="42">
        <v>0</v>
      </c>
      <c r="O1213" s="52">
        <v>0</v>
      </c>
      <c r="P1213" s="42">
        <v>0</v>
      </c>
      <c r="Q1213" s="42">
        <v>0</v>
      </c>
      <c r="R1213" s="42"/>
      <c r="S1213" s="42"/>
      <c r="T1213" s="42" t="s">
        <v>616</v>
      </c>
      <c r="U1213" t="str">
        <f>IFERROR(HYPERLINK("#'Main'!B"&amp;MATCH(TRIM(A1213),Main!B:B,0),"Open"),HYPERLINK("#'Main'!B1","Open"))</f>
        <v>Open</v>
      </c>
    </row>
    <row r="1214" spans="1:22" ht="30" customHeight="1" x14ac:dyDescent="0.25">
      <c r="A1214" s="50" t="s">
        <v>216</v>
      </c>
      <c r="B1214" s="33" t="s">
        <v>614</v>
      </c>
      <c r="C1214" s="37" t="s">
        <v>636</v>
      </c>
      <c r="D1214" s="33" t="s">
        <v>638</v>
      </c>
      <c r="E1214" s="34">
        <v>404</v>
      </c>
      <c r="F1214" s="33" t="b">
        <v>0</v>
      </c>
      <c r="G1214" s="33">
        <v>0</v>
      </c>
      <c r="H1214" s="52">
        <v>0</v>
      </c>
      <c r="I1214" s="33">
        <v>0</v>
      </c>
      <c r="J1214" s="33">
        <v>0</v>
      </c>
      <c r="K1214" s="33">
        <v>0</v>
      </c>
      <c r="L1214" s="40" t="b">
        <v>0</v>
      </c>
      <c r="M1214" s="33">
        <v>0</v>
      </c>
      <c r="N1214" s="33">
        <v>0</v>
      </c>
      <c r="O1214" s="52">
        <v>0</v>
      </c>
      <c r="P1214" s="33">
        <v>0</v>
      </c>
      <c r="Q1214" s="33">
        <v>0</v>
      </c>
      <c r="R1214" s="33"/>
      <c r="S1214" s="33"/>
      <c r="T1214" s="33" t="s">
        <v>616</v>
      </c>
      <c r="U1214" s="41" t="str">
        <f>IFERROR(HYPERLINK("#'Main'!B"&amp;MATCH(TRIM(A1214),Main!B:B,0),"Open"),HYPERLINK("#'Main'!B1","Open"))</f>
        <v>Open</v>
      </c>
      <c r="V1214" s="41"/>
    </row>
    <row r="1215" spans="1:22" ht="30" customHeight="1" x14ac:dyDescent="0.25">
      <c r="A1215" s="51" t="s">
        <v>217</v>
      </c>
      <c r="B1215" s="42" t="s">
        <v>614</v>
      </c>
      <c r="C1215" s="44" t="s">
        <v>176</v>
      </c>
      <c r="D1215" s="42" t="s">
        <v>781</v>
      </c>
      <c r="E1215" s="52">
        <v>200</v>
      </c>
      <c r="F1215" s="42" t="b">
        <v>1</v>
      </c>
      <c r="G1215" s="42">
        <v>0</v>
      </c>
      <c r="H1215" s="52">
        <v>0</v>
      </c>
      <c r="I1215" s="42">
        <v>0</v>
      </c>
      <c r="J1215" s="42">
        <v>0</v>
      </c>
      <c r="K1215" s="42">
        <v>0</v>
      </c>
      <c r="L1215" s="46" t="b">
        <v>0</v>
      </c>
      <c r="M1215" s="42">
        <v>0</v>
      </c>
      <c r="N1215" s="42">
        <v>0</v>
      </c>
      <c r="O1215" s="52">
        <v>0</v>
      </c>
      <c r="P1215" s="42">
        <v>0</v>
      </c>
      <c r="Q1215" s="42">
        <v>0</v>
      </c>
      <c r="R1215" s="42"/>
      <c r="S1215" s="42"/>
      <c r="T1215" s="42" t="s">
        <v>616</v>
      </c>
      <c r="U1215" t="str">
        <f>IFERROR(HYPERLINK("#'Main'!B"&amp;MATCH(TRIM(A1215),Main!B:B,0),"Open"),HYPERLINK("#'Main'!B1","Open"))</f>
        <v>Open</v>
      </c>
    </row>
    <row r="1216" spans="1:22" ht="30" customHeight="1" x14ac:dyDescent="0.25">
      <c r="A1216" s="50" t="s">
        <v>217</v>
      </c>
      <c r="B1216" s="33" t="s">
        <v>614</v>
      </c>
      <c r="C1216" s="37" t="s">
        <v>209</v>
      </c>
      <c r="D1216" s="33" t="s">
        <v>782</v>
      </c>
      <c r="E1216" s="52">
        <v>200</v>
      </c>
      <c r="F1216" s="33" t="b">
        <v>1</v>
      </c>
      <c r="G1216" s="33">
        <v>0</v>
      </c>
      <c r="H1216" s="52">
        <v>0</v>
      </c>
      <c r="I1216" s="33">
        <v>0</v>
      </c>
      <c r="J1216" s="33">
        <v>0</v>
      </c>
      <c r="K1216" s="33">
        <v>0</v>
      </c>
      <c r="L1216" s="40" t="b">
        <v>0</v>
      </c>
      <c r="M1216" s="33">
        <v>0</v>
      </c>
      <c r="N1216" s="33">
        <v>0</v>
      </c>
      <c r="O1216" s="52">
        <v>0</v>
      </c>
      <c r="P1216" s="33">
        <v>0</v>
      </c>
      <c r="Q1216" s="33">
        <v>0</v>
      </c>
      <c r="R1216" s="33"/>
      <c r="S1216" s="33"/>
      <c r="T1216" s="33" t="s">
        <v>616</v>
      </c>
      <c r="U1216" s="41" t="str">
        <f>IFERROR(HYPERLINK("#'Main'!B"&amp;MATCH(TRIM(A1216),Main!B:B,0),"Open"),HYPERLINK("#'Main'!B1","Open"))</f>
        <v>Open</v>
      </c>
      <c r="V1216" s="41"/>
    </row>
    <row r="1217" spans="1:22" ht="30" customHeight="1" x14ac:dyDescent="0.25">
      <c r="A1217" s="51" t="s">
        <v>217</v>
      </c>
      <c r="B1217" s="42" t="s">
        <v>614</v>
      </c>
      <c r="C1217" s="44" t="s">
        <v>217</v>
      </c>
      <c r="D1217" s="42" t="s">
        <v>321</v>
      </c>
      <c r="E1217" s="52">
        <v>200</v>
      </c>
      <c r="F1217" s="42" t="b">
        <v>1</v>
      </c>
      <c r="G1217" s="42">
        <v>0</v>
      </c>
      <c r="H1217" s="52">
        <v>0</v>
      </c>
      <c r="I1217" s="42">
        <v>0</v>
      </c>
      <c r="J1217" s="42">
        <v>0</v>
      </c>
      <c r="K1217" s="42">
        <v>0</v>
      </c>
      <c r="L1217" s="46" t="b">
        <v>0</v>
      </c>
      <c r="M1217" s="42">
        <v>0</v>
      </c>
      <c r="N1217" s="42">
        <v>0</v>
      </c>
      <c r="O1217" s="52">
        <v>0</v>
      </c>
      <c r="P1217" s="42">
        <v>0</v>
      </c>
      <c r="Q1217" s="42">
        <v>0</v>
      </c>
      <c r="R1217" s="42"/>
      <c r="S1217" s="42"/>
      <c r="T1217" s="42" t="s">
        <v>616</v>
      </c>
      <c r="U1217" t="str">
        <f>IFERROR(HYPERLINK("#'Main'!B"&amp;MATCH(TRIM(A1217),Main!B:B,0),"Open"),HYPERLINK("#'Main'!B1","Open"))</f>
        <v>Open</v>
      </c>
    </row>
    <row r="1218" spans="1:22" ht="30" customHeight="1" x14ac:dyDescent="0.25">
      <c r="A1218" s="50" t="s">
        <v>217</v>
      </c>
      <c r="B1218" s="33" t="s">
        <v>614</v>
      </c>
      <c r="C1218" s="37" t="s">
        <v>219</v>
      </c>
      <c r="D1218" s="33" t="s">
        <v>327</v>
      </c>
      <c r="E1218" s="52">
        <v>200</v>
      </c>
      <c r="F1218" s="33" t="b">
        <v>1</v>
      </c>
      <c r="G1218" s="33">
        <v>0</v>
      </c>
      <c r="H1218" s="52">
        <v>0</v>
      </c>
      <c r="I1218" s="33">
        <v>0</v>
      </c>
      <c r="J1218" s="33">
        <v>0</v>
      </c>
      <c r="K1218" s="33">
        <v>0</v>
      </c>
      <c r="L1218" s="40" t="b">
        <v>0</v>
      </c>
      <c r="M1218" s="33">
        <v>0</v>
      </c>
      <c r="N1218" s="33">
        <v>0</v>
      </c>
      <c r="O1218" s="52">
        <v>0</v>
      </c>
      <c r="P1218" s="33">
        <v>0</v>
      </c>
      <c r="Q1218" s="33">
        <v>0</v>
      </c>
      <c r="R1218" s="33"/>
      <c r="S1218" s="33"/>
      <c r="T1218" s="33" t="s">
        <v>616</v>
      </c>
      <c r="U1218" s="41" t="str">
        <f>IFERROR(HYPERLINK("#'Main'!B"&amp;MATCH(TRIM(A1218),Main!B:B,0),"Open"),HYPERLINK("#'Main'!B1","Open"))</f>
        <v>Open</v>
      </c>
      <c r="V1218" s="41"/>
    </row>
    <row r="1219" spans="1:22" ht="30" customHeight="1" x14ac:dyDescent="0.25">
      <c r="A1219" s="51" t="s">
        <v>217</v>
      </c>
      <c r="B1219" s="42" t="s">
        <v>614</v>
      </c>
      <c r="C1219" s="44" t="s">
        <v>210</v>
      </c>
      <c r="D1219" s="42" t="s">
        <v>292</v>
      </c>
      <c r="E1219" s="52">
        <v>200</v>
      </c>
      <c r="F1219" s="42" t="b">
        <v>1</v>
      </c>
      <c r="G1219" s="42">
        <v>0</v>
      </c>
      <c r="H1219" s="52">
        <v>0</v>
      </c>
      <c r="I1219" s="42">
        <v>0</v>
      </c>
      <c r="J1219" s="42">
        <v>0</v>
      </c>
      <c r="K1219" s="42">
        <v>0</v>
      </c>
      <c r="L1219" s="46" t="b">
        <v>0</v>
      </c>
      <c r="M1219" s="42">
        <v>0</v>
      </c>
      <c r="N1219" s="42">
        <v>0</v>
      </c>
      <c r="O1219" s="52">
        <v>0</v>
      </c>
      <c r="P1219" s="42">
        <v>0</v>
      </c>
      <c r="Q1219" s="42">
        <v>0</v>
      </c>
      <c r="R1219" s="42"/>
      <c r="S1219" s="42"/>
      <c r="T1219" s="42" t="s">
        <v>616</v>
      </c>
      <c r="U1219" t="str">
        <f>IFERROR(HYPERLINK("#'Main'!B"&amp;MATCH(TRIM(A1219),Main!B:B,0),"Open"),HYPERLINK("#'Main'!B1","Open"))</f>
        <v>Open</v>
      </c>
    </row>
    <row r="1220" spans="1:22" ht="30" customHeight="1" x14ac:dyDescent="0.25">
      <c r="A1220" s="50" t="s">
        <v>217</v>
      </c>
      <c r="B1220" s="33" t="s">
        <v>614</v>
      </c>
      <c r="C1220" s="37" t="s">
        <v>215</v>
      </c>
      <c r="D1220" s="33" t="s">
        <v>783</v>
      </c>
      <c r="E1220" s="52">
        <v>200</v>
      </c>
      <c r="F1220" s="33" t="b">
        <v>1</v>
      </c>
      <c r="G1220" s="33">
        <v>0</v>
      </c>
      <c r="H1220" s="52">
        <v>0</v>
      </c>
      <c r="I1220" s="33">
        <v>0</v>
      </c>
      <c r="J1220" s="33">
        <v>0</v>
      </c>
      <c r="K1220" s="33">
        <v>0</v>
      </c>
      <c r="L1220" s="40" t="b">
        <v>0</v>
      </c>
      <c r="M1220" s="33">
        <v>0</v>
      </c>
      <c r="N1220" s="33">
        <v>0</v>
      </c>
      <c r="O1220" s="52">
        <v>0</v>
      </c>
      <c r="P1220" s="33">
        <v>0</v>
      </c>
      <c r="Q1220" s="33">
        <v>0</v>
      </c>
      <c r="R1220" s="33"/>
      <c r="S1220" s="33"/>
      <c r="T1220" s="33" t="s">
        <v>616</v>
      </c>
      <c r="U1220" s="41" t="str">
        <f>IFERROR(HYPERLINK("#'Main'!B"&amp;MATCH(TRIM(A1220),Main!B:B,0),"Open"),HYPERLINK("#'Main'!B1","Open"))</f>
        <v>Open</v>
      </c>
      <c r="V1220" s="41"/>
    </row>
    <row r="1221" spans="1:22" ht="30" customHeight="1" x14ac:dyDescent="0.25">
      <c r="A1221" s="51" t="s">
        <v>217</v>
      </c>
      <c r="B1221" s="42" t="s">
        <v>614</v>
      </c>
      <c r="C1221" s="44" t="s">
        <v>214</v>
      </c>
      <c r="D1221" s="42" t="s">
        <v>784</v>
      </c>
      <c r="E1221" s="52">
        <v>200</v>
      </c>
      <c r="F1221" s="42" t="b">
        <v>1</v>
      </c>
      <c r="G1221" s="42">
        <v>0</v>
      </c>
      <c r="H1221" s="52">
        <v>0</v>
      </c>
      <c r="I1221" s="42">
        <v>0</v>
      </c>
      <c r="J1221" s="42">
        <v>0</v>
      </c>
      <c r="K1221" s="42">
        <v>0</v>
      </c>
      <c r="L1221" s="46" t="b">
        <v>0</v>
      </c>
      <c r="M1221" s="42">
        <v>0</v>
      </c>
      <c r="N1221" s="42">
        <v>0</v>
      </c>
      <c r="O1221" s="52">
        <v>0</v>
      </c>
      <c r="P1221" s="42">
        <v>0</v>
      </c>
      <c r="Q1221" s="42">
        <v>0</v>
      </c>
      <c r="R1221" s="42"/>
      <c r="S1221" s="42"/>
      <c r="T1221" s="42" t="s">
        <v>616</v>
      </c>
      <c r="U1221" t="str">
        <f>IFERROR(HYPERLINK("#'Main'!B"&amp;MATCH(TRIM(A1221),Main!B:B,0),"Open"),HYPERLINK("#'Main'!B1","Open"))</f>
        <v>Open</v>
      </c>
    </row>
    <row r="1222" spans="1:22" ht="30" customHeight="1" x14ac:dyDescent="0.25">
      <c r="A1222" s="50" t="s">
        <v>217</v>
      </c>
      <c r="B1222" s="33" t="s">
        <v>614</v>
      </c>
      <c r="C1222" s="37" t="s">
        <v>176</v>
      </c>
      <c r="D1222" s="33" t="s">
        <v>781</v>
      </c>
      <c r="E1222" s="52">
        <v>200</v>
      </c>
      <c r="F1222" s="33" t="b">
        <v>1</v>
      </c>
      <c r="G1222" s="33">
        <v>0</v>
      </c>
      <c r="H1222" s="52">
        <v>0</v>
      </c>
      <c r="I1222" s="33">
        <v>0</v>
      </c>
      <c r="J1222" s="33">
        <v>0</v>
      </c>
      <c r="K1222" s="33">
        <v>0</v>
      </c>
      <c r="L1222" s="40" t="b">
        <v>0</v>
      </c>
      <c r="M1222" s="33">
        <v>0</v>
      </c>
      <c r="N1222" s="33">
        <v>0</v>
      </c>
      <c r="O1222" s="52">
        <v>0</v>
      </c>
      <c r="P1222" s="33">
        <v>0</v>
      </c>
      <c r="Q1222" s="33">
        <v>0</v>
      </c>
      <c r="R1222" s="33"/>
      <c r="S1222" s="33"/>
      <c r="T1222" s="33" t="s">
        <v>616</v>
      </c>
      <c r="U1222" s="41" t="str">
        <f>IFERROR(HYPERLINK("#'Main'!B"&amp;MATCH(TRIM(A1222),Main!B:B,0),"Open"),HYPERLINK("#'Main'!B1","Open"))</f>
        <v>Open</v>
      </c>
      <c r="V1222" s="41"/>
    </row>
    <row r="1223" spans="1:22" ht="30" customHeight="1" x14ac:dyDescent="0.25">
      <c r="A1223" s="51" t="s">
        <v>217</v>
      </c>
      <c r="B1223" s="42" t="s">
        <v>614</v>
      </c>
      <c r="C1223" s="44" t="s">
        <v>209</v>
      </c>
      <c r="D1223" s="42" t="s">
        <v>782</v>
      </c>
      <c r="E1223" s="52">
        <v>200</v>
      </c>
      <c r="F1223" s="42" t="b">
        <v>1</v>
      </c>
      <c r="G1223" s="42">
        <v>0</v>
      </c>
      <c r="H1223" s="52">
        <v>0</v>
      </c>
      <c r="I1223" s="42">
        <v>0</v>
      </c>
      <c r="J1223" s="42">
        <v>0</v>
      </c>
      <c r="K1223" s="42">
        <v>0</v>
      </c>
      <c r="L1223" s="46" t="b">
        <v>0</v>
      </c>
      <c r="M1223" s="42">
        <v>0</v>
      </c>
      <c r="N1223" s="42">
        <v>0</v>
      </c>
      <c r="O1223" s="52">
        <v>0</v>
      </c>
      <c r="P1223" s="42">
        <v>0</v>
      </c>
      <c r="Q1223" s="42">
        <v>0</v>
      </c>
      <c r="R1223" s="42"/>
      <c r="S1223" s="42"/>
      <c r="T1223" s="42" t="s">
        <v>616</v>
      </c>
      <c r="U1223" t="str">
        <f>IFERROR(HYPERLINK("#'Main'!B"&amp;MATCH(TRIM(A1223),Main!B:B,0),"Open"),HYPERLINK("#'Main'!B1","Open"))</f>
        <v>Open</v>
      </c>
    </row>
    <row r="1224" spans="1:22" ht="30" customHeight="1" x14ac:dyDescent="0.25">
      <c r="A1224" s="50" t="s">
        <v>217</v>
      </c>
      <c r="B1224" s="33" t="s">
        <v>614</v>
      </c>
      <c r="C1224" s="37" t="s">
        <v>217</v>
      </c>
      <c r="D1224" s="33" t="s">
        <v>321</v>
      </c>
      <c r="E1224" s="52">
        <v>200</v>
      </c>
      <c r="F1224" s="33" t="b">
        <v>1</v>
      </c>
      <c r="G1224" s="33">
        <v>0</v>
      </c>
      <c r="H1224" s="52">
        <v>0</v>
      </c>
      <c r="I1224" s="33">
        <v>0</v>
      </c>
      <c r="J1224" s="33">
        <v>0</v>
      </c>
      <c r="K1224" s="33">
        <v>0</v>
      </c>
      <c r="L1224" s="40" t="b">
        <v>0</v>
      </c>
      <c r="M1224" s="33">
        <v>0</v>
      </c>
      <c r="N1224" s="33">
        <v>0</v>
      </c>
      <c r="O1224" s="52">
        <v>0</v>
      </c>
      <c r="P1224" s="33">
        <v>0</v>
      </c>
      <c r="Q1224" s="33">
        <v>0</v>
      </c>
      <c r="R1224" s="33"/>
      <c r="S1224" s="33"/>
      <c r="T1224" s="33" t="s">
        <v>616</v>
      </c>
      <c r="U1224" s="41" t="str">
        <f>IFERROR(HYPERLINK("#'Main'!B"&amp;MATCH(TRIM(A1224),Main!B:B,0),"Open"),HYPERLINK("#'Main'!B1","Open"))</f>
        <v>Open</v>
      </c>
      <c r="V1224" s="41"/>
    </row>
    <row r="1225" spans="1:22" ht="30" customHeight="1" x14ac:dyDescent="0.25">
      <c r="A1225" s="51" t="s">
        <v>217</v>
      </c>
      <c r="B1225" s="42" t="s">
        <v>614</v>
      </c>
      <c r="C1225" s="44" t="s">
        <v>219</v>
      </c>
      <c r="D1225" s="42" t="s">
        <v>327</v>
      </c>
      <c r="E1225" s="52">
        <v>200</v>
      </c>
      <c r="F1225" s="42" t="b">
        <v>1</v>
      </c>
      <c r="G1225" s="42">
        <v>0</v>
      </c>
      <c r="H1225" s="52">
        <v>0</v>
      </c>
      <c r="I1225" s="42">
        <v>0</v>
      </c>
      <c r="J1225" s="42">
        <v>0</v>
      </c>
      <c r="K1225" s="42">
        <v>0</v>
      </c>
      <c r="L1225" s="46" t="b">
        <v>0</v>
      </c>
      <c r="M1225" s="42">
        <v>0</v>
      </c>
      <c r="N1225" s="42">
        <v>0</v>
      </c>
      <c r="O1225" s="52">
        <v>0</v>
      </c>
      <c r="P1225" s="42">
        <v>0</v>
      </c>
      <c r="Q1225" s="42">
        <v>0</v>
      </c>
      <c r="R1225" s="42"/>
      <c r="S1225" s="42"/>
      <c r="T1225" s="42" t="s">
        <v>616</v>
      </c>
      <c r="U1225" t="str">
        <f>IFERROR(HYPERLINK("#'Main'!B"&amp;MATCH(TRIM(A1225),Main!B:B,0),"Open"),HYPERLINK("#'Main'!B1","Open"))</f>
        <v>Open</v>
      </c>
    </row>
    <row r="1226" spans="1:22" ht="30" customHeight="1" x14ac:dyDescent="0.25">
      <c r="A1226" s="50" t="s">
        <v>217</v>
      </c>
      <c r="B1226" s="33" t="s">
        <v>614</v>
      </c>
      <c r="C1226" s="37" t="s">
        <v>210</v>
      </c>
      <c r="D1226" s="33" t="s">
        <v>292</v>
      </c>
      <c r="E1226" s="52">
        <v>200</v>
      </c>
      <c r="F1226" s="33" t="b">
        <v>1</v>
      </c>
      <c r="G1226" s="33">
        <v>0</v>
      </c>
      <c r="H1226" s="52">
        <v>0</v>
      </c>
      <c r="I1226" s="33">
        <v>0</v>
      </c>
      <c r="J1226" s="33">
        <v>0</v>
      </c>
      <c r="K1226" s="33">
        <v>0</v>
      </c>
      <c r="L1226" s="40" t="b">
        <v>0</v>
      </c>
      <c r="M1226" s="33">
        <v>0</v>
      </c>
      <c r="N1226" s="33">
        <v>0</v>
      </c>
      <c r="O1226" s="52">
        <v>0</v>
      </c>
      <c r="P1226" s="33">
        <v>0</v>
      </c>
      <c r="Q1226" s="33">
        <v>0</v>
      </c>
      <c r="R1226" s="33"/>
      <c r="S1226" s="33"/>
      <c r="T1226" s="33" t="s">
        <v>616</v>
      </c>
      <c r="U1226" s="41" t="str">
        <f>IFERROR(HYPERLINK("#'Main'!B"&amp;MATCH(TRIM(A1226),Main!B:B,0),"Open"),HYPERLINK("#'Main'!B1","Open"))</f>
        <v>Open</v>
      </c>
      <c r="V1226" s="41"/>
    </row>
    <row r="1227" spans="1:22" ht="30" customHeight="1" x14ac:dyDescent="0.25">
      <c r="A1227" s="51" t="s">
        <v>217</v>
      </c>
      <c r="B1227" s="42" t="s">
        <v>614</v>
      </c>
      <c r="C1227" s="44" t="s">
        <v>215</v>
      </c>
      <c r="D1227" s="42" t="s">
        <v>783</v>
      </c>
      <c r="E1227" s="52">
        <v>200</v>
      </c>
      <c r="F1227" s="42" t="b">
        <v>1</v>
      </c>
      <c r="G1227" s="42">
        <v>0</v>
      </c>
      <c r="H1227" s="52">
        <v>0</v>
      </c>
      <c r="I1227" s="42">
        <v>0</v>
      </c>
      <c r="J1227" s="42">
        <v>0</v>
      </c>
      <c r="K1227" s="42">
        <v>0</v>
      </c>
      <c r="L1227" s="46" t="b">
        <v>0</v>
      </c>
      <c r="M1227" s="42">
        <v>0</v>
      </c>
      <c r="N1227" s="42">
        <v>0</v>
      </c>
      <c r="O1227" s="52">
        <v>0</v>
      </c>
      <c r="P1227" s="42">
        <v>0</v>
      </c>
      <c r="Q1227" s="42">
        <v>0</v>
      </c>
      <c r="R1227" s="42"/>
      <c r="S1227" s="42"/>
      <c r="T1227" s="42" t="s">
        <v>616</v>
      </c>
      <c r="U1227" t="str">
        <f>IFERROR(HYPERLINK("#'Main'!B"&amp;MATCH(TRIM(A1227),Main!B:B,0),"Open"),HYPERLINK("#'Main'!B1","Open"))</f>
        <v>Open</v>
      </c>
    </row>
    <row r="1228" spans="1:22" ht="30" customHeight="1" x14ac:dyDescent="0.25">
      <c r="A1228" s="50" t="s">
        <v>217</v>
      </c>
      <c r="B1228" s="33" t="s">
        <v>614</v>
      </c>
      <c r="C1228" s="37" t="s">
        <v>214</v>
      </c>
      <c r="D1228" s="33" t="s">
        <v>784</v>
      </c>
      <c r="E1228" s="52">
        <v>200</v>
      </c>
      <c r="F1228" s="33" t="b">
        <v>1</v>
      </c>
      <c r="G1228" s="33">
        <v>0</v>
      </c>
      <c r="H1228" s="52">
        <v>0</v>
      </c>
      <c r="I1228" s="33">
        <v>0</v>
      </c>
      <c r="J1228" s="33">
        <v>0</v>
      </c>
      <c r="K1228" s="33">
        <v>0</v>
      </c>
      <c r="L1228" s="40" t="b">
        <v>0</v>
      </c>
      <c r="M1228" s="33">
        <v>0</v>
      </c>
      <c r="N1228" s="33">
        <v>0</v>
      </c>
      <c r="O1228" s="52">
        <v>0</v>
      </c>
      <c r="P1228" s="33">
        <v>0</v>
      </c>
      <c r="Q1228" s="33">
        <v>0</v>
      </c>
      <c r="R1228" s="33"/>
      <c r="S1228" s="33"/>
      <c r="T1228" s="33" t="s">
        <v>616</v>
      </c>
      <c r="U1228" s="41" t="str">
        <f>IFERROR(HYPERLINK("#'Main'!B"&amp;MATCH(TRIM(A1228),Main!B:B,0),"Open"),HYPERLINK("#'Main'!B1","Open"))</f>
        <v>Open</v>
      </c>
      <c r="V1228" s="41"/>
    </row>
    <row r="1229" spans="1:22" ht="30" customHeight="1" x14ac:dyDescent="0.25">
      <c r="A1229" s="51" t="s">
        <v>217</v>
      </c>
      <c r="B1229" s="42" t="s">
        <v>614</v>
      </c>
      <c r="C1229" s="44" t="s">
        <v>209</v>
      </c>
      <c r="D1229" s="42" t="s">
        <v>785</v>
      </c>
      <c r="E1229" s="52">
        <v>200</v>
      </c>
      <c r="F1229" s="42" t="b">
        <v>1</v>
      </c>
      <c r="G1229" s="42">
        <v>0</v>
      </c>
      <c r="H1229" s="52">
        <v>0</v>
      </c>
      <c r="I1229" s="42">
        <v>0</v>
      </c>
      <c r="J1229" s="42">
        <v>0</v>
      </c>
      <c r="K1229" s="42">
        <v>0</v>
      </c>
      <c r="L1229" s="46" t="b">
        <v>0</v>
      </c>
      <c r="M1229" s="42">
        <v>0</v>
      </c>
      <c r="N1229" s="42">
        <v>0</v>
      </c>
      <c r="O1229" s="52">
        <v>0</v>
      </c>
      <c r="P1229" s="42">
        <v>0</v>
      </c>
      <c r="Q1229" s="42">
        <v>0</v>
      </c>
      <c r="R1229" s="42"/>
      <c r="S1229" s="42"/>
      <c r="T1229" s="42" t="s">
        <v>616</v>
      </c>
      <c r="U1229" t="str">
        <f>IFERROR(HYPERLINK("#'Main'!B"&amp;MATCH(TRIM(A1229),Main!B:B,0),"Open"),HYPERLINK("#'Main'!B1","Open"))</f>
        <v>Open</v>
      </c>
    </row>
    <row r="1230" spans="1:22" ht="30" customHeight="1" x14ac:dyDescent="0.25">
      <c r="A1230" s="50" t="s">
        <v>217</v>
      </c>
      <c r="B1230" s="33" t="s">
        <v>614</v>
      </c>
      <c r="C1230" s="37" t="s">
        <v>1387</v>
      </c>
      <c r="D1230" s="33" t="s">
        <v>1388</v>
      </c>
      <c r="E1230" s="52">
        <v>200</v>
      </c>
      <c r="F1230" s="33" t="b">
        <v>1</v>
      </c>
      <c r="G1230" s="33">
        <v>0</v>
      </c>
      <c r="H1230" s="52">
        <v>0</v>
      </c>
      <c r="I1230" s="33">
        <v>0</v>
      </c>
      <c r="J1230" s="33">
        <v>0</v>
      </c>
      <c r="K1230" s="33">
        <v>0</v>
      </c>
      <c r="L1230" s="40" t="b">
        <v>0</v>
      </c>
      <c r="M1230" s="33">
        <v>0</v>
      </c>
      <c r="N1230" s="33">
        <v>0</v>
      </c>
      <c r="O1230" s="52">
        <v>0</v>
      </c>
      <c r="P1230" s="33">
        <v>0</v>
      </c>
      <c r="Q1230" s="33">
        <v>0</v>
      </c>
      <c r="R1230" s="33"/>
      <c r="S1230" s="33"/>
      <c r="T1230" s="33" t="s">
        <v>616</v>
      </c>
      <c r="U1230" s="41" t="str">
        <f>IFERROR(HYPERLINK("#'Main'!B"&amp;MATCH(TRIM(A1230),Main!B:B,0),"Open"),HYPERLINK("#'Main'!B1","Open"))</f>
        <v>Open</v>
      </c>
      <c r="V1230" s="41"/>
    </row>
    <row r="1231" spans="1:22" ht="30" customHeight="1" x14ac:dyDescent="0.25">
      <c r="A1231" s="51" t="s">
        <v>217</v>
      </c>
      <c r="B1231" s="42" t="s">
        <v>614</v>
      </c>
      <c r="C1231" s="44" t="s">
        <v>1389</v>
      </c>
      <c r="D1231" s="42" t="s">
        <v>1390</v>
      </c>
      <c r="E1231" s="52">
        <v>200</v>
      </c>
      <c r="F1231" s="42" t="b">
        <v>1</v>
      </c>
      <c r="G1231" s="42">
        <v>0</v>
      </c>
      <c r="H1231" s="52">
        <v>0</v>
      </c>
      <c r="I1231" s="42">
        <v>0</v>
      </c>
      <c r="J1231" s="42">
        <v>0</v>
      </c>
      <c r="K1231" s="42">
        <v>0</v>
      </c>
      <c r="L1231" s="46" t="b">
        <v>0</v>
      </c>
      <c r="M1231" s="42">
        <v>0</v>
      </c>
      <c r="N1231" s="42">
        <v>0</v>
      </c>
      <c r="O1231" s="52">
        <v>0</v>
      </c>
      <c r="P1231" s="42">
        <v>0</v>
      </c>
      <c r="Q1231" s="42">
        <v>0</v>
      </c>
      <c r="R1231" s="42"/>
      <c r="S1231" s="42"/>
      <c r="T1231" s="42" t="s">
        <v>616</v>
      </c>
      <c r="U1231" t="str">
        <f>IFERROR(HYPERLINK("#'Main'!B"&amp;MATCH(TRIM(A1231),Main!B:B,0),"Open"),HYPERLINK("#'Main'!B1","Open"))</f>
        <v>Open</v>
      </c>
    </row>
    <row r="1232" spans="1:22" ht="30" customHeight="1" x14ac:dyDescent="0.25">
      <c r="A1232" s="50" t="s">
        <v>217</v>
      </c>
      <c r="B1232" s="33" t="s">
        <v>614</v>
      </c>
      <c r="C1232" s="37" t="s">
        <v>1391</v>
      </c>
      <c r="D1232" s="33" t="s">
        <v>1392</v>
      </c>
      <c r="E1232" s="52">
        <v>200</v>
      </c>
      <c r="F1232" s="33" t="b">
        <v>1</v>
      </c>
      <c r="G1232" s="33">
        <v>0</v>
      </c>
      <c r="H1232" s="52">
        <v>0</v>
      </c>
      <c r="I1232" s="33">
        <v>0</v>
      </c>
      <c r="J1232" s="33">
        <v>0</v>
      </c>
      <c r="K1232" s="33">
        <v>0</v>
      </c>
      <c r="L1232" s="40" t="b">
        <v>0</v>
      </c>
      <c r="M1232" s="33">
        <v>0</v>
      </c>
      <c r="N1232" s="33">
        <v>0</v>
      </c>
      <c r="O1232" s="52">
        <v>0</v>
      </c>
      <c r="P1232" s="33">
        <v>0</v>
      </c>
      <c r="Q1232" s="33">
        <v>0</v>
      </c>
      <c r="R1232" s="33"/>
      <c r="S1232" s="33"/>
      <c r="T1232" s="33" t="s">
        <v>616</v>
      </c>
      <c r="U1232" s="41" t="str">
        <f>IFERROR(HYPERLINK("#'Main'!B"&amp;MATCH(TRIM(A1232),Main!B:B,0),"Open"),HYPERLINK("#'Main'!B1","Open"))</f>
        <v>Open</v>
      </c>
      <c r="V1232" s="41"/>
    </row>
    <row r="1233" spans="1:22" ht="30" customHeight="1" x14ac:dyDescent="0.25">
      <c r="A1233" s="51" t="s">
        <v>217</v>
      </c>
      <c r="B1233" s="42" t="s">
        <v>614</v>
      </c>
      <c r="C1233" s="44" t="s">
        <v>1393</v>
      </c>
      <c r="D1233" s="42" t="s">
        <v>1394</v>
      </c>
      <c r="E1233" s="52">
        <v>200</v>
      </c>
      <c r="F1233" s="42" t="b">
        <v>1</v>
      </c>
      <c r="G1233" s="42">
        <v>0</v>
      </c>
      <c r="H1233" s="52">
        <v>0</v>
      </c>
      <c r="I1233" s="42">
        <v>0</v>
      </c>
      <c r="J1233" s="42">
        <v>0</v>
      </c>
      <c r="K1233" s="42">
        <v>0</v>
      </c>
      <c r="L1233" s="46" t="b">
        <v>0</v>
      </c>
      <c r="M1233" s="42">
        <v>0</v>
      </c>
      <c r="N1233" s="42">
        <v>0</v>
      </c>
      <c r="O1233" s="52">
        <v>0</v>
      </c>
      <c r="P1233" s="42">
        <v>0</v>
      </c>
      <c r="Q1233" s="42">
        <v>0</v>
      </c>
      <c r="R1233" s="42"/>
      <c r="S1233" s="42"/>
      <c r="T1233" s="42" t="s">
        <v>616</v>
      </c>
      <c r="U1233" t="str">
        <f>IFERROR(HYPERLINK("#'Main'!B"&amp;MATCH(TRIM(A1233),Main!B:B,0),"Open"),HYPERLINK("#'Main'!B1","Open"))</f>
        <v>Open</v>
      </c>
    </row>
    <row r="1234" spans="1:22" ht="30" customHeight="1" x14ac:dyDescent="0.25">
      <c r="A1234" s="50" t="s">
        <v>217</v>
      </c>
      <c r="B1234" s="33" t="s">
        <v>614</v>
      </c>
      <c r="C1234" s="37" t="s">
        <v>1395</v>
      </c>
      <c r="D1234" s="33" t="s">
        <v>1396</v>
      </c>
      <c r="E1234" s="52">
        <v>200</v>
      </c>
      <c r="F1234" s="33" t="b">
        <v>1</v>
      </c>
      <c r="G1234" s="33">
        <v>0</v>
      </c>
      <c r="H1234" s="52">
        <v>0</v>
      </c>
      <c r="I1234" s="33">
        <v>0</v>
      </c>
      <c r="J1234" s="33">
        <v>0</v>
      </c>
      <c r="K1234" s="33">
        <v>0</v>
      </c>
      <c r="L1234" s="40" t="b">
        <v>0</v>
      </c>
      <c r="M1234" s="33">
        <v>0</v>
      </c>
      <c r="N1234" s="33">
        <v>0</v>
      </c>
      <c r="O1234" s="52">
        <v>0</v>
      </c>
      <c r="P1234" s="33">
        <v>0</v>
      </c>
      <c r="Q1234" s="33">
        <v>0</v>
      </c>
      <c r="R1234" s="33"/>
      <c r="S1234" s="33"/>
      <c r="T1234" s="33" t="s">
        <v>616</v>
      </c>
      <c r="U1234" s="41" t="str">
        <f>IFERROR(HYPERLINK("#'Main'!B"&amp;MATCH(TRIM(A1234),Main!B:B,0),"Open"),HYPERLINK("#'Main'!B1","Open"))</f>
        <v>Open</v>
      </c>
      <c r="V1234" s="41"/>
    </row>
    <row r="1235" spans="1:22" ht="30" customHeight="1" x14ac:dyDescent="0.25">
      <c r="A1235" s="51" t="s">
        <v>217</v>
      </c>
      <c r="B1235" s="42" t="s">
        <v>614</v>
      </c>
      <c r="C1235" s="44" t="s">
        <v>1387</v>
      </c>
      <c r="D1235" s="42" t="s">
        <v>1397</v>
      </c>
      <c r="E1235" s="52">
        <v>200</v>
      </c>
      <c r="F1235" s="42" t="b">
        <v>1</v>
      </c>
      <c r="G1235" s="42">
        <v>0</v>
      </c>
      <c r="H1235" s="52">
        <v>0</v>
      </c>
      <c r="I1235" s="42">
        <v>0</v>
      </c>
      <c r="J1235" s="42">
        <v>0</v>
      </c>
      <c r="K1235" s="42">
        <v>0</v>
      </c>
      <c r="L1235" s="46" t="b">
        <v>0</v>
      </c>
      <c r="M1235" s="42">
        <v>0</v>
      </c>
      <c r="N1235" s="42">
        <v>0</v>
      </c>
      <c r="O1235" s="52">
        <v>0</v>
      </c>
      <c r="P1235" s="42">
        <v>0</v>
      </c>
      <c r="Q1235" s="42">
        <v>0</v>
      </c>
      <c r="R1235" s="42"/>
      <c r="S1235" s="42"/>
      <c r="T1235" s="42" t="s">
        <v>616</v>
      </c>
      <c r="U1235" t="str">
        <f>IFERROR(HYPERLINK("#'Main'!B"&amp;MATCH(TRIM(A1235),Main!B:B,0),"Open"),HYPERLINK("#'Main'!B1","Open"))</f>
        <v>Open</v>
      </c>
    </row>
    <row r="1236" spans="1:22" ht="30" customHeight="1" x14ac:dyDescent="0.25">
      <c r="A1236" s="50" t="s">
        <v>217</v>
      </c>
      <c r="B1236" s="33" t="s">
        <v>614</v>
      </c>
      <c r="C1236" s="37" t="s">
        <v>1398</v>
      </c>
      <c r="D1236" s="33" t="s">
        <v>1399</v>
      </c>
      <c r="E1236" s="52">
        <v>200</v>
      </c>
      <c r="F1236" s="33" t="b">
        <v>1</v>
      </c>
      <c r="G1236" s="33">
        <v>0</v>
      </c>
      <c r="H1236" s="52">
        <v>0</v>
      </c>
      <c r="I1236" s="33">
        <v>0</v>
      </c>
      <c r="J1236" s="33">
        <v>0</v>
      </c>
      <c r="K1236" s="33">
        <v>0</v>
      </c>
      <c r="L1236" s="40" t="b">
        <v>0</v>
      </c>
      <c r="M1236" s="33">
        <v>0</v>
      </c>
      <c r="N1236" s="33">
        <v>0</v>
      </c>
      <c r="O1236" s="52">
        <v>0</v>
      </c>
      <c r="P1236" s="33">
        <v>0</v>
      </c>
      <c r="Q1236" s="33">
        <v>0</v>
      </c>
      <c r="R1236" s="33"/>
      <c r="S1236" s="33"/>
      <c r="T1236" s="33" t="s">
        <v>616</v>
      </c>
      <c r="U1236" s="41" t="str">
        <f>IFERROR(HYPERLINK("#'Main'!B"&amp;MATCH(TRIM(A1236),Main!B:B,0),"Open"),HYPERLINK("#'Main'!B1","Open"))</f>
        <v>Open</v>
      </c>
      <c r="V1236" s="41"/>
    </row>
    <row r="1237" spans="1:22" ht="30" customHeight="1" x14ac:dyDescent="0.25">
      <c r="A1237" s="51" t="s">
        <v>217</v>
      </c>
      <c r="B1237" s="42" t="s">
        <v>614</v>
      </c>
      <c r="C1237" s="44" t="s">
        <v>1400</v>
      </c>
      <c r="D1237" s="42" t="s">
        <v>1401</v>
      </c>
      <c r="E1237" s="52">
        <v>200</v>
      </c>
      <c r="F1237" s="42" t="b">
        <v>1</v>
      </c>
      <c r="G1237" s="42">
        <v>0</v>
      </c>
      <c r="H1237" s="52">
        <v>0</v>
      </c>
      <c r="I1237" s="42">
        <v>0</v>
      </c>
      <c r="J1237" s="42">
        <v>0</v>
      </c>
      <c r="K1237" s="42">
        <v>0</v>
      </c>
      <c r="L1237" s="46" t="b">
        <v>0</v>
      </c>
      <c r="M1237" s="42">
        <v>0</v>
      </c>
      <c r="N1237" s="42">
        <v>0</v>
      </c>
      <c r="O1237" s="52">
        <v>0</v>
      </c>
      <c r="P1237" s="42">
        <v>0</v>
      </c>
      <c r="Q1237" s="42">
        <v>0</v>
      </c>
      <c r="R1237" s="42"/>
      <c r="S1237" s="42"/>
      <c r="T1237" s="42" t="s">
        <v>616</v>
      </c>
      <c r="U1237" t="str">
        <f>IFERROR(HYPERLINK("#'Main'!B"&amp;MATCH(TRIM(A1237),Main!B:B,0),"Open"),HYPERLINK("#'Main'!B1","Open"))</f>
        <v>Open</v>
      </c>
    </row>
    <row r="1238" spans="1:22" ht="30" customHeight="1" x14ac:dyDescent="0.25">
      <c r="A1238" s="50" t="s">
        <v>217</v>
      </c>
      <c r="B1238" s="33" t="s">
        <v>614</v>
      </c>
      <c r="C1238" s="37" t="s">
        <v>1402</v>
      </c>
      <c r="D1238" s="33" t="s">
        <v>1403</v>
      </c>
      <c r="E1238" s="52">
        <v>200</v>
      </c>
      <c r="F1238" s="33" t="b">
        <v>1</v>
      </c>
      <c r="G1238" s="33">
        <v>0</v>
      </c>
      <c r="H1238" s="52">
        <v>0</v>
      </c>
      <c r="I1238" s="33">
        <v>0</v>
      </c>
      <c r="J1238" s="33">
        <v>0</v>
      </c>
      <c r="K1238" s="33">
        <v>0</v>
      </c>
      <c r="L1238" s="40" t="b">
        <v>0</v>
      </c>
      <c r="M1238" s="33">
        <v>0</v>
      </c>
      <c r="N1238" s="33">
        <v>0</v>
      </c>
      <c r="O1238" s="52">
        <v>0</v>
      </c>
      <c r="P1238" s="33">
        <v>0</v>
      </c>
      <c r="Q1238" s="33">
        <v>0</v>
      </c>
      <c r="R1238" s="33"/>
      <c r="S1238" s="33"/>
      <c r="T1238" s="33" t="s">
        <v>616</v>
      </c>
      <c r="U1238" s="41" t="str">
        <f>IFERROR(HYPERLINK("#'Main'!B"&amp;MATCH(TRIM(A1238),Main!B:B,0),"Open"),HYPERLINK("#'Main'!B1","Open"))</f>
        <v>Open</v>
      </c>
      <c r="V1238" s="41"/>
    </row>
    <row r="1239" spans="1:22" ht="30" customHeight="1" x14ac:dyDescent="0.25">
      <c r="A1239" s="51" t="s">
        <v>217</v>
      </c>
      <c r="B1239" s="42" t="s">
        <v>614</v>
      </c>
      <c r="C1239" s="44" t="s">
        <v>629</v>
      </c>
      <c r="D1239" s="42" t="s">
        <v>630</v>
      </c>
      <c r="E1239" s="52">
        <v>200</v>
      </c>
      <c r="F1239" s="42" t="b">
        <v>1</v>
      </c>
      <c r="G1239" s="42">
        <v>0</v>
      </c>
      <c r="H1239" s="52">
        <v>0</v>
      </c>
      <c r="I1239" s="42">
        <v>0</v>
      </c>
      <c r="J1239" s="42">
        <v>0</v>
      </c>
      <c r="K1239" s="42">
        <v>0</v>
      </c>
      <c r="L1239" s="46" t="b">
        <v>0</v>
      </c>
      <c r="M1239" s="42">
        <v>0</v>
      </c>
      <c r="N1239" s="42">
        <v>0</v>
      </c>
      <c r="O1239" s="52">
        <v>0</v>
      </c>
      <c r="P1239" s="42">
        <v>0</v>
      </c>
      <c r="Q1239" s="42">
        <v>0</v>
      </c>
      <c r="R1239" s="42"/>
      <c r="S1239" s="42"/>
      <c r="T1239" s="42" t="s">
        <v>616</v>
      </c>
      <c r="U1239" t="str">
        <f>IFERROR(HYPERLINK("#'Main'!B"&amp;MATCH(TRIM(A1239),Main!B:B,0),"Open"),HYPERLINK("#'Main'!B1","Open"))</f>
        <v>Open</v>
      </c>
    </row>
    <row r="1240" spans="1:22" ht="30" customHeight="1" x14ac:dyDescent="0.25">
      <c r="A1240" s="50" t="s">
        <v>217</v>
      </c>
      <c r="B1240" s="33" t="s">
        <v>614</v>
      </c>
      <c r="C1240" s="37" t="s">
        <v>631</v>
      </c>
      <c r="D1240" s="33"/>
      <c r="E1240" s="52">
        <v>200</v>
      </c>
      <c r="F1240" s="33" t="b">
        <v>1</v>
      </c>
      <c r="G1240" s="33">
        <v>0</v>
      </c>
      <c r="H1240" s="52">
        <v>0</v>
      </c>
      <c r="I1240" s="33">
        <v>0</v>
      </c>
      <c r="J1240" s="33">
        <v>0</v>
      </c>
      <c r="K1240" s="33">
        <v>0</v>
      </c>
      <c r="L1240" s="40" t="b">
        <v>0</v>
      </c>
      <c r="M1240" s="33">
        <v>0</v>
      </c>
      <c r="N1240" s="33">
        <v>0</v>
      </c>
      <c r="O1240" s="52">
        <v>0</v>
      </c>
      <c r="P1240" s="33">
        <v>0</v>
      </c>
      <c r="Q1240" s="33">
        <v>0</v>
      </c>
      <c r="R1240" s="33"/>
      <c r="S1240" s="33"/>
      <c r="T1240" s="33" t="s">
        <v>616</v>
      </c>
      <c r="U1240" s="41" t="str">
        <f>IFERROR(HYPERLINK("#'Main'!B"&amp;MATCH(TRIM(A1240),Main!B:B,0),"Open"),HYPERLINK("#'Main'!B1","Open"))</f>
        <v>Open</v>
      </c>
      <c r="V1240" s="41"/>
    </row>
    <row r="1241" spans="1:22" ht="30" customHeight="1" x14ac:dyDescent="0.25">
      <c r="A1241" s="51" t="s">
        <v>217</v>
      </c>
      <c r="B1241" s="42" t="s">
        <v>614</v>
      </c>
      <c r="C1241" s="44" t="s">
        <v>632</v>
      </c>
      <c r="D1241" s="42"/>
      <c r="E1241" s="52">
        <v>200</v>
      </c>
      <c r="F1241" s="42" t="b">
        <v>1</v>
      </c>
      <c r="G1241" s="42">
        <v>0</v>
      </c>
      <c r="H1241" s="52">
        <v>0</v>
      </c>
      <c r="I1241" s="42">
        <v>0</v>
      </c>
      <c r="J1241" s="42">
        <v>0</v>
      </c>
      <c r="K1241" s="42">
        <v>0</v>
      </c>
      <c r="L1241" s="46" t="b">
        <v>0</v>
      </c>
      <c r="M1241" s="42">
        <v>0</v>
      </c>
      <c r="N1241" s="42">
        <v>0</v>
      </c>
      <c r="O1241" s="52">
        <v>0</v>
      </c>
      <c r="P1241" s="42">
        <v>0</v>
      </c>
      <c r="Q1241" s="42">
        <v>0</v>
      </c>
      <c r="R1241" s="42"/>
      <c r="S1241" s="42"/>
      <c r="T1241" s="42" t="s">
        <v>616</v>
      </c>
      <c r="U1241" t="str">
        <f>IFERROR(HYPERLINK("#'Main'!B"&amp;MATCH(TRIM(A1241),Main!B:B,0),"Open"),HYPERLINK("#'Main'!B1","Open"))</f>
        <v>Open</v>
      </c>
    </row>
    <row r="1242" spans="1:22" ht="30" customHeight="1" x14ac:dyDescent="0.25">
      <c r="A1242" s="50" t="s">
        <v>217</v>
      </c>
      <c r="B1242" s="33" t="s">
        <v>614</v>
      </c>
      <c r="C1242" s="37" t="s">
        <v>634</v>
      </c>
      <c r="D1242" s="33" t="s">
        <v>666</v>
      </c>
      <c r="E1242" s="52">
        <v>200</v>
      </c>
      <c r="F1242" s="33" t="b">
        <v>1</v>
      </c>
      <c r="G1242" s="33">
        <v>0</v>
      </c>
      <c r="H1242" s="52">
        <v>0</v>
      </c>
      <c r="I1242" s="33">
        <v>0</v>
      </c>
      <c r="J1242" s="33">
        <v>0</v>
      </c>
      <c r="K1242" s="33">
        <v>0</v>
      </c>
      <c r="L1242" s="40" t="b">
        <v>0</v>
      </c>
      <c r="M1242" s="33">
        <v>0</v>
      </c>
      <c r="N1242" s="33">
        <v>0</v>
      </c>
      <c r="O1242" s="52">
        <v>0</v>
      </c>
      <c r="P1242" s="33">
        <v>0</v>
      </c>
      <c r="Q1242" s="33">
        <v>0</v>
      </c>
      <c r="R1242" s="33"/>
      <c r="S1242" s="33"/>
      <c r="T1242" s="33" t="s">
        <v>616</v>
      </c>
      <c r="U1242" s="41" t="str">
        <f>IFERROR(HYPERLINK("#'Main'!B"&amp;MATCH(TRIM(A1242),Main!B:B,0),"Open"),HYPERLINK("#'Main'!B1","Open"))</f>
        <v>Open</v>
      </c>
      <c r="V1242" s="41"/>
    </row>
    <row r="1243" spans="1:22" ht="30" customHeight="1" x14ac:dyDescent="0.25">
      <c r="A1243" s="51" t="s">
        <v>217</v>
      </c>
      <c r="B1243" s="42" t="s">
        <v>614</v>
      </c>
      <c r="C1243" s="44" t="s">
        <v>636</v>
      </c>
      <c r="D1243" s="42" t="s">
        <v>637</v>
      </c>
      <c r="E1243" s="34">
        <v>404</v>
      </c>
      <c r="F1243" s="42" t="b">
        <v>0</v>
      </c>
      <c r="G1243" s="42">
        <v>0</v>
      </c>
      <c r="H1243" s="52">
        <v>0</v>
      </c>
      <c r="I1243" s="42">
        <v>0</v>
      </c>
      <c r="J1243" s="42">
        <v>0</v>
      </c>
      <c r="K1243" s="42">
        <v>0</v>
      </c>
      <c r="L1243" s="46" t="b">
        <v>0</v>
      </c>
      <c r="M1243" s="42">
        <v>0</v>
      </c>
      <c r="N1243" s="42">
        <v>0</v>
      </c>
      <c r="O1243" s="52">
        <v>0</v>
      </c>
      <c r="P1243" s="42">
        <v>0</v>
      </c>
      <c r="Q1243" s="42">
        <v>0</v>
      </c>
      <c r="R1243" s="42"/>
      <c r="S1243" s="42"/>
      <c r="T1243" s="42" t="s">
        <v>616</v>
      </c>
      <c r="U1243" t="str">
        <f>IFERROR(HYPERLINK("#'Main'!B"&amp;MATCH(TRIM(A1243),Main!B:B,0),"Open"),HYPERLINK("#'Main'!B1","Open"))</f>
        <v>Open</v>
      </c>
    </row>
    <row r="1244" spans="1:22" ht="30" customHeight="1" x14ac:dyDescent="0.25">
      <c r="A1244" s="50" t="s">
        <v>217</v>
      </c>
      <c r="B1244" s="33" t="s">
        <v>614</v>
      </c>
      <c r="C1244" s="37" t="s">
        <v>636</v>
      </c>
      <c r="D1244" s="33" t="s">
        <v>638</v>
      </c>
      <c r="E1244" s="34">
        <v>404</v>
      </c>
      <c r="F1244" s="33" t="b">
        <v>0</v>
      </c>
      <c r="G1244" s="33">
        <v>0</v>
      </c>
      <c r="H1244" s="52">
        <v>0</v>
      </c>
      <c r="I1244" s="33">
        <v>0</v>
      </c>
      <c r="J1244" s="33">
        <v>0</v>
      </c>
      <c r="K1244" s="33">
        <v>0</v>
      </c>
      <c r="L1244" s="40" t="b">
        <v>0</v>
      </c>
      <c r="M1244" s="33">
        <v>0</v>
      </c>
      <c r="N1244" s="33">
        <v>0</v>
      </c>
      <c r="O1244" s="52">
        <v>0</v>
      </c>
      <c r="P1244" s="33">
        <v>0</v>
      </c>
      <c r="Q1244" s="33">
        <v>0</v>
      </c>
      <c r="R1244" s="33"/>
      <c r="S1244" s="33"/>
      <c r="T1244" s="33" t="s">
        <v>616</v>
      </c>
      <c r="U1244" s="41" t="str">
        <f>IFERROR(HYPERLINK("#'Main'!B"&amp;MATCH(TRIM(A1244),Main!B:B,0),"Open"),HYPERLINK("#'Main'!B1","Open"))</f>
        <v>Open</v>
      </c>
      <c r="V1244" s="41"/>
    </row>
    <row r="1245" spans="1:22" ht="30" customHeight="1" x14ac:dyDescent="0.25">
      <c r="A1245" s="51" t="s">
        <v>219</v>
      </c>
      <c r="B1245" s="42" t="s">
        <v>614</v>
      </c>
      <c r="C1245" s="44" t="s">
        <v>176</v>
      </c>
      <c r="D1245" s="42" t="s">
        <v>781</v>
      </c>
      <c r="E1245" s="52">
        <v>200</v>
      </c>
      <c r="F1245" s="42" t="b">
        <v>1</v>
      </c>
      <c r="G1245" s="42">
        <v>0</v>
      </c>
      <c r="H1245" s="52">
        <v>0</v>
      </c>
      <c r="I1245" s="42">
        <v>0</v>
      </c>
      <c r="J1245" s="42">
        <v>0</v>
      </c>
      <c r="K1245" s="42">
        <v>0</v>
      </c>
      <c r="L1245" s="46" t="b">
        <v>0</v>
      </c>
      <c r="M1245" s="42">
        <v>0</v>
      </c>
      <c r="N1245" s="42">
        <v>0</v>
      </c>
      <c r="O1245" s="52">
        <v>0</v>
      </c>
      <c r="P1245" s="42">
        <v>0</v>
      </c>
      <c r="Q1245" s="42">
        <v>0</v>
      </c>
      <c r="R1245" s="42"/>
      <c r="S1245" s="42"/>
      <c r="T1245" s="42" t="s">
        <v>616</v>
      </c>
      <c r="U1245" t="str">
        <f>IFERROR(HYPERLINK("#'Main'!B"&amp;MATCH(TRIM(A1245),Main!B:B,0),"Open"),HYPERLINK("#'Main'!B1","Open"))</f>
        <v>Open</v>
      </c>
    </row>
    <row r="1246" spans="1:22" ht="30" customHeight="1" x14ac:dyDescent="0.25">
      <c r="A1246" s="50" t="s">
        <v>219</v>
      </c>
      <c r="B1246" s="33" t="s">
        <v>614</v>
      </c>
      <c r="C1246" s="37" t="s">
        <v>209</v>
      </c>
      <c r="D1246" s="33" t="s">
        <v>782</v>
      </c>
      <c r="E1246" s="52">
        <v>200</v>
      </c>
      <c r="F1246" s="33" t="b">
        <v>1</v>
      </c>
      <c r="G1246" s="33">
        <v>0</v>
      </c>
      <c r="H1246" s="52">
        <v>0</v>
      </c>
      <c r="I1246" s="33">
        <v>0</v>
      </c>
      <c r="J1246" s="33">
        <v>0</v>
      </c>
      <c r="K1246" s="33">
        <v>0</v>
      </c>
      <c r="L1246" s="40" t="b">
        <v>0</v>
      </c>
      <c r="M1246" s="33">
        <v>0</v>
      </c>
      <c r="N1246" s="33">
        <v>0</v>
      </c>
      <c r="O1246" s="52">
        <v>0</v>
      </c>
      <c r="P1246" s="33">
        <v>0</v>
      </c>
      <c r="Q1246" s="33">
        <v>0</v>
      </c>
      <c r="R1246" s="33"/>
      <c r="S1246" s="33"/>
      <c r="T1246" s="33" t="s">
        <v>616</v>
      </c>
      <c r="U1246" s="41" t="str">
        <f>IFERROR(HYPERLINK("#'Main'!B"&amp;MATCH(TRIM(A1246),Main!B:B,0),"Open"),HYPERLINK("#'Main'!B1","Open"))</f>
        <v>Open</v>
      </c>
      <c r="V1246" s="41"/>
    </row>
    <row r="1247" spans="1:22" ht="30" customHeight="1" x14ac:dyDescent="0.25">
      <c r="A1247" s="51" t="s">
        <v>219</v>
      </c>
      <c r="B1247" s="42" t="s">
        <v>614</v>
      </c>
      <c r="C1247" s="44" t="s">
        <v>217</v>
      </c>
      <c r="D1247" s="42" t="s">
        <v>321</v>
      </c>
      <c r="E1247" s="52">
        <v>200</v>
      </c>
      <c r="F1247" s="42" t="b">
        <v>1</v>
      </c>
      <c r="G1247" s="42">
        <v>0</v>
      </c>
      <c r="H1247" s="52">
        <v>0</v>
      </c>
      <c r="I1247" s="42">
        <v>0</v>
      </c>
      <c r="J1247" s="42">
        <v>0</v>
      </c>
      <c r="K1247" s="42">
        <v>0</v>
      </c>
      <c r="L1247" s="46" t="b">
        <v>0</v>
      </c>
      <c r="M1247" s="42">
        <v>0</v>
      </c>
      <c r="N1247" s="42">
        <v>0</v>
      </c>
      <c r="O1247" s="52">
        <v>0</v>
      </c>
      <c r="P1247" s="42">
        <v>0</v>
      </c>
      <c r="Q1247" s="42">
        <v>0</v>
      </c>
      <c r="R1247" s="42"/>
      <c r="S1247" s="42"/>
      <c r="T1247" s="42" t="s">
        <v>616</v>
      </c>
      <c r="U1247" t="str">
        <f>IFERROR(HYPERLINK("#'Main'!B"&amp;MATCH(TRIM(A1247),Main!B:B,0),"Open"),HYPERLINK("#'Main'!B1","Open"))</f>
        <v>Open</v>
      </c>
    </row>
    <row r="1248" spans="1:22" ht="30" customHeight="1" x14ac:dyDescent="0.25">
      <c r="A1248" s="50" t="s">
        <v>219</v>
      </c>
      <c r="B1248" s="33" t="s">
        <v>614</v>
      </c>
      <c r="C1248" s="37" t="s">
        <v>219</v>
      </c>
      <c r="D1248" s="33" t="s">
        <v>327</v>
      </c>
      <c r="E1248" s="52">
        <v>200</v>
      </c>
      <c r="F1248" s="33" t="b">
        <v>1</v>
      </c>
      <c r="G1248" s="33">
        <v>0</v>
      </c>
      <c r="H1248" s="52">
        <v>0</v>
      </c>
      <c r="I1248" s="33">
        <v>0</v>
      </c>
      <c r="J1248" s="33">
        <v>0</v>
      </c>
      <c r="K1248" s="33">
        <v>0</v>
      </c>
      <c r="L1248" s="40" t="b">
        <v>0</v>
      </c>
      <c r="M1248" s="33">
        <v>0</v>
      </c>
      <c r="N1248" s="33">
        <v>0</v>
      </c>
      <c r="O1248" s="52">
        <v>0</v>
      </c>
      <c r="P1248" s="33">
        <v>0</v>
      </c>
      <c r="Q1248" s="33">
        <v>0</v>
      </c>
      <c r="R1248" s="33"/>
      <c r="S1248" s="33"/>
      <c r="T1248" s="33" t="s">
        <v>616</v>
      </c>
      <c r="U1248" s="41" t="str">
        <f>IFERROR(HYPERLINK("#'Main'!B"&amp;MATCH(TRIM(A1248),Main!B:B,0),"Open"),HYPERLINK("#'Main'!B1","Open"))</f>
        <v>Open</v>
      </c>
      <c r="V1248" s="41"/>
    </row>
    <row r="1249" spans="1:22" ht="30" customHeight="1" x14ac:dyDescent="0.25">
      <c r="A1249" s="51" t="s">
        <v>219</v>
      </c>
      <c r="B1249" s="42" t="s">
        <v>614</v>
      </c>
      <c r="C1249" s="44" t="s">
        <v>210</v>
      </c>
      <c r="D1249" s="42" t="s">
        <v>292</v>
      </c>
      <c r="E1249" s="52">
        <v>200</v>
      </c>
      <c r="F1249" s="42" t="b">
        <v>1</v>
      </c>
      <c r="G1249" s="42">
        <v>0</v>
      </c>
      <c r="H1249" s="52">
        <v>0</v>
      </c>
      <c r="I1249" s="42">
        <v>0</v>
      </c>
      <c r="J1249" s="42">
        <v>0</v>
      </c>
      <c r="K1249" s="42">
        <v>0</v>
      </c>
      <c r="L1249" s="46" t="b">
        <v>0</v>
      </c>
      <c r="M1249" s="42">
        <v>0</v>
      </c>
      <c r="N1249" s="42">
        <v>0</v>
      </c>
      <c r="O1249" s="52">
        <v>0</v>
      </c>
      <c r="P1249" s="42">
        <v>0</v>
      </c>
      <c r="Q1249" s="42">
        <v>0</v>
      </c>
      <c r="R1249" s="42"/>
      <c r="S1249" s="42"/>
      <c r="T1249" s="42" t="s">
        <v>616</v>
      </c>
      <c r="U1249" t="str">
        <f>IFERROR(HYPERLINK("#'Main'!B"&amp;MATCH(TRIM(A1249),Main!B:B,0),"Open"),HYPERLINK("#'Main'!B1","Open"))</f>
        <v>Open</v>
      </c>
    </row>
    <row r="1250" spans="1:22" ht="30" customHeight="1" x14ac:dyDescent="0.25">
      <c r="A1250" s="50" t="s">
        <v>219</v>
      </c>
      <c r="B1250" s="33" t="s">
        <v>614</v>
      </c>
      <c r="C1250" s="37" t="s">
        <v>215</v>
      </c>
      <c r="D1250" s="33" t="s">
        <v>783</v>
      </c>
      <c r="E1250" s="52">
        <v>200</v>
      </c>
      <c r="F1250" s="33" t="b">
        <v>1</v>
      </c>
      <c r="G1250" s="33">
        <v>0</v>
      </c>
      <c r="H1250" s="52">
        <v>0</v>
      </c>
      <c r="I1250" s="33">
        <v>0</v>
      </c>
      <c r="J1250" s="33">
        <v>0</v>
      </c>
      <c r="K1250" s="33">
        <v>0</v>
      </c>
      <c r="L1250" s="40" t="b">
        <v>0</v>
      </c>
      <c r="M1250" s="33">
        <v>0</v>
      </c>
      <c r="N1250" s="33">
        <v>0</v>
      </c>
      <c r="O1250" s="52">
        <v>0</v>
      </c>
      <c r="P1250" s="33">
        <v>0</v>
      </c>
      <c r="Q1250" s="33">
        <v>0</v>
      </c>
      <c r="R1250" s="33"/>
      <c r="S1250" s="33"/>
      <c r="T1250" s="33" t="s">
        <v>616</v>
      </c>
      <c r="U1250" s="41" t="str">
        <f>IFERROR(HYPERLINK("#'Main'!B"&amp;MATCH(TRIM(A1250),Main!B:B,0),"Open"),HYPERLINK("#'Main'!B1","Open"))</f>
        <v>Open</v>
      </c>
      <c r="V1250" s="41"/>
    </row>
    <row r="1251" spans="1:22" ht="30" customHeight="1" x14ac:dyDescent="0.25">
      <c r="A1251" s="51" t="s">
        <v>219</v>
      </c>
      <c r="B1251" s="42" t="s">
        <v>614</v>
      </c>
      <c r="C1251" s="44" t="s">
        <v>214</v>
      </c>
      <c r="D1251" s="42" t="s">
        <v>784</v>
      </c>
      <c r="E1251" s="52">
        <v>200</v>
      </c>
      <c r="F1251" s="42" t="b">
        <v>1</v>
      </c>
      <c r="G1251" s="42">
        <v>0</v>
      </c>
      <c r="H1251" s="52">
        <v>0</v>
      </c>
      <c r="I1251" s="42">
        <v>0</v>
      </c>
      <c r="J1251" s="42">
        <v>0</v>
      </c>
      <c r="K1251" s="42">
        <v>0</v>
      </c>
      <c r="L1251" s="46" t="b">
        <v>0</v>
      </c>
      <c r="M1251" s="42">
        <v>0</v>
      </c>
      <c r="N1251" s="42">
        <v>0</v>
      </c>
      <c r="O1251" s="52">
        <v>0</v>
      </c>
      <c r="P1251" s="42">
        <v>0</v>
      </c>
      <c r="Q1251" s="42">
        <v>0</v>
      </c>
      <c r="R1251" s="42"/>
      <c r="S1251" s="42"/>
      <c r="T1251" s="42" t="s">
        <v>616</v>
      </c>
      <c r="U1251" t="str">
        <f>IFERROR(HYPERLINK("#'Main'!B"&amp;MATCH(TRIM(A1251),Main!B:B,0),"Open"),HYPERLINK("#'Main'!B1","Open"))</f>
        <v>Open</v>
      </c>
    </row>
    <row r="1252" spans="1:22" ht="30" customHeight="1" x14ac:dyDescent="0.25">
      <c r="A1252" s="50" t="s">
        <v>219</v>
      </c>
      <c r="B1252" s="33" t="s">
        <v>614</v>
      </c>
      <c r="C1252" s="37" t="s">
        <v>176</v>
      </c>
      <c r="D1252" s="33" t="s">
        <v>781</v>
      </c>
      <c r="E1252" s="52">
        <v>200</v>
      </c>
      <c r="F1252" s="33" t="b">
        <v>1</v>
      </c>
      <c r="G1252" s="33">
        <v>0</v>
      </c>
      <c r="H1252" s="52">
        <v>0</v>
      </c>
      <c r="I1252" s="33">
        <v>0</v>
      </c>
      <c r="J1252" s="33">
        <v>0</v>
      </c>
      <c r="K1252" s="33">
        <v>0</v>
      </c>
      <c r="L1252" s="40" t="b">
        <v>0</v>
      </c>
      <c r="M1252" s="33">
        <v>0</v>
      </c>
      <c r="N1252" s="33">
        <v>0</v>
      </c>
      <c r="O1252" s="52">
        <v>0</v>
      </c>
      <c r="P1252" s="33">
        <v>0</v>
      </c>
      <c r="Q1252" s="33">
        <v>0</v>
      </c>
      <c r="R1252" s="33"/>
      <c r="S1252" s="33"/>
      <c r="T1252" s="33" t="s">
        <v>616</v>
      </c>
      <c r="U1252" s="41" t="str">
        <f>IFERROR(HYPERLINK("#'Main'!B"&amp;MATCH(TRIM(A1252),Main!B:B,0),"Open"),HYPERLINK("#'Main'!B1","Open"))</f>
        <v>Open</v>
      </c>
      <c r="V1252" s="41"/>
    </row>
    <row r="1253" spans="1:22" ht="30" customHeight="1" x14ac:dyDescent="0.25">
      <c r="A1253" s="51" t="s">
        <v>219</v>
      </c>
      <c r="B1253" s="42" t="s">
        <v>614</v>
      </c>
      <c r="C1253" s="44" t="s">
        <v>209</v>
      </c>
      <c r="D1253" s="42" t="s">
        <v>782</v>
      </c>
      <c r="E1253" s="52">
        <v>200</v>
      </c>
      <c r="F1253" s="42" t="b">
        <v>1</v>
      </c>
      <c r="G1253" s="42">
        <v>0</v>
      </c>
      <c r="H1253" s="52">
        <v>0</v>
      </c>
      <c r="I1253" s="42">
        <v>0</v>
      </c>
      <c r="J1253" s="42">
        <v>0</v>
      </c>
      <c r="K1253" s="42">
        <v>0</v>
      </c>
      <c r="L1253" s="46" t="b">
        <v>0</v>
      </c>
      <c r="M1253" s="42">
        <v>0</v>
      </c>
      <c r="N1253" s="42">
        <v>0</v>
      </c>
      <c r="O1253" s="52">
        <v>0</v>
      </c>
      <c r="P1253" s="42">
        <v>0</v>
      </c>
      <c r="Q1253" s="42">
        <v>0</v>
      </c>
      <c r="R1253" s="42"/>
      <c r="S1253" s="42"/>
      <c r="T1253" s="42" t="s">
        <v>616</v>
      </c>
      <c r="U1253" t="str">
        <f>IFERROR(HYPERLINK("#'Main'!B"&amp;MATCH(TRIM(A1253),Main!B:B,0),"Open"),HYPERLINK("#'Main'!B1","Open"))</f>
        <v>Open</v>
      </c>
    </row>
    <row r="1254" spans="1:22" ht="30" customHeight="1" x14ac:dyDescent="0.25">
      <c r="A1254" s="50" t="s">
        <v>219</v>
      </c>
      <c r="B1254" s="33" t="s">
        <v>614</v>
      </c>
      <c r="C1254" s="37" t="s">
        <v>217</v>
      </c>
      <c r="D1254" s="33" t="s">
        <v>321</v>
      </c>
      <c r="E1254" s="52">
        <v>200</v>
      </c>
      <c r="F1254" s="33" t="b">
        <v>1</v>
      </c>
      <c r="G1254" s="33">
        <v>0</v>
      </c>
      <c r="H1254" s="52">
        <v>0</v>
      </c>
      <c r="I1254" s="33">
        <v>0</v>
      </c>
      <c r="J1254" s="33">
        <v>0</v>
      </c>
      <c r="K1254" s="33">
        <v>0</v>
      </c>
      <c r="L1254" s="40" t="b">
        <v>0</v>
      </c>
      <c r="M1254" s="33">
        <v>0</v>
      </c>
      <c r="N1254" s="33">
        <v>0</v>
      </c>
      <c r="O1254" s="52">
        <v>0</v>
      </c>
      <c r="P1254" s="33">
        <v>0</v>
      </c>
      <c r="Q1254" s="33">
        <v>0</v>
      </c>
      <c r="R1254" s="33"/>
      <c r="S1254" s="33"/>
      <c r="T1254" s="33" t="s">
        <v>616</v>
      </c>
      <c r="U1254" s="41" t="str">
        <f>IFERROR(HYPERLINK("#'Main'!B"&amp;MATCH(TRIM(A1254),Main!B:B,0),"Open"),HYPERLINK("#'Main'!B1","Open"))</f>
        <v>Open</v>
      </c>
      <c r="V1254" s="41"/>
    </row>
    <row r="1255" spans="1:22" ht="30" customHeight="1" x14ac:dyDescent="0.25">
      <c r="A1255" s="51" t="s">
        <v>219</v>
      </c>
      <c r="B1255" s="42" t="s">
        <v>614</v>
      </c>
      <c r="C1255" s="44" t="s">
        <v>219</v>
      </c>
      <c r="D1255" s="42" t="s">
        <v>327</v>
      </c>
      <c r="E1255" s="52">
        <v>200</v>
      </c>
      <c r="F1255" s="42" t="b">
        <v>1</v>
      </c>
      <c r="G1255" s="42">
        <v>0</v>
      </c>
      <c r="H1255" s="52">
        <v>0</v>
      </c>
      <c r="I1255" s="42">
        <v>0</v>
      </c>
      <c r="J1255" s="42">
        <v>0</v>
      </c>
      <c r="K1255" s="42">
        <v>0</v>
      </c>
      <c r="L1255" s="46" t="b">
        <v>0</v>
      </c>
      <c r="M1255" s="42">
        <v>0</v>
      </c>
      <c r="N1255" s="42">
        <v>0</v>
      </c>
      <c r="O1255" s="52">
        <v>0</v>
      </c>
      <c r="P1255" s="42">
        <v>0</v>
      </c>
      <c r="Q1255" s="42">
        <v>0</v>
      </c>
      <c r="R1255" s="42"/>
      <c r="S1255" s="42"/>
      <c r="T1255" s="42" t="s">
        <v>616</v>
      </c>
      <c r="U1255" t="str">
        <f>IFERROR(HYPERLINK("#'Main'!B"&amp;MATCH(TRIM(A1255),Main!B:B,0),"Open"),HYPERLINK("#'Main'!B1","Open"))</f>
        <v>Open</v>
      </c>
    </row>
    <row r="1256" spans="1:22" ht="30" customHeight="1" x14ac:dyDescent="0.25">
      <c r="A1256" s="50" t="s">
        <v>219</v>
      </c>
      <c r="B1256" s="33" t="s">
        <v>614</v>
      </c>
      <c r="C1256" s="37" t="s">
        <v>210</v>
      </c>
      <c r="D1256" s="33" t="s">
        <v>292</v>
      </c>
      <c r="E1256" s="52">
        <v>200</v>
      </c>
      <c r="F1256" s="33" t="b">
        <v>1</v>
      </c>
      <c r="G1256" s="33">
        <v>0</v>
      </c>
      <c r="H1256" s="52">
        <v>0</v>
      </c>
      <c r="I1256" s="33">
        <v>0</v>
      </c>
      <c r="J1256" s="33">
        <v>0</v>
      </c>
      <c r="K1256" s="33">
        <v>0</v>
      </c>
      <c r="L1256" s="40" t="b">
        <v>0</v>
      </c>
      <c r="M1256" s="33">
        <v>0</v>
      </c>
      <c r="N1256" s="33">
        <v>0</v>
      </c>
      <c r="O1256" s="52">
        <v>0</v>
      </c>
      <c r="P1256" s="33">
        <v>0</v>
      </c>
      <c r="Q1256" s="33">
        <v>0</v>
      </c>
      <c r="R1256" s="33"/>
      <c r="S1256" s="33"/>
      <c r="T1256" s="33" t="s">
        <v>616</v>
      </c>
      <c r="U1256" s="41" t="str">
        <f>IFERROR(HYPERLINK("#'Main'!B"&amp;MATCH(TRIM(A1256),Main!B:B,0),"Open"),HYPERLINK("#'Main'!B1","Open"))</f>
        <v>Open</v>
      </c>
      <c r="V1256" s="41"/>
    </row>
    <row r="1257" spans="1:22" ht="30" customHeight="1" x14ac:dyDescent="0.25">
      <c r="A1257" s="51" t="s">
        <v>219</v>
      </c>
      <c r="B1257" s="42" t="s">
        <v>614</v>
      </c>
      <c r="C1257" s="44" t="s">
        <v>215</v>
      </c>
      <c r="D1257" s="42" t="s">
        <v>783</v>
      </c>
      <c r="E1257" s="52">
        <v>200</v>
      </c>
      <c r="F1257" s="42" t="b">
        <v>1</v>
      </c>
      <c r="G1257" s="42">
        <v>0</v>
      </c>
      <c r="H1257" s="52">
        <v>0</v>
      </c>
      <c r="I1257" s="42">
        <v>0</v>
      </c>
      <c r="J1257" s="42">
        <v>0</v>
      </c>
      <c r="K1257" s="42">
        <v>0</v>
      </c>
      <c r="L1257" s="46" t="b">
        <v>0</v>
      </c>
      <c r="M1257" s="42">
        <v>0</v>
      </c>
      <c r="N1257" s="42">
        <v>0</v>
      </c>
      <c r="O1257" s="52">
        <v>0</v>
      </c>
      <c r="P1257" s="42">
        <v>0</v>
      </c>
      <c r="Q1257" s="42">
        <v>0</v>
      </c>
      <c r="R1257" s="42"/>
      <c r="S1257" s="42"/>
      <c r="T1257" s="42" t="s">
        <v>616</v>
      </c>
      <c r="U1257" t="str">
        <f>IFERROR(HYPERLINK("#'Main'!B"&amp;MATCH(TRIM(A1257),Main!B:B,0),"Open"),HYPERLINK("#'Main'!B1","Open"))</f>
        <v>Open</v>
      </c>
    </row>
    <row r="1258" spans="1:22" ht="30" customHeight="1" x14ac:dyDescent="0.25">
      <c r="A1258" s="50" t="s">
        <v>219</v>
      </c>
      <c r="B1258" s="33" t="s">
        <v>614</v>
      </c>
      <c r="C1258" s="37" t="s">
        <v>214</v>
      </c>
      <c r="D1258" s="33" t="s">
        <v>784</v>
      </c>
      <c r="E1258" s="52">
        <v>200</v>
      </c>
      <c r="F1258" s="33" t="b">
        <v>1</v>
      </c>
      <c r="G1258" s="33">
        <v>0</v>
      </c>
      <c r="H1258" s="52">
        <v>0</v>
      </c>
      <c r="I1258" s="33">
        <v>0</v>
      </c>
      <c r="J1258" s="33">
        <v>0</v>
      </c>
      <c r="K1258" s="33">
        <v>0</v>
      </c>
      <c r="L1258" s="40" t="b">
        <v>0</v>
      </c>
      <c r="M1258" s="33">
        <v>0</v>
      </c>
      <c r="N1258" s="33">
        <v>0</v>
      </c>
      <c r="O1258" s="52">
        <v>0</v>
      </c>
      <c r="P1258" s="33">
        <v>0</v>
      </c>
      <c r="Q1258" s="33">
        <v>0</v>
      </c>
      <c r="R1258" s="33"/>
      <c r="S1258" s="33"/>
      <c r="T1258" s="33" t="s">
        <v>616</v>
      </c>
      <c r="U1258" s="41" t="str">
        <f>IFERROR(HYPERLINK("#'Main'!B"&amp;MATCH(TRIM(A1258),Main!B:B,0),"Open"),HYPERLINK("#'Main'!B1","Open"))</f>
        <v>Open</v>
      </c>
      <c r="V1258" s="41"/>
    </row>
    <row r="1259" spans="1:22" ht="30" customHeight="1" x14ac:dyDescent="0.25">
      <c r="A1259" s="51" t="s">
        <v>219</v>
      </c>
      <c r="B1259" s="42" t="s">
        <v>614</v>
      </c>
      <c r="C1259" s="44" t="s">
        <v>209</v>
      </c>
      <c r="D1259" s="42" t="s">
        <v>785</v>
      </c>
      <c r="E1259" s="52">
        <v>200</v>
      </c>
      <c r="F1259" s="42" t="b">
        <v>1</v>
      </c>
      <c r="G1259" s="42">
        <v>0</v>
      </c>
      <c r="H1259" s="52">
        <v>0</v>
      </c>
      <c r="I1259" s="42">
        <v>0</v>
      </c>
      <c r="J1259" s="42">
        <v>0</v>
      </c>
      <c r="K1259" s="42">
        <v>0</v>
      </c>
      <c r="L1259" s="46" t="b">
        <v>0</v>
      </c>
      <c r="M1259" s="42">
        <v>0</v>
      </c>
      <c r="N1259" s="42">
        <v>0</v>
      </c>
      <c r="O1259" s="52">
        <v>0</v>
      </c>
      <c r="P1259" s="42">
        <v>0</v>
      </c>
      <c r="Q1259" s="42">
        <v>0</v>
      </c>
      <c r="R1259" s="42"/>
      <c r="S1259" s="42"/>
      <c r="T1259" s="42" t="s">
        <v>616</v>
      </c>
      <c r="U1259" t="str">
        <f>IFERROR(HYPERLINK("#'Main'!B"&amp;MATCH(TRIM(A1259),Main!B:B,0),"Open"),HYPERLINK("#'Main'!B1","Open"))</f>
        <v>Open</v>
      </c>
    </row>
    <row r="1260" spans="1:22" ht="30" customHeight="1" x14ac:dyDescent="0.25">
      <c r="A1260" s="50" t="s">
        <v>219</v>
      </c>
      <c r="B1260" s="33" t="s">
        <v>614</v>
      </c>
      <c r="C1260" s="37" t="s">
        <v>629</v>
      </c>
      <c r="D1260" s="33" t="s">
        <v>630</v>
      </c>
      <c r="E1260" s="52">
        <v>200</v>
      </c>
      <c r="F1260" s="33" t="b">
        <v>1</v>
      </c>
      <c r="G1260" s="33">
        <v>0</v>
      </c>
      <c r="H1260" s="52">
        <v>0</v>
      </c>
      <c r="I1260" s="33">
        <v>0</v>
      </c>
      <c r="J1260" s="33">
        <v>0</v>
      </c>
      <c r="K1260" s="33">
        <v>0</v>
      </c>
      <c r="L1260" s="40" t="b">
        <v>0</v>
      </c>
      <c r="M1260" s="33">
        <v>0</v>
      </c>
      <c r="N1260" s="33">
        <v>0</v>
      </c>
      <c r="O1260" s="52">
        <v>0</v>
      </c>
      <c r="P1260" s="33">
        <v>0</v>
      </c>
      <c r="Q1260" s="33">
        <v>0</v>
      </c>
      <c r="R1260" s="33"/>
      <c r="S1260" s="33"/>
      <c r="T1260" s="33" t="s">
        <v>616</v>
      </c>
      <c r="U1260" s="41" t="str">
        <f>IFERROR(HYPERLINK("#'Main'!B"&amp;MATCH(TRIM(A1260),Main!B:B,0),"Open"),HYPERLINK("#'Main'!B1","Open"))</f>
        <v>Open</v>
      </c>
      <c r="V1260" s="41"/>
    </row>
    <row r="1261" spans="1:22" ht="30" customHeight="1" x14ac:dyDescent="0.25">
      <c r="A1261" s="51" t="s">
        <v>219</v>
      </c>
      <c r="B1261" s="42" t="s">
        <v>614</v>
      </c>
      <c r="C1261" s="44" t="s">
        <v>631</v>
      </c>
      <c r="D1261" s="42"/>
      <c r="E1261" s="52">
        <v>200</v>
      </c>
      <c r="F1261" s="42" t="b">
        <v>1</v>
      </c>
      <c r="G1261" s="42">
        <v>0</v>
      </c>
      <c r="H1261" s="52">
        <v>0</v>
      </c>
      <c r="I1261" s="42">
        <v>0</v>
      </c>
      <c r="J1261" s="42">
        <v>0</v>
      </c>
      <c r="K1261" s="42">
        <v>0</v>
      </c>
      <c r="L1261" s="46" t="b">
        <v>0</v>
      </c>
      <c r="M1261" s="42">
        <v>0</v>
      </c>
      <c r="N1261" s="42">
        <v>0</v>
      </c>
      <c r="O1261" s="52">
        <v>0</v>
      </c>
      <c r="P1261" s="42">
        <v>0</v>
      </c>
      <c r="Q1261" s="42">
        <v>0</v>
      </c>
      <c r="R1261" s="42"/>
      <c r="S1261" s="42"/>
      <c r="T1261" s="42" t="s">
        <v>616</v>
      </c>
      <c r="U1261" t="str">
        <f>IFERROR(HYPERLINK("#'Main'!B"&amp;MATCH(TRIM(A1261),Main!B:B,0),"Open"),HYPERLINK("#'Main'!B1","Open"))</f>
        <v>Open</v>
      </c>
    </row>
    <row r="1262" spans="1:22" ht="30" customHeight="1" x14ac:dyDescent="0.25">
      <c r="A1262" s="50" t="s">
        <v>219</v>
      </c>
      <c r="B1262" s="33" t="s">
        <v>614</v>
      </c>
      <c r="C1262" s="37" t="s">
        <v>632</v>
      </c>
      <c r="D1262" s="33"/>
      <c r="E1262" s="52">
        <v>200</v>
      </c>
      <c r="F1262" s="33" t="b">
        <v>1</v>
      </c>
      <c r="G1262" s="33">
        <v>0</v>
      </c>
      <c r="H1262" s="52">
        <v>0</v>
      </c>
      <c r="I1262" s="33">
        <v>0</v>
      </c>
      <c r="J1262" s="33">
        <v>0</v>
      </c>
      <c r="K1262" s="33">
        <v>0</v>
      </c>
      <c r="L1262" s="40" t="b">
        <v>0</v>
      </c>
      <c r="M1262" s="33">
        <v>0</v>
      </c>
      <c r="N1262" s="33">
        <v>0</v>
      </c>
      <c r="O1262" s="52">
        <v>0</v>
      </c>
      <c r="P1262" s="33">
        <v>0</v>
      </c>
      <c r="Q1262" s="33">
        <v>0</v>
      </c>
      <c r="R1262" s="33"/>
      <c r="S1262" s="33"/>
      <c r="T1262" s="33" t="s">
        <v>616</v>
      </c>
      <c r="U1262" s="41" t="str">
        <f>IFERROR(HYPERLINK("#'Main'!B"&amp;MATCH(TRIM(A1262),Main!B:B,0),"Open"),HYPERLINK("#'Main'!B1","Open"))</f>
        <v>Open</v>
      </c>
      <c r="V1262" s="41"/>
    </row>
    <row r="1263" spans="1:22" ht="30" customHeight="1" x14ac:dyDescent="0.25">
      <c r="A1263" s="51" t="s">
        <v>219</v>
      </c>
      <c r="B1263" s="42" t="s">
        <v>614</v>
      </c>
      <c r="C1263" s="44" t="s">
        <v>634</v>
      </c>
      <c r="D1263" s="42" t="s">
        <v>666</v>
      </c>
      <c r="E1263" s="52">
        <v>200</v>
      </c>
      <c r="F1263" s="42" t="b">
        <v>1</v>
      </c>
      <c r="G1263" s="42">
        <v>0</v>
      </c>
      <c r="H1263" s="52">
        <v>0</v>
      </c>
      <c r="I1263" s="42">
        <v>0</v>
      </c>
      <c r="J1263" s="42">
        <v>0</v>
      </c>
      <c r="K1263" s="42">
        <v>0</v>
      </c>
      <c r="L1263" s="46" t="b">
        <v>0</v>
      </c>
      <c r="M1263" s="42">
        <v>0</v>
      </c>
      <c r="N1263" s="42">
        <v>0</v>
      </c>
      <c r="O1263" s="52">
        <v>0</v>
      </c>
      <c r="P1263" s="42">
        <v>0</v>
      </c>
      <c r="Q1263" s="42">
        <v>0</v>
      </c>
      <c r="R1263" s="42"/>
      <c r="S1263" s="42"/>
      <c r="T1263" s="42" t="s">
        <v>616</v>
      </c>
      <c r="U1263" t="str">
        <f>IFERROR(HYPERLINK("#'Main'!B"&amp;MATCH(TRIM(A1263),Main!B:B,0),"Open"),HYPERLINK("#'Main'!B1","Open"))</f>
        <v>Open</v>
      </c>
    </row>
    <row r="1264" spans="1:22" ht="30" customHeight="1" x14ac:dyDescent="0.25">
      <c r="A1264" s="50" t="s">
        <v>219</v>
      </c>
      <c r="B1264" s="33" t="s">
        <v>614</v>
      </c>
      <c r="C1264" s="37" t="s">
        <v>636</v>
      </c>
      <c r="D1264" s="33" t="s">
        <v>637</v>
      </c>
      <c r="E1264" s="34">
        <v>404</v>
      </c>
      <c r="F1264" s="33" t="b">
        <v>0</v>
      </c>
      <c r="G1264" s="33">
        <v>0</v>
      </c>
      <c r="H1264" s="52">
        <v>0</v>
      </c>
      <c r="I1264" s="33">
        <v>0</v>
      </c>
      <c r="J1264" s="33">
        <v>0</v>
      </c>
      <c r="K1264" s="33">
        <v>0</v>
      </c>
      <c r="L1264" s="40" t="b">
        <v>0</v>
      </c>
      <c r="M1264" s="33">
        <v>0</v>
      </c>
      <c r="N1264" s="33">
        <v>0</v>
      </c>
      <c r="O1264" s="52">
        <v>0</v>
      </c>
      <c r="P1264" s="33">
        <v>0</v>
      </c>
      <c r="Q1264" s="33">
        <v>0</v>
      </c>
      <c r="R1264" s="33"/>
      <c r="S1264" s="33"/>
      <c r="T1264" s="33" t="s">
        <v>616</v>
      </c>
      <c r="U1264" s="41" t="str">
        <f>IFERROR(HYPERLINK("#'Main'!B"&amp;MATCH(TRIM(A1264),Main!B:B,0),"Open"),HYPERLINK("#'Main'!B1","Open"))</f>
        <v>Open</v>
      </c>
      <c r="V1264" s="41"/>
    </row>
    <row r="1265" spans="1:22" ht="30" customHeight="1" x14ac:dyDescent="0.25">
      <c r="A1265" s="51" t="s">
        <v>219</v>
      </c>
      <c r="B1265" s="42" t="s">
        <v>614</v>
      </c>
      <c r="C1265" s="44" t="s">
        <v>636</v>
      </c>
      <c r="D1265" s="42" t="s">
        <v>638</v>
      </c>
      <c r="E1265" s="34">
        <v>404</v>
      </c>
      <c r="F1265" s="42" t="b">
        <v>0</v>
      </c>
      <c r="G1265" s="42">
        <v>0</v>
      </c>
      <c r="H1265" s="52">
        <v>0</v>
      </c>
      <c r="I1265" s="42">
        <v>0</v>
      </c>
      <c r="J1265" s="42">
        <v>0</v>
      </c>
      <c r="K1265" s="42">
        <v>0</v>
      </c>
      <c r="L1265" s="46" t="b">
        <v>0</v>
      </c>
      <c r="M1265" s="42">
        <v>0</v>
      </c>
      <c r="N1265" s="42">
        <v>0</v>
      </c>
      <c r="O1265" s="52">
        <v>0</v>
      </c>
      <c r="P1265" s="42">
        <v>0</v>
      </c>
      <c r="Q1265" s="42">
        <v>0</v>
      </c>
      <c r="R1265" s="42"/>
      <c r="S1265" s="42"/>
      <c r="T1265" s="42" t="s">
        <v>616</v>
      </c>
      <c r="U1265" t="str">
        <f>IFERROR(HYPERLINK("#'Main'!B"&amp;MATCH(TRIM(A1265),Main!B:B,0),"Open"),HYPERLINK("#'Main'!B1","Open"))</f>
        <v>Open</v>
      </c>
    </row>
    <row r="1266" spans="1:22" ht="30" customHeight="1" x14ac:dyDescent="0.25">
      <c r="A1266" s="50" t="s">
        <v>218</v>
      </c>
      <c r="B1266" s="33" t="s">
        <v>614</v>
      </c>
      <c r="C1266" s="37" t="s">
        <v>615</v>
      </c>
      <c r="D1266" s="33"/>
      <c r="E1266" s="52">
        <v>200</v>
      </c>
      <c r="F1266" s="33" t="b">
        <v>1</v>
      </c>
      <c r="G1266" s="33">
        <v>0</v>
      </c>
      <c r="H1266" s="52">
        <v>0</v>
      </c>
      <c r="I1266" s="33">
        <v>0</v>
      </c>
      <c r="J1266" s="33">
        <v>0</v>
      </c>
      <c r="K1266" s="33">
        <v>0</v>
      </c>
      <c r="L1266" s="40" t="b">
        <v>0</v>
      </c>
      <c r="M1266" s="33">
        <v>0</v>
      </c>
      <c r="N1266" s="33">
        <v>0</v>
      </c>
      <c r="O1266" s="52">
        <v>0</v>
      </c>
      <c r="P1266" s="33">
        <v>0</v>
      </c>
      <c r="Q1266" s="33">
        <v>0</v>
      </c>
      <c r="R1266" s="33"/>
      <c r="S1266" s="33"/>
      <c r="T1266" s="33" t="s">
        <v>616</v>
      </c>
      <c r="U1266" s="41" t="str">
        <f>IFERROR(HYPERLINK("#'Main'!B"&amp;MATCH(TRIM(A1266),Main!B:B,0),"Open"),HYPERLINK("#'Main'!B1","Open"))</f>
        <v>Open</v>
      </c>
      <c r="V1266" s="41"/>
    </row>
    <row r="1267" spans="1:22" ht="30" customHeight="1" x14ac:dyDescent="0.25">
      <c r="A1267" s="51" t="s">
        <v>218</v>
      </c>
      <c r="B1267" s="42" t="s">
        <v>614</v>
      </c>
      <c r="C1267" s="44" t="s">
        <v>617</v>
      </c>
      <c r="D1267" s="42" t="s">
        <v>618</v>
      </c>
      <c r="E1267" s="52">
        <v>200</v>
      </c>
      <c r="F1267" s="42" t="b">
        <v>1</v>
      </c>
      <c r="G1267" s="42">
        <v>0</v>
      </c>
      <c r="H1267" s="52">
        <v>0</v>
      </c>
      <c r="I1267" s="42">
        <v>0</v>
      </c>
      <c r="J1267" s="42">
        <v>0</v>
      </c>
      <c r="K1267" s="42">
        <v>0</v>
      </c>
      <c r="L1267" s="46" t="b">
        <v>0</v>
      </c>
      <c r="M1267" s="42">
        <v>0</v>
      </c>
      <c r="N1267" s="42">
        <v>0</v>
      </c>
      <c r="O1267" s="52">
        <v>0</v>
      </c>
      <c r="P1267" s="42">
        <v>0</v>
      </c>
      <c r="Q1267" s="42">
        <v>0</v>
      </c>
      <c r="R1267" s="42"/>
      <c r="S1267" s="42"/>
      <c r="T1267" s="42" t="s">
        <v>616</v>
      </c>
      <c r="U1267" t="str">
        <f>IFERROR(HYPERLINK("#'Main'!B"&amp;MATCH(TRIM(A1267),Main!B:B,0),"Open"),HYPERLINK("#'Main'!B1","Open"))</f>
        <v>Open</v>
      </c>
    </row>
    <row r="1268" spans="1:22" ht="30" customHeight="1" x14ac:dyDescent="0.25">
      <c r="A1268" s="50" t="s">
        <v>218</v>
      </c>
      <c r="B1268" s="33" t="s">
        <v>614</v>
      </c>
      <c r="C1268" s="37" t="s">
        <v>619</v>
      </c>
      <c r="D1268" s="33" t="s">
        <v>620</v>
      </c>
      <c r="E1268" s="52">
        <v>200</v>
      </c>
      <c r="F1268" s="33" t="b">
        <v>1</v>
      </c>
      <c r="G1268" s="33">
        <v>0</v>
      </c>
      <c r="H1268" s="52">
        <v>0</v>
      </c>
      <c r="I1268" s="33">
        <v>0</v>
      </c>
      <c r="J1268" s="33">
        <v>0</v>
      </c>
      <c r="K1268" s="33">
        <v>0</v>
      </c>
      <c r="L1268" s="40" t="b">
        <v>0</v>
      </c>
      <c r="M1268" s="33">
        <v>0</v>
      </c>
      <c r="N1268" s="33">
        <v>0</v>
      </c>
      <c r="O1268" s="52">
        <v>0</v>
      </c>
      <c r="P1268" s="33">
        <v>0</v>
      </c>
      <c r="Q1268" s="33">
        <v>0</v>
      </c>
      <c r="R1268" s="33"/>
      <c r="S1268" s="33"/>
      <c r="T1268" s="33" t="s">
        <v>616</v>
      </c>
      <c r="U1268" s="41" t="str">
        <f>IFERROR(HYPERLINK("#'Main'!B"&amp;MATCH(TRIM(A1268),Main!B:B,0),"Open"),HYPERLINK("#'Main'!B1","Open"))</f>
        <v>Open</v>
      </c>
      <c r="V1268" s="41"/>
    </row>
    <row r="1269" spans="1:22" ht="30" customHeight="1" x14ac:dyDescent="0.25">
      <c r="A1269" s="51" t="s">
        <v>218</v>
      </c>
      <c r="B1269" s="42" t="s">
        <v>614</v>
      </c>
      <c r="C1269" s="44" t="s">
        <v>621</v>
      </c>
      <c r="D1269" s="42" t="s">
        <v>622</v>
      </c>
      <c r="E1269" s="52">
        <v>200</v>
      </c>
      <c r="F1269" s="42" t="b">
        <v>1</v>
      </c>
      <c r="G1269" s="42">
        <v>0</v>
      </c>
      <c r="H1269" s="52">
        <v>0</v>
      </c>
      <c r="I1269" s="42">
        <v>0</v>
      </c>
      <c r="J1269" s="42">
        <v>0</v>
      </c>
      <c r="K1269" s="42">
        <v>0</v>
      </c>
      <c r="L1269" s="46" t="b">
        <v>0</v>
      </c>
      <c r="M1269" s="42">
        <v>0</v>
      </c>
      <c r="N1269" s="42">
        <v>0</v>
      </c>
      <c r="O1269" s="52">
        <v>0</v>
      </c>
      <c r="P1269" s="42">
        <v>0</v>
      </c>
      <c r="Q1269" s="42">
        <v>0</v>
      </c>
      <c r="R1269" s="42"/>
      <c r="S1269" s="42"/>
      <c r="T1269" s="42" t="s">
        <v>616</v>
      </c>
      <c r="U1269" t="str">
        <f>IFERROR(HYPERLINK("#'Main'!B"&amp;MATCH(TRIM(A1269),Main!B:B,0),"Open"),HYPERLINK("#'Main'!B1","Open"))</f>
        <v>Open</v>
      </c>
    </row>
    <row r="1270" spans="1:22" ht="30" customHeight="1" x14ac:dyDescent="0.25">
      <c r="A1270" s="50" t="s">
        <v>218</v>
      </c>
      <c r="B1270" s="33" t="s">
        <v>614</v>
      </c>
      <c r="C1270" s="37" t="s">
        <v>623</v>
      </c>
      <c r="D1270" s="33" t="s">
        <v>624</v>
      </c>
      <c r="E1270" s="52">
        <v>200</v>
      </c>
      <c r="F1270" s="33" t="b">
        <v>1</v>
      </c>
      <c r="G1270" s="33">
        <v>0</v>
      </c>
      <c r="H1270" s="52">
        <v>0</v>
      </c>
      <c r="I1270" s="33">
        <v>0</v>
      </c>
      <c r="J1270" s="33">
        <v>0</v>
      </c>
      <c r="K1270" s="33">
        <v>0</v>
      </c>
      <c r="L1270" s="40" t="b">
        <v>0</v>
      </c>
      <c r="M1270" s="33">
        <v>0</v>
      </c>
      <c r="N1270" s="33">
        <v>0</v>
      </c>
      <c r="O1270" s="52">
        <v>0</v>
      </c>
      <c r="P1270" s="33">
        <v>0</v>
      </c>
      <c r="Q1270" s="33">
        <v>0</v>
      </c>
      <c r="R1270" s="33"/>
      <c r="S1270" s="33"/>
      <c r="T1270" s="33" t="s">
        <v>616</v>
      </c>
      <c r="U1270" s="41" t="str">
        <f>IFERROR(HYPERLINK("#'Main'!B"&amp;MATCH(TRIM(A1270),Main!B:B,0),"Open"),HYPERLINK("#'Main'!B1","Open"))</f>
        <v>Open</v>
      </c>
      <c r="V1270" s="41"/>
    </row>
    <row r="1271" spans="1:22" ht="30" customHeight="1" x14ac:dyDescent="0.25">
      <c r="A1271" s="51" t="s">
        <v>218</v>
      </c>
      <c r="B1271" s="42" t="s">
        <v>614</v>
      </c>
      <c r="C1271" s="44" t="s">
        <v>625</v>
      </c>
      <c r="D1271" s="42" t="s">
        <v>626</v>
      </c>
      <c r="E1271" s="52">
        <v>200</v>
      </c>
      <c r="F1271" s="42" t="b">
        <v>1</v>
      </c>
      <c r="G1271" s="42">
        <v>0</v>
      </c>
      <c r="H1271" s="52">
        <v>0</v>
      </c>
      <c r="I1271" s="42">
        <v>0</v>
      </c>
      <c r="J1271" s="42">
        <v>0</v>
      </c>
      <c r="K1271" s="42">
        <v>0</v>
      </c>
      <c r="L1271" s="46" t="b">
        <v>0</v>
      </c>
      <c r="M1271" s="42">
        <v>0</v>
      </c>
      <c r="N1271" s="42">
        <v>0</v>
      </c>
      <c r="O1271" s="52">
        <v>0</v>
      </c>
      <c r="P1271" s="42">
        <v>0</v>
      </c>
      <c r="Q1271" s="42">
        <v>0</v>
      </c>
      <c r="R1271" s="42"/>
      <c r="S1271" s="42"/>
      <c r="T1271" s="42" t="s">
        <v>616</v>
      </c>
      <c r="U1271" t="str">
        <f>IFERROR(HYPERLINK("#'Main'!B"&amp;MATCH(TRIM(A1271),Main!B:B,0),"Open"),HYPERLINK("#'Main'!B1","Open"))</f>
        <v>Open</v>
      </c>
    </row>
    <row r="1272" spans="1:22" ht="30" customHeight="1" x14ac:dyDescent="0.25">
      <c r="A1272" s="50" t="s">
        <v>218</v>
      </c>
      <c r="B1272" s="33" t="s">
        <v>614</v>
      </c>
      <c r="C1272" s="37" t="s">
        <v>627</v>
      </c>
      <c r="D1272" s="33" t="s">
        <v>628</v>
      </c>
      <c r="E1272" s="52">
        <v>200</v>
      </c>
      <c r="F1272" s="33" t="b">
        <v>1</v>
      </c>
      <c r="G1272" s="33">
        <v>0</v>
      </c>
      <c r="H1272" s="52">
        <v>0</v>
      </c>
      <c r="I1272" s="33">
        <v>0</v>
      </c>
      <c r="J1272" s="33">
        <v>0</v>
      </c>
      <c r="K1272" s="33">
        <v>0</v>
      </c>
      <c r="L1272" s="40" t="b">
        <v>0</v>
      </c>
      <c r="M1272" s="33">
        <v>0</v>
      </c>
      <c r="N1272" s="33">
        <v>0</v>
      </c>
      <c r="O1272" s="52">
        <v>0</v>
      </c>
      <c r="P1272" s="33">
        <v>0</v>
      </c>
      <c r="Q1272" s="33">
        <v>0</v>
      </c>
      <c r="R1272" s="33"/>
      <c r="S1272" s="33"/>
      <c r="T1272" s="33" t="s">
        <v>616</v>
      </c>
      <c r="U1272" s="41" t="str">
        <f>IFERROR(HYPERLINK("#'Main'!B"&amp;MATCH(TRIM(A1272),Main!B:B,0),"Open"),HYPERLINK("#'Main'!B1","Open"))</f>
        <v>Open</v>
      </c>
      <c r="V1272" s="41"/>
    </row>
    <row r="1273" spans="1:22" ht="30" customHeight="1" x14ac:dyDescent="0.25">
      <c r="A1273" s="51" t="s">
        <v>218</v>
      </c>
      <c r="B1273" s="42" t="s">
        <v>614</v>
      </c>
      <c r="C1273" s="44" t="s">
        <v>617</v>
      </c>
      <c r="D1273" s="42" t="s">
        <v>618</v>
      </c>
      <c r="E1273" s="52">
        <v>200</v>
      </c>
      <c r="F1273" s="42" t="b">
        <v>1</v>
      </c>
      <c r="G1273" s="42">
        <v>0</v>
      </c>
      <c r="H1273" s="52">
        <v>0</v>
      </c>
      <c r="I1273" s="42">
        <v>0</v>
      </c>
      <c r="J1273" s="42">
        <v>0</v>
      </c>
      <c r="K1273" s="42">
        <v>0</v>
      </c>
      <c r="L1273" s="46" t="b">
        <v>0</v>
      </c>
      <c r="M1273" s="42">
        <v>0</v>
      </c>
      <c r="N1273" s="42">
        <v>0</v>
      </c>
      <c r="O1273" s="52">
        <v>0</v>
      </c>
      <c r="P1273" s="42">
        <v>0</v>
      </c>
      <c r="Q1273" s="42">
        <v>0</v>
      </c>
      <c r="R1273" s="42"/>
      <c r="S1273" s="42"/>
      <c r="T1273" s="42" t="s">
        <v>616</v>
      </c>
      <c r="U1273" t="str">
        <f>IFERROR(HYPERLINK("#'Main'!B"&amp;MATCH(TRIM(A1273),Main!B:B,0),"Open"),HYPERLINK("#'Main'!B1","Open"))</f>
        <v>Open</v>
      </c>
    </row>
    <row r="1274" spans="1:22" ht="30" customHeight="1" x14ac:dyDescent="0.25">
      <c r="A1274" s="50" t="s">
        <v>218</v>
      </c>
      <c r="B1274" s="33" t="s">
        <v>614</v>
      </c>
      <c r="C1274" s="37" t="s">
        <v>619</v>
      </c>
      <c r="D1274" s="33" t="s">
        <v>620</v>
      </c>
      <c r="E1274" s="52">
        <v>200</v>
      </c>
      <c r="F1274" s="33" t="b">
        <v>1</v>
      </c>
      <c r="G1274" s="33">
        <v>0</v>
      </c>
      <c r="H1274" s="52">
        <v>0</v>
      </c>
      <c r="I1274" s="33">
        <v>0</v>
      </c>
      <c r="J1274" s="33">
        <v>0</v>
      </c>
      <c r="K1274" s="33">
        <v>0</v>
      </c>
      <c r="L1274" s="40" t="b">
        <v>0</v>
      </c>
      <c r="M1274" s="33">
        <v>0</v>
      </c>
      <c r="N1274" s="33">
        <v>0</v>
      </c>
      <c r="O1274" s="52">
        <v>0</v>
      </c>
      <c r="P1274" s="33">
        <v>0</v>
      </c>
      <c r="Q1274" s="33">
        <v>0</v>
      </c>
      <c r="R1274" s="33"/>
      <c r="S1274" s="33"/>
      <c r="T1274" s="33" t="s">
        <v>616</v>
      </c>
      <c r="U1274" s="41" t="str">
        <f>IFERROR(HYPERLINK("#'Main'!B"&amp;MATCH(TRIM(A1274),Main!B:B,0),"Open"),HYPERLINK("#'Main'!B1","Open"))</f>
        <v>Open</v>
      </c>
      <c r="V1274" s="41"/>
    </row>
    <row r="1275" spans="1:22" ht="30" customHeight="1" x14ac:dyDescent="0.25">
      <c r="A1275" s="51" t="s">
        <v>218</v>
      </c>
      <c r="B1275" s="42" t="s">
        <v>614</v>
      </c>
      <c r="C1275" s="44" t="s">
        <v>621</v>
      </c>
      <c r="D1275" s="42" t="s">
        <v>622</v>
      </c>
      <c r="E1275" s="52">
        <v>200</v>
      </c>
      <c r="F1275" s="42" t="b">
        <v>1</v>
      </c>
      <c r="G1275" s="42">
        <v>0</v>
      </c>
      <c r="H1275" s="52">
        <v>0</v>
      </c>
      <c r="I1275" s="42">
        <v>0</v>
      </c>
      <c r="J1275" s="42">
        <v>0</v>
      </c>
      <c r="K1275" s="42">
        <v>0</v>
      </c>
      <c r="L1275" s="46" t="b">
        <v>0</v>
      </c>
      <c r="M1275" s="42">
        <v>0</v>
      </c>
      <c r="N1275" s="42">
        <v>0</v>
      </c>
      <c r="O1275" s="52">
        <v>0</v>
      </c>
      <c r="P1275" s="42">
        <v>0</v>
      </c>
      <c r="Q1275" s="42">
        <v>0</v>
      </c>
      <c r="R1275" s="42"/>
      <c r="S1275" s="42"/>
      <c r="T1275" s="42" t="s">
        <v>616</v>
      </c>
      <c r="U1275" t="str">
        <f>IFERROR(HYPERLINK("#'Main'!B"&amp;MATCH(TRIM(A1275),Main!B:B,0),"Open"),HYPERLINK("#'Main'!B1","Open"))</f>
        <v>Open</v>
      </c>
    </row>
    <row r="1276" spans="1:22" ht="30" customHeight="1" x14ac:dyDescent="0.25">
      <c r="A1276" s="50" t="s">
        <v>218</v>
      </c>
      <c r="B1276" s="33" t="s">
        <v>614</v>
      </c>
      <c r="C1276" s="37" t="s">
        <v>623</v>
      </c>
      <c r="D1276" s="33" t="s">
        <v>624</v>
      </c>
      <c r="E1276" s="52">
        <v>200</v>
      </c>
      <c r="F1276" s="33" t="b">
        <v>1</v>
      </c>
      <c r="G1276" s="33">
        <v>0</v>
      </c>
      <c r="H1276" s="52">
        <v>0</v>
      </c>
      <c r="I1276" s="33">
        <v>0</v>
      </c>
      <c r="J1276" s="33">
        <v>0</v>
      </c>
      <c r="K1276" s="33">
        <v>0</v>
      </c>
      <c r="L1276" s="40" t="b">
        <v>0</v>
      </c>
      <c r="M1276" s="33">
        <v>0</v>
      </c>
      <c r="N1276" s="33">
        <v>0</v>
      </c>
      <c r="O1276" s="52">
        <v>0</v>
      </c>
      <c r="P1276" s="33">
        <v>0</v>
      </c>
      <c r="Q1276" s="33">
        <v>0</v>
      </c>
      <c r="R1276" s="33"/>
      <c r="S1276" s="33"/>
      <c r="T1276" s="33" t="s">
        <v>616</v>
      </c>
      <c r="U1276" s="41" t="str">
        <f>IFERROR(HYPERLINK("#'Main'!B"&amp;MATCH(TRIM(A1276),Main!B:B,0),"Open"),HYPERLINK("#'Main'!B1","Open"))</f>
        <v>Open</v>
      </c>
      <c r="V1276" s="41"/>
    </row>
    <row r="1277" spans="1:22" ht="30" customHeight="1" x14ac:dyDescent="0.25">
      <c r="A1277" s="51" t="s">
        <v>218</v>
      </c>
      <c r="B1277" s="42" t="s">
        <v>614</v>
      </c>
      <c r="C1277" s="44" t="s">
        <v>625</v>
      </c>
      <c r="D1277" s="42" t="s">
        <v>626</v>
      </c>
      <c r="E1277" s="52">
        <v>200</v>
      </c>
      <c r="F1277" s="42" t="b">
        <v>1</v>
      </c>
      <c r="G1277" s="42">
        <v>0</v>
      </c>
      <c r="H1277" s="52">
        <v>0</v>
      </c>
      <c r="I1277" s="42">
        <v>0</v>
      </c>
      <c r="J1277" s="42">
        <v>0</v>
      </c>
      <c r="K1277" s="42">
        <v>0</v>
      </c>
      <c r="L1277" s="46" t="b">
        <v>0</v>
      </c>
      <c r="M1277" s="42">
        <v>0</v>
      </c>
      <c r="N1277" s="42">
        <v>0</v>
      </c>
      <c r="O1277" s="52">
        <v>0</v>
      </c>
      <c r="P1277" s="42">
        <v>0</v>
      </c>
      <c r="Q1277" s="42">
        <v>0</v>
      </c>
      <c r="R1277" s="42"/>
      <c r="S1277" s="42"/>
      <c r="T1277" s="42" t="s">
        <v>616</v>
      </c>
      <c r="U1277" t="str">
        <f>IFERROR(HYPERLINK("#'Main'!B"&amp;MATCH(TRIM(A1277),Main!B:B,0),"Open"),HYPERLINK("#'Main'!B1","Open"))</f>
        <v>Open</v>
      </c>
    </row>
    <row r="1278" spans="1:22" ht="30" customHeight="1" x14ac:dyDescent="0.25">
      <c r="A1278" s="50" t="s">
        <v>218</v>
      </c>
      <c r="B1278" s="33" t="s">
        <v>614</v>
      </c>
      <c r="C1278" s="37" t="s">
        <v>627</v>
      </c>
      <c r="D1278" s="33" t="s">
        <v>628</v>
      </c>
      <c r="E1278" s="52">
        <v>200</v>
      </c>
      <c r="F1278" s="33" t="b">
        <v>1</v>
      </c>
      <c r="G1278" s="33">
        <v>0</v>
      </c>
      <c r="H1278" s="52">
        <v>0</v>
      </c>
      <c r="I1278" s="33">
        <v>0</v>
      </c>
      <c r="J1278" s="33">
        <v>0</v>
      </c>
      <c r="K1278" s="33">
        <v>0</v>
      </c>
      <c r="L1278" s="40" t="b">
        <v>0</v>
      </c>
      <c r="M1278" s="33">
        <v>0</v>
      </c>
      <c r="N1278" s="33">
        <v>0</v>
      </c>
      <c r="O1278" s="52">
        <v>0</v>
      </c>
      <c r="P1278" s="33">
        <v>0</v>
      </c>
      <c r="Q1278" s="33">
        <v>0</v>
      </c>
      <c r="R1278" s="33"/>
      <c r="S1278" s="33"/>
      <c r="T1278" s="33" t="s">
        <v>616</v>
      </c>
      <c r="U1278" s="41" t="str">
        <f>IFERROR(HYPERLINK("#'Main'!B"&amp;MATCH(TRIM(A1278),Main!B:B,0),"Open"),HYPERLINK("#'Main'!B1","Open"))</f>
        <v>Open</v>
      </c>
      <c r="V1278" s="41"/>
    </row>
    <row r="1279" spans="1:22" ht="30" customHeight="1" x14ac:dyDescent="0.25">
      <c r="A1279" s="51" t="s">
        <v>218</v>
      </c>
      <c r="B1279" s="42" t="s">
        <v>614</v>
      </c>
      <c r="C1279" s="44" t="s">
        <v>1404</v>
      </c>
      <c r="D1279" s="42"/>
      <c r="E1279" s="52">
        <v>200</v>
      </c>
      <c r="F1279" s="42" t="b">
        <v>1</v>
      </c>
      <c r="G1279" s="42">
        <v>0</v>
      </c>
      <c r="H1279" s="52">
        <v>0</v>
      </c>
      <c r="I1279" s="42">
        <v>0</v>
      </c>
      <c r="J1279" s="42">
        <v>0</v>
      </c>
      <c r="K1279" s="42">
        <v>0</v>
      </c>
      <c r="L1279" s="46" t="b">
        <v>0</v>
      </c>
      <c r="M1279" s="42">
        <v>0</v>
      </c>
      <c r="N1279" s="42">
        <v>0</v>
      </c>
      <c r="O1279" s="52">
        <v>0</v>
      </c>
      <c r="P1279" s="42">
        <v>0</v>
      </c>
      <c r="Q1279" s="42">
        <v>0</v>
      </c>
      <c r="R1279" s="42"/>
      <c r="S1279" s="42"/>
      <c r="T1279" s="42" t="s">
        <v>616</v>
      </c>
      <c r="U1279" t="str">
        <f>IFERROR(HYPERLINK("#'Main'!B"&amp;MATCH(TRIM(A1279),Main!B:B,0),"Open"),HYPERLINK("#'Main'!B1","Open"))</f>
        <v>Open</v>
      </c>
    </row>
    <row r="1280" spans="1:22" ht="30" customHeight="1" x14ac:dyDescent="0.25">
      <c r="A1280" s="50" t="s">
        <v>218</v>
      </c>
      <c r="B1280" s="33" t="s">
        <v>614</v>
      </c>
      <c r="C1280" s="37" t="s">
        <v>1404</v>
      </c>
      <c r="D1280" s="33" t="s">
        <v>1405</v>
      </c>
      <c r="E1280" s="52">
        <v>200</v>
      </c>
      <c r="F1280" s="33" t="b">
        <v>1</v>
      </c>
      <c r="G1280" s="33">
        <v>0</v>
      </c>
      <c r="H1280" s="52">
        <v>0</v>
      </c>
      <c r="I1280" s="33">
        <v>0</v>
      </c>
      <c r="J1280" s="33">
        <v>0</v>
      </c>
      <c r="K1280" s="33">
        <v>0</v>
      </c>
      <c r="L1280" s="40" t="b">
        <v>0</v>
      </c>
      <c r="M1280" s="33">
        <v>0</v>
      </c>
      <c r="N1280" s="33">
        <v>0</v>
      </c>
      <c r="O1280" s="52">
        <v>0</v>
      </c>
      <c r="P1280" s="33">
        <v>0</v>
      </c>
      <c r="Q1280" s="33">
        <v>0</v>
      </c>
      <c r="R1280" s="33"/>
      <c r="S1280" s="33"/>
      <c r="T1280" s="33" t="s">
        <v>616</v>
      </c>
      <c r="U1280" s="41" t="str">
        <f>IFERROR(HYPERLINK("#'Main'!B"&amp;MATCH(TRIM(A1280),Main!B:B,0),"Open"),HYPERLINK("#'Main'!B1","Open"))</f>
        <v>Open</v>
      </c>
      <c r="V1280" s="41"/>
    </row>
    <row r="1281" spans="1:22" ht="30" customHeight="1" x14ac:dyDescent="0.25">
      <c r="A1281" s="51" t="s">
        <v>218</v>
      </c>
      <c r="B1281" s="42" t="s">
        <v>614</v>
      </c>
      <c r="C1281" s="44" t="s">
        <v>1406</v>
      </c>
      <c r="D1281" s="42"/>
      <c r="E1281" s="52">
        <v>200</v>
      </c>
      <c r="F1281" s="42" t="b">
        <v>1</v>
      </c>
      <c r="G1281" s="42">
        <v>0</v>
      </c>
      <c r="H1281" s="52">
        <v>0</v>
      </c>
      <c r="I1281" s="42">
        <v>0</v>
      </c>
      <c r="J1281" s="42">
        <v>0</v>
      </c>
      <c r="K1281" s="42">
        <v>0</v>
      </c>
      <c r="L1281" s="46" t="b">
        <v>0</v>
      </c>
      <c r="M1281" s="42">
        <v>0</v>
      </c>
      <c r="N1281" s="42">
        <v>0</v>
      </c>
      <c r="O1281" s="52">
        <v>0</v>
      </c>
      <c r="P1281" s="42">
        <v>0</v>
      </c>
      <c r="Q1281" s="42">
        <v>0</v>
      </c>
      <c r="R1281" s="42"/>
      <c r="S1281" s="42"/>
      <c r="T1281" s="42" t="s">
        <v>616</v>
      </c>
      <c r="U1281" t="str">
        <f>IFERROR(HYPERLINK("#'Main'!B"&amp;MATCH(TRIM(A1281),Main!B:B,0),"Open"),HYPERLINK("#'Main'!B1","Open"))</f>
        <v>Open</v>
      </c>
    </row>
    <row r="1282" spans="1:22" ht="30" customHeight="1" x14ac:dyDescent="0.25">
      <c r="A1282" s="50" t="s">
        <v>218</v>
      </c>
      <c r="B1282" s="33" t="s">
        <v>614</v>
      </c>
      <c r="C1282" s="37" t="s">
        <v>1406</v>
      </c>
      <c r="D1282" s="33" t="s">
        <v>1407</v>
      </c>
      <c r="E1282" s="52">
        <v>200</v>
      </c>
      <c r="F1282" s="33" t="b">
        <v>1</v>
      </c>
      <c r="G1282" s="33">
        <v>0</v>
      </c>
      <c r="H1282" s="52">
        <v>0</v>
      </c>
      <c r="I1282" s="33">
        <v>0</v>
      </c>
      <c r="J1282" s="33">
        <v>0</v>
      </c>
      <c r="K1282" s="33">
        <v>0</v>
      </c>
      <c r="L1282" s="40" t="b">
        <v>0</v>
      </c>
      <c r="M1282" s="33">
        <v>0</v>
      </c>
      <c r="N1282" s="33">
        <v>0</v>
      </c>
      <c r="O1282" s="52">
        <v>0</v>
      </c>
      <c r="P1282" s="33">
        <v>0</v>
      </c>
      <c r="Q1282" s="33">
        <v>0</v>
      </c>
      <c r="R1282" s="33"/>
      <c r="S1282" s="33"/>
      <c r="T1282" s="33" t="s">
        <v>616</v>
      </c>
      <c r="U1282" s="41" t="str">
        <f>IFERROR(HYPERLINK("#'Main'!B"&amp;MATCH(TRIM(A1282),Main!B:B,0),"Open"),HYPERLINK("#'Main'!B1","Open"))</f>
        <v>Open</v>
      </c>
      <c r="V1282" s="41"/>
    </row>
    <row r="1283" spans="1:22" ht="30" customHeight="1" x14ac:dyDescent="0.25">
      <c r="A1283" s="51" t="s">
        <v>218</v>
      </c>
      <c r="B1283" s="42" t="s">
        <v>614</v>
      </c>
      <c r="C1283" s="44" t="s">
        <v>1408</v>
      </c>
      <c r="D1283" s="42"/>
      <c r="E1283" s="52">
        <v>200</v>
      </c>
      <c r="F1283" s="42" t="b">
        <v>1</v>
      </c>
      <c r="G1283" s="42">
        <v>0</v>
      </c>
      <c r="H1283" s="52">
        <v>0</v>
      </c>
      <c r="I1283" s="42">
        <v>0</v>
      </c>
      <c r="J1283" s="42">
        <v>0</v>
      </c>
      <c r="K1283" s="42">
        <v>0</v>
      </c>
      <c r="L1283" s="46" t="b">
        <v>0</v>
      </c>
      <c r="M1283" s="42">
        <v>0</v>
      </c>
      <c r="N1283" s="42">
        <v>0</v>
      </c>
      <c r="O1283" s="52">
        <v>0</v>
      </c>
      <c r="P1283" s="42">
        <v>0</v>
      </c>
      <c r="Q1283" s="42">
        <v>0</v>
      </c>
      <c r="R1283" s="42"/>
      <c r="S1283" s="42"/>
      <c r="T1283" s="42" t="s">
        <v>616</v>
      </c>
      <c r="U1283" t="str">
        <f>IFERROR(HYPERLINK("#'Main'!B"&amp;MATCH(TRIM(A1283),Main!B:B,0),"Open"),HYPERLINK("#'Main'!B1","Open"))</f>
        <v>Open</v>
      </c>
    </row>
    <row r="1284" spans="1:22" ht="30" customHeight="1" x14ac:dyDescent="0.25">
      <c r="A1284" s="50" t="s">
        <v>218</v>
      </c>
      <c r="B1284" s="33" t="s">
        <v>614</v>
      </c>
      <c r="C1284" s="37" t="s">
        <v>1408</v>
      </c>
      <c r="D1284" s="33" t="s">
        <v>1409</v>
      </c>
      <c r="E1284" s="52">
        <v>200</v>
      </c>
      <c r="F1284" s="33" t="b">
        <v>1</v>
      </c>
      <c r="G1284" s="33">
        <v>0</v>
      </c>
      <c r="H1284" s="52">
        <v>0</v>
      </c>
      <c r="I1284" s="33">
        <v>0</v>
      </c>
      <c r="J1284" s="33">
        <v>0</v>
      </c>
      <c r="K1284" s="33">
        <v>0</v>
      </c>
      <c r="L1284" s="40" t="b">
        <v>0</v>
      </c>
      <c r="M1284" s="33">
        <v>0</v>
      </c>
      <c r="N1284" s="33">
        <v>0</v>
      </c>
      <c r="O1284" s="52">
        <v>0</v>
      </c>
      <c r="P1284" s="33">
        <v>0</v>
      </c>
      <c r="Q1284" s="33">
        <v>0</v>
      </c>
      <c r="R1284" s="33"/>
      <c r="S1284" s="33"/>
      <c r="T1284" s="33" t="s">
        <v>616</v>
      </c>
      <c r="U1284" s="41" t="str">
        <f>IFERROR(HYPERLINK("#'Main'!B"&amp;MATCH(TRIM(A1284),Main!B:B,0),"Open"),HYPERLINK("#'Main'!B1","Open"))</f>
        <v>Open</v>
      </c>
      <c r="V1284" s="41"/>
    </row>
    <row r="1285" spans="1:22" ht="30" customHeight="1" x14ac:dyDescent="0.25">
      <c r="A1285" s="51" t="s">
        <v>218</v>
      </c>
      <c r="B1285" s="42" t="s">
        <v>614</v>
      </c>
      <c r="C1285" s="44" t="s">
        <v>1410</v>
      </c>
      <c r="D1285" s="42"/>
      <c r="E1285" s="52">
        <v>200</v>
      </c>
      <c r="F1285" s="42" t="b">
        <v>1</v>
      </c>
      <c r="G1285" s="42">
        <v>0</v>
      </c>
      <c r="H1285" s="52">
        <v>0</v>
      </c>
      <c r="I1285" s="42">
        <v>0</v>
      </c>
      <c r="J1285" s="42">
        <v>0</v>
      </c>
      <c r="K1285" s="42">
        <v>0</v>
      </c>
      <c r="L1285" s="46" t="b">
        <v>0</v>
      </c>
      <c r="M1285" s="42">
        <v>0</v>
      </c>
      <c r="N1285" s="42">
        <v>0</v>
      </c>
      <c r="O1285" s="52">
        <v>0</v>
      </c>
      <c r="P1285" s="42">
        <v>0</v>
      </c>
      <c r="Q1285" s="42">
        <v>0</v>
      </c>
      <c r="R1285" s="42"/>
      <c r="S1285" s="42"/>
      <c r="T1285" s="42" t="s">
        <v>616</v>
      </c>
      <c r="U1285" t="str">
        <f>IFERROR(HYPERLINK("#'Main'!B"&amp;MATCH(TRIM(A1285),Main!B:B,0),"Open"),HYPERLINK("#'Main'!B1","Open"))</f>
        <v>Open</v>
      </c>
    </row>
    <row r="1286" spans="1:22" ht="30" customHeight="1" x14ac:dyDescent="0.25">
      <c r="A1286" s="50" t="s">
        <v>218</v>
      </c>
      <c r="B1286" s="33" t="s">
        <v>614</v>
      </c>
      <c r="C1286" s="37" t="s">
        <v>1410</v>
      </c>
      <c r="D1286" s="33" t="s">
        <v>1411</v>
      </c>
      <c r="E1286" s="52">
        <v>200</v>
      </c>
      <c r="F1286" s="33" t="b">
        <v>1</v>
      </c>
      <c r="G1286" s="33">
        <v>0</v>
      </c>
      <c r="H1286" s="52">
        <v>0</v>
      </c>
      <c r="I1286" s="33">
        <v>0</v>
      </c>
      <c r="J1286" s="33">
        <v>0</v>
      </c>
      <c r="K1286" s="33">
        <v>0</v>
      </c>
      <c r="L1286" s="40" t="b">
        <v>0</v>
      </c>
      <c r="M1286" s="33">
        <v>0</v>
      </c>
      <c r="N1286" s="33">
        <v>0</v>
      </c>
      <c r="O1286" s="52">
        <v>0</v>
      </c>
      <c r="P1286" s="33">
        <v>0</v>
      </c>
      <c r="Q1286" s="33">
        <v>0</v>
      </c>
      <c r="R1286" s="33"/>
      <c r="S1286" s="33"/>
      <c r="T1286" s="33" t="s">
        <v>616</v>
      </c>
      <c r="U1286" s="41" t="str">
        <f>IFERROR(HYPERLINK("#'Main'!B"&amp;MATCH(TRIM(A1286),Main!B:B,0),"Open"),HYPERLINK("#'Main'!B1","Open"))</f>
        <v>Open</v>
      </c>
      <c r="V1286" s="41"/>
    </row>
    <row r="1287" spans="1:22" ht="30" customHeight="1" x14ac:dyDescent="0.25">
      <c r="A1287" s="51" t="s">
        <v>218</v>
      </c>
      <c r="B1287" s="42" t="s">
        <v>614</v>
      </c>
      <c r="C1287" s="44" t="s">
        <v>629</v>
      </c>
      <c r="D1287" s="42" t="s">
        <v>630</v>
      </c>
      <c r="E1287" s="52">
        <v>200</v>
      </c>
      <c r="F1287" s="42" t="b">
        <v>1</v>
      </c>
      <c r="G1287" s="42">
        <v>0</v>
      </c>
      <c r="H1287" s="52">
        <v>0</v>
      </c>
      <c r="I1287" s="42">
        <v>0</v>
      </c>
      <c r="J1287" s="42">
        <v>0</v>
      </c>
      <c r="K1287" s="42">
        <v>0</v>
      </c>
      <c r="L1287" s="46" t="b">
        <v>0</v>
      </c>
      <c r="M1287" s="42">
        <v>0</v>
      </c>
      <c r="N1287" s="42">
        <v>0</v>
      </c>
      <c r="O1287" s="52">
        <v>0</v>
      </c>
      <c r="P1287" s="42">
        <v>0</v>
      </c>
      <c r="Q1287" s="42">
        <v>0</v>
      </c>
      <c r="R1287" s="42"/>
      <c r="S1287" s="42"/>
      <c r="T1287" s="42" t="s">
        <v>616</v>
      </c>
      <c r="U1287" t="str">
        <f>IFERROR(HYPERLINK("#'Main'!B"&amp;MATCH(TRIM(A1287),Main!B:B,0),"Open"),HYPERLINK("#'Main'!B1","Open"))</f>
        <v>Open</v>
      </c>
    </row>
    <row r="1288" spans="1:22" ht="30" customHeight="1" x14ac:dyDescent="0.25">
      <c r="A1288" s="50" t="s">
        <v>218</v>
      </c>
      <c r="B1288" s="33" t="s">
        <v>614</v>
      </c>
      <c r="C1288" s="37" t="s">
        <v>631</v>
      </c>
      <c r="D1288" s="33"/>
      <c r="E1288" s="52">
        <v>200</v>
      </c>
      <c r="F1288" s="33" t="b">
        <v>1</v>
      </c>
      <c r="G1288" s="33">
        <v>0</v>
      </c>
      <c r="H1288" s="52">
        <v>0</v>
      </c>
      <c r="I1288" s="33">
        <v>0</v>
      </c>
      <c r="J1288" s="33">
        <v>0</v>
      </c>
      <c r="K1288" s="33">
        <v>0</v>
      </c>
      <c r="L1288" s="40" t="b">
        <v>0</v>
      </c>
      <c r="M1288" s="33">
        <v>0</v>
      </c>
      <c r="N1288" s="33">
        <v>0</v>
      </c>
      <c r="O1288" s="52">
        <v>0</v>
      </c>
      <c r="P1288" s="33">
        <v>0</v>
      </c>
      <c r="Q1288" s="33">
        <v>0</v>
      </c>
      <c r="R1288" s="33"/>
      <c r="S1288" s="33"/>
      <c r="T1288" s="33" t="s">
        <v>616</v>
      </c>
      <c r="U1288" s="41" t="str">
        <f>IFERROR(HYPERLINK("#'Main'!B"&amp;MATCH(TRIM(A1288),Main!B:B,0),"Open"),HYPERLINK("#'Main'!B1","Open"))</f>
        <v>Open</v>
      </c>
      <c r="V1288" s="41"/>
    </row>
    <row r="1289" spans="1:22" ht="30" customHeight="1" x14ac:dyDescent="0.25">
      <c r="A1289" s="51" t="s">
        <v>218</v>
      </c>
      <c r="B1289" s="42" t="s">
        <v>614</v>
      </c>
      <c r="C1289" s="44" t="s">
        <v>632</v>
      </c>
      <c r="D1289" s="42"/>
      <c r="E1289" s="52">
        <v>200</v>
      </c>
      <c r="F1289" s="42" t="b">
        <v>1</v>
      </c>
      <c r="G1289" s="42">
        <v>0</v>
      </c>
      <c r="H1289" s="52">
        <v>0</v>
      </c>
      <c r="I1289" s="42">
        <v>0</v>
      </c>
      <c r="J1289" s="42">
        <v>0</v>
      </c>
      <c r="K1289" s="42">
        <v>0</v>
      </c>
      <c r="L1289" s="46" t="b">
        <v>0</v>
      </c>
      <c r="M1289" s="42">
        <v>0</v>
      </c>
      <c r="N1289" s="42">
        <v>0</v>
      </c>
      <c r="O1289" s="52">
        <v>0</v>
      </c>
      <c r="P1289" s="42">
        <v>0</v>
      </c>
      <c r="Q1289" s="42">
        <v>0</v>
      </c>
      <c r="R1289" s="42"/>
      <c r="S1289" s="42"/>
      <c r="T1289" s="42" t="s">
        <v>616</v>
      </c>
      <c r="U1289" t="str">
        <f>IFERROR(HYPERLINK("#'Main'!B"&amp;MATCH(TRIM(A1289),Main!B:B,0),"Open"),HYPERLINK("#'Main'!B1","Open"))</f>
        <v>Open</v>
      </c>
    </row>
    <row r="1290" spans="1:22" ht="30" customHeight="1" x14ac:dyDescent="0.25">
      <c r="A1290" s="50" t="s">
        <v>218</v>
      </c>
      <c r="B1290" s="33" t="s">
        <v>614</v>
      </c>
      <c r="C1290" s="37" t="s">
        <v>633</v>
      </c>
      <c r="D1290" s="33"/>
      <c r="E1290" s="34">
        <v>403</v>
      </c>
      <c r="F1290" s="33" t="b">
        <v>0</v>
      </c>
      <c r="G1290" s="33">
        <v>0</v>
      </c>
      <c r="H1290" s="52">
        <v>0</v>
      </c>
      <c r="I1290" s="33">
        <v>0</v>
      </c>
      <c r="J1290" s="33">
        <v>0</v>
      </c>
      <c r="K1290" s="33">
        <v>0</v>
      </c>
      <c r="L1290" s="40" t="b">
        <v>0</v>
      </c>
      <c r="M1290" s="33">
        <v>0</v>
      </c>
      <c r="N1290" s="33">
        <v>0</v>
      </c>
      <c r="O1290" s="52">
        <v>0</v>
      </c>
      <c r="P1290" s="33">
        <v>0</v>
      </c>
      <c r="Q1290" s="33">
        <v>0</v>
      </c>
      <c r="R1290" s="33"/>
      <c r="S1290" s="33"/>
      <c r="T1290" s="33" t="s">
        <v>616</v>
      </c>
      <c r="U1290" s="41" t="str">
        <f>IFERROR(HYPERLINK("#'Main'!B"&amp;MATCH(TRIM(A1290),Main!B:B,0),"Open"),HYPERLINK("#'Main'!B1","Open"))</f>
        <v>Open</v>
      </c>
      <c r="V1290" s="41"/>
    </row>
    <row r="1291" spans="1:22" ht="30" customHeight="1" x14ac:dyDescent="0.25">
      <c r="A1291" s="51" t="s">
        <v>218</v>
      </c>
      <c r="B1291" s="42" t="s">
        <v>614</v>
      </c>
      <c r="C1291" s="44" t="s">
        <v>779</v>
      </c>
      <c r="D1291" s="42"/>
      <c r="E1291" s="34">
        <v>404</v>
      </c>
      <c r="F1291" s="42" t="b">
        <v>0</v>
      </c>
      <c r="G1291" s="42">
        <v>0</v>
      </c>
      <c r="H1291" s="52">
        <v>0</v>
      </c>
      <c r="I1291" s="42">
        <v>0</v>
      </c>
      <c r="J1291" s="42">
        <v>0</v>
      </c>
      <c r="K1291" s="42">
        <v>0</v>
      </c>
      <c r="L1291" s="46" t="b">
        <v>0</v>
      </c>
      <c r="M1291" s="42">
        <v>0</v>
      </c>
      <c r="N1291" s="42">
        <v>0</v>
      </c>
      <c r="O1291" s="52">
        <v>0</v>
      </c>
      <c r="P1291" s="42">
        <v>0</v>
      </c>
      <c r="Q1291" s="42">
        <v>0</v>
      </c>
      <c r="R1291" s="42"/>
      <c r="S1291" s="42"/>
      <c r="T1291" s="42" t="s">
        <v>616</v>
      </c>
      <c r="U1291" t="str">
        <f>IFERROR(HYPERLINK("#'Main'!B"&amp;MATCH(TRIM(A1291),Main!B:B,0),"Open"),HYPERLINK("#'Main'!B1","Open"))</f>
        <v>Open</v>
      </c>
    </row>
    <row r="1292" spans="1:22" ht="30" customHeight="1" x14ac:dyDescent="0.25">
      <c r="A1292" s="50" t="s">
        <v>218</v>
      </c>
      <c r="B1292" s="33" t="s">
        <v>614</v>
      </c>
      <c r="C1292" s="37" t="s">
        <v>779</v>
      </c>
      <c r="D1292" s="33" t="s">
        <v>780</v>
      </c>
      <c r="E1292" s="34">
        <v>404</v>
      </c>
      <c r="F1292" s="33" t="b">
        <v>0</v>
      </c>
      <c r="G1292" s="33">
        <v>0</v>
      </c>
      <c r="H1292" s="52">
        <v>0</v>
      </c>
      <c r="I1292" s="33">
        <v>0</v>
      </c>
      <c r="J1292" s="33">
        <v>0</v>
      </c>
      <c r="K1292" s="33">
        <v>0</v>
      </c>
      <c r="L1292" s="40" t="b">
        <v>0</v>
      </c>
      <c r="M1292" s="33">
        <v>0</v>
      </c>
      <c r="N1292" s="33">
        <v>0</v>
      </c>
      <c r="O1292" s="52">
        <v>0</v>
      </c>
      <c r="P1292" s="33">
        <v>0</v>
      </c>
      <c r="Q1292" s="33">
        <v>0</v>
      </c>
      <c r="R1292" s="33"/>
      <c r="S1292" s="33"/>
      <c r="T1292" s="33" t="s">
        <v>616</v>
      </c>
      <c r="U1292" s="41" t="str">
        <f>IFERROR(HYPERLINK("#'Main'!B"&amp;MATCH(TRIM(A1292),Main!B:B,0),"Open"),HYPERLINK("#'Main'!B1","Open"))</f>
        <v>Open</v>
      </c>
      <c r="V1292" s="41"/>
    </row>
    <row r="1293" spans="1:22" ht="30" customHeight="1" x14ac:dyDescent="0.25">
      <c r="A1293" s="51" t="s">
        <v>218</v>
      </c>
      <c r="B1293" s="42" t="s">
        <v>614</v>
      </c>
      <c r="C1293" s="44" t="s">
        <v>634</v>
      </c>
      <c r="D1293" s="42" t="s">
        <v>635</v>
      </c>
      <c r="E1293" s="52">
        <v>200</v>
      </c>
      <c r="F1293" s="42" t="b">
        <v>1</v>
      </c>
      <c r="G1293" s="42">
        <v>0</v>
      </c>
      <c r="H1293" s="52">
        <v>0</v>
      </c>
      <c r="I1293" s="42">
        <v>0</v>
      </c>
      <c r="J1293" s="42">
        <v>0</v>
      </c>
      <c r="K1293" s="42">
        <v>0</v>
      </c>
      <c r="L1293" s="46" t="b">
        <v>0</v>
      </c>
      <c r="M1293" s="42">
        <v>0</v>
      </c>
      <c r="N1293" s="42">
        <v>0</v>
      </c>
      <c r="O1293" s="52">
        <v>0</v>
      </c>
      <c r="P1293" s="42">
        <v>0</v>
      </c>
      <c r="Q1293" s="42">
        <v>0</v>
      </c>
      <c r="R1293" s="42"/>
      <c r="S1293" s="42"/>
      <c r="T1293" s="42" t="s">
        <v>616</v>
      </c>
      <c r="U1293" t="str">
        <f>IFERROR(HYPERLINK("#'Main'!B"&amp;MATCH(TRIM(A1293),Main!B:B,0),"Open"),HYPERLINK("#'Main'!B1","Open"))</f>
        <v>Open</v>
      </c>
    </row>
    <row r="1294" spans="1:22" ht="30" customHeight="1" x14ac:dyDescent="0.25">
      <c r="A1294" s="50" t="s">
        <v>218</v>
      </c>
      <c r="B1294" s="33" t="s">
        <v>614</v>
      </c>
      <c r="C1294" s="37" t="s">
        <v>636</v>
      </c>
      <c r="D1294" s="33" t="s">
        <v>637</v>
      </c>
      <c r="E1294" s="34">
        <v>404</v>
      </c>
      <c r="F1294" s="33" t="b">
        <v>0</v>
      </c>
      <c r="G1294" s="33">
        <v>0</v>
      </c>
      <c r="H1294" s="52">
        <v>0</v>
      </c>
      <c r="I1294" s="33">
        <v>0</v>
      </c>
      <c r="J1294" s="33">
        <v>0</v>
      </c>
      <c r="K1294" s="33">
        <v>0</v>
      </c>
      <c r="L1294" s="40" t="b">
        <v>0</v>
      </c>
      <c r="M1294" s="33">
        <v>0</v>
      </c>
      <c r="N1294" s="33">
        <v>0</v>
      </c>
      <c r="O1294" s="52">
        <v>0</v>
      </c>
      <c r="P1294" s="33">
        <v>0</v>
      </c>
      <c r="Q1294" s="33">
        <v>0</v>
      </c>
      <c r="R1294" s="33"/>
      <c r="S1294" s="33"/>
      <c r="T1294" s="33" t="s">
        <v>616</v>
      </c>
      <c r="U1294" s="41" t="str">
        <f>IFERROR(HYPERLINK("#'Main'!B"&amp;MATCH(TRIM(A1294),Main!B:B,0),"Open"),HYPERLINK("#'Main'!B1","Open"))</f>
        <v>Open</v>
      </c>
      <c r="V1294" s="41"/>
    </row>
    <row r="1295" spans="1:22" ht="30" customHeight="1" x14ac:dyDescent="0.25">
      <c r="A1295" s="51" t="s">
        <v>218</v>
      </c>
      <c r="B1295" s="42" t="s">
        <v>614</v>
      </c>
      <c r="C1295" s="44" t="s">
        <v>636</v>
      </c>
      <c r="D1295" s="42" t="s">
        <v>638</v>
      </c>
      <c r="E1295" s="34">
        <v>404</v>
      </c>
      <c r="F1295" s="42" t="b">
        <v>0</v>
      </c>
      <c r="G1295" s="42">
        <v>0</v>
      </c>
      <c r="H1295" s="52">
        <v>0</v>
      </c>
      <c r="I1295" s="42">
        <v>0</v>
      </c>
      <c r="J1295" s="42">
        <v>0</v>
      </c>
      <c r="K1295" s="42">
        <v>0</v>
      </c>
      <c r="L1295" s="46" t="b">
        <v>0</v>
      </c>
      <c r="M1295" s="42">
        <v>0</v>
      </c>
      <c r="N1295" s="42">
        <v>0</v>
      </c>
      <c r="O1295" s="52">
        <v>0</v>
      </c>
      <c r="P1295" s="42">
        <v>0</v>
      </c>
      <c r="Q1295" s="42">
        <v>0</v>
      </c>
      <c r="R1295" s="42"/>
      <c r="S1295" s="42"/>
      <c r="T1295" s="42" t="s">
        <v>616</v>
      </c>
      <c r="U1295" t="str">
        <f>IFERROR(HYPERLINK("#'Main'!B"&amp;MATCH(TRIM(A1295),Main!B:B,0),"Open"),HYPERLINK("#'Main'!B1","Open"))</f>
        <v>Open</v>
      </c>
    </row>
    <row r="1296" spans="1:22" ht="30" customHeight="1" x14ac:dyDescent="0.25">
      <c r="A1296" s="50" t="s">
        <v>189</v>
      </c>
      <c r="B1296" s="33" t="s">
        <v>614</v>
      </c>
      <c r="C1296" s="37" t="s">
        <v>615</v>
      </c>
      <c r="D1296" s="33"/>
      <c r="E1296" s="52">
        <v>200</v>
      </c>
      <c r="F1296" s="33" t="b">
        <v>1</v>
      </c>
      <c r="G1296" s="33">
        <v>0</v>
      </c>
      <c r="H1296" s="52">
        <v>0</v>
      </c>
      <c r="I1296" s="33">
        <v>0</v>
      </c>
      <c r="J1296" s="33">
        <v>0</v>
      </c>
      <c r="K1296" s="33">
        <v>0</v>
      </c>
      <c r="L1296" s="40" t="b">
        <v>0</v>
      </c>
      <c r="M1296" s="33">
        <v>0</v>
      </c>
      <c r="N1296" s="33">
        <v>0</v>
      </c>
      <c r="O1296" s="52">
        <v>0</v>
      </c>
      <c r="P1296" s="33">
        <v>0</v>
      </c>
      <c r="Q1296" s="33">
        <v>0</v>
      </c>
      <c r="R1296" s="33"/>
      <c r="S1296" s="33"/>
      <c r="T1296" s="33" t="s">
        <v>616</v>
      </c>
      <c r="U1296" s="41" t="str">
        <f>IFERROR(HYPERLINK("#'Main'!B"&amp;MATCH(TRIM(A1296),Main!B:B,0),"Open"),HYPERLINK("#'Main'!B1","Open"))</f>
        <v>Open</v>
      </c>
      <c r="V1296" s="41"/>
    </row>
    <row r="1297" spans="1:22" ht="30" customHeight="1" x14ac:dyDescent="0.25">
      <c r="A1297" s="51" t="s">
        <v>189</v>
      </c>
      <c r="B1297" s="42" t="s">
        <v>614</v>
      </c>
      <c r="C1297" s="44" t="s">
        <v>617</v>
      </c>
      <c r="D1297" s="42" t="s">
        <v>618</v>
      </c>
      <c r="E1297" s="52">
        <v>200</v>
      </c>
      <c r="F1297" s="42" t="b">
        <v>1</v>
      </c>
      <c r="G1297" s="42">
        <v>0</v>
      </c>
      <c r="H1297" s="52">
        <v>0</v>
      </c>
      <c r="I1297" s="42">
        <v>0</v>
      </c>
      <c r="J1297" s="42">
        <v>0</v>
      </c>
      <c r="K1297" s="42">
        <v>0</v>
      </c>
      <c r="L1297" s="46" t="b">
        <v>0</v>
      </c>
      <c r="M1297" s="42">
        <v>0</v>
      </c>
      <c r="N1297" s="42">
        <v>0</v>
      </c>
      <c r="O1297" s="52">
        <v>0</v>
      </c>
      <c r="P1297" s="42">
        <v>0</v>
      </c>
      <c r="Q1297" s="42">
        <v>0</v>
      </c>
      <c r="R1297" s="42"/>
      <c r="S1297" s="42"/>
      <c r="T1297" s="42" t="s">
        <v>616</v>
      </c>
      <c r="U1297" t="str">
        <f>IFERROR(HYPERLINK("#'Main'!B"&amp;MATCH(TRIM(A1297),Main!B:B,0),"Open"),HYPERLINK("#'Main'!B1","Open"))</f>
        <v>Open</v>
      </c>
    </row>
    <row r="1298" spans="1:22" ht="30" customHeight="1" x14ac:dyDescent="0.25">
      <c r="A1298" s="50" t="s">
        <v>189</v>
      </c>
      <c r="B1298" s="33" t="s">
        <v>614</v>
      </c>
      <c r="C1298" s="37" t="s">
        <v>619</v>
      </c>
      <c r="D1298" s="33" t="s">
        <v>620</v>
      </c>
      <c r="E1298" s="52">
        <v>200</v>
      </c>
      <c r="F1298" s="33" t="b">
        <v>1</v>
      </c>
      <c r="G1298" s="33">
        <v>0</v>
      </c>
      <c r="H1298" s="52">
        <v>0</v>
      </c>
      <c r="I1298" s="33">
        <v>0</v>
      </c>
      <c r="J1298" s="33">
        <v>0</v>
      </c>
      <c r="K1298" s="33">
        <v>0</v>
      </c>
      <c r="L1298" s="40" t="b">
        <v>0</v>
      </c>
      <c r="M1298" s="33">
        <v>0</v>
      </c>
      <c r="N1298" s="33">
        <v>0</v>
      </c>
      <c r="O1298" s="52">
        <v>0</v>
      </c>
      <c r="P1298" s="33">
        <v>0</v>
      </c>
      <c r="Q1298" s="33">
        <v>0</v>
      </c>
      <c r="R1298" s="33"/>
      <c r="S1298" s="33"/>
      <c r="T1298" s="33" t="s">
        <v>616</v>
      </c>
      <c r="U1298" s="41" t="str">
        <f>IFERROR(HYPERLINK("#'Main'!B"&amp;MATCH(TRIM(A1298),Main!B:B,0),"Open"),HYPERLINK("#'Main'!B1","Open"))</f>
        <v>Open</v>
      </c>
      <c r="V1298" s="41"/>
    </row>
    <row r="1299" spans="1:22" ht="30" customHeight="1" x14ac:dyDescent="0.25">
      <c r="A1299" s="51" t="s">
        <v>189</v>
      </c>
      <c r="B1299" s="42" t="s">
        <v>614</v>
      </c>
      <c r="C1299" s="44" t="s">
        <v>621</v>
      </c>
      <c r="D1299" s="42" t="s">
        <v>622</v>
      </c>
      <c r="E1299" s="52">
        <v>200</v>
      </c>
      <c r="F1299" s="42" t="b">
        <v>1</v>
      </c>
      <c r="G1299" s="42">
        <v>0</v>
      </c>
      <c r="H1299" s="52">
        <v>0</v>
      </c>
      <c r="I1299" s="42">
        <v>0</v>
      </c>
      <c r="J1299" s="42">
        <v>0</v>
      </c>
      <c r="K1299" s="42">
        <v>0</v>
      </c>
      <c r="L1299" s="46" t="b">
        <v>0</v>
      </c>
      <c r="M1299" s="42">
        <v>0</v>
      </c>
      <c r="N1299" s="42">
        <v>0</v>
      </c>
      <c r="O1299" s="52">
        <v>0</v>
      </c>
      <c r="P1299" s="42">
        <v>0</v>
      </c>
      <c r="Q1299" s="42">
        <v>0</v>
      </c>
      <c r="R1299" s="42"/>
      <c r="S1299" s="42"/>
      <c r="T1299" s="42" t="s">
        <v>616</v>
      </c>
      <c r="U1299" t="str">
        <f>IFERROR(HYPERLINK("#'Main'!B"&amp;MATCH(TRIM(A1299),Main!B:B,0),"Open"),HYPERLINK("#'Main'!B1","Open"))</f>
        <v>Open</v>
      </c>
    </row>
    <row r="1300" spans="1:22" ht="30" customHeight="1" x14ac:dyDescent="0.25">
      <c r="A1300" s="50" t="s">
        <v>189</v>
      </c>
      <c r="B1300" s="33" t="s">
        <v>614</v>
      </c>
      <c r="C1300" s="37" t="s">
        <v>623</v>
      </c>
      <c r="D1300" s="33" t="s">
        <v>624</v>
      </c>
      <c r="E1300" s="52">
        <v>200</v>
      </c>
      <c r="F1300" s="33" t="b">
        <v>1</v>
      </c>
      <c r="G1300" s="33">
        <v>0</v>
      </c>
      <c r="H1300" s="52">
        <v>0</v>
      </c>
      <c r="I1300" s="33">
        <v>0</v>
      </c>
      <c r="J1300" s="33">
        <v>0</v>
      </c>
      <c r="K1300" s="33">
        <v>0</v>
      </c>
      <c r="L1300" s="40" t="b">
        <v>0</v>
      </c>
      <c r="M1300" s="33">
        <v>0</v>
      </c>
      <c r="N1300" s="33">
        <v>0</v>
      </c>
      <c r="O1300" s="52">
        <v>0</v>
      </c>
      <c r="P1300" s="33">
        <v>0</v>
      </c>
      <c r="Q1300" s="33">
        <v>0</v>
      </c>
      <c r="R1300" s="33"/>
      <c r="S1300" s="33"/>
      <c r="T1300" s="33" t="s">
        <v>616</v>
      </c>
      <c r="U1300" s="41" t="str">
        <f>IFERROR(HYPERLINK("#'Main'!B"&amp;MATCH(TRIM(A1300),Main!B:B,0),"Open"),HYPERLINK("#'Main'!B1","Open"))</f>
        <v>Open</v>
      </c>
      <c r="V1300" s="41"/>
    </row>
    <row r="1301" spans="1:22" ht="30" customHeight="1" x14ac:dyDescent="0.25">
      <c r="A1301" s="51" t="s">
        <v>189</v>
      </c>
      <c r="B1301" s="42" t="s">
        <v>614</v>
      </c>
      <c r="C1301" s="44" t="s">
        <v>625</v>
      </c>
      <c r="D1301" s="42" t="s">
        <v>626</v>
      </c>
      <c r="E1301" s="52">
        <v>200</v>
      </c>
      <c r="F1301" s="42" t="b">
        <v>1</v>
      </c>
      <c r="G1301" s="42">
        <v>0</v>
      </c>
      <c r="H1301" s="52">
        <v>0</v>
      </c>
      <c r="I1301" s="42">
        <v>0</v>
      </c>
      <c r="J1301" s="42">
        <v>0</v>
      </c>
      <c r="K1301" s="42">
        <v>0</v>
      </c>
      <c r="L1301" s="46" t="b">
        <v>0</v>
      </c>
      <c r="M1301" s="42">
        <v>0</v>
      </c>
      <c r="N1301" s="42">
        <v>0</v>
      </c>
      <c r="O1301" s="52">
        <v>0</v>
      </c>
      <c r="P1301" s="42">
        <v>0</v>
      </c>
      <c r="Q1301" s="42">
        <v>0</v>
      </c>
      <c r="R1301" s="42"/>
      <c r="S1301" s="42"/>
      <c r="T1301" s="42" t="s">
        <v>616</v>
      </c>
      <c r="U1301" t="str">
        <f>IFERROR(HYPERLINK("#'Main'!B"&amp;MATCH(TRIM(A1301),Main!B:B,0),"Open"),HYPERLINK("#'Main'!B1","Open"))</f>
        <v>Open</v>
      </c>
    </row>
    <row r="1302" spans="1:22" ht="30" customHeight="1" x14ac:dyDescent="0.25">
      <c r="A1302" s="50" t="s">
        <v>189</v>
      </c>
      <c r="B1302" s="33" t="s">
        <v>614</v>
      </c>
      <c r="C1302" s="37" t="s">
        <v>627</v>
      </c>
      <c r="D1302" s="33" t="s">
        <v>628</v>
      </c>
      <c r="E1302" s="52">
        <v>200</v>
      </c>
      <c r="F1302" s="33" t="b">
        <v>1</v>
      </c>
      <c r="G1302" s="33">
        <v>0</v>
      </c>
      <c r="H1302" s="52">
        <v>0</v>
      </c>
      <c r="I1302" s="33">
        <v>0</v>
      </c>
      <c r="J1302" s="33">
        <v>0</v>
      </c>
      <c r="K1302" s="33">
        <v>0</v>
      </c>
      <c r="L1302" s="40" t="b">
        <v>0</v>
      </c>
      <c r="M1302" s="33">
        <v>0</v>
      </c>
      <c r="N1302" s="33">
        <v>0</v>
      </c>
      <c r="O1302" s="52">
        <v>0</v>
      </c>
      <c r="P1302" s="33">
        <v>0</v>
      </c>
      <c r="Q1302" s="33">
        <v>0</v>
      </c>
      <c r="R1302" s="33"/>
      <c r="S1302" s="33"/>
      <c r="T1302" s="33" t="s">
        <v>616</v>
      </c>
      <c r="U1302" s="41" t="str">
        <f>IFERROR(HYPERLINK("#'Main'!B"&amp;MATCH(TRIM(A1302),Main!B:B,0),"Open"),HYPERLINK("#'Main'!B1","Open"))</f>
        <v>Open</v>
      </c>
      <c r="V1302" s="41"/>
    </row>
    <row r="1303" spans="1:22" ht="30" customHeight="1" x14ac:dyDescent="0.25">
      <c r="A1303" s="51" t="s">
        <v>189</v>
      </c>
      <c r="B1303" s="42" t="s">
        <v>614</v>
      </c>
      <c r="C1303" s="44" t="s">
        <v>617</v>
      </c>
      <c r="D1303" s="42" t="s">
        <v>618</v>
      </c>
      <c r="E1303" s="52">
        <v>200</v>
      </c>
      <c r="F1303" s="42" t="b">
        <v>1</v>
      </c>
      <c r="G1303" s="42">
        <v>0</v>
      </c>
      <c r="H1303" s="52">
        <v>0</v>
      </c>
      <c r="I1303" s="42">
        <v>0</v>
      </c>
      <c r="J1303" s="42">
        <v>0</v>
      </c>
      <c r="K1303" s="42">
        <v>0</v>
      </c>
      <c r="L1303" s="46" t="b">
        <v>0</v>
      </c>
      <c r="M1303" s="42">
        <v>0</v>
      </c>
      <c r="N1303" s="42">
        <v>0</v>
      </c>
      <c r="O1303" s="52">
        <v>0</v>
      </c>
      <c r="P1303" s="42">
        <v>0</v>
      </c>
      <c r="Q1303" s="42">
        <v>0</v>
      </c>
      <c r="R1303" s="42"/>
      <c r="S1303" s="42"/>
      <c r="T1303" s="42" t="s">
        <v>616</v>
      </c>
      <c r="U1303" t="str">
        <f>IFERROR(HYPERLINK("#'Main'!B"&amp;MATCH(TRIM(A1303),Main!B:B,0),"Open"),HYPERLINK("#'Main'!B1","Open"))</f>
        <v>Open</v>
      </c>
    </row>
    <row r="1304" spans="1:22" ht="30" customHeight="1" x14ac:dyDescent="0.25">
      <c r="A1304" s="50" t="s">
        <v>189</v>
      </c>
      <c r="B1304" s="33" t="s">
        <v>614</v>
      </c>
      <c r="C1304" s="37" t="s">
        <v>619</v>
      </c>
      <c r="D1304" s="33" t="s">
        <v>620</v>
      </c>
      <c r="E1304" s="52">
        <v>200</v>
      </c>
      <c r="F1304" s="33" t="b">
        <v>1</v>
      </c>
      <c r="G1304" s="33">
        <v>0</v>
      </c>
      <c r="H1304" s="52">
        <v>0</v>
      </c>
      <c r="I1304" s="33">
        <v>0</v>
      </c>
      <c r="J1304" s="33">
        <v>0</v>
      </c>
      <c r="K1304" s="33">
        <v>0</v>
      </c>
      <c r="L1304" s="40" t="b">
        <v>0</v>
      </c>
      <c r="M1304" s="33">
        <v>0</v>
      </c>
      <c r="N1304" s="33">
        <v>0</v>
      </c>
      <c r="O1304" s="52">
        <v>0</v>
      </c>
      <c r="P1304" s="33">
        <v>0</v>
      </c>
      <c r="Q1304" s="33">
        <v>0</v>
      </c>
      <c r="R1304" s="33"/>
      <c r="S1304" s="33"/>
      <c r="T1304" s="33" t="s">
        <v>616</v>
      </c>
      <c r="U1304" s="41" t="str">
        <f>IFERROR(HYPERLINK("#'Main'!B"&amp;MATCH(TRIM(A1304),Main!B:B,0),"Open"),HYPERLINK("#'Main'!B1","Open"))</f>
        <v>Open</v>
      </c>
      <c r="V1304" s="41"/>
    </row>
    <row r="1305" spans="1:22" ht="30" customHeight="1" x14ac:dyDescent="0.25">
      <c r="A1305" s="51" t="s">
        <v>189</v>
      </c>
      <c r="B1305" s="42" t="s">
        <v>614</v>
      </c>
      <c r="C1305" s="44" t="s">
        <v>621</v>
      </c>
      <c r="D1305" s="42" t="s">
        <v>622</v>
      </c>
      <c r="E1305" s="52">
        <v>200</v>
      </c>
      <c r="F1305" s="42" t="b">
        <v>1</v>
      </c>
      <c r="G1305" s="42">
        <v>0</v>
      </c>
      <c r="H1305" s="52">
        <v>0</v>
      </c>
      <c r="I1305" s="42">
        <v>0</v>
      </c>
      <c r="J1305" s="42">
        <v>0</v>
      </c>
      <c r="K1305" s="42">
        <v>0</v>
      </c>
      <c r="L1305" s="46" t="b">
        <v>0</v>
      </c>
      <c r="M1305" s="42">
        <v>0</v>
      </c>
      <c r="N1305" s="42">
        <v>0</v>
      </c>
      <c r="O1305" s="52">
        <v>0</v>
      </c>
      <c r="P1305" s="42">
        <v>0</v>
      </c>
      <c r="Q1305" s="42">
        <v>0</v>
      </c>
      <c r="R1305" s="42"/>
      <c r="S1305" s="42"/>
      <c r="T1305" s="42" t="s">
        <v>616</v>
      </c>
      <c r="U1305" t="str">
        <f>IFERROR(HYPERLINK("#'Main'!B"&amp;MATCH(TRIM(A1305),Main!B:B,0),"Open"),HYPERLINK("#'Main'!B1","Open"))</f>
        <v>Open</v>
      </c>
    </row>
    <row r="1306" spans="1:22" ht="30" customHeight="1" x14ac:dyDescent="0.25">
      <c r="A1306" s="50" t="s">
        <v>189</v>
      </c>
      <c r="B1306" s="33" t="s">
        <v>614</v>
      </c>
      <c r="C1306" s="37" t="s">
        <v>623</v>
      </c>
      <c r="D1306" s="33" t="s">
        <v>624</v>
      </c>
      <c r="E1306" s="52">
        <v>200</v>
      </c>
      <c r="F1306" s="33" t="b">
        <v>1</v>
      </c>
      <c r="G1306" s="33">
        <v>0</v>
      </c>
      <c r="H1306" s="52">
        <v>0</v>
      </c>
      <c r="I1306" s="33">
        <v>0</v>
      </c>
      <c r="J1306" s="33">
        <v>0</v>
      </c>
      <c r="K1306" s="33">
        <v>0</v>
      </c>
      <c r="L1306" s="40" t="b">
        <v>0</v>
      </c>
      <c r="M1306" s="33">
        <v>0</v>
      </c>
      <c r="N1306" s="33">
        <v>0</v>
      </c>
      <c r="O1306" s="52">
        <v>0</v>
      </c>
      <c r="P1306" s="33">
        <v>0</v>
      </c>
      <c r="Q1306" s="33">
        <v>0</v>
      </c>
      <c r="R1306" s="33"/>
      <c r="S1306" s="33"/>
      <c r="T1306" s="33" t="s">
        <v>616</v>
      </c>
      <c r="U1306" s="41" t="str">
        <f>IFERROR(HYPERLINK("#'Main'!B"&amp;MATCH(TRIM(A1306),Main!B:B,0),"Open"),HYPERLINK("#'Main'!B1","Open"))</f>
        <v>Open</v>
      </c>
      <c r="V1306" s="41"/>
    </row>
    <row r="1307" spans="1:22" ht="30" customHeight="1" x14ac:dyDescent="0.25">
      <c r="A1307" s="51" t="s">
        <v>189</v>
      </c>
      <c r="B1307" s="42" t="s">
        <v>614</v>
      </c>
      <c r="C1307" s="44" t="s">
        <v>625</v>
      </c>
      <c r="D1307" s="42" t="s">
        <v>626</v>
      </c>
      <c r="E1307" s="52">
        <v>200</v>
      </c>
      <c r="F1307" s="42" t="b">
        <v>1</v>
      </c>
      <c r="G1307" s="42">
        <v>0</v>
      </c>
      <c r="H1307" s="52">
        <v>0</v>
      </c>
      <c r="I1307" s="42">
        <v>0</v>
      </c>
      <c r="J1307" s="42">
        <v>0</v>
      </c>
      <c r="K1307" s="42">
        <v>0</v>
      </c>
      <c r="L1307" s="46" t="b">
        <v>0</v>
      </c>
      <c r="M1307" s="42">
        <v>0</v>
      </c>
      <c r="N1307" s="42">
        <v>0</v>
      </c>
      <c r="O1307" s="52">
        <v>0</v>
      </c>
      <c r="P1307" s="42">
        <v>0</v>
      </c>
      <c r="Q1307" s="42">
        <v>0</v>
      </c>
      <c r="R1307" s="42"/>
      <c r="S1307" s="42"/>
      <c r="T1307" s="42" t="s">
        <v>616</v>
      </c>
      <c r="U1307" t="str">
        <f>IFERROR(HYPERLINK("#'Main'!B"&amp;MATCH(TRIM(A1307),Main!B:B,0),"Open"),HYPERLINK("#'Main'!B1","Open"))</f>
        <v>Open</v>
      </c>
    </row>
    <row r="1308" spans="1:22" ht="30" customHeight="1" x14ac:dyDescent="0.25">
      <c r="A1308" s="50" t="s">
        <v>189</v>
      </c>
      <c r="B1308" s="33" t="s">
        <v>614</v>
      </c>
      <c r="C1308" s="37" t="s">
        <v>627</v>
      </c>
      <c r="D1308" s="33" t="s">
        <v>628</v>
      </c>
      <c r="E1308" s="52">
        <v>200</v>
      </c>
      <c r="F1308" s="33" t="b">
        <v>1</v>
      </c>
      <c r="G1308" s="33">
        <v>0</v>
      </c>
      <c r="H1308" s="52">
        <v>0</v>
      </c>
      <c r="I1308" s="33">
        <v>0</v>
      </c>
      <c r="J1308" s="33">
        <v>0</v>
      </c>
      <c r="K1308" s="33">
        <v>0</v>
      </c>
      <c r="L1308" s="40" t="b">
        <v>0</v>
      </c>
      <c r="M1308" s="33">
        <v>0</v>
      </c>
      <c r="N1308" s="33">
        <v>0</v>
      </c>
      <c r="O1308" s="52">
        <v>0</v>
      </c>
      <c r="P1308" s="33">
        <v>0</v>
      </c>
      <c r="Q1308" s="33">
        <v>0</v>
      </c>
      <c r="R1308" s="33"/>
      <c r="S1308" s="33"/>
      <c r="T1308" s="33" t="s">
        <v>616</v>
      </c>
      <c r="U1308" s="41" t="str">
        <f>IFERROR(HYPERLINK("#'Main'!B"&amp;MATCH(TRIM(A1308),Main!B:B,0),"Open"),HYPERLINK("#'Main'!B1","Open"))</f>
        <v>Open</v>
      </c>
      <c r="V1308" s="41"/>
    </row>
    <row r="1309" spans="1:22" ht="30" customHeight="1" x14ac:dyDescent="0.25">
      <c r="A1309" s="51" t="s">
        <v>189</v>
      </c>
      <c r="B1309" s="42" t="s">
        <v>614</v>
      </c>
      <c r="C1309" s="44" t="s">
        <v>1412</v>
      </c>
      <c r="D1309" s="42" t="s">
        <v>1413</v>
      </c>
      <c r="E1309" s="52">
        <v>200</v>
      </c>
      <c r="F1309" s="42" t="b">
        <v>1</v>
      </c>
      <c r="G1309" s="42">
        <v>0</v>
      </c>
      <c r="H1309" s="52">
        <v>0</v>
      </c>
      <c r="I1309" s="42">
        <v>0</v>
      </c>
      <c r="J1309" s="42">
        <v>0</v>
      </c>
      <c r="K1309" s="42">
        <v>0</v>
      </c>
      <c r="L1309" s="46" t="b">
        <v>0</v>
      </c>
      <c r="M1309" s="42">
        <v>0</v>
      </c>
      <c r="N1309" s="42">
        <v>0</v>
      </c>
      <c r="O1309" s="52">
        <v>0</v>
      </c>
      <c r="P1309" s="42">
        <v>0</v>
      </c>
      <c r="Q1309" s="42">
        <v>0</v>
      </c>
      <c r="R1309" s="42"/>
      <c r="S1309" s="42"/>
      <c r="T1309" s="42" t="s">
        <v>616</v>
      </c>
      <c r="U1309" t="str">
        <f>IFERROR(HYPERLINK("#'Main'!B"&amp;MATCH(TRIM(A1309),Main!B:B,0),"Open"),HYPERLINK("#'Main'!B1","Open"))</f>
        <v>Open</v>
      </c>
    </row>
    <row r="1310" spans="1:22" ht="30" customHeight="1" x14ac:dyDescent="0.25">
      <c r="A1310" s="50" t="s">
        <v>189</v>
      </c>
      <c r="B1310" s="33" t="s">
        <v>614</v>
      </c>
      <c r="C1310" s="37" t="s">
        <v>1414</v>
      </c>
      <c r="D1310" s="33" t="s">
        <v>1415</v>
      </c>
      <c r="E1310" s="52">
        <v>200</v>
      </c>
      <c r="F1310" s="33" t="b">
        <v>1</v>
      </c>
      <c r="G1310" s="33">
        <v>0</v>
      </c>
      <c r="H1310" s="52">
        <v>0</v>
      </c>
      <c r="I1310" s="33">
        <v>0</v>
      </c>
      <c r="J1310" s="33">
        <v>0</v>
      </c>
      <c r="K1310" s="33">
        <v>0</v>
      </c>
      <c r="L1310" s="40" t="b">
        <v>0</v>
      </c>
      <c r="M1310" s="33">
        <v>0</v>
      </c>
      <c r="N1310" s="33">
        <v>0</v>
      </c>
      <c r="O1310" s="52">
        <v>0</v>
      </c>
      <c r="P1310" s="33">
        <v>0</v>
      </c>
      <c r="Q1310" s="33">
        <v>0</v>
      </c>
      <c r="R1310" s="33"/>
      <c r="S1310" s="33"/>
      <c r="T1310" s="33" t="s">
        <v>616</v>
      </c>
      <c r="U1310" s="41" t="str">
        <f>IFERROR(HYPERLINK("#'Main'!B"&amp;MATCH(TRIM(A1310),Main!B:B,0),"Open"),HYPERLINK("#'Main'!B1","Open"))</f>
        <v>Open</v>
      </c>
      <c r="V1310" s="41"/>
    </row>
    <row r="1311" spans="1:22" ht="30" customHeight="1" x14ac:dyDescent="0.25">
      <c r="A1311" s="51" t="s">
        <v>189</v>
      </c>
      <c r="B1311" s="42" t="s">
        <v>614</v>
      </c>
      <c r="C1311" s="44" t="s">
        <v>1416</v>
      </c>
      <c r="D1311" s="42" t="s">
        <v>1417</v>
      </c>
      <c r="E1311" s="52">
        <v>200</v>
      </c>
      <c r="F1311" s="42" t="b">
        <v>1</v>
      </c>
      <c r="G1311" s="42">
        <v>0</v>
      </c>
      <c r="H1311" s="52">
        <v>0</v>
      </c>
      <c r="I1311" s="42">
        <v>0</v>
      </c>
      <c r="J1311" s="42">
        <v>0</v>
      </c>
      <c r="K1311" s="42">
        <v>0</v>
      </c>
      <c r="L1311" s="46" t="b">
        <v>0</v>
      </c>
      <c r="M1311" s="42">
        <v>0</v>
      </c>
      <c r="N1311" s="42">
        <v>0</v>
      </c>
      <c r="O1311" s="52">
        <v>0</v>
      </c>
      <c r="P1311" s="42">
        <v>0</v>
      </c>
      <c r="Q1311" s="42">
        <v>0</v>
      </c>
      <c r="R1311" s="42"/>
      <c r="S1311" s="42"/>
      <c r="T1311" s="42" t="s">
        <v>616</v>
      </c>
      <c r="U1311" t="str">
        <f>IFERROR(HYPERLINK("#'Main'!B"&amp;MATCH(TRIM(A1311),Main!B:B,0),"Open"),HYPERLINK("#'Main'!B1","Open"))</f>
        <v>Open</v>
      </c>
    </row>
    <row r="1312" spans="1:22" ht="30" customHeight="1" x14ac:dyDescent="0.25">
      <c r="A1312" s="50" t="s">
        <v>189</v>
      </c>
      <c r="B1312" s="33" t="s">
        <v>614</v>
      </c>
      <c r="C1312" s="37" t="s">
        <v>1418</v>
      </c>
      <c r="D1312" s="33" t="s">
        <v>1419</v>
      </c>
      <c r="E1312" s="52">
        <v>200</v>
      </c>
      <c r="F1312" s="33" t="b">
        <v>1</v>
      </c>
      <c r="G1312" s="33">
        <v>0</v>
      </c>
      <c r="H1312" s="52">
        <v>0</v>
      </c>
      <c r="I1312" s="33">
        <v>0</v>
      </c>
      <c r="J1312" s="33">
        <v>0</v>
      </c>
      <c r="K1312" s="33">
        <v>0</v>
      </c>
      <c r="L1312" s="40" t="b">
        <v>0</v>
      </c>
      <c r="M1312" s="33">
        <v>0</v>
      </c>
      <c r="N1312" s="33">
        <v>0</v>
      </c>
      <c r="O1312" s="52">
        <v>0</v>
      </c>
      <c r="P1312" s="33">
        <v>0</v>
      </c>
      <c r="Q1312" s="33">
        <v>0</v>
      </c>
      <c r="R1312" s="33"/>
      <c r="S1312" s="33"/>
      <c r="T1312" s="33" t="s">
        <v>616</v>
      </c>
      <c r="U1312" s="41" t="str">
        <f>IFERROR(HYPERLINK("#'Main'!B"&amp;MATCH(TRIM(A1312),Main!B:B,0),"Open"),HYPERLINK("#'Main'!B1","Open"))</f>
        <v>Open</v>
      </c>
      <c r="V1312" s="41"/>
    </row>
    <row r="1313" spans="1:22" ht="30" customHeight="1" x14ac:dyDescent="0.25">
      <c r="A1313" s="51" t="s">
        <v>189</v>
      </c>
      <c r="B1313" s="42" t="s">
        <v>614</v>
      </c>
      <c r="C1313" s="44" t="s">
        <v>1420</v>
      </c>
      <c r="D1313" s="42" t="s">
        <v>1421</v>
      </c>
      <c r="E1313" s="34">
        <v>999</v>
      </c>
      <c r="F1313" s="42" t="b">
        <v>0</v>
      </c>
      <c r="G1313" s="42">
        <v>0</v>
      </c>
      <c r="H1313" s="52">
        <v>0</v>
      </c>
      <c r="I1313" s="42">
        <v>0</v>
      </c>
      <c r="J1313" s="42">
        <v>0</v>
      </c>
      <c r="K1313" s="42">
        <v>0</v>
      </c>
      <c r="L1313" s="46" t="b">
        <v>0</v>
      </c>
      <c r="M1313" s="42">
        <v>0</v>
      </c>
      <c r="N1313" s="42">
        <v>0</v>
      </c>
      <c r="O1313" s="52">
        <v>0</v>
      </c>
      <c r="P1313" s="42">
        <v>0</v>
      </c>
      <c r="Q1313" s="42">
        <v>0</v>
      </c>
      <c r="R1313" s="42"/>
      <c r="S1313" s="42"/>
      <c r="T1313" s="42" t="s">
        <v>616</v>
      </c>
      <c r="U1313" t="str">
        <f>IFERROR(HYPERLINK("#'Main'!B"&amp;MATCH(TRIM(A1313),Main!B:B,0),"Open"),HYPERLINK("#'Main'!B1","Open"))</f>
        <v>Open</v>
      </c>
    </row>
    <row r="1314" spans="1:22" ht="30" customHeight="1" x14ac:dyDescent="0.25">
      <c r="A1314" s="50" t="s">
        <v>189</v>
      </c>
      <c r="B1314" s="33" t="s">
        <v>614</v>
      </c>
      <c r="C1314" s="37" t="s">
        <v>1422</v>
      </c>
      <c r="D1314" s="33" t="s">
        <v>1423</v>
      </c>
      <c r="E1314" s="52">
        <v>200</v>
      </c>
      <c r="F1314" s="33" t="b">
        <v>1</v>
      </c>
      <c r="G1314" s="33">
        <v>0</v>
      </c>
      <c r="H1314" s="52">
        <v>0</v>
      </c>
      <c r="I1314" s="33">
        <v>0</v>
      </c>
      <c r="J1314" s="33">
        <v>0</v>
      </c>
      <c r="K1314" s="33">
        <v>0</v>
      </c>
      <c r="L1314" s="40" t="b">
        <v>0</v>
      </c>
      <c r="M1314" s="33">
        <v>0</v>
      </c>
      <c r="N1314" s="33">
        <v>0</v>
      </c>
      <c r="O1314" s="52">
        <v>0</v>
      </c>
      <c r="P1314" s="33">
        <v>0</v>
      </c>
      <c r="Q1314" s="33">
        <v>0</v>
      </c>
      <c r="R1314" s="33"/>
      <c r="S1314" s="33"/>
      <c r="T1314" s="33" t="s">
        <v>616</v>
      </c>
      <c r="U1314" s="41" t="str">
        <f>IFERROR(HYPERLINK("#'Main'!B"&amp;MATCH(TRIM(A1314),Main!B:B,0),"Open"),HYPERLINK("#'Main'!B1","Open"))</f>
        <v>Open</v>
      </c>
      <c r="V1314" s="41"/>
    </row>
    <row r="1315" spans="1:22" ht="30" customHeight="1" x14ac:dyDescent="0.25">
      <c r="A1315" s="51" t="s">
        <v>189</v>
      </c>
      <c r="B1315" s="42" t="s">
        <v>614</v>
      </c>
      <c r="C1315" s="44" t="s">
        <v>1424</v>
      </c>
      <c r="D1315" s="42" t="s">
        <v>1425</v>
      </c>
      <c r="E1315" s="52">
        <v>200</v>
      </c>
      <c r="F1315" s="42" t="b">
        <v>1</v>
      </c>
      <c r="G1315" s="42">
        <v>0</v>
      </c>
      <c r="H1315" s="52">
        <v>0</v>
      </c>
      <c r="I1315" s="42">
        <v>0</v>
      </c>
      <c r="J1315" s="42">
        <v>0</v>
      </c>
      <c r="K1315" s="42">
        <v>0</v>
      </c>
      <c r="L1315" s="46" t="b">
        <v>0</v>
      </c>
      <c r="M1315" s="42">
        <v>0</v>
      </c>
      <c r="N1315" s="42">
        <v>0</v>
      </c>
      <c r="O1315" s="52">
        <v>0</v>
      </c>
      <c r="P1315" s="42">
        <v>0</v>
      </c>
      <c r="Q1315" s="42">
        <v>0</v>
      </c>
      <c r="R1315" s="42"/>
      <c r="S1315" s="42"/>
      <c r="T1315" s="42" t="s">
        <v>616</v>
      </c>
      <c r="U1315" t="str">
        <f>IFERROR(HYPERLINK("#'Main'!B"&amp;MATCH(TRIM(A1315),Main!B:B,0),"Open"),HYPERLINK("#'Main'!B1","Open"))</f>
        <v>Open</v>
      </c>
    </row>
    <row r="1316" spans="1:22" ht="30" customHeight="1" x14ac:dyDescent="0.25">
      <c r="A1316" s="50" t="s">
        <v>189</v>
      </c>
      <c r="B1316" s="33" t="s">
        <v>614</v>
      </c>
      <c r="C1316" s="37" t="s">
        <v>1426</v>
      </c>
      <c r="D1316" s="33" t="s">
        <v>1427</v>
      </c>
      <c r="E1316" s="52">
        <v>200</v>
      </c>
      <c r="F1316" s="33" t="b">
        <v>1</v>
      </c>
      <c r="G1316" s="33">
        <v>0</v>
      </c>
      <c r="H1316" s="52">
        <v>0</v>
      </c>
      <c r="I1316" s="33">
        <v>0</v>
      </c>
      <c r="J1316" s="33">
        <v>0</v>
      </c>
      <c r="K1316" s="33">
        <v>0</v>
      </c>
      <c r="L1316" s="40" t="b">
        <v>0</v>
      </c>
      <c r="M1316" s="33">
        <v>0</v>
      </c>
      <c r="N1316" s="33">
        <v>0</v>
      </c>
      <c r="O1316" s="52">
        <v>0</v>
      </c>
      <c r="P1316" s="33">
        <v>0</v>
      </c>
      <c r="Q1316" s="33">
        <v>0</v>
      </c>
      <c r="R1316" s="33"/>
      <c r="S1316" s="33"/>
      <c r="T1316" s="33" t="s">
        <v>616</v>
      </c>
      <c r="U1316" s="41" t="str">
        <f>IFERROR(HYPERLINK("#'Main'!B"&amp;MATCH(TRIM(A1316),Main!B:B,0),"Open"),HYPERLINK("#'Main'!B1","Open"))</f>
        <v>Open</v>
      </c>
      <c r="V1316" s="41"/>
    </row>
    <row r="1317" spans="1:22" ht="30" customHeight="1" x14ac:dyDescent="0.25">
      <c r="A1317" s="51" t="s">
        <v>189</v>
      </c>
      <c r="B1317" s="42" t="s">
        <v>614</v>
      </c>
      <c r="C1317" s="44" t="s">
        <v>1428</v>
      </c>
      <c r="D1317" s="42" t="s">
        <v>1429</v>
      </c>
      <c r="E1317" s="52">
        <v>200</v>
      </c>
      <c r="F1317" s="42" t="b">
        <v>1</v>
      </c>
      <c r="G1317" s="42">
        <v>0</v>
      </c>
      <c r="H1317" s="52">
        <v>0</v>
      </c>
      <c r="I1317" s="42">
        <v>0</v>
      </c>
      <c r="J1317" s="42">
        <v>0</v>
      </c>
      <c r="K1317" s="42">
        <v>0</v>
      </c>
      <c r="L1317" s="46" t="b">
        <v>0</v>
      </c>
      <c r="M1317" s="42">
        <v>0</v>
      </c>
      <c r="N1317" s="42">
        <v>0</v>
      </c>
      <c r="O1317" s="52">
        <v>0</v>
      </c>
      <c r="P1317" s="42">
        <v>0</v>
      </c>
      <c r="Q1317" s="42">
        <v>0</v>
      </c>
      <c r="R1317" s="42"/>
      <c r="S1317" s="42"/>
      <c r="T1317" s="42" t="s">
        <v>616</v>
      </c>
      <c r="U1317" t="str">
        <f>IFERROR(HYPERLINK("#'Main'!B"&amp;MATCH(TRIM(A1317),Main!B:B,0),"Open"),HYPERLINK("#'Main'!B1","Open"))</f>
        <v>Open</v>
      </c>
    </row>
    <row r="1318" spans="1:22" ht="30" customHeight="1" x14ac:dyDescent="0.25">
      <c r="A1318" s="50" t="s">
        <v>189</v>
      </c>
      <c r="B1318" s="33" t="s">
        <v>614</v>
      </c>
      <c r="C1318" s="37" t="s">
        <v>1430</v>
      </c>
      <c r="D1318" s="33" t="s">
        <v>1431</v>
      </c>
      <c r="E1318" s="52">
        <v>200</v>
      </c>
      <c r="F1318" s="33" t="b">
        <v>1</v>
      </c>
      <c r="G1318" s="33">
        <v>0</v>
      </c>
      <c r="H1318" s="52">
        <v>0</v>
      </c>
      <c r="I1318" s="33">
        <v>0</v>
      </c>
      <c r="J1318" s="33">
        <v>0</v>
      </c>
      <c r="K1318" s="33">
        <v>0</v>
      </c>
      <c r="L1318" s="40" t="b">
        <v>0</v>
      </c>
      <c r="M1318" s="33">
        <v>0</v>
      </c>
      <c r="N1318" s="33">
        <v>0</v>
      </c>
      <c r="O1318" s="52">
        <v>0</v>
      </c>
      <c r="P1318" s="33">
        <v>0</v>
      </c>
      <c r="Q1318" s="33">
        <v>0</v>
      </c>
      <c r="R1318" s="33"/>
      <c r="S1318" s="33"/>
      <c r="T1318" s="33" t="s">
        <v>616</v>
      </c>
      <c r="U1318" s="41" t="str">
        <f>IFERROR(HYPERLINK("#'Main'!B"&amp;MATCH(TRIM(A1318),Main!B:B,0),"Open"),HYPERLINK("#'Main'!B1","Open"))</f>
        <v>Open</v>
      </c>
      <c r="V1318" s="41"/>
    </row>
    <row r="1319" spans="1:22" ht="30" customHeight="1" x14ac:dyDescent="0.25">
      <c r="A1319" s="51" t="s">
        <v>189</v>
      </c>
      <c r="B1319" s="42" t="s">
        <v>614</v>
      </c>
      <c r="C1319" s="44" t="s">
        <v>1432</v>
      </c>
      <c r="D1319" s="42" t="s">
        <v>1433</v>
      </c>
      <c r="E1319" s="52">
        <v>200</v>
      </c>
      <c r="F1319" s="42" t="b">
        <v>1</v>
      </c>
      <c r="G1319" s="42">
        <v>0</v>
      </c>
      <c r="H1319" s="52">
        <v>0</v>
      </c>
      <c r="I1319" s="42">
        <v>0</v>
      </c>
      <c r="J1319" s="42">
        <v>0</v>
      </c>
      <c r="K1319" s="42">
        <v>0</v>
      </c>
      <c r="L1319" s="46" t="b">
        <v>0</v>
      </c>
      <c r="M1319" s="42">
        <v>0</v>
      </c>
      <c r="N1319" s="42">
        <v>0</v>
      </c>
      <c r="O1319" s="52">
        <v>0</v>
      </c>
      <c r="P1319" s="42">
        <v>0</v>
      </c>
      <c r="Q1319" s="42">
        <v>0</v>
      </c>
      <c r="R1319" s="42"/>
      <c r="S1319" s="42"/>
      <c r="T1319" s="42" t="s">
        <v>616</v>
      </c>
      <c r="U1319" t="str">
        <f>IFERROR(HYPERLINK("#'Main'!B"&amp;MATCH(TRIM(A1319),Main!B:B,0),"Open"),HYPERLINK("#'Main'!B1","Open"))</f>
        <v>Open</v>
      </c>
    </row>
    <row r="1320" spans="1:22" ht="30" customHeight="1" x14ac:dyDescent="0.25">
      <c r="A1320" s="50" t="s">
        <v>189</v>
      </c>
      <c r="B1320" s="33" t="s">
        <v>614</v>
      </c>
      <c r="C1320" s="37" t="s">
        <v>1434</v>
      </c>
      <c r="D1320" s="33" t="s">
        <v>1419</v>
      </c>
      <c r="E1320" s="34">
        <v>999</v>
      </c>
      <c r="F1320" s="33" t="b">
        <v>0</v>
      </c>
      <c r="G1320" s="33">
        <v>0</v>
      </c>
      <c r="H1320" s="52">
        <v>0</v>
      </c>
      <c r="I1320" s="33">
        <v>0</v>
      </c>
      <c r="J1320" s="33">
        <v>0</v>
      </c>
      <c r="K1320" s="33">
        <v>0</v>
      </c>
      <c r="L1320" s="40" t="b">
        <v>0</v>
      </c>
      <c r="M1320" s="33">
        <v>0</v>
      </c>
      <c r="N1320" s="33">
        <v>0</v>
      </c>
      <c r="O1320" s="52">
        <v>0</v>
      </c>
      <c r="P1320" s="33">
        <v>0</v>
      </c>
      <c r="Q1320" s="33">
        <v>0</v>
      </c>
      <c r="R1320" s="33"/>
      <c r="S1320" s="33"/>
      <c r="T1320" s="33" t="s">
        <v>616</v>
      </c>
      <c r="U1320" s="41" t="str">
        <f>IFERROR(HYPERLINK("#'Main'!B"&amp;MATCH(TRIM(A1320),Main!B:B,0),"Open"),HYPERLINK("#'Main'!B1","Open"))</f>
        <v>Open</v>
      </c>
      <c r="V1320" s="41"/>
    </row>
    <row r="1321" spans="1:22" ht="30" customHeight="1" x14ac:dyDescent="0.25">
      <c r="A1321" s="51" t="s">
        <v>189</v>
      </c>
      <c r="B1321" s="42" t="s">
        <v>614</v>
      </c>
      <c r="C1321" s="44" t="s">
        <v>1435</v>
      </c>
      <c r="D1321" s="42" t="s">
        <v>1436</v>
      </c>
      <c r="E1321" s="52">
        <v>200</v>
      </c>
      <c r="F1321" s="42" t="b">
        <v>1</v>
      </c>
      <c r="G1321" s="42">
        <v>0</v>
      </c>
      <c r="H1321" s="52">
        <v>0</v>
      </c>
      <c r="I1321" s="42">
        <v>0</v>
      </c>
      <c r="J1321" s="42">
        <v>0</v>
      </c>
      <c r="K1321" s="42">
        <v>0</v>
      </c>
      <c r="L1321" s="46" t="b">
        <v>0</v>
      </c>
      <c r="M1321" s="42">
        <v>0</v>
      </c>
      <c r="N1321" s="42">
        <v>0</v>
      </c>
      <c r="O1321" s="52">
        <v>0</v>
      </c>
      <c r="P1321" s="42">
        <v>0</v>
      </c>
      <c r="Q1321" s="42">
        <v>0</v>
      </c>
      <c r="R1321" s="42"/>
      <c r="S1321" s="42"/>
      <c r="T1321" s="42" t="s">
        <v>616</v>
      </c>
      <c r="U1321" t="str">
        <f>IFERROR(HYPERLINK("#'Main'!B"&amp;MATCH(TRIM(A1321),Main!B:B,0),"Open"),HYPERLINK("#'Main'!B1","Open"))</f>
        <v>Open</v>
      </c>
    </row>
    <row r="1322" spans="1:22" ht="30" customHeight="1" x14ac:dyDescent="0.25">
      <c r="A1322" s="50" t="s">
        <v>189</v>
      </c>
      <c r="B1322" s="33" t="s">
        <v>614</v>
      </c>
      <c r="C1322" s="37" t="s">
        <v>1437</v>
      </c>
      <c r="D1322" s="33" t="s">
        <v>1438</v>
      </c>
      <c r="E1322" s="52">
        <v>200</v>
      </c>
      <c r="F1322" s="33" t="b">
        <v>1</v>
      </c>
      <c r="G1322" s="33">
        <v>0</v>
      </c>
      <c r="H1322" s="52">
        <v>0</v>
      </c>
      <c r="I1322" s="33">
        <v>0</v>
      </c>
      <c r="J1322" s="33">
        <v>0</v>
      </c>
      <c r="K1322" s="33">
        <v>0</v>
      </c>
      <c r="L1322" s="40" t="b">
        <v>0</v>
      </c>
      <c r="M1322" s="33">
        <v>0</v>
      </c>
      <c r="N1322" s="33">
        <v>0</v>
      </c>
      <c r="O1322" s="52">
        <v>0</v>
      </c>
      <c r="P1322" s="33">
        <v>0</v>
      </c>
      <c r="Q1322" s="33">
        <v>0</v>
      </c>
      <c r="R1322" s="33"/>
      <c r="S1322" s="33"/>
      <c r="T1322" s="33" t="s">
        <v>616</v>
      </c>
      <c r="U1322" s="41" t="str">
        <f>IFERROR(HYPERLINK("#'Main'!B"&amp;MATCH(TRIM(A1322),Main!B:B,0),"Open"),HYPERLINK("#'Main'!B1","Open"))</f>
        <v>Open</v>
      </c>
      <c r="V1322" s="41"/>
    </row>
    <row r="1323" spans="1:22" ht="30" customHeight="1" x14ac:dyDescent="0.25">
      <c r="A1323" s="51" t="s">
        <v>189</v>
      </c>
      <c r="B1323" s="42" t="s">
        <v>614</v>
      </c>
      <c r="C1323" s="44" t="s">
        <v>1439</v>
      </c>
      <c r="D1323" s="42" t="s">
        <v>1440</v>
      </c>
      <c r="E1323" s="52">
        <v>200</v>
      </c>
      <c r="F1323" s="42" t="b">
        <v>1</v>
      </c>
      <c r="G1323" s="42">
        <v>0</v>
      </c>
      <c r="H1323" s="52">
        <v>0</v>
      </c>
      <c r="I1323" s="42">
        <v>0</v>
      </c>
      <c r="J1323" s="42">
        <v>0</v>
      </c>
      <c r="K1323" s="42">
        <v>0</v>
      </c>
      <c r="L1323" s="46" t="b">
        <v>0</v>
      </c>
      <c r="M1323" s="42">
        <v>0</v>
      </c>
      <c r="N1323" s="42">
        <v>0</v>
      </c>
      <c r="O1323" s="52">
        <v>0</v>
      </c>
      <c r="P1323" s="42">
        <v>0</v>
      </c>
      <c r="Q1323" s="42">
        <v>0</v>
      </c>
      <c r="R1323" s="42"/>
      <c r="S1323" s="42"/>
      <c r="T1323" s="42" t="s">
        <v>616</v>
      </c>
      <c r="U1323" t="str">
        <f>IFERROR(HYPERLINK("#'Main'!B"&amp;MATCH(TRIM(A1323),Main!B:B,0),"Open"),HYPERLINK("#'Main'!B1","Open"))</f>
        <v>Open</v>
      </c>
    </row>
    <row r="1324" spans="1:22" ht="30" customHeight="1" x14ac:dyDescent="0.25">
      <c r="A1324" s="50" t="s">
        <v>189</v>
      </c>
      <c r="B1324" s="33" t="s">
        <v>614</v>
      </c>
      <c r="C1324" s="37" t="s">
        <v>1441</v>
      </c>
      <c r="D1324" s="33" t="s">
        <v>1442</v>
      </c>
      <c r="E1324" s="52">
        <v>200</v>
      </c>
      <c r="F1324" s="33" t="b">
        <v>1</v>
      </c>
      <c r="G1324" s="33">
        <v>0</v>
      </c>
      <c r="H1324" s="52">
        <v>0</v>
      </c>
      <c r="I1324" s="33">
        <v>0</v>
      </c>
      <c r="J1324" s="33">
        <v>0</v>
      </c>
      <c r="K1324" s="33">
        <v>0</v>
      </c>
      <c r="L1324" s="40" t="b">
        <v>0</v>
      </c>
      <c r="M1324" s="33">
        <v>0</v>
      </c>
      <c r="N1324" s="33">
        <v>0</v>
      </c>
      <c r="O1324" s="52">
        <v>0</v>
      </c>
      <c r="P1324" s="33">
        <v>0</v>
      </c>
      <c r="Q1324" s="33">
        <v>0</v>
      </c>
      <c r="R1324" s="33"/>
      <c r="S1324" s="33"/>
      <c r="T1324" s="33" t="s">
        <v>616</v>
      </c>
      <c r="U1324" s="41" t="str">
        <f>IFERROR(HYPERLINK("#'Main'!B"&amp;MATCH(TRIM(A1324),Main!B:B,0),"Open"),HYPERLINK("#'Main'!B1","Open"))</f>
        <v>Open</v>
      </c>
      <c r="V1324" s="41"/>
    </row>
    <row r="1325" spans="1:22" ht="30" customHeight="1" x14ac:dyDescent="0.25">
      <c r="A1325" s="51" t="s">
        <v>189</v>
      </c>
      <c r="B1325" s="42" t="s">
        <v>614</v>
      </c>
      <c r="C1325" s="44" t="s">
        <v>1443</v>
      </c>
      <c r="D1325" s="42" t="s">
        <v>1444</v>
      </c>
      <c r="E1325" s="52">
        <v>200</v>
      </c>
      <c r="F1325" s="42" t="b">
        <v>1</v>
      </c>
      <c r="G1325" s="42">
        <v>0</v>
      </c>
      <c r="H1325" s="52">
        <v>0</v>
      </c>
      <c r="I1325" s="42">
        <v>0</v>
      </c>
      <c r="J1325" s="42">
        <v>0</v>
      </c>
      <c r="K1325" s="42">
        <v>0</v>
      </c>
      <c r="L1325" s="46" t="b">
        <v>0</v>
      </c>
      <c r="M1325" s="42">
        <v>0</v>
      </c>
      <c r="N1325" s="42">
        <v>0</v>
      </c>
      <c r="O1325" s="52">
        <v>0</v>
      </c>
      <c r="P1325" s="42">
        <v>0</v>
      </c>
      <c r="Q1325" s="42">
        <v>0</v>
      </c>
      <c r="R1325" s="42"/>
      <c r="S1325" s="42"/>
      <c r="T1325" s="42" t="s">
        <v>616</v>
      </c>
      <c r="U1325" t="str">
        <f>IFERROR(HYPERLINK("#'Main'!B"&amp;MATCH(TRIM(A1325),Main!B:B,0),"Open"),HYPERLINK("#'Main'!B1","Open"))</f>
        <v>Open</v>
      </c>
    </row>
    <row r="1326" spans="1:22" ht="30" customHeight="1" x14ac:dyDescent="0.25">
      <c r="A1326" s="50" t="s">
        <v>189</v>
      </c>
      <c r="B1326" s="33" t="s">
        <v>614</v>
      </c>
      <c r="C1326" s="37" t="s">
        <v>1445</v>
      </c>
      <c r="D1326" s="33" t="s">
        <v>1446</v>
      </c>
      <c r="E1326" s="52">
        <v>200</v>
      </c>
      <c r="F1326" s="33" t="b">
        <v>1</v>
      </c>
      <c r="G1326" s="33">
        <v>0</v>
      </c>
      <c r="H1326" s="52">
        <v>0</v>
      </c>
      <c r="I1326" s="33">
        <v>0</v>
      </c>
      <c r="J1326" s="33">
        <v>0</v>
      </c>
      <c r="K1326" s="33">
        <v>0</v>
      </c>
      <c r="L1326" s="40" t="b">
        <v>0</v>
      </c>
      <c r="M1326" s="33">
        <v>0</v>
      </c>
      <c r="N1326" s="33">
        <v>0</v>
      </c>
      <c r="O1326" s="52">
        <v>0</v>
      </c>
      <c r="P1326" s="33">
        <v>0</v>
      </c>
      <c r="Q1326" s="33">
        <v>0</v>
      </c>
      <c r="R1326" s="33"/>
      <c r="S1326" s="33"/>
      <c r="T1326" s="33" t="s">
        <v>616</v>
      </c>
      <c r="U1326" s="41" t="str">
        <f>IFERROR(HYPERLINK("#'Main'!B"&amp;MATCH(TRIM(A1326),Main!B:B,0),"Open"),HYPERLINK("#'Main'!B1","Open"))</f>
        <v>Open</v>
      </c>
      <c r="V1326" s="41"/>
    </row>
    <row r="1327" spans="1:22" ht="30" customHeight="1" x14ac:dyDescent="0.25">
      <c r="A1327" s="51" t="s">
        <v>189</v>
      </c>
      <c r="B1327" s="42" t="s">
        <v>614</v>
      </c>
      <c r="C1327" s="44" t="s">
        <v>1447</v>
      </c>
      <c r="D1327" s="42" t="s">
        <v>1448</v>
      </c>
      <c r="E1327" s="52">
        <v>200</v>
      </c>
      <c r="F1327" s="42" t="b">
        <v>1</v>
      </c>
      <c r="G1327" s="42">
        <v>0</v>
      </c>
      <c r="H1327" s="52">
        <v>0</v>
      </c>
      <c r="I1327" s="42">
        <v>0</v>
      </c>
      <c r="J1327" s="42">
        <v>0</v>
      </c>
      <c r="K1327" s="42">
        <v>0</v>
      </c>
      <c r="L1327" s="46" t="b">
        <v>0</v>
      </c>
      <c r="M1327" s="42">
        <v>0</v>
      </c>
      <c r="N1327" s="42">
        <v>0</v>
      </c>
      <c r="O1327" s="52">
        <v>0</v>
      </c>
      <c r="P1327" s="42">
        <v>0</v>
      </c>
      <c r="Q1327" s="42">
        <v>0</v>
      </c>
      <c r="R1327" s="42"/>
      <c r="S1327" s="42"/>
      <c r="T1327" s="42" t="s">
        <v>616</v>
      </c>
      <c r="U1327" t="str">
        <f>IFERROR(HYPERLINK("#'Main'!B"&amp;MATCH(TRIM(A1327),Main!B:B,0),"Open"),HYPERLINK("#'Main'!B1","Open"))</f>
        <v>Open</v>
      </c>
    </row>
    <row r="1328" spans="1:22" ht="30" customHeight="1" x14ac:dyDescent="0.25">
      <c r="A1328" s="50" t="s">
        <v>189</v>
      </c>
      <c r="B1328" s="33" t="s">
        <v>614</v>
      </c>
      <c r="C1328" s="37" t="s">
        <v>1449</v>
      </c>
      <c r="D1328" s="33" t="s">
        <v>1450</v>
      </c>
      <c r="E1328" s="52">
        <v>200</v>
      </c>
      <c r="F1328" s="33" t="b">
        <v>1</v>
      </c>
      <c r="G1328" s="33">
        <v>0</v>
      </c>
      <c r="H1328" s="52">
        <v>0</v>
      </c>
      <c r="I1328" s="33">
        <v>0</v>
      </c>
      <c r="J1328" s="33">
        <v>0</v>
      </c>
      <c r="K1328" s="33">
        <v>0</v>
      </c>
      <c r="L1328" s="40" t="b">
        <v>0</v>
      </c>
      <c r="M1328" s="33">
        <v>0</v>
      </c>
      <c r="N1328" s="33">
        <v>0</v>
      </c>
      <c r="O1328" s="52">
        <v>0</v>
      </c>
      <c r="P1328" s="33">
        <v>0</v>
      </c>
      <c r="Q1328" s="33">
        <v>0</v>
      </c>
      <c r="R1328" s="33"/>
      <c r="S1328" s="33"/>
      <c r="T1328" s="33" t="s">
        <v>616</v>
      </c>
      <c r="U1328" s="41" t="str">
        <f>IFERROR(HYPERLINK("#'Main'!B"&amp;MATCH(TRIM(A1328),Main!B:B,0),"Open"),HYPERLINK("#'Main'!B1","Open"))</f>
        <v>Open</v>
      </c>
      <c r="V1328" s="41"/>
    </row>
    <row r="1329" spans="1:22" ht="30" customHeight="1" x14ac:dyDescent="0.25">
      <c r="A1329" s="51" t="s">
        <v>189</v>
      </c>
      <c r="B1329" s="42" t="s">
        <v>614</v>
      </c>
      <c r="C1329" s="44" t="s">
        <v>1445</v>
      </c>
      <c r="D1329" s="42" t="s">
        <v>1446</v>
      </c>
      <c r="E1329" s="52">
        <v>200</v>
      </c>
      <c r="F1329" s="42" t="b">
        <v>1</v>
      </c>
      <c r="G1329" s="42">
        <v>0</v>
      </c>
      <c r="H1329" s="52">
        <v>0</v>
      </c>
      <c r="I1329" s="42">
        <v>0</v>
      </c>
      <c r="J1329" s="42">
        <v>0</v>
      </c>
      <c r="K1329" s="42">
        <v>0</v>
      </c>
      <c r="L1329" s="46" t="b">
        <v>0</v>
      </c>
      <c r="M1329" s="42">
        <v>0</v>
      </c>
      <c r="N1329" s="42">
        <v>0</v>
      </c>
      <c r="O1329" s="52">
        <v>0</v>
      </c>
      <c r="P1329" s="42">
        <v>0</v>
      </c>
      <c r="Q1329" s="42">
        <v>0</v>
      </c>
      <c r="R1329" s="42"/>
      <c r="S1329" s="42"/>
      <c r="T1329" s="42" t="s">
        <v>616</v>
      </c>
      <c r="U1329" t="str">
        <f>IFERROR(HYPERLINK("#'Main'!B"&amp;MATCH(TRIM(A1329),Main!B:B,0),"Open"),HYPERLINK("#'Main'!B1","Open"))</f>
        <v>Open</v>
      </c>
    </row>
    <row r="1330" spans="1:22" ht="30" customHeight="1" x14ac:dyDescent="0.25">
      <c r="A1330" s="50" t="s">
        <v>189</v>
      </c>
      <c r="B1330" s="33" t="s">
        <v>614</v>
      </c>
      <c r="C1330" s="37" t="s">
        <v>1449</v>
      </c>
      <c r="D1330" s="33" t="s">
        <v>1450</v>
      </c>
      <c r="E1330" s="52">
        <v>200</v>
      </c>
      <c r="F1330" s="33" t="b">
        <v>1</v>
      </c>
      <c r="G1330" s="33">
        <v>0</v>
      </c>
      <c r="H1330" s="52">
        <v>0</v>
      </c>
      <c r="I1330" s="33">
        <v>0</v>
      </c>
      <c r="J1330" s="33">
        <v>0</v>
      </c>
      <c r="K1330" s="33">
        <v>0</v>
      </c>
      <c r="L1330" s="40" t="b">
        <v>0</v>
      </c>
      <c r="M1330" s="33">
        <v>0</v>
      </c>
      <c r="N1330" s="33">
        <v>0</v>
      </c>
      <c r="O1330" s="52">
        <v>0</v>
      </c>
      <c r="P1330" s="33">
        <v>0</v>
      </c>
      <c r="Q1330" s="33">
        <v>0</v>
      </c>
      <c r="R1330" s="33"/>
      <c r="S1330" s="33"/>
      <c r="T1330" s="33" t="s">
        <v>616</v>
      </c>
      <c r="U1330" s="41" t="str">
        <f>IFERROR(HYPERLINK("#'Main'!B"&amp;MATCH(TRIM(A1330),Main!B:B,0),"Open"),HYPERLINK("#'Main'!B1","Open"))</f>
        <v>Open</v>
      </c>
      <c r="V1330" s="41"/>
    </row>
    <row r="1331" spans="1:22" ht="30" customHeight="1" x14ac:dyDescent="0.25">
      <c r="A1331" s="51" t="s">
        <v>189</v>
      </c>
      <c r="B1331" s="42" t="s">
        <v>614</v>
      </c>
      <c r="C1331" s="44" t="s">
        <v>1451</v>
      </c>
      <c r="D1331" s="42" t="s">
        <v>1452</v>
      </c>
      <c r="E1331" s="52">
        <v>200</v>
      </c>
      <c r="F1331" s="42" t="b">
        <v>1</v>
      </c>
      <c r="G1331" s="42">
        <v>0</v>
      </c>
      <c r="H1331" s="52">
        <v>0</v>
      </c>
      <c r="I1331" s="42">
        <v>0</v>
      </c>
      <c r="J1331" s="42">
        <v>0</v>
      </c>
      <c r="K1331" s="42">
        <v>0</v>
      </c>
      <c r="L1331" s="46" t="b">
        <v>0</v>
      </c>
      <c r="M1331" s="42">
        <v>0</v>
      </c>
      <c r="N1331" s="42">
        <v>0</v>
      </c>
      <c r="O1331" s="52">
        <v>0</v>
      </c>
      <c r="P1331" s="42">
        <v>0</v>
      </c>
      <c r="Q1331" s="42">
        <v>0</v>
      </c>
      <c r="R1331" s="42"/>
      <c r="S1331" s="42"/>
      <c r="T1331" s="42" t="s">
        <v>616</v>
      </c>
      <c r="U1331" t="str">
        <f>IFERROR(HYPERLINK("#'Main'!B"&amp;MATCH(TRIM(A1331),Main!B:B,0),"Open"),HYPERLINK("#'Main'!B1","Open"))</f>
        <v>Open</v>
      </c>
    </row>
    <row r="1332" spans="1:22" ht="30" customHeight="1" x14ac:dyDescent="0.25">
      <c r="A1332" s="50" t="s">
        <v>189</v>
      </c>
      <c r="B1332" s="33" t="s">
        <v>614</v>
      </c>
      <c r="C1332" s="37" t="s">
        <v>1447</v>
      </c>
      <c r="D1332" s="33" t="s">
        <v>1453</v>
      </c>
      <c r="E1332" s="52">
        <v>200</v>
      </c>
      <c r="F1332" s="33" t="b">
        <v>1</v>
      </c>
      <c r="G1332" s="33">
        <v>0</v>
      </c>
      <c r="H1332" s="52">
        <v>0</v>
      </c>
      <c r="I1332" s="33">
        <v>0</v>
      </c>
      <c r="J1332" s="33">
        <v>0</v>
      </c>
      <c r="K1332" s="33">
        <v>0</v>
      </c>
      <c r="L1332" s="40" t="b">
        <v>0</v>
      </c>
      <c r="M1332" s="33">
        <v>0</v>
      </c>
      <c r="N1332" s="33">
        <v>0</v>
      </c>
      <c r="O1332" s="52">
        <v>0</v>
      </c>
      <c r="P1332" s="33">
        <v>0</v>
      </c>
      <c r="Q1332" s="33">
        <v>0</v>
      </c>
      <c r="R1332" s="33"/>
      <c r="S1332" s="33"/>
      <c r="T1332" s="33" t="s">
        <v>616</v>
      </c>
      <c r="U1332" s="41" t="str">
        <f>IFERROR(HYPERLINK("#'Main'!B"&amp;MATCH(TRIM(A1332),Main!B:B,0),"Open"),HYPERLINK("#'Main'!B1","Open"))</f>
        <v>Open</v>
      </c>
      <c r="V1332" s="41"/>
    </row>
    <row r="1333" spans="1:22" ht="30" customHeight="1" x14ac:dyDescent="0.25">
      <c r="A1333" s="51" t="s">
        <v>189</v>
      </c>
      <c r="B1333" s="42" t="s">
        <v>614</v>
      </c>
      <c r="C1333" s="44" t="s">
        <v>1416</v>
      </c>
      <c r="D1333" s="42" t="s">
        <v>1417</v>
      </c>
      <c r="E1333" s="52">
        <v>200</v>
      </c>
      <c r="F1333" s="42" t="b">
        <v>1</v>
      </c>
      <c r="G1333" s="42">
        <v>0</v>
      </c>
      <c r="H1333" s="52">
        <v>0</v>
      </c>
      <c r="I1333" s="42">
        <v>0</v>
      </c>
      <c r="J1333" s="42">
        <v>0</v>
      </c>
      <c r="K1333" s="42">
        <v>0</v>
      </c>
      <c r="L1333" s="46" t="b">
        <v>0</v>
      </c>
      <c r="M1333" s="42">
        <v>0</v>
      </c>
      <c r="N1333" s="42">
        <v>0</v>
      </c>
      <c r="O1333" s="52">
        <v>0</v>
      </c>
      <c r="P1333" s="42">
        <v>0</v>
      </c>
      <c r="Q1333" s="42">
        <v>0</v>
      </c>
      <c r="R1333" s="42"/>
      <c r="S1333" s="42"/>
      <c r="T1333" s="42" t="s">
        <v>616</v>
      </c>
      <c r="U1333" t="str">
        <f>IFERROR(HYPERLINK("#'Main'!B"&amp;MATCH(TRIM(A1333),Main!B:B,0),"Open"),HYPERLINK("#'Main'!B1","Open"))</f>
        <v>Open</v>
      </c>
    </row>
    <row r="1334" spans="1:22" ht="30" customHeight="1" x14ac:dyDescent="0.25">
      <c r="A1334" s="50" t="s">
        <v>189</v>
      </c>
      <c r="B1334" s="33" t="s">
        <v>614</v>
      </c>
      <c r="C1334" s="37" t="s">
        <v>1434</v>
      </c>
      <c r="D1334" s="33" t="s">
        <v>1419</v>
      </c>
      <c r="E1334" s="34">
        <v>999</v>
      </c>
      <c r="F1334" s="33" t="b">
        <v>0</v>
      </c>
      <c r="G1334" s="33">
        <v>0</v>
      </c>
      <c r="H1334" s="52">
        <v>0</v>
      </c>
      <c r="I1334" s="33">
        <v>0</v>
      </c>
      <c r="J1334" s="33">
        <v>0</v>
      </c>
      <c r="K1334" s="33">
        <v>0</v>
      </c>
      <c r="L1334" s="40" t="b">
        <v>0</v>
      </c>
      <c r="M1334" s="33">
        <v>0</v>
      </c>
      <c r="N1334" s="33">
        <v>0</v>
      </c>
      <c r="O1334" s="52">
        <v>0</v>
      </c>
      <c r="P1334" s="33">
        <v>0</v>
      </c>
      <c r="Q1334" s="33">
        <v>0</v>
      </c>
      <c r="R1334" s="33"/>
      <c r="S1334" s="33"/>
      <c r="T1334" s="33" t="s">
        <v>616</v>
      </c>
      <c r="U1334" s="41" t="str">
        <f>IFERROR(HYPERLINK("#'Main'!B"&amp;MATCH(TRIM(A1334),Main!B:B,0),"Open"),HYPERLINK("#'Main'!B1","Open"))</f>
        <v>Open</v>
      </c>
      <c r="V1334" s="41"/>
    </row>
    <row r="1335" spans="1:22" ht="30" customHeight="1" x14ac:dyDescent="0.25">
      <c r="A1335" s="51" t="s">
        <v>189</v>
      </c>
      <c r="B1335" s="42" t="s">
        <v>614</v>
      </c>
      <c r="C1335" s="44" t="s">
        <v>1420</v>
      </c>
      <c r="D1335" s="42" t="s">
        <v>1421</v>
      </c>
      <c r="E1335" s="34">
        <v>999</v>
      </c>
      <c r="F1335" s="42" t="b">
        <v>0</v>
      </c>
      <c r="G1335" s="42">
        <v>0</v>
      </c>
      <c r="H1335" s="52">
        <v>0</v>
      </c>
      <c r="I1335" s="42">
        <v>0</v>
      </c>
      <c r="J1335" s="42">
        <v>0</v>
      </c>
      <c r="K1335" s="42">
        <v>0</v>
      </c>
      <c r="L1335" s="46" t="b">
        <v>0</v>
      </c>
      <c r="M1335" s="42">
        <v>0</v>
      </c>
      <c r="N1335" s="42">
        <v>0</v>
      </c>
      <c r="O1335" s="52">
        <v>0</v>
      </c>
      <c r="P1335" s="42">
        <v>0</v>
      </c>
      <c r="Q1335" s="42">
        <v>0</v>
      </c>
      <c r="R1335" s="42"/>
      <c r="S1335" s="42"/>
      <c r="T1335" s="42" t="s">
        <v>616</v>
      </c>
      <c r="U1335" t="str">
        <f>IFERROR(HYPERLINK("#'Main'!B"&amp;MATCH(TRIM(A1335),Main!B:B,0),"Open"),HYPERLINK("#'Main'!B1","Open"))</f>
        <v>Open</v>
      </c>
    </row>
    <row r="1336" spans="1:22" ht="30" customHeight="1" x14ac:dyDescent="0.25">
      <c r="A1336" s="50" t="s">
        <v>189</v>
      </c>
      <c r="B1336" s="33" t="s">
        <v>614</v>
      </c>
      <c r="C1336" s="37" t="s">
        <v>1422</v>
      </c>
      <c r="D1336" s="33" t="s">
        <v>1423</v>
      </c>
      <c r="E1336" s="52">
        <v>200</v>
      </c>
      <c r="F1336" s="33" t="b">
        <v>1</v>
      </c>
      <c r="G1336" s="33">
        <v>0</v>
      </c>
      <c r="H1336" s="52">
        <v>0</v>
      </c>
      <c r="I1336" s="33">
        <v>0</v>
      </c>
      <c r="J1336" s="33">
        <v>0</v>
      </c>
      <c r="K1336" s="33">
        <v>0</v>
      </c>
      <c r="L1336" s="40" t="b">
        <v>0</v>
      </c>
      <c r="M1336" s="33">
        <v>0</v>
      </c>
      <c r="N1336" s="33">
        <v>0</v>
      </c>
      <c r="O1336" s="52">
        <v>0</v>
      </c>
      <c r="P1336" s="33">
        <v>0</v>
      </c>
      <c r="Q1336" s="33">
        <v>0</v>
      </c>
      <c r="R1336" s="33"/>
      <c r="S1336" s="33"/>
      <c r="T1336" s="33" t="s">
        <v>616</v>
      </c>
      <c r="U1336" s="41" t="str">
        <f>IFERROR(HYPERLINK("#'Main'!B"&amp;MATCH(TRIM(A1336),Main!B:B,0),"Open"),HYPERLINK("#'Main'!B1","Open"))</f>
        <v>Open</v>
      </c>
      <c r="V1336" s="41"/>
    </row>
    <row r="1337" spans="1:22" ht="30" customHeight="1" x14ac:dyDescent="0.25">
      <c r="A1337" s="51" t="s">
        <v>189</v>
      </c>
      <c r="B1337" s="42" t="s">
        <v>614</v>
      </c>
      <c r="C1337" s="44" t="s">
        <v>1432</v>
      </c>
      <c r="D1337" s="42" t="s">
        <v>1433</v>
      </c>
      <c r="E1337" s="52">
        <v>200</v>
      </c>
      <c r="F1337" s="42" t="b">
        <v>1</v>
      </c>
      <c r="G1337" s="42">
        <v>0</v>
      </c>
      <c r="H1337" s="52">
        <v>0</v>
      </c>
      <c r="I1337" s="42">
        <v>0</v>
      </c>
      <c r="J1337" s="42">
        <v>0</v>
      </c>
      <c r="K1337" s="42">
        <v>0</v>
      </c>
      <c r="L1337" s="46" t="b">
        <v>0</v>
      </c>
      <c r="M1337" s="42">
        <v>0</v>
      </c>
      <c r="N1337" s="42">
        <v>0</v>
      </c>
      <c r="O1337" s="52">
        <v>0</v>
      </c>
      <c r="P1337" s="42">
        <v>0</v>
      </c>
      <c r="Q1337" s="42">
        <v>0</v>
      </c>
      <c r="R1337" s="42"/>
      <c r="S1337" s="42"/>
      <c r="T1337" s="42" t="s">
        <v>616</v>
      </c>
      <c r="U1337" t="str">
        <f>IFERROR(HYPERLINK("#'Main'!B"&amp;MATCH(TRIM(A1337),Main!B:B,0),"Open"),HYPERLINK("#'Main'!B1","Open"))</f>
        <v>Open</v>
      </c>
    </row>
    <row r="1338" spans="1:22" ht="30" customHeight="1" x14ac:dyDescent="0.25">
      <c r="A1338" s="50" t="s">
        <v>189</v>
      </c>
      <c r="B1338" s="33" t="s">
        <v>614</v>
      </c>
      <c r="C1338" s="37" t="s">
        <v>1434</v>
      </c>
      <c r="D1338" s="33" t="s">
        <v>1419</v>
      </c>
      <c r="E1338" s="34">
        <v>999</v>
      </c>
      <c r="F1338" s="33" t="b">
        <v>0</v>
      </c>
      <c r="G1338" s="33">
        <v>0</v>
      </c>
      <c r="H1338" s="52">
        <v>0</v>
      </c>
      <c r="I1338" s="33">
        <v>0</v>
      </c>
      <c r="J1338" s="33">
        <v>0</v>
      </c>
      <c r="K1338" s="33">
        <v>0</v>
      </c>
      <c r="L1338" s="40" t="b">
        <v>0</v>
      </c>
      <c r="M1338" s="33">
        <v>0</v>
      </c>
      <c r="N1338" s="33">
        <v>0</v>
      </c>
      <c r="O1338" s="52">
        <v>0</v>
      </c>
      <c r="P1338" s="33">
        <v>0</v>
      </c>
      <c r="Q1338" s="33">
        <v>0</v>
      </c>
      <c r="R1338" s="33"/>
      <c r="S1338" s="33"/>
      <c r="T1338" s="33" t="s">
        <v>616</v>
      </c>
      <c r="U1338" s="41" t="str">
        <f>IFERROR(HYPERLINK("#'Main'!B"&amp;MATCH(TRIM(A1338),Main!B:B,0),"Open"),HYPERLINK("#'Main'!B1","Open"))</f>
        <v>Open</v>
      </c>
      <c r="V1338" s="41"/>
    </row>
    <row r="1339" spans="1:22" ht="30" customHeight="1" x14ac:dyDescent="0.25">
      <c r="A1339" s="51" t="s">
        <v>189</v>
      </c>
      <c r="B1339" s="42" t="s">
        <v>614</v>
      </c>
      <c r="C1339" s="44" t="s">
        <v>1454</v>
      </c>
      <c r="D1339" s="42" t="s">
        <v>1436</v>
      </c>
      <c r="E1339" s="52">
        <v>200</v>
      </c>
      <c r="F1339" s="42" t="b">
        <v>1</v>
      </c>
      <c r="G1339" s="42">
        <v>0</v>
      </c>
      <c r="H1339" s="52">
        <v>0</v>
      </c>
      <c r="I1339" s="42">
        <v>0</v>
      </c>
      <c r="J1339" s="42">
        <v>0</v>
      </c>
      <c r="K1339" s="42">
        <v>0</v>
      </c>
      <c r="L1339" s="46" t="b">
        <v>0</v>
      </c>
      <c r="M1339" s="42">
        <v>0</v>
      </c>
      <c r="N1339" s="42">
        <v>0</v>
      </c>
      <c r="O1339" s="52">
        <v>0</v>
      </c>
      <c r="P1339" s="42">
        <v>0</v>
      </c>
      <c r="Q1339" s="42">
        <v>0</v>
      </c>
      <c r="R1339" s="42"/>
      <c r="S1339" s="42"/>
      <c r="T1339" s="42" t="s">
        <v>616</v>
      </c>
      <c r="U1339" t="str">
        <f>IFERROR(HYPERLINK("#'Main'!B"&amp;MATCH(TRIM(A1339),Main!B:B,0),"Open"),HYPERLINK("#'Main'!B1","Open"))</f>
        <v>Open</v>
      </c>
    </row>
    <row r="1340" spans="1:22" ht="30" customHeight="1" x14ac:dyDescent="0.25">
      <c r="A1340" s="50" t="s">
        <v>189</v>
      </c>
      <c r="B1340" s="33" t="s">
        <v>614</v>
      </c>
      <c r="C1340" s="37" t="s">
        <v>1455</v>
      </c>
      <c r="D1340" s="33" t="s">
        <v>1456</v>
      </c>
      <c r="E1340" s="52">
        <v>200</v>
      </c>
      <c r="F1340" s="33" t="b">
        <v>1</v>
      </c>
      <c r="G1340" s="33">
        <v>0</v>
      </c>
      <c r="H1340" s="52">
        <v>0</v>
      </c>
      <c r="I1340" s="33">
        <v>0</v>
      </c>
      <c r="J1340" s="33">
        <v>0</v>
      </c>
      <c r="K1340" s="33">
        <v>0</v>
      </c>
      <c r="L1340" s="40" t="b">
        <v>0</v>
      </c>
      <c r="M1340" s="33">
        <v>0</v>
      </c>
      <c r="N1340" s="33">
        <v>0</v>
      </c>
      <c r="O1340" s="52">
        <v>0</v>
      </c>
      <c r="P1340" s="33">
        <v>0</v>
      </c>
      <c r="Q1340" s="33">
        <v>0</v>
      </c>
      <c r="R1340" s="33"/>
      <c r="S1340" s="33"/>
      <c r="T1340" s="33" t="s">
        <v>616</v>
      </c>
      <c r="U1340" s="41" t="str">
        <f>IFERROR(HYPERLINK("#'Main'!B"&amp;MATCH(TRIM(A1340),Main!B:B,0),"Open"),HYPERLINK("#'Main'!B1","Open"))</f>
        <v>Open</v>
      </c>
      <c r="V1340" s="41"/>
    </row>
    <row r="1341" spans="1:22" ht="30" customHeight="1" x14ac:dyDescent="0.25">
      <c r="A1341" s="51" t="s">
        <v>189</v>
      </c>
      <c r="B1341" s="42" t="s">
        <v>614</v>
      </c>
      <c r="C1341" s="44" t="s">
        <v>1457</v>
      </c>
      <c r="D1341" s="42" t="s">
        <v>1458</v>
      </c>
      <c r="E1341" s="52">
        <v>200</v>
      </c>
      <c r="F1341" s="42" t="b">
        <v>1</v>
      </c>
      <c r="G1341" s="42">
        <v>0</v>
      </c>
      <c r="H1341" s="52">
        <v>0</v>
      </c>
      <c r="I1341" s="42">
        <v>0</v>
      </c>
      <c r="J1341" s="42">
        <v>0</v>
      </c>
      <c r="K1341" s="42">
        <v>0</v>
      </c>
      <c r="L1341" s="46" t="b">
        <v>0</v>
      </c>
      <c r="M1341" s="42">
        <v>0</v>
      </c>
      <c r="N1341" s="42">
        <v>0</v>
      </c>
      <c r="O1341" s="52">
        <v>0</v>
      </c>
      <c r="P1341" s="42">
        <v>0</v>
      </c>
      <c r="Q1341" s="42">
        <v>0</v>
      </c>
      <c r="R1341" s="42"/>
      <c r="S1341" s="42"/>
      <c r="T1341" s="42" t="s">
        <v>616</v>
      </c>
      <c r="U1341" t="str">
        <f>IFERROR(HYPERLINK("#'Main'!B"&amp;MATCH(TRIM(A1341),Main!B:B,0),"Open"),HYPERLINK("#'Main'!B1","Open"))</f>
        <v>Open</v>
      </c>
    </row>
    <row r="1342" spans="1:22" ht="30" customHeight="1" x14ac:dyDescent="0.25">
      <c r="A1342" s="50" t="s">
        <v>189</v>
      </c>
      <c r="B1342" s="33" t="s">
        <v>614</v>
      </c>
      <c r="C1342" s="37" t="s">
        <v>1459</v>
      </c>
      <c r="D1342" s="33" t="s">
        <v>1460</v>
      </c>
      <c r="E1342" s="52">
        <v>200</v>
      </c>
      <c r="F1342" s="33" t="b">
        <v>1</v>
      </c>
      <c r="G1342" s="33">
        <v>0</v>
      </c>
      <c r="H1342" s="52">
        <v>0</v>
      </c>
      <c r="I1342" s="33">
        <v>0</v>
      </c>
      <c r="J1342" s="33">
        <v>0</v>
      </c>
      <c r="K1342" s="33">
        <v>0</v>
      </c>
      <c r="L1342" s="40" t="b">
        <v>0</v>
      </c>
      <c r="M1342" s="33">
        <v>0</v>
      </c>
      <c r="N1342" s="33">
        <v>0</v>
      </c>
      <c r="O1342" s="52">
        <v>0</v>
      </c>
      <c r="P1342" s="33">
        <v>0</v>
      </c>
      <c r="Q1342" s="33">
        <v>0</v>
      </c>
      <c r="R1342" s="33"/>
      <c r="S1342" s="33"/>
      <c r="T1342" s="33" t="s">
        <v>616</v>
      </c>
      <c r="U1342" s="41" t="str">
        <f>IFERROR(HYPERLINK("#'Main'!B"&amp;MATCH(TRIM(A1342),Main!B:B,0),"Open"),HYPERLINK("#'Main'!B1","Open"))</f>
        <v>Open</v>
      </c>
      <c r="V1342" s="41"/>
    </row>
    <row r="1343" spans="1:22" ht="30" customHeight="1" x14ac:dyDescent="0.25">
      <c r="A1343" s="51" t="s">
        <v>189</v>
      </c>
      <c r="B1343" s="42" t="s">
        <v>614</v>
      </c>
      <c r="C1343" s="44" t="s">
        <v>1461</v>
      </c>
      <c r="D1343" s="42" t="s">
        <v>1462</v>
      </c>
      <c r="E1343" s="52">
        <v>200</v>
      </c>
      <c r="F1343" s="42" t="b">
        <v>1</v>
      </c>
      <c r="G1343" s="42">
        <v>0</v>
      </c>
      <c r="H1343" s="52">
        <v>0</v>
      </c>
      <c r="I1343" s="42">
        <v>0</v>
      </c>
      <c r="J1343" s="42">
        <v>0</v>
      </c>
      <c r="K1343" s="42">
        <v>0</v>
      </c>
      <c r="L1343" s="46" t="b">
        <v>0</v>
      </c>
      <c r="M1343" s="42">
        <v>0</v>
      </c>
      <c r="N1343" s="42">
        <v>0</v>
      </c>
      <c r="O1343" s="52">
        <v>0</v>
      </c>
      <c r="P1343" s="42">
        <v>0</v>
      </c>
      <c r="Q1343" s="42">
        <v>0</v>
      </c>
      <c r="R1343" s="42"/>
      <c r="S1343" s="42"/>
      <c r="T1343" s="42" t="s">
        <v>616</v>
      </c>
      <c r="U1343" t="str">
        <f>IFERROR(HYPERLINK("#'Main'!B"&amp;MATCH(TRIM(A1343),Main!B:B,0),"Open"),HYPERLINK("#'Main'!B1","Open"))</f>
        <v>Open</v>
      </c>
    </row>
    <row r="1344" spans="1:22" ht="30" customHeight="1" x14ac:dyDescent="0.25">
      <c r="A1344" s="50" t="s">
        <v>189</v>
      </c>
      <c r="B1344" s="33" t="s">
        <v>614</v>
      </c>
      <c r="C1344" s="37" t="s">
        <v>1463</v>
      </c>
      <c r="D1344" s="33" t="s">
        <v>1464</v>
      </c>
      <c r="E1344" s="52">
        <v>200</v>
      </c>
      <c r="F1344" s="33" t="b">
        <v>1</v>
      </c>
      <c r="G1344" s="33">
        <v>0</v>
      </c>
      <c r="H1344" s="52">
        <v>0</v>
      </c>
      <c r="I1344" s="33">
        <v>0</v>
      </c>
      <c r="J1344" s="33">
        <v>0</v>
      </c>
      <c r="K1344" s="33">
        <v>0</v>
      </c>
      <c r="L1344" s="40" t="b">
        <v>0</v>
      </c>
      <c r="M1344" s="33">
        <v>0</v>
      </c>
      <c r="N1344" s="33">
        <v>0</v>
      </c>
      <c r="O1344" s="52">
        <v>0</v>
      </c>
      <c r="P1344" s="33">
        <v>0</v>
      </c>
      <c r="Q1344" s="33">
        <v>0</v>
      </c>
      <c r="R1344" s="33"/>
      <c r="S1344" s="33"/>
      <c r="T1344" s="33" t="s">
        <v>616</v>
      </c>
      <c r="U1344" s="41" t="str">
        <f>IFERROR(HYPERLINK("#'Main'!B"&amp;MATCH(TRIM(A1344),Main!B:B,0),"Open"),HYPERLINK("#'Main'!B1","Open"))</f>
        <v>Open</v>
      </c>
      <c r="V1344" s="41"/>
    </row>
    <row r="1345" spans="1:22" ht="30" customHeight="1" x14ac:dyDescent="0.25">
      <c r="A1345" s="51" t="s">
        <v>189</v>
      </c>
      <c r="B1345" s="42" t="s">
        <v>614</v>
      </c>
      <c r="C1345" s="44" t="s">
        <v>1465</v>
      </c>
      <c r="D1345" s="42" t="s">
        <v>1466</v>
      </c>
      <c r="E1345" s="52">
        <v>200</v>
      </c>
      <c r="F1345" s="42" t="b">
        <v>1</v>
      </c>
      <c r="G1345" s="42">
        <v>0</v>
      </c>
      <c r="H1345" s="52">
        <v>0</v>
      </c>
      <c r="I1345" s="42">
        <v>0</v>
      </c>
      <c r="J1345" s="42">
        <v>0</v>
      </c>
      <c r="K1345" s="42">
        <v>0</v>
      </c>
      <c r="L1345" s="46" t="b">
        <v>0</v>
      </c>
      <c r="M1345" s="42">
        <v>0</v>
      </c>
      <c r="N1345" s="42">
        <v>0</v>
      </c>
      <c r="O1345" s="52">
        <v>0</v>
      </c>
      <c r="P1345" s="42">
        <v>0</v>
      </c>
      <c r="Q1345" s="42">
        <v>0</v>
      </c>
      <c r="R1345" s="42"/>
      <c r="S1345" s="42"/>
      <c r="T1345" s="42" t="s">
        <v>616</v>
      </c>
      <c r="U1345" t="str">
        <f>IFERROR(HYPERLINK("#'Main'!B"&amp;MATCH(TRIM(A1345),Main!B:B,0),"Open"),HYPERLINK("#'Main'!B1","Open"))</f>
        <v>Open</v>
      </c>
    </row>
    <row r="1346" spans="1:22" ht="30" customHeight="1" x14ac:dyDescent="0.25">
      <c r="A1346" s="50" t="s">
        <v>189</v>
      </c>
      <c r="B1346" s="33" t="s">
        <v>614</v>
      </c>
      <c r="C1346" s="37" t="s">
        <v>1467</v>
      </c>
      <c r="D1346" s="33" t="s">
        <v>1468</v>
      </c>
      <c r="E1346" s="52">
        <v>200</v>
      </c>
      <c r="F1346" s="33" t="b">
        <v>1</v>
      </c>
      <c r="G1346" s="33">
        <v>0</v>
      </c>
      <c r="H1346" s="52">
        <v>0</v>
      </c>
      <c r="I1346" s="33">
        <v>0</v>
      </c>
      <c r="J1346" s="33">
        <v>0</v>
      </c>
      <c r="K1346" s="33">
        <v>0</v>
      </c>
      <c r="L1346" s="40" t="b">
        <v>0</v>
      </c>
      <c r="M1346" s="33">
        <v>0</v>
      </c>
      <c r="N1346" s="33">
        <v>0</v>
      </c>
      <c r="O1346" s="52">
        <v>0</v>
      </c>
      <c r="P1346" s="33">
        <v>0</v>
      </c>
      <c r="Q1346" s="33">
        <v>0</v>
      </c>
      <c r="R1346" s="33"/>
      <c r="S1346" s="33"/>
      <c r="T1346" s="33" t="s">
        <v>616</v>
      </c>
      <c r="U1346" s="41" t="str">
        <f>IFERROR(HYPERLINK("#'Main'!B"&amp;MATCH(TRIM(A1346),Main!B:B,0),"Open"),HYPERLINK("#'Main'!B1","Open"))</f>
        <v>Open</v>
      </c>
      <c r="V1346" s="41"/>
    </row>
    <row r="1347" spans="1:22" ht="30" customHeight="1" x14ac:dyDescent="0.25">
      <c r="A1347" s="51" t="s">
        <v>189</v>
      </c>
      <c r="B1347" s="42" t="s">
        <v>614</v>
      </c>
      <c r="C1347" s="44" t="s">
        <v>1469</v>
      </c>
      <c r="D1347" s="42" t="s">
        <v>1470</v>
      </c>
      <c r="E1347" s="52">
        <v>200</v>
      </c>
      <c r="F1347" s="42" t="b">
        <v>1</v>
      </c>
      <c r="G1347" s="42">
        <v>0</v>
      </c>
      <c r="H1347" s="52">
        <v>0</v>
      </c>
      <c r="I1347" s="42">
        <v>0</v>
      </c>
      <c r="J1347" s="42">
        <v>0</v>
      </c>
      <c r="K1347" s="42">
        <v>0</v>
      </c>
      <c r="L1347" s="46" t="b">
        <v>0</v>
      </c>
      <c r="M1347" s="42">
        <v>0</v>
      </c>
      <c r="N1347" s="42">
        <v>0</v>
      </c>
      <c r="O1347" s="52">
        <v>0</v>
      </c>
      <c r="P1347" s="42">
        <v>0</v>
      </c>
      <c r="Q1347" s="42">
        <v>0</v>
      </c>
      <c r="R1347" s="42"/>
      <c r="S1347" s="42"/>
      <c r="T1347" s="42" t="s">
        <v>616</v>
      </c>
      <c r="U1347" t="str">
        <f>IFERROR(HYPERLINK("#'Main'!B"&amp;MATCH(TRIM(A1347),Main!B:B,0),"Open"),HYPERLINK("#'Main'!B1","Open"))</f>
        <v>Open</v>
      </c>
    </row>
    <row r="1348" spans="1:22" ht="30" customHeight="1" x14ac:dyDescent="0.25">
      <c r="A1348" s="50" t="s">
        <v>189</v>
      </c>
      <c r="B1348" s="33" t="s">
        <v>614</v>
      </c>
      <c r="C1348" s="37" t="s">
        <v>1471</v>
      </c>
      <c r="D1348" s="33" t="s">
        <v>1472</v>
      </c>
      <c r="E1348" s="52">
        <v>200</v>
      </c>
      <c r="F1348" s="33" t="b">
        <v>1</v>
      </c>
      <c r="G1348" s="33">
        <v>0</v>
      </c>
      <c r="H1348" s="52">
        <v>0</v>
      </c>
      <c r="I1348" s="33">
        <v>0</v>
      </c>
      <c r="J1348" s="33">
        <v>0</v>
      </c>
      <c r="K1348" s="33">
        <v>0</v>
      </c>
      <c r="L1348" s="40" t="b">
        <v>0</v>
      </c>
      <c r="M1348" s="33">
        <v>0</v>
      </c>
      <c r="N1348" s="33">
        <v>0</v>
      </c>
      <c r="O1348" s="52">
        <v>0</v>
      </c>
      <c r="P1348" s="33">
        <v>0</v>
      </c>
      <c r="Q1348" s="33">
        <v>0</v>
      </c>
      <c r="R1348" s="33"/>
      <c r="S1348" s="33"/>
      <c r="T1348" s="33" t="s">
        <v>616</v>
      </c>
      <c r="U1348" s="41" t="str">
        <f>IFERROR(HYPERLINK("#'Main'!B"&amp;MATCH(TRIM(A1348),Main!B:B,0),"Open"),HYPERLINK("#'Main'!B1","Open"))</f>
        <v>Open</v>
      </c>
      <c r="V1348" s="41"/>
    </row>
    <row r="1349" spans="1:22" ht="30" customHeight="1" x14ac:dyDescent="0.25">
      <c r="A1349" s="51" t="s">
        <v>189</v>
      </c>
      <c r="B1349" s="42" t="s">
        <v>614</v>
      </c>
      <c r="C1349" s="44" t="s">
        <v>1473</v>
      </c>
      <c r="D1349" s="42" t="s">
        <v>1474</v>
      </c>
      <c r="E1349" s="52">
        <v>200</v>
      </c>
      <c r="F1349" s="42" t="b">
        <v>1</v>
      </c>
      <c r="G1349" s="42">
        <v>0</v>
      </c>
      <c r="H1349" s="52">
        <v>0</v>
      </c>
      <c r="I1349" s="42">
        <v>0</v>
      </c>
      <c r="J1349" s="42">
        <v>0</v>
      </c>
      <c r="K1349" s="42">
        <v>0</v>
      </c>
      <c r="L1349" s="46" t="b">
        <v>0</v>
      </c>
      <c r="M1349" s="42">
        <v>0</v>
      </c>
      <c r="N1349" s="42">
        <v>0</v>
      </c>
      <c r="O1349" s="52">
        <v>0</v>
      </c>
      <c r="P1349" s="42">
        <v>0</v>
      </c>
      <c r="Q1349" s="42">
        <v>0</v>
      </c>
      <c r="R1349" s="42"/>
      <c r="S1349" s="42"/>
      <c r="T1349" s="42" t="s">
        <v>616</v>
      </c>
      <c r="U1349" t="str">
        <f>IFERROR(HYPERLINK("#'Main'!B"&amp;MATCH(TRIM(A1349),Main!B:B,0),"Open"),HYPERLINK("#'Main'!B1","Open"))</f>
        <v>Open</v>
      </c>
    </row>
    <row r="1350" spans="1:22" ht="30" customHeight="1" x14ac:dyDescent="0.25">
      <c r="A1350" s="50" t="s">
        <v>189</v>
      </c>
      <c r="B1350" s="33" t="s">
        <v>614</v>
      </c>
      <c r="C1350" s="37" t="s">
        <v>1475</v>
      </c>
      <c r="D1350" s="33" t="s">
        <v>1476</v>
      </c>
      <c r="E1350" s="52">
        <v>200</v>
      </c>
      <c r="F1350" s="33" t="b">
        <v>1</v>
      </c>
      <c r="G1350" s="33">
        <v>0</v>
      </c>
      <c r="H1350" s="52">
        <v>0</v>
      </c>
      <c r="I1350" s="33">
        <v>0</v>
      </c>
      <c r="J1350" s="33">
        <v>0</v>
      </c>
      <c r="K1350" s="33">
        <v>0</v>
      </c>
      <c r="L1350" s="40" t="b">
        <v>0</v>
      </c>
      <c r="M1350" s="33">
        <v>0</v>
      </c>
      <c r="N1350" s="33">
        <v>0</v>
      </c>
      <c r="O1350" s="52">
        <v>0</v>
      </c>
      <c r="P1350" s="33">
        <v>0</v>
      </c>
      <c r="Q1350" s="33">
        <v>0</v>
      </c>
      <c r="R1350" s="33"/>
      <c r="S1350" s="33"/>
      <c r="T1350" s="33" t="s">
        <v>616</v>
      </c>
      <c r="U1350" s="41" t="str">
        <f>IFERROR(HYPERLINK("#'Main'!B"&amp;MATCH(TRIM(A1350),Main!B:B,0),"Open"),HYPERLINK("#'Main'!B1","Open"))</f>
        <v>Open</v>
      </c>
      <c r="V1350" s="41"/>
    </row>
    <row r="1351" spans="1:22" ht="30" customHeight="1" x14ac:dyDescent="0.25">
      <c r="A1351" s="51" t="s">
        <v>189</v>
      </c>
      <c r="B1351" s="42" t="s">
        <v>614</v>
      </c>
      <c r="C1351" s="44" t="s">
        <v>1469</v>
      </c>
      <c r="D1351" s="42" t="s">
        <v>1470</v>
      </c>
      <c r="E1351" s="52">
        <v>200</v>
      </c>
      <c r="F1351" s="42" t="b">
        <v>1</v>
      </c>
      <c r="G1351" s="42">
        <v>0</v>
      </c>
      <c r="H1351" s="52">
        <v>0</v>
      </c>
      <c r="I1351" s="42">
        <v>0</v>
      </c>
      <c r="J1351" s="42">
        <v>0</v>
      </c>
      <c r="K1351" s="42">
        <v>0</v>
      </c>
      <c r="L1351" s="46" t="b">
        <v>0</v>
      </c>
      <c r="M1351" s="42">
        <v>0</v>
      </c>
      <c r="N1351" s="42">
        <v>0</v>
      </c>
      <c r="O1351" s="52">
        <v>0</v>
      </c>
      <c r="P1351" s="42">
        <v>0</v>
      </c>
      <c r="Q1351" s="42">
        <v>0</v>
      </c>
      <c r="R1351" s="42"/>
      <c r="S1351" s="42"/>
      <c r="T1351" s="42" t="s">
        <v>616</v>
      </c>
      <c r="U1351" t="str">
        <f>IFERROR(HYPERLINK("#'Main'!B"&amp;MATCH(TRIM(A1351),Main!B:B,0),"Open"),HYPERLINK("#'Main'!B1","Open"))</f>
        <v>Open</v>
      </c>
    </row>
    <row r="1352" spans="1:22" ht="30" customHeight="1" x14ac:dyDescent="0.25">
      <c r="A1352" s="50" t="s">
        <v>189</v>
      </c>
      <c r="B1352" s="33" t="s">
        <v>614</v>
      </c>
      <c r="C1352" s="37" t="s">
        <v>1477</v>
      </c>
      <c r="D1352" s="33" t="s">
        <v>1478</v>
      </c>
      <c r="E1352" s="34">
        <v>405</v>
      </c>
      <c r="F1352" s="33" t="b">
        <v>0</v>
      </c>
      <c r="G1352" s="33">
        <v>0</v>
      </c>
      <c r="H1352" s="52">
        <v>0</v>
      </c>
      <c r="I1352" s="33">
        <v>0</v>
      </c>
      <c r="J1352" s="33">
        <v>0</v>
      </c>
      <c r="K1352" s="33">
        <v>0</v>
      </c>
      <c r="L1352" s="40" t="b">
        <v>0</v>
      </c>
      <c r="M1352" s="33">
        <v>0</v>
      </c>
      <c r="N1352" s="33">
        <v>0</v>
      </c>
      <c r="O1352" s="52">
        <v>0</v>
      </c>
      <c r="P1352" s="33">
        <v>0</v>
      </c>
      <c r="Q1352" s="33">
        <v>0</v>
      </c>
      <c r="R1352" s="33"/>
      <c r="S1352" s="33"/>
      <c r="T1352" s="33" t="s">
        <v>616</v>
      </c>
      <c r="U1352" s="41" t="str">
        <f>IFERROR(HYPERLINK("#'Main'!B"&amp;MATCH(TRIM(A1352),Main!B:B,0),"Open"),HYPERLINK("#'Main'!B1","Open"))</f>
        <v>Open</v>
      </c>
      <c r="V1352" s="41"/>
    </row>
    <row r="1353" spans="1:22" ht="30" customHeight="1" x14ac:dyDescent="0.25">
      <c r="A1353" s="51" t="s">
        <v>189</v>
      </c>
      <c r="B1353" s="42" t="s">
        <v>614</v>
      </c>
      <c r="C1353" s="44" t="s">
        <v>1479</v>
      </c>
      <c r="D1353" s="42" t="s">
        <v>1480</v>
      </c>
      <c r="E1353" s="52">
        <v>200</v>
      </c>
      <c r="F1353" s="42" t="b">
        <v>1</v>
      </c>
      <c r="G1353" s="42">
        <v>0</v>
      </c>
      <c r="H1353" s="52">
        <v>0</v>
      </c>
      <c r="I1353" s="42">
        <v>0</v>
      </c>
      <c r="J1353" s="42">
        <v>0</v>
      </c>
      <c r="K1353" s="42">
        <v>0</v>
      </c>
      <c r="L1353" s="46" t="b">
        <v>0</v>
      </c>
      <c r="M1353" s="42">
        <v>0</v>
      </c>
      <c r="N1353" s="42">
        <v>0</v>
      </c>
      <c r="O1353" s="52">
        <v>0</v>
      </c>
      <c r="P1353" s="42">
        <v>0</v>
      </c>
      <c r="Q1353" s="42">
        <v>0</v>
      </c>
      <c r="R1353" s="42"/>
      <c r="S1353" s="42"/>
      <c r="T1353" s="42" t="s">
        <v>616</v>
      </c>
      <c r="U1353" t="str">
        <f>IFERROR(HYPERLINK("#'Main'!B"&amp;MATCH(TRIM(A1353),Main!B:B,0),"Open"),HYPERLINK("#'Main'!B1","Open"))</f>
        <v>Open</v>
      </c>
    </row>
    <row r="1354" spans="1:22" ht="30" customHeight="1" x14ac:dyDescent="0.25">
      <c r="A1354" s="50" t="s">
        <v>189</v>
      </c>
      <c r="B1354" s="33" t="s">
        <v>614</v>
      </c>
      <c r="C1354" s="37" t="s">
        <v>629</v>
      </c>
      <c r="D1354" s="33" t="s">
        <v>630</v>
      </c>
      <c r="E1354" s="52">
        <v>200</v>
      </c>
      <c r="F1354" s="33" t="b">
        <v>1</v>
      </c>
      <c r="G1354" s="33">
        <v>0</v>
      </c>
      <c r="H1354" s="52">
        <v>0</v>
      </c>
      <c r="I1354" s="33">
        <v>0</v>
      </c>
      <c r="J1354" s="33">
        <v>0</v>
      </c>
      <c r="K1354" s="33">
        <v>0</v>
      </c>
      <c r="L1354" s="40" t="b">
        <v>0</v>
      </c>
      <c r="M1354" s="33">
        <v>0</v>
      </c>
      <c r="N1354" s="33">
        <v>0</v>
      </c>
      <c r="O1354" s="52">
        <v>0</v>
      </c>
      <c r="P1354" s="33">
        <v>0</v>
      </c>
      <c r="Q1354" s="33">
        <v>0</v>
      </c>
      <c r="R1354" s="33"/>
      <c r="S1354" s="33"/>
      <c r="T1354" s="33" t="s">
        <v>616</v>
      </c>
      <c r="U1354" s="41" t="str">
        <f>IFERROR(HYPERLINK("#'Main'!B"&amp;MATCH(TRIM(A1354),Main!B:B,0),"Open"),HYPERLINK("#'Main'!B1","Open"))</f>
        <v>Open</v>
      </c>
      <c r="V1354" s="41"/>
    </row>
    <row r="1355" spans="1:22" ht="30" customHeight="1" x14ac:dyDescent="0.25">
      <c r="A1355" s="51" t="s">
        <v>189</v>
      </c>
      <c r="B1355" s="42" t="s">
        <v>614</v>
      </c>
      <c r="C1355" s="44" t="s">
        <v>631</v>
      </c>
      <c r="D1355" s="42"/>
      <c r="E1355" s="52">
        <v>200</v>
      </c>
      <c r="F1355" s="42" t="b">
        <v>1</v>
      </c>
      <c r="G1355" s="42">
        <v>0</v>
      </c>
      <c r="H1355" s="52">
        <v>0</v>
      </c>
      <c r="I1355" s="42">
        <v>0</v>
      </c>
      <c r="J1355" s="42">
        <v>0</v>
      </c>
      <c r="K1355" s="42">
        <v>0</v>
      </c>
      <c r="L1355" s="46" t="b">
        <v>0</v>
      </c>
      <c r="M1355" s="42">
        <v>0</v>
      </c>
      <c r="N1355" s="42">
        <v>0</v>
      </c>
      <c r="O1355" s="52">
        <v>0</v>
      </c>
      <c r="P1355" s="42">
        <v>0</v>
      </c>
      <c r="Q1355" s="42">
        <v>0</v>
      </c>
      <c r="R1355" s="42"/>
      <c r="S1355" s="42"/>
      <c r="T1355" s="42" t="s">
        <v>616</v>
      </c>
      <c r="U1355" t="str">
        <f>IFERROR(HYPERLINK("#'Main'!B"&amp;MATCH(TRIM(A1355),Main!B:B,0),"Open"),HYPERLINK("#'Main'!B1","Open"))</f>
        <v>Open</v>
      </c>
    </row>
    <row r="1356" spans="1:22" ht="30" customHeight="1" x14ac:dyDescent="0.25">
      <c r="A1356" s="50" t="s">
        <v>189</v>
      </c>
      <c r="B1356" s="33" t="s">
        <v>614</v>
      </c>
      <c r="C1356" s="37" t="s">
        <v>632</v>
      </c>
      <c r="D1356" s="33"/>
      <c r="E1356" s="52">
        <v>200</v>
      </c>
      <c r="F1356" s="33" t="b">
        <v>1</v>
      </c>
      <c r="G1356" s="33">
        <v>0</v>
      </c>
      <c r="H1356" s="52">
        <v>0</v>
      </c>
      <c r="I1356" s="33">
        <v>0</v>
      </c>
      <c r="J1356" s="33">
        <v>0</v>
      </c>
      <c r="K1356" s="33">
        <v>0</v>
      </c>
      <c r="L1356" s="40" t="b">
        <v>0</v>
      </c>
      <c r="M1356" s="33">
        <v>0</v>
      </c>
      <c r="N1356" s="33">
        <v>0</v>
      </c>
      <c r="O1356" s="52">
        <v>0</v>
      </c>
      <c r="P1356" s="33">
        <v>0</v>
      </c>
      <c r="Q1356" s="33">
        <v>0</v>
      </c>
      <c r="R1356" s="33"/>
      <c r="S1356" s="33"/>
      <c r="T1356" s="33" t="s">
        <v>616</v>
      </c>
      <c r="U1356" s="41" t="str">
        <f>IFERROR(HYPERLINK("#'Main'!B"&amp;MATCH(TRIM(A1356),Main!B:B,0),"Open"),HYPERLINK("#'Main'!B1","Open"))</f>
        <v>Open</v>
      </c>
      <c r="V1356" s="41"/>
    </row>
    <row r="1357" spans="1:22" ht="30" customHeight="1" x14ac:dyDescent="0.25">
      <c r="A1357" s="51" t="s">
        <v>189</v>
      </c>
      <c r="B1357" s="42" t="s">
        <v>614</v>
      </c>
      <c r="C1357" s="44" t="s">
        <v>633</v>
      </c>
      <c r="D1357" s="42"/>
      <c r="E1357" s="34">
        <v>403</v>
      </c>
      <c r="F1357" s="42" t="b">
        <v>0</v>
      </c>
      <c r="G1357" s="42">
        <v>0</v>
      </c>
      <c r="H1357" s="52">
        <v>0</v>
      </c>
      <c r="I1357" s="42">
        <v>0</v>
      </c>
      <c r="J1357" s="42">
        <v>0</v>
      </c>
      <c r="K1357" s="42">
        <v>0</v>
      </c>
      <c r="L1357" s="46" t="b">
        <v>0</v>
      </c>
      <c r="M1357" s="42">
        <v>0</v>
      </c>
      <c r="N1357" s="42">
        <v>0</v>
      </c>
      <c r="O1357" s="52">
        <v>0</v>
      </c>
      <c r="P1357" s="42">
        <v>0</v>
      </c>
      <c r="Q1357" s="42">
        <v>0</v>
      </c>
      <c r="R1357" s="42"/>
      <c r="S1357" s="42"/>
      <c r="T1357" s="42" t="s">
        <v>616</v>
      </c>
      <c r="U1357" t="str">
        <f>IFERROR(HYPERLINK("#'Main'!B"&amp;MATCH(TRIM(A1357),Main!B:B,0),"Open"),HYPERLINK("#'Main'!B1","Open"))</f>
        <v>Open</v>
      </c>
    </row>
    <row r="1358" spans="1:22" ht="30" customHeight="1" x14ac:dyDescent="0.25">
      <c r="A1358" s="50" t="s">
        <v>189</v>
      </c>
      <c r="B1358" s="33" t="s">
        <v>614</v>
      </c>
      <c r="C1358" s="37" t="s">
        <v>634</v>
      </c>
      <c r="D1358" s="33" t="s">
        <v>635</v>
      </c>
      <c r="E1358" s="52">
        <v>200</v>
      </c>
      <c r="F1358" s="33" t="b">
        <v>1</v>
      </c>
      <c r="G1358" s="33">
        <v>0</v>
      </c>
      <c r="H1358" s="52">
        <v>0</v>
      </c>
      <c r="I1358" s="33">
        <v>0</v>
      </c>
      <c r="J1358" s="33">
        <v>0</v>
      </c>
      <c r="K1358" s="33">
        <v>0</v>
      </c>
      <c r="L1358" s="40" t="b">
        <v>0</v>
      </c>
      <c r="M1358" s="33">
        <v>0</v>
      </c>
      <c r="N1358" s="33">
        <v>0</v>
      </c>
      <c r="O1358" s="52">
        <v>0</v>
      </c>
      <c r="P1358" s="33">
        <v>0</v>
      </c>
      <c r="Q1358" s="33">
        <v>0</v>
      </c>
      <c r="R1358" s="33"/>
      <c r="S1358" s="33"/>
      <c r="T1358" s="33" t="s">
        <v>616</v>
      </c>
      <c r="U1358" s="41" t="str">
        <f>IFERROR(HYPERLINK("#'Main'!B"&amp;MATCH(TRIM(A1358),Main!B:B,0),"Open"),HYPERLINK("#'Main'!B1","Open"))</f>
        <v>Open</v>
      </c>
      <c r="V1358" s="41"/>
    </row>
    <row r="1359" spans="1:22" ht="30" customHeight="1" x14ac:dyDescent="0.25">
      <c r="A1359" s="51" t="s">
        <v>189</v>
      </c>
      <c r="B1359" s="42" t="s">
        <v>614</v>
      </c>
      <c r="C1359" s="44" t="s">
        <v>636</v>
      </c>
      <c r="D1359" s="42" t="s">
        <v>637</v>
      </c>
      <c r="E1359" s="34">
        <v>404</v>
      </c>
      <c r="F1359" s="42" t="b">
        <v>0</v>
      </c>
      <c r="G1359" s="42">
        <v>0</v>
      </c>
      <c r="H1359" s="52">
        <v>0</v>
      </c>
      <c r="I1359" s="42">
        <v>0</v>
      </c>
      <c r="J1359" s="42">
        <v>0</v>
      </c>
      <c r="K1359" s="42">
        <v>0</v>
      </c>
      <c r="L1359" s="46" t="b">
        <v>0</v>
      </c>
      <c r="M1359" s="42">
        <v>0</v>
      </c>
      <c r="N1359" s="42">
        <v>0</v>
      </c>
      <c r="O1359" s="52">
        <v>0</v>
      </c>
      <c r="P1359" s="42">
        <v>0</v>
      </c>
      <c r="Q1359" s="42">
        <v>0</v>
      </c>
      <c r="R1359" s="42"/>
      <c r="S1359" s="42"/>
      <c r="T1359" s="42" t="s">
        <v>616</v>
      </c>
      <c r="U1359" t="str">
        <f>IFERROR(HYPERLINK("#'Main'!B"&amp;MATCH(TRIM(A1359),Main!B:B,0),"Open"),HYPERLINK("#'Main'!B1","Open"))</f>
        <v>Open</v>
      </c>
    </row>
    <row r="1360" spans="1:22" ht="30" customHeight="1" x14ac:dyDescent="0.25">
      <c r="A1360" s="50" t="s">
        <v>189</v>
      </c>
      <c r="B1360" s="33" t="s">
        <v>614</v>
      </c>
      <c r="C1360" s="37" t="s">
        <v>636</v>
      </c>
      <c r="D1360" s="33" t="s">
        <v>638</v>
      </c>
      <c r="E1360" s="34">
        <v>404</v>
      </c>
      <c r="F1360" s="33" t="b">
        <v>0</v>
      </c>
      <c r="G1360" s="33">
        <v>0</v>
      </c>
      <c r="H1360" s="52">
        <v>0</v>
      </c>
      <c r="I1360" s="33">
        <v>0</v>
      </c>
      <c r="J1360" s="33">
        <v>0</v>
      </c>
      <c r="K1360" s="33">
        <v>0</v>
      </c>
      <c r="L1360" s="40" t="b">
        <v>0</v>
      </c>
      <c r="M1360" s="33">
        <v>0</v>
      </c>
      <c r="N1360" s="33">
        <v>0</v>
      </c>
      <c r="O1360" s="52">
        <v>0</v>
      </c>
      <c r="P1360" s="33">
        <v>0</v>
      </c>
      <c r="Q1360" s="33">
        <v>0</v>
      </c>
      <c r="R1360" s="33"/>
      <c r="S1360" s="33"/>
      <c r="T1360" s="33" t="s">
        <v>616</v>
      </c>
      <c r="U1360" s="41" t="str">
        <f>IFERROR(HYPERLINK("#'Main'!B"&amp;MATCH(TRIM(A1360),Main!B:B,0),"Open"),HYPERLINK("#'Main'!B1","Open"))</f>
        <v>Open</v>
      </c>
      <c r="V1360" s="41"/>
    </row>
    <row r="1361" spans="1:22" ht="30" customHeight="1" x14ac:dyDescent="0.25">
      <c r="A1361" s="51" t="s">
        <v>146</v>
      </c>
      <c r="B1361" s="42" t="s">
        <v>1481</v>
      </c>
      <c r="C1361" s="44"/>
      <c r="D1361" s="42"/>
      <c r="E1361" s="42"/>
      <c r="F1361" s="42"/>
      <c r="G1361" s="42">
        <v>0</v>
      </c>
      <c r="H1361" s="52">
        <v>0</v>
      </c>
      <c r="I1361" s="42">
        <v>0</v>
      </c>
      <c r="J1361" s="42">
        <v>0</v>
      </c>
      <c r="K1361" s="42">
        <v>0</v>
      </c>
      <c r="L1361" s="46" t="b">
        <v>1</v>
      </c>
      <c r="M1361" s="42">
        <v>0</v>
      </c>
      <c r="N1361" s="42">
        <v>1.1213000000000001E-2</v>
      </c>
      <c r="O1361" s="52">
        <v>0</v>
      </c>
      <c r="P1361" s="42">
        <v>0</v>
      </c>
      <c r="Q1361" s="42">
        <v>0</v>
      </c>
      <c r="R1361" s="42"/>
      <c r="S1361" s="42"/>
      <c r="T1361" s="42" t="s">
        <v>1482</v>
      </c>
      <c r="U1361" t="str">
        <f>IFERROR(HYPERLINK("#'Main'!B"&amp;MATCH(TRIM(A1361),Main!B:B,0),"Open"),HYPERLINK("#'Main'!B1","Open"))</f>
        <v>Open</v>
      </c>
    </row>
    <row r="1362" spans="1:22" ht="120" customHeight="1" x14ac:dyDescent="0.25">
      <c r="A1362" s="50" t="s">
        <v>178</v>
      </c>
      <c r="B1362" s="33" t="s">
        <v>1481</v>
      </c>
      <c r="C1362" s="37"/>
      <c r="D1362" s="33"/>
      <c r="E1362" s="33"/>
      <c r="F1362" s="33"/>
      <c r="G1362" s="33">
        <v>0</v>
      </c>
      <c r="H1362" s="52">
        <v>0</v>
      </c>
      <c r="I1362" s="33">
        <v>0</v>
      </c>
      <c r="J1362" s="33">
        <v>0</v>
      </c>
      <c r="K1362" s="33">
        <v>6</v>
      </c>
      <c r="L1362" s="40" t="b">
        <v>0</v>
      </c>
      <c r="M1362" s="33">
        <v>1</v>
      </c>
      <c r="N1362" s="33">
        <v>0.147311</v>
      </c>
      <c r="O1362" s="52">
        <v>0</v>
      </c>
      <c r="P1362" s="33">
        <v>0</v>
      </c>
      <c r="Q1362" s="33">
        <v>0</v>
      </c>
      <c r="R1362" s="33" t="s">
        <v>1483</v>
      </c>
      <c r="S1362" s="33"/>
      <c r="T1362" s="33" t="s">
        <v>1482</v>
      </c>
      <c r="U1362" s="41" t="str">
        <f>IFERROR(HYPERLINK("#'Main'!B"&amp;MATCH(TRIM(A1362),Main!B:B,0),"Open"),HYPERLINK("#'Main'!B1","Open"))</f>
        <v>Open</v>
      </c>
      <c r="V1362" s="41"/>
    </row>
    <row r="1363" spans="1:22" ht="120" customHeight="1" x14ac:dyDescent="0.25">
      <c r="A1363" s="51" t="s">
        <v>176</v>
      </c>
      <c r="B1363" s="42" t="s">
        <v>1481</v>
      </c>
      <c r="C1363" s="44"/>
      <c r="D1363" s="42"/>
      <c r="E1363" s="42"/>
      <c r="F1363" s="42"/>
      <c r="G1363" s="42">
        <v>0</v>
      </c>
      <c r="H1363" s="52">
        <v>0</v>
      </c>
      <c r="I1363" s="42">
        <v>0</v>
      </c>
      <c r="J1363" s="42">
        <v>0</v>
      </c>
      <c r="K1363" s="42">
        <v>14</v>
      </c>
      <c r="L1363" s="46" t="b">
        <v>0</v>
      </c>
      <c r="M1363" s="42">
        <v>0</v>
      </c>
      <c r="N1363" s="42">
        <v>0.188917</v>
      </c>
      <c r="O1363" s="52">
        <v>0</v>
      </c>
      <c r="P1363" s="42">
        <v>0</v>
      </c>
      <c r="Q1363" s="42">
        <v>0</v>
      </c>
      <c r="R1363" s="42" t="s">
        <v>1484</v>
      </c>
      <c r="S1363" s="42"/>
      <c r="T1363" s="42" t="s">
        <v>1482</v>
      </c>
      <c r="U1363" t="str">
        <f>IFERROR(HYPERLINK("#'Main'!B"&amp;MATCH(TRIM(A1363),Main!B:B,0),"Open"),HYPERLINK("#'Main'!B1","Open"))</f>
        <v>Open</v>
      </c>
    </row>
    <row r="1364" spans="1:22" ht="120" customHeight="1" x14ac:dyDescent="0.25">
      <c r="A1364" s="50" t="s">
        <v>208</v>
      </c>
      <c r="B1364" s="33" t="s">
        <v>1481</v>
      </c>
      <c r="C1364" s="37"/>
      <c r="D1364" s="33"/>
      <c r="E1364" s="33"/>
      <c r="F1364" s="33"/>
      <c r="G1364" s="33">
        <v>0</v>
      </c>
      <c r="H1364" s="52">
        <v>0</v>
      </c>
      <c r="I1364" s="33">
        <v>0</v>
      </c>
      <c r="J1364" s="33">
        <v>0</v>
      </c>
      <c r="K1364" s="33">
        <v>6</v>
      </c>
      <c r="L1364" s="40" t="b">
        <v>0</v>
      </c>
      <c r="M1364" s="33">
        <v>1</v>
      </c>
      <c r="N1364" s="33">
        <v>0.147311</v>
      </c>
      <c r="O1364" s="52">
        <v>0</v>
      </c>
      <c r="P1364" s="33">
        <v>0</v>
      </c>
      <c r="Q1364" s="33">
        <v>0</v>
      </c>
      <c r="R1364" s="33" t="s">
        <v>1483</v>
      </c>
      <c r="S1364" s="33"/>
      <c r="T1364" s="33" t="s">
        <v>1482</v>
      </c>
      <c r="U1364" s="41" t="str">
        <f>IFERROR(HYPERLINK("#'Main'!B"&amp;MATCH(TRIM(A1364),Main!B:B,0),"Open"),HYPERLINK("#'Main'!B1","Open"))</f>
        <v>Open</v>
      </c>
      <c r="V1364" s="41"/>
    </row>
    <row r="1365" spans="1:22" ht="30" customHeight="1" x14ac:dyDescent="0.25">
      <c r="A1365" s="51" t="s">
        <v>155</v>
      </c>
      <c r="B1365" s="42" t="s">
        <v>1481</v>
      </c>
      <c r="C1365" s="44"/>
      <c r="D1365" s="42"/>
      <c r="E1365" s="42"/>
      <c r="F1365" s="42"/>
      <c r="G1365" s="42">
        <v>0</v>
      </c>
      <c r="H1365" s="52">
        <v>0</v>
      </c>
      <c r="I1365" s="42">
        <v>0</v>
      </c>
      <c r="J1365" s="42">
        <v>0</v>
      </c>
      <c r="K1365" s="42">
        <v>0</v>
      </c>
      <c r="L1365" s="46" t="b">
        <v>1</v>
      </c>
      <c r="M1365" s="42">
        <v>0</v>
      </c>
      <c r="N1365" s="42">
        <v>1.1213000000000001E-2</v>
      </c>
      <c r="O1365" s="52">
        <v>0</v>
      </c>
      <c r="P1365" s="42">
        <v>0</v>
      </c>
      <c r="Q1365" s="42">
        <v>0</v>
      </c>
      <c r="R1365" s="42"/>
      <c r="S1365" s="42"/>
      <c r="T1365" s="42" t="s">
        <v>1482</v>
      </c>
      <c r="U1365" t="str">
        <f>IFERROR(HYPERLINK("#'Main'!B"&amp;MATCH(TRIM(A1365),Main!B:B,0),"Open"),HYPERLINK("#'Main'!B1","Open"))</f>
        <v>Open</v>
      </c>
    </row>
    <row r="1366" spans="1:22" ht="30" customHeight="1" x14ac:dyDescent="0.25">
      <c r="A1366" s="50" t="s">
        <v>206</v>
      </c>
      <c r="B1366" s="33" t="s">
        <v>1481</v>
      </c>
      <c r="C1366" s="37"/>
      <c r="D1366" s="33"/>
      <c r="E1366" s="33"/>
      <c r="F1366" s="33"/>
      <c r="G1366" s="33">
        <v>0</v>
      </c>
      <c r="H1366" s="52">
        <v>0</v>
      </c>
      <c r="I1366" s="33">
        <v>0</v>
      </c>
      <c r="J1366" s="33">
        <v>0</v>
      </c>
      <c r="K1366" s="33">
        <v>0</v>
      </c>
      <c r="L1366" s="40" t="b">
        <v>1</v>
      </c>
      <c r="M1366" s="33">
        <v>0</v>
      </c>
      <c r="N1366" s="33">
        <v>1.1213000000000001E-2</v>
      </c>
      <c r="O1366" s="52">
        <v>0</v>
      </c>
      <c r="P1366" s="33">
        <v>0</v>
      </c>
      <c r="Q1366" s="33">
        <v>0</v>
      </c>
      <c r="R1366" s="33"/>
      <c r="S1366" s="33"/>
      <c r="T1366" s="33" t="s">
        <v>1482</v>
      </c>
      <c r="U1366" s="41" t="str">
        <f>IFERROR(HYPERLINK("#'Main'!B"&amp;MATCH(TRIM(A1366),Main!B:B,0),"Open"),HYPERLINK("#'Main'!B1","Open"))</f>
        <v>Open</v>
      </c>
      <c r="V1366" s="41"/>
    </row>
    <row r="1367" spans="1:22" ht="30" customHeight="1" x14ac:dyDescent="0.25">
      <c r="A1367" s="51" t="s">
        <v>207</v>
      </c>
      <c r="B1367" s="42" t="s">
        <v>1481</v>
      </c>
      <c r="C1367" s="44"/>
      <c r="D1367" s="42"/>
      <c r="E1367" s="42"/>
      <c r="F1367" s="42"/>
      <c r="G1367" s="42">
        <v>0</v>
      </c>
      <c r="H1367" s="52">
        <v>0</v>
      </c>
      <c r="I1367" s="42">
        <v>0</v>
      </c>
      <c r="J1367" s="42">
        <v>0</v>
      </c>
      <c r="K1367" s="42">
        <v>0</v>
      </c>
      <c r="L1367" s="46" t="b">
        <v>1</v>
      </c>
      <c r="M1367" s="42">
        <v>0</v>
      </c>
      <c r="N1367" s="42">
        <v>1.1213000000000001E-2</v>
      </c>
      <c r="O1367" s="52">
        <v>0</v>
      </c>
      <c r="P1367" s="42">
        <v>0</v>
      </c>
      <c r="Q1367" s="42">
        <v>0</v>
      </c>
      <c r="R1367" s="42"/>
      <c r="S1367" s="42"/>
      <c r="T1367" s="42" t="s">
        <v>1482</v>
      </c>
      <c r="U1367" t="str">
        <f>IFERROR(HYPERLINK("#'Main'!B"&amp;MATCH(TRIM(A1367),Main!B:B,0),"Open"),HYPERLINK("#'Main'!B1","Open"))</f>
        <v>Open</v>
      </c>
    </row>
    <row r="1368" spans="1:22" ht="120" customHeight="1" x14ac:dyDescent="0.25">
      <c r="A1368" s="50" t="s">
        <v>209</v>
      </c>
      <c r="B1368" s="33" t="s">
        <v>1481</v>
      </c>
      <c r="C1368" s="37"/>
      <c r="D1368" s="33"/>
      <c r="E1368" s="33"/>
      <c r="F1368" s="33"/>
      <c r="G1368" s="33">
        <v>0</v>
      </c>
      <c r="H1368" s="52">
        <v>0</v>
      </c>
      <c r="I1368" s="33">
        <v>0</v>
      </c>
      <c r="J1368" s="33">
        <v>0</v>
      </c>
      <c r="K1368" s="33">
        <v>8</v>
      </c>
      <c r="L1368" s="40" t="b">
        <v>0</v>
      </c>
      <c r="M1368" s="33">
        <v>0</v>
      </c>
      <c r="N1368" s="33">
        <v>5.2818999999999998E-2</v>
      </c>
      <c r="O1368" s="52">
        <v>0</v>
      </c>
      <c r="P1368" s="33">
        <v>0</v>
      </c>
      <c r="Q1368" s="33">
        <v>0</v>
      </c>
      <c r="R1368" s="33" t="s">
        <v>1485</v>
      </c>
      <c r="S1368" s="33"/>
      <c r="T1368" s="33" t="s">
        <v>1482</v>
      </c>
      <c r="U1368" s="41" t="str">
        <f>IFERROR(HYPERLINK("#'Main'!B"&amp;MATCH(TRIM(A1368),Main!B:B,0),"Open"),HYPERLINK("#'Main'!B1","Open"))</f>
        <v>Open</v>
      </c>
      <c r="V1368" s="41"/>
    </row>
    <row r="1369" spans="1:22" ht="30" customHeight="1" x14ac:dyDescent="0.25">
      <c r="A1369" s="51" t="s">
        <v>157</v>
      </c>
      <c r="B1369" s="42" t="s">
        <v>1481</v>
      </c>
      <c r="C1369" s="44"/>
      <c r="D1369" s="42"/>
      <c r="E1369" s="42"/>
      <c r="F1369" s="42"/>
      <c r="G1369" s="42">
        <v>0</v>
      </c>
      <c r="H1369" s="52">
        <v>0</v>
      </c>
      <c r="I1369" s="42">
        <v>0</v>
      </c>
      <c r="J1369" s="42">
        <v>0</v>
      </c>
      <c r="K1369" s="42">
        <v>0</v>
      </c>
      <c r="L1369" s="46" t="b">
        <v>1</v>
      </c>
      <c r="M1369" s="42">
        <v>0</v>
      </c>
      <c r="N1369" s="42">
        <v>1.1213000000000001E-2</v>
      </c>
      <c r="O1369" s="52">
        <v>0</v>
      </c>
      <c r="P1369" s="42">
        <v>0</v>
      </c>
      <c r="Q1369" s="42">
        <v>0</v>
      </c>
      <c r="R1369" s="42"/>
      <c r="S1369" s="42"/>
      <c r="T1369" s="42" t="s">
        <v>1482</v>
      </c>
      <c r="U1369" t="str">
        <f>IFERROR(HYPERLINK("#'Main'!B"&amp;MATCH(TRIM(A1369),Main!B:B,0),"Open"),HYPERLINK("#'Main'!B1","Open"))</f>
        <v>Open</v>
      </c>
    </row>
    <row r="1370" spans="1:22" ht="120" customHeight="1" x14ac:dyDescent="0.25">
      <c r="A1370" s="50" t="s">
        <v>210</v>
      </c>
      <c r="B1370" s="33" t="s">
        <v>1481</v>
      </c>
      <c r="C1370" s="37"/>
      <c r="D1370" s="33"/>
      <c r="E1370" s="33"/>
      <c r="F1370" s="33"/>
      <c r="G1370" s="33">
        <v>0</v>
      </c>
      <c r="H1370" s="52">
        <v>0</v>
      </c>
      <c r="I1370" s="33">
        <v>0</v>
      </c>
      <c r="J1370" s="33">
        <v>0</v>
      </c>
      <c r="K1370" s="33">
        <v>8</v>
      </c>
      <c r="L1370" s="40" t="b">
        <v>0</v>
      </c>
      <c r="M1370" s="33">
        <v>0</v>
      </c>
      <c r="N1370" s="33">
        <v>5.2818999999999998E-2</v>
      </c>
      <c r="O1370" s="52">
        <v>0</v>
      </c>
      <c r="P1370" s="33">
        <v>0</v>
      </c>
      <c r="Q1370" s="33">
        <v>0</v>
      </c>
      <c r="R1370" s="33" t="s">
        <v>1485</v>
      </c>
      <c r="S1370" s="33"/>
      <c r="T1370" s="33" t="s">
        <v>1482</v>
      </c>
      <c r="U1370" s="41" t="str">
        <f>IFERROR(HYPERLINK("#'Main'!B"&amp;MATCH(TRIM(A1370),Main!B:B,0),"Open"),HYPERLINK("#'Main'!B1","Open"))</f>
        <v>Open</v>
      </c>
      <c r="V1370" s="41"/>
    </row>
    <row r="1371" spans="1:22" ht="30" customHeight="1" x14ac:dyDescent="0.25">
      <c r="A1371" s="51" t="s">
        <v>211</v>
      </c>
      <c r="B1371" s="42" t="s">
        <v>1481</v>
      </c>
      <c r="C1371" s="44"/>
      <c r="D1371" s="42"/>
      <c r="E1371" s="42"/>
      <c r="F1371" s="42"/>
      <c r="G1371" s="42">
        <v>0</v>
      </c>
      <c r="H1371" s="52">
        <v>0</v>
      </c>
      <c r="I1371" s="42">
        <v>0</v>
      </c>
      <c r="J1371" s="42">
        <v>0</v>
      </c>
      <c r="K1371" s="42">
        <v>0</v>
      </c>
      <c r="L1371" s="46" t="b">
        <v>1</v>
      </c>
      <c r="M1371" s="42">
        <v>0</v>
      </c>
      <c r="N1371" s="42">
        <v>1.1213000000000001E-2</v>
      </c>
      <c r="O1371" s="52">
        <v>0</v>
      </c>
      <c r="P1371" s="42">
        <v>0</v>
      </c>
      <c r="Q1371" s="42">
        <v>0</v>
      </c>
      <c r="R1371" s="42"/>
      <c r="S1371" s="42"/>
      <c r="T1371" s="42" t="s">
        <v>1482</v>
      </c>
      <c r="U1371" t="str">
        <f>IFERROR(HYPERLINK("#'Main'!B"&amp;MATCH(TRIM(A1371),Main!B:B,0),"Open"),HYPERLINK("#'Main'!B1","Open"))</f>
        <v>Open</v>
      </c>
    </row>
    <row r="1372" spans="1:22" ht="30" customHeight="1" x14ac:dyDescent="0.25">
      <c r="A1372" s="50" t="s">
        <v>212</v>
      </c>
      <c r="B1372" s="33" t="s">
        <v>1481</v>
      </c>
      <c r="C1372" s="37"/>
      <c r="D1372" s="33"/>
      <c r="E1372" s="33"/>
      <c r="F1372" s="33"/>
      <c r="G1372" s="33">
        <v>0</v>
      </c>
      <c r="H1372" s="52">
        <v>0</v>
      </c>
      <c r="I1372" s="33">
        <v>0</v>
      </c>
      <c r="J1372" s="33">
        <v>0</v>
      </c>
      <c r="K1372" s="33">
        <v>0</v>
      </c>
      <c r="L1372" s="40" t="b">
        <v>1</v>
      </c>
      <c r="M1372" s="33">
        <v>0</v>
      </c>
      <c r="N1372" s="33">
        <v>1.1213000000000001E-2</v>
      </c>
      <c r="O1372" s="52">
        <v>0</v>
      </c>
      <c r="P1372" s="33">
        <v>0</v>
      </c>
      <c r="Q1372" s="33">
        <v>0</v>
      </c>
      <c r="R1372" s="33"/>
      <c r="S1372" s="33"/>
      <c r="T1372" s="33" t="s">
        <v>1482</v>
      </c>
      <c r="U1372" s="41" t="str">
        <f>IFERROR(HYPERLINK("#'Main'!B"&amp;MATCH(TRIM(A1372),Main!B:B,0),"Open"),HYPERLINK("#'Main'!B1","Open"))</f>
        <v>Open</v>
      </c>
      <c r="V1372" s="41"/>
    </row>
    <row r="1373" spans="1:22" ht="30" customHeight="1" x14ac:dyDescent="0.25">
      <c r="A1373" s="51" t="s">
        <v>213</v>
      </c>
      <c r="B1373" s="42" t="s">
        <v>1481</v>
      </c>
      <c r="C1373" s="44"/>
      <c r="D1373" s="42"/>
      <c r="E1373" s="42"/>
      <c r="F1373" s="42"/>
      <c r="G1373" s="42">
        <v>0</v>
      </c>
      <c r="H1373" s="52">
        <v>0</v>
      </c>
      <c r="I1373" s="42">
        <v>0</v>
      </c>
      <c r="J1373" s="42">
        <v>0</v>
      </c>
      <c r="K1373" s="42">
        <v>0</v>
      </c>
      <c r="L1373" s="46" t="b">
        <v>1</v>
      </c>
      <c r="M1373" s="42">
        <v>0</v>
      </c>
      <c r="N1373" s="42">
        <v>1.1213000000000001E-2</v>
      </c>
      <c r="O1373" s="52">
        <v>0</v>
      </c>
      <c r="P1373" s="42">
        <v>0</v>
      </c>
      <c r="Q1373" s="42">
        <v>0</v>
      </c>
      <c r="R1373" s="42"/>
      <c r="S1373" s="42"/>
      <c r="T1373" s="42" t="s">
        <v>1482</v>
      </c>
      <c r="U1373" t="str">
        <f>IFERROR(HYPERLINK("#'Main'!B"&amp;MATCH(TRIM(A1373),Main!B:B,0),"Open"),HYPERLINK("#'Main'!B1","Open"))</f>
        <v>Open</v>
      </c>
    </row>
    <row r="1374" spans="1:22" ht="120" customHeight="1" x14ac:dyDescent="0.25">
      <c r="A1374" s="50" t="s">
        <v>214</v>
      </c>
      <c r="B1374" s="33" t="s">
        <v>1481</v>
      </c>
      <c r="C1374" s="37"/>
      <c r="D1374" s="33"/>
      <c r="E1374" s="33"/>
      <c r="F1374" s="33"/>
      <c r="G1374" s="33">
        <v>0</v>
      </c>
      <c r="H1374" s="52">
        <v>0</v>
      </c>
      <c r="I1374" s="33">
        <v>0</v>
      </c>
      <c r="J1374" s="33">
        <v>0</v>
      </c>
      <c r="K1374" s="33">
        <v>9</v>
      </c>
      <c r="L1374" s="40" t="b">
        <v>0</v>
      </c>
      <c r="M1374" s="33">
        <v>0</v>
      </c>
      <c r="N1374" s="33">
        <v>6.7784999999999998E-2</v>
      </c>
      <c r="O1374" s="52">
        <v>0</v>
      </c>
      <c r="P1374" s="33">
        <v>0</v>
      </c>
      <c r="Q1374" s="33">
        <v>0</v>
      </c>
      <c r="R1374" s="33" t="s">
        <v>1486</v>
      </c>
      <c r="S1374" s="33"/>
      <c r="T1374" s="33" t="s">
        <v>1482</v>
      </c>
      <c r="U1374" s="41" t="str">
        <f>IFERROR(HYPERLINK("#'Main'!B"&amp;MATCH(TRIM(A1374),Main!B:B,0),"Open"),HYPERLINK("#'Main'!B1","Open"))</f>
        <v>Open</v>
      </c>
      <c r="V1374" s="41"/>
    </row>
    <row r="1375" spans="1:22" ht="120" customHeight="1" x14ac:dyDescent="0.25">
      <c r="A1375" s="51" t="s">
        <v>215</v>
      </c>
      <c r="B1375" s="42" t="s">
        <v>1481</v>
      </c>
      <c r="C1375" s="44"/>
      <c r="D1375" s="42"/>
      <c r="E1375" s="42"/>
      <c r="F1375" s="42"/>
      <c r="G1375" s="42">
        <v>0</v>
      </c>
      <c r="H1375" s="52">
        <v>0</v>
      </c>
      <c r="I1375" s="42">
        <v>0</v>
      </c>
      <c r="J1375" s="42">
        <v>0</v>
      </c>
      <c r="K1375" s="42">
        <v>8</v>
      </c>
      <c r="L1375" s="46" t="b">
        <v>0</v>
      </c>
      <c r="M1375" s="42">
        <v>0</v>
      </c>
      <c r="N1375" s="42">
        <v>5.2818999999999998E-2</v>
      </c>
      <c r="O1375" s="52">
        <v>0</v>
      </c>
      <c r="P1375" s="42">
        <v>0</v>
      </c>
      <c r="Q1375" s="42">
        <v>0</v>
      </c>
      <c r="R1375" s="42" t="s">
        <v>1485</v>
      </c>
      <c r="S1375" s="42"/>
      <c r="T1375" s="42" t="s">
        <v>1482</v>
      </c>
      <c r="U1375" t="str">
        <f>IFERROR(HYPERLINK("#'Main'!B"&amp;MATCH(TRIM(A1375),Main!B:B,0),"Open"),HYPERLINK("#'Main'!B1","Open"))</f>
        <v>Open</v>
      </c>
    </row>
    <row r="1376" spans="1:22" ht="30" customHeight="1" x14ac:dyDescent="0.25">
      <c r="A1376" s="50" t="s">
        <v>216</v>
      </c>
      <c r="B1376" s="33" t="s">
        <v>1481</v>
      </c>
      <c r="C1376" s="37"/>
      <c r="D1376" s="33"/>
      <c r="E1376" s="33"/>
      <c r="F1376" s="33"/>
      <c r="G1376" s="33">
        <v>0</v>
      </c>
      <c r="H1376" s="52">
        <v>0</v>
      </c>
      <c r="I1376" s="33">
        <v>0</v>
      </c>
      <c r="J1376" s="33">
        <v>0</v>
      </c>
      <c r="K1376" s="33">
        <v>0</v>
      </c>
      <c r="L1376" s="40" t="b">
        <v>1</v>
      </c>
      <c r="M1376" s="33">
        <v>0</v>
      </c>
      <c r="N1376" s="33">
        <v>1.1213000000000001E-2</v>
      </c>
      <c r="O1376" s="52">
        <v>0</v>
      </c>
      <c r="P1376" s="33">
        <v>0</v>
      </c>
      <c r="Q1376" s="33">
        <v>0</v>
      </c>
      <c r="R1376" s="33"/>
      <c r="S1376" s="33"/>
      <c r="T1376" s="33" t="s">
        <v>1482</v>
      </c>
      <c r="U1376" s="41" t="str">
        <f>IFERROR(HYPERLINK("#'Main'!B"&amp;MATCH(TRIM(A1376),Main!B:B,0),"Open"),HYPERLINK("#'Main'!B1","Open"))</f>
        <v>Open</v>
      </c>
      <c r="V1376" s="41"/>
    </row>
    <row r="1377" spans="1:22" ht="120" customHeight="1" x14ac:dyDescent="0.25">
      <c r="A1377" s="51" t="s">
        <v>217</v>
      </c>
      <c r="B1377" s="42" t="s">
        <v>1481</v>
      </c>
      <c r="C1377" s="44"/>
      <c r="D1377" s="42"/>
      <c r="E1377" s="42"/>
      <c r="F1377" s="42"/>
      <c r="G1377" s="42">
        <v>0</v>
      </c>
      <c r="H1377" s="52">
        <v>0</v>
      </c>
      <c r="I1377" s="42">
        <v>0</v>
      </c>
      <c r="J1377" s="42">
        <v>0</v>
      </c>
      <c r="K1377" s="42">
        <v>9</v>
      </c>
      <c r="L1377" s="46" t="b">
        <v>0</v>
      </c>
      <c r="M1377" s="42">
        <v>0</v>
      </c>
      <c r="N1377" s="42">
        <v>6.7784999999999998E-2</v>
      </c>
      <c r="O1377" s="52">
        <v>0</v>
      </c>
      <c r="P1377" s="42">
        <v>0</v>
      </c>
      <c r="Q1377" s="42">
        <v>0</v>
      </c>
      <c r="R1377" s="42" t="s">
        <v>1486</v>
      </c>
      <c r="S1377" s="42"/>
      <c r="T1377" s="42" t="s">
        <v>1482</v>
      </c>
      <c r="U1377" t="str">
        <f>IFERROR(HYPERLINK("#'Main'!B"&amp;MATCH(TRIM(A1377),Main!B:B,0),"Open"),HYPERLINK("#'Main'!B1","Open"))</f>
        <v>Open</v>
      </c>
    </row>
    <row r="1378" spans="1:22" ht="120" customHeight="1" x14ac:dyDescent="0.25">
      <c r="A1378" s="50" t="s">
        <v>219</v>
      </c>
      <c r="B1378" s="33" t="s">
        <v>1481</v>
      </c>
      <c r="C1378" s="37"/>
      <c r="D1378" s="33"/>
      <c r="E1378" s="33"/>
      <c r="F1378" s="33"/>
      <c r="G1378" s="33">
        <v>0</v>
      </c>
      <c r="H1378" s="52">
        <v>0</v>
      </c>
      <c r="I1378" s="33">
        <v>0</v>
      </c>
      <c r="J1378" s="33">
        <v>0</v>
      </c>
      <c r="K1378" s="33">
        <v>9</v>
      </c>
      <c r="L1378" s="40" t="b">
        <v>0</v>
      </c>
      <c r="M1378" s="33">
        <v>0</v>
      </c>
      <c r="N1378" s="33">
        <v>6.7784999999999998E-2</v>
      </c>
      <c r="O1378" s="52">
        <v>0</v>
      </c>
      <c r="P1378" s="33">
        <v>0</v>
      </c>
      <c r="Q1378" s="33">
        <v>0</v>
      </c>
      <c r="R1378" s="33" t="s">
        <v>1486</v>
      </c>
      <c r="S1378" s="33"/>
      <c r="T1378" s="33" t="s">
        <v>1482</v>
      </c>
      <c r="U1378" s="41" t="str">
        <f>IFERROR(HYPERLINK("#'Main'!B"&amp;MATCH(TRIM(A1378),Main!B:B,0),"Open"),HYPERLINK("#'Main'!B1","Open"))</f>
        <v>Open</v>
      </c>
      <c r="V1378" s="41"/>
    </row>
    <row r="1379" spans="1:22" ht="30" customHeight="1" x14ac:dyDescent="0.25">
      <c r="A1379" s="51" t="s">
        <v>218</v>
      </c>
      <c r="B1379" s="42" t="s">
        <v>1481</v>
      </c>
      <c r="C1379" s="44"/>
      <c r="D1379" s="42"/>
      <c r="E1379" s="42"/>
      <c r="F1379" s="42"/>
      <c r="G1379" s="42">
        <v>0</v>
      </c>
      <c r="H1379" s="52">
        <v>0</v>
      </c>
      <c r="I1379" s="42">
        <v>0</v>
      </c>
      <c r="J1379" s="42">
        <v>0</v>
      </c>
      <c r="K1379" s="42">
        <v>0</v>
      </c>
      <c r="L1379" s="46" t="b">
        <v>1</v>
      </c>
      <c r="M1379" s="42">
        <v>0</v>
      </c>
      <c r="N1379" s="42">
        <v>1.1213000000000001E-2</v>
      </c>
      <c r="O1379" s="52">
        <v>0</v>
      </c>
      <c r="P1379" s="42">
        <v>0</v>
      </c>
      <c r="Q1379" s="42">
        <v>0</v>
      </c>
      <c r="R1379" s="42"/>
      <c r="S1379" s="42"/>
      <c r="T1379" s="42" t="s">
        <v>1482</v>
      </c>
      <c r="U1379" t="str">
        <f>IFERROR(HYPERLINK("#'Main'!B"&amp;MATCH(TRIM(A1379),Main!B:B,0),"Open"),HYPERLINK("#'Main'!B1","Open"))</f>
        <v>Open</v>
      </c>
    </row>
    <row r="1380" spans="1:22" ht="30" customHeight="1" x14ac:dyDescent="0.25">
      <c r="A1380" s="50" t="s">
        <v>189</v>
      </c>
      <c r="B1380" s="33" t="s">
        <v>1481</v>
      </c>
      <c r="C1380" s="37"/>
      <c r="D1380" s="33"/>
      <c r="E1380" s="33"/>
      <c r="F1380" s="33"/>
      <c r="G1380" s="33">
        <v>0</v>
      </c>
      <c r="H1380" s="52">
        <v>0</v>
      </c>
      <c r="I1380" s="33">
        <v>0</v>
      </c>
      <c r="J1380" s="33">
        <v>0</v>
      </c>
      <c r="K1380" s="33">
        <v>1</v>
      </c>
      <c r="L1380" s="40" t="b">
        <v>0</v>
      </c>
      <c r="M1380" s="33">
        <v>2</v>
      </c>
      <c r="N1380" s="33">
        <v>4.2515999999999998E-2</v>
      </c>
      <c r="O1380" s="52">
        <v>0</v>
      </c>
      <c r="P1380" s="33">
        <v>0</v>
      </c>
      <c r="Q1380" s="33">
        <v>0</v>
      </c>
      <c r="R1380" s="33" t="s">
        <v>208</v>
      </c>
      <c r="S1380" s="33"/>
      <c r="T1380" s="33" t="s">
        <v>1482</v>
      </c>
      <c r="U1380" s="41" t="str">
        <f>IFERROR(HYPERLINK("#'Main'!B"&amp;MATCH(TRIM(A1380),Main!B:B,0),"Open"),HYPERLINK("#'Main'!B1","Open"))</f>
        <v>Open</v>
      </c>
      <c r="V1380" s="41"/>
    </row>
  </sheetData>
  <autoFilter ref="A1:V1380" xr:uid="{00000000-0009-0000-0000-000008000000}"/>
  <conditionalFormatting sqref="B2:B1380">
    <cfRule type="expression" dxfId="42" priority="7" stopIfTrue="1">
      <formula>OR(NOT(ISERROR(SEARCH("Critical",B2))),NOT(ISERROR(SEARCH("Non-Pass",B2))),NOT(ISERROR(SEARCH("Error",B2))))</formula>
    </cfRule>
    <cfRule type="expression" dxfId="41" priority="8" stopIfTrue="1">
      <formula>OR(NOT(ISERROR(SEARCH("Warning",B2))),NOT(ISERROR(SEARCH("Needs Work",B2))))</formula>
    </cfRule>
  </conditionalFormatting>
  <conditionalFormatting sqref="E2:E1380">
    <cfRule type="cellIs" dxfId="40" priority="1" operator="equal">
      <formula>200</formula>
    </cfRule>
    <cfRule type="cellIs" dxfId="39" priority="2" operator="between">
      <formula>300</formula>
      <formula>399</formula>
    </cfRule>
    <cfRule type="cellIs" dxfId="38" priority="3" operator="greaterThanOrEqual">
      <formula>400</formula>
    </cfRule>
  </conditionalFormatting>
  <conditionalFormatting sqref="F2:F1380">
    <cfRule type="expression" dxfId="37" priority="9" stopIfTrue="1">
      <formula>OR(NOT(ISERROR(SEARCH("Critical",F2))),NOT(ISERROR(SEARCH("Non-Pass",F2))),NOT(ISERROR(SEARCH("Error",F2))))</formula>
    </cfRule>
    <cfRule type="expression" dxfId="36" priority="10" stopIfTrue="1">
      <formula>OR(NOT(ISERROR(SEARCH("Warning",F2))),NOT(ISERROR(SEARCH("Needs Work",F2))))</formula>
    </cfRule>
  </conditionalFormatting>
  <conditionalFormatting sqref="G2:G1380">
    <cfRule type="dataBar" priority="6">
      <dataBar>
        <cfvo type="min"/>
        <cfvo type="max"/>
        <color rgb="FF638EC6"/>
      </dataBar>
    </cfRule>
  </conditionalFormatting>
  <conditionalFormatting sqref="K2:K1380">
    <cfRule type="dataBar" priority="4">
      <dataBar>
        <cfvo type="min"/>
        <cfvo type="max"/>
        <color rgb="FF638EC6"/>
      </dataBar>
    </cfRule>
  </conditionalFormatting>
  <conditionalFormatting sqref="N2:N1380">
    <cfRule type="dataBar" priority="5">
      <dataBar>
        <cfvo type="min"/>
        <cfvo type="max"/>
        <color rgb="FF638EC6"/>
      </dataBar>
    </cfRule>
  </conditionalFormatting>
  <hyperlinks>
    <hyperlink ref="V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 ref="A474" r:id="rId473" xr:uid="{00000000-0004-0000-0800-0000D9010000}"/>
    <hyperlink ref="A475" r:id="rId474" xr:uid="{00000000-0004-0000-0800-0000DA010000}"/>
    <hyperlink ref="A476" r:id="rId475" xr:uid="{00000000-0004-0000-0800-0000DB010000}"/>
    <hyperlink ref="A477" r:id="rId476" xr:uid="{00000000-0004-0000-0800-0000DC010000}"/>
    <hyperlink ref="A478" r:id="rId477" xr:uid="{00000000-0004-0000-0800-0000DD010000}"/>
    <hyperlink ref="A479" r:id="rId478" xr:uid="{00000000-0004-0000-0800-0000DE010000}"/>
    <hyperlink ref="A480" r:id="rId479" xr:uid="{00000000-0004-0000-0800-0000DF010000}"/>
    <hyperlink ref="A481" r:id="rId480" xr:uid="{00000000-0004-0000-0800-0000E0010000}"/>
    <hyperlink ref="A482" r:id="rId481" xr:uid="{00000000-0004-0000-0800-0000E1010000}"/>
    <hyperlink ref="A483" r:id="rId482" xr:uid="{00000000-0004-0000-0800-0000E2010000}"/>
    <hyperlink ref="A484" r:id="rId483" xr:uid="{00000000-0004-0000-0800-0000E3010000}"/>
    <hyperlink ref="A485" r:id="rId484" xr:uid="{00000000-0004-0000-0800-0000E4010000}"/>
    <hyperlink ref="A486" r:id="rId485" xr:uid="{00000000-0004-0000-0800-0000E5010000}"/>
    <hyperlink ref="A487" r:id="rId486" xr:uid="{00000000-0004-0000-0800-0000E6010000}"/>
    <hyperlink ref="A488" r:id="rId487" xr:uid="{00000000-0004-0000-0800-0000E7010000}"/>
    <hyperlink ref="A489" r:id="rId488" xr:uid="{00000000-0004-0000-0800-0000E8010000}"/>
    <hyperlink ref="A490" r:id="rId489" xr:uid="{00000000-0004-0000-0800-0000E9010000}"/>
    <hyperlink ref="A491" r:id="rId490" xr:uid="{00000000-0004-0000-0800-0000EA010000}"/>
    <hyperlink ref="A492" r:id="rId491" xr:uid="{00000000-0004-0000-0800-0000EB010000}"/>
    <hyperlink ref="A493" r:id="rId492" xr:uid="{00000000-0004-0000-0800-0000EC010000}"/>
    <hyperlink ref="A494" r:id="rId493" xr:uid="{00000000-0004-0000-0800-0000ED010000}"/>
    <hyperlink ref="A495" r:id="rId494" xr:uid="{00000000-0004-0000-0800-0000EE010000}"/>
    <hyperlink ref="A496" r:id="rId495" xr:uid="{00000000-0004-0000-0800-0000EF010000}"/>
    <hyperlink ref="A497" r:id="rId496" xr:uid="{00000000-0004-0000-0800-0000F0010000}"/>
    <hyperlink ref="A498" r:id="rId497" xr:uid="{00000000-0004-0000-0800-0000F1010000}"/>
    <hyperlink ref="A499" r:id="rId498" xr:uid="{00000000-0004-0000-0800-0000F2010000}"/>
    <hyperlink ref="A500" r:id="rId499" xr:uid="{00000000-0004-0000-0800-0000F3010000}"/>
    <hyperlink ref="A501" r:id="rId500" xr:uid="{00000000-0004-0000-0800-0000F4010000}"/>
    <hyperlink ref="A502" r:id="rId501" xr:uid="{00000000-0004-0000-0800-0000F5010000}"/>
    <hyperlink ref="A503" r:id="rId502" xr:uid="{00000000-0004-0000-0800-0000F6010000}"/>
    <hyperlink ref="A504" r:id="rId503" xr:uid="{00000000-0004-0000-0800-0000F7010000}"/>
    <hyperlink ref="A505" r:id="rId504" xr:uid="{00000000-0004-0000-0800-0000F8010000}"/>
    <hyperlink ref="A506" r:id="rId505" xr:uid="{00000000-0004-0000-0800-0000F9010000}"/>
    <hyperlink ref="A507" r:id="rId506" xr:uid="{00000000-0004-0000-0800-0000FA010000}"/>
    <hyperlink ref="A508" r:id="rId507" xr:uid="{00000000-0004-0000-0800-0000FB010000}"/>
    <hyperlink ref="A509" r:id="rId508" xr:uid="{00000000-0004-0000-0800-0000FC010000}"/>
    <hyperlink ref="A510" r:id="rId509" xr:uid="{00000000-0004-0000-0800-0000FD010000}"/>
    <hyperlink ref="A511" r:id="rId510" xr:uid="{00000000-0004-0000-0800-0000FE010000}"/>
    <hyperlink ref="A512" r:id="rId511" xr:uid="{00000000-0004-0000-0800-0000FF010000}"/>
    <hyperlink ref="A513" r:id="rId512" xr:uid="{00000000-0004-0000-0800-000000020000}"/>
    <hyperlink ref="A514" r:id="rId513" xr:uid="{00000000-0004-0000-0800-000001020000}"/>
    <hyperlink ref="A515" r:id="rId514" xr:uid="{00000000-0004-0000-0800-000002020000}"/>
    <hyperlink ref="A516" r:id="rId515" xr:uid="{00000000-0004-0000-0800-000003020000}"/>
    <hyperlink ref="A517" r:id="rId516" xr:uid="{00000000-0004-0000-0800-000004020000}"/>
    <hyperlink ref="A518" r:id="rId517" xr:uid="{00000000-0004-0000-0800-000005020000}"/>
    <hyperlink ref="A519" r:id="rId518" xr:uid="{00000000-0004-0000-0800-000006020000}"/>
    <hyperlink ref="A520" r:id="rId519" xr:uid="{00000000-0004-0000-0800-000007020000}"/>
    <hyperlink ref="A521" r:id="rId520" xr:uid="{00000000-0004-0000-0800-000008020000}"/>
    <hyperlink ref="A522" r:id="rId521" xr:uid="{00000000-0004-0000-0800-000009020000}"/>
    <hyperlink ref="A523" r:id="rId522" xr:uid="{00000000-0004-0000-0800-00000A020000}"/>
    <hyperlink ref="A524" r:id="rId523" xr:uid="{00000000-0004-0000-0800-00000B020000}"/>
    <hyperlink ref="A525" r:id="rId524" xr:uid="{00000000-0004-0000-0800-00000C020000}"/>
    <hyperlink ref="A526" r:id="rId525" xr:uid="{00000000-0004-0000-0800-00000D020000}"/>
    <hyperlink ref="A527" r:id="rId526" xr:uid="{00000000-0004-0000-0800-00000E020000}"/>
    <hyperlink ref="A528" r:id="rId527" xr:uid="{00000000-0004-0000-0800-00000F020000}"/>
    <hyperlink ref="A529" r:id="rId528" xr:uid="{00000000-0004-0000-0800-000010020000}"/>
    <hyperlink ref="A530" r:id="rId529" xr:uid="{00000000-0004-0000-0800-000011020000}"/>
    <hyperlink ref="A531" r:id="rId530" xr:uid="{00000000-0004-0000-0800-000012020000}"/>
    <hyperlink ref="A532" r:id="rId531" xr:uid="{00000000-0004-0000-0800-000013020000}"/>
    <hyperlink ref="A533" r:id="rId532" xr:uid="{00000000-0004-0000-0800-000014020000}"/>
    <hyperlink ref="A534" r:id="rId533" xr:uid="{00000000-0004-0000-0800-000015020000}"/>
    <hyperlink ref="A535" r:id="rId534" xr:uid="{00000000-0004-0000-0800-000016020000}"/>
    <hyperlink ref="A536" r:id="rId535" xr:uid="{00000000-0004-0000-0800-000017020000}"/>
    <hyperlink ref="A537" r:id="rId536" xr:uid="{00000000-0004-0000-0800-000018020000}"/>
    <hyperlink ref="A538" r:id="rId537" xr:uid="{00000000-0004-0000-0800-000019020000}"/>
    <hyperlink ref="A539" r:id="rId538" xr:uid="{00000000-0004-0000-0800-00001A020000}"/>
    <hyperlink ref="A540" r:id="rId539" xr:uid="{00000000-0004-0000-0800-00001B020000}"/>
    <hyperlink ref="A541" r:id="rId540" xr:uid="{00000000-0004-0000-0800-00001C020000}"/>
    <hyperlink ref="A542" r:id="rId541" xr:uid="{00000000-0004-0000-0800-00001D020000}"/>
    <hyperlink ref="A543" r:id="rId542" xr:uid="{00000000-0004-0000-0800-00001E020000}"/>
    <hyperlink ref="A544" r:id="rId543" xr:uid="{00000000-0004-0000-0800-00001F020000}"/>
    <hyperlink ref="A545" r:id="rId544" xr:uid="{00000000-0004-0000-0800-000020020000}"/>
    <hyperlink ref="A546" r:id="rId545" xr:uid="{00000000-0004-0000-0800-000021020000}"/>
    <hyperlink ref="A547" r:id="rId546" xr:uid="{00000000-0004-0000-0800-000022020000}"/>
    <hyperlink ref="A548" r:id="rId547" xr:uid="{00000000-0004-0000-0800-000023020000}"/>
    <hyperlink ref="A549" r:id="rId548" xr:uid="{00000000-0004-0000-0800-000024020000}"/>
    <hyperlink ref="A550" r:id="rId549" xr:uid="{00000000-0004-0000-0800-000025020000}"/>
    <hyperlink ref="A551" r:id="rId550" xr:uid="{00000000-0004-0000-0800-000026020000}"/>
    <hyperlink ref="A552" r:id="rId551" xr:uid="{00000000-0004-0000-0800-000027020000}"/>
    <hyperlink ref="A553" r:id="rId552" xr:uid="{00000000-0004-0000-0800-000028020000}"/>
    <hyperlink ref="A554" r:id="rId553" xr:uid="{00000000-0004-0000-0800-000029020000}"/>
    <hyperlink ref="A555" r:id="rId554" xr:uid="{00000000-0004-0000-0800-00002A020000}"/>
    <hyperlink ref="A556" r:id="rId555" xr:uid="{00000000-0004-0000-0800-00002B020000}"/>
    <hyperlink ref="A557" r:id="rId556" xr:uid="{00000000-0004-0000-0800-00002C020000}"/>
    <hyperlink ref="A558" r:id="rId557" xr:uid="{00000000-0004-0000-0800-00002D020000}"/>
    <hyperlink ref="A559" r:id="rId558" xr:uid="{00000000-0004-0000-0800-00002E020000}"/>
    <hyperlink ref="A560" r:id="rId559" xr:uid="{00000000-0004-0000-0800-00002F020000}"/>
    <hyperlink ref="A561" r:id="rId560" xr:uid="{00000000-0004-0000-0800-000030020000}"/>
    <hyperlink ref="A562" r:id="rId561" xr:uid="{00000000-0004-0000-0800-000031020000}"/>
    <hyperlink ref="A563" r:id="rId562" xr:uid="{00000000-0004-0000-0800-000032020000}"/>
    <hyperlink ref="A564" r:id="rId563" xr:uid="{00000000-0004-0000-0800-000033020000}"/>
    <hyperlink ref="A565" r:id="rId564" xr:uid="{00000000-0004-0000-0800-000034020000}"/>
    <hyperlink ref="A566" r:id="rId565" xr:uid="{00000000-0004-0000-0800-000035020000}"/>
    <hyperlink ref="A567" r:id="rId566" xr:uid="{00000000-0004-0000-0800-000036020000}"/>
    <hyperlink ref="A568" r:id="rId567" xr:uid="{00000000-0004-0000-0800-000037020000}"/>
    <hyperlink ref="A569" r:id="rId568" xr:uid="{00000000-0004-0000-0800-000038020000}"/>
    <hyperlink ref="A570" r:id="rId569" xr:uid="{00000000-0004-0000-0800-000039020000}"/>
    <hyperlink ref="A571" r:id="rId570" xr:uid="{00000000-0004-0000-0800-00003A020000}"/>
    <hyperlink ref="A572" r:id="rId571" xr:uid="{00000000-0004-0000-0800-00003B020000}"/>
    <hyperlink ref="A573" r:id="rId572" xr:uid="{00000000-0004-0000-0800-00003C020000}"/>
    <hyperlink ref="A574" r:id="rId573" xr:uid="{00000000-0004-0000-0800-00003D020000}"/>
    <hyperlink ref="A575" r:id="rId574" xr:uid="{00000000-0004-0000-0800-00003E020000}"/>
    <hyperlink ref="A576" r:id="rId575" xr:uid="{00000000-0004-0000-0800-00003F020000}"/>
    <hyperlink ref="A577" r:id="rId576" xr:uid="{00000000-0004-0000-0800-000040020000}"/>
    <hyperlink ref="A578" r:id="rId577" xr:uid="{00000000-0004-0000-0800-000041020000}"/>
    <hyperlink ref="A579" r:id="rId578" xr:uid="{00000000-0004-0000-0800-000042020000}"/>
    <hyperlink ref="A580" r:id="rId579" xr:uid="{00000000-0004-0000-0800-000043020000}"/>
    <hyperlink ref="A581" r:id="rId580" xr:uid="{00000000-0004-0000-0800-000044020000}"/>
    <hyperlink ref="A582" r:id="rId581" xr:uid="{00000000-0004-0000-0800-000045020000}"/>
    <hyperlink ref="A583" r:id="rId582" xr:uid="{00000000-0004-0000-0800-000046020000}"/>
    <hyperlink ref="A584" r:id="rId583" xr:uid="{00000000-0004-0000-0800-000047020000}"/>
    <hyperlink ref="A585" r:id="rId584" xr:uid="{00000000-0004-0000-0800-000048020000}"/>
    <hyperlink ref="A586" r:id="rId585" xr:uid="{00000000-0004-0000-0800-000049020000}"/>
    <hyperlink ref="A587" r:id="rId586" xr:uid="{00000000-0004-0000-0800-00004A020000}"/>
    <hyperlink ref="A588" r:id="rId587" xr:uid="{00000000-0004-0000-0800-00004B020000}"/>
    <hyperlink ref="A589" r:id="rId588" xr:uid="{00000000-0004-0000-0800-00004C020000}"/>
    <hyperlink ref="A590" r:id="rId589" xr:uid="{00000000-0004-0000-0800-00004D020000}"/>
    <hyperlink ref="A591" r:id="rId590" xr:uid="{00000000-0004-0000-0800-00004E020000}"/>
    <hyperlink ref="A592" r:id="rId591" xr:uid="{00000000-0004-0000-0800-00004F020000}"/>
    <hyperlink ref="A593" r:id="rId592" xr:uid="{00000000-0004-0000-0800-000050020000}"/>
    <hyperlink ref="A594" r:id="rId593" xr:uid="{00000000-0004-0000-0800-000051020000}"/>
    <hyperlink ref="A595" r:id="rId594" xr:uid="{00000000-0004-0000-0800-000052020000}"/>
    <hyperlink ref="A596" r:id="rId595" xr:uid="{00000000-0004-0000-0800-000053020000}"/>
    <hyperlink ref="A597" r:id="rId596" xr:uid="{00000000-0004-0000-0800-000054020000}"/>
    <hyperlink ref="A598" r:id="rId597" xr:uid="{00000000-0004-0000-0800-000055020000}"/>
    <hyperlink ref="A599" r:id="rId598" xr:uid="{00000000-0004-0000-0800-000056020000}"/>
    <hyperlink ref="A600" r:id="rId599" xr:uid="{00000000-0004-0000-0800-000057020000}"/>
    <hyperlink ref="A601" r:id="rId600" xr:uid="{00000000-0004-0000-0800-000058020000}"/>
    <hyperlink ref="A602" r:id="rId601" xr:uid="{00000000-0004-0000-0800-000059020000}"/>
    <hyperlink ref="A603" r:id="rId602" xr:uid="{00000000-0004-0000-0800-00005A020000}"/>
    <hyperlink ref="A604" r:id="rId603" xr:uid="{00000000-0004-0000-0800-00005B020000}"/>
    <hyperlink ref="A605" r:id="rId604" xr:uid="{00000000-0004-0000-0800-00005C020000}"/>
    <hyperlink ref="A606" r:id="rId605" xr:uid="{00000000-0004-0000-0800-00005D020000}"/>
    <hyperlink ref="A607" r:id="rId606" xr:uid="{00000000-0004-0000-0800-00005E020000}"/>
    <hyperlink ref="A608" r:id="rId607" xr:uid="{00000000-0004-0000-0800-00005F020000}"/>
    <hyperlink ref="A609" r:id="rId608" xr:uid="{00000000-0004-0000-0800-000060020000}"/>
    <hyperlink ref="A610" r:id="rId609" xr:uid="{00000000-0004-0000-0800-000061020000}"/>
    <hyperlink ref="A611" r:id="rId610" xr:uid="{00000000-0004-0000-0800-000062020000}"/>
    <hyperlink ref="A612" r:id="rId611" xr:uid="{00000000-0004-0000-0800-000063020000}"/>
    <hyperlink ref="A613" r:id="rId612" xr:uid="{00000000-0004-0000-0800-000064020000}"/>
    <hyperlink ref="A614" r:id="rId613" xr:uid="{00000000-0004-0000-0800-000065020000}"/>
    <hyperlink ref="A615" r:id="rId614" xr:uid="{00000000-0004-0000-0800-000066020000}"/>
    <hyperlink ref="A616" r:id="rId615" xr:uid="{00000000-0004-0000-0800-000067020000}"/>
    <hyperlink ref="A617" r:id="rId616" xr:uid="{00000000-0004-0000-0800-000068020000}"/>
    <hyperlink ref="A618" r:id="rId617" xr:uid="{00000000-0004-0000-0800-000069020000}"/>
    <hyperlink ref="A619" r:id="rId618" xr:uid="{00000000-0004-0000-0800-00006A020000}"/>
    <hyperlink ref="A620" r:id="rId619" xr:uid="{00000000-0004-0000-0800-00006B020000}"/>
    <hyperlink ref="A621" r:id="rId620" xr:uid="{00000000-0004-0000-0800-00006C020000}"/>
    <hyperlink ref="A622" r:id="rId621" xr:uid="{00000000-0004-0000-0800-00006D020000}"/>
    <hyperlink ref="A623" r:id="rId622" xr:uid="{00000000-0004-0000-0800-00006E020000}"/>
    <hyperlink ref="A624" r:id="rId623" xr:uid="{00000000-0004-0000-0800-00006F020000}"/>
    <hyperlink ref="A625" r:id="rId624" xr:uid="{00000000-0004-0000-0800-000070020000}"/>
    <hyperlink ref="A626" r:id="rId625" xr:uid="{00000000-0004-0000-0800-000071020000}"/>
    <hyperlink ref="A627" r:id="rId626" xr:uid="{00000000-0004-0000-0800-000072020000}"/>
    <hyperlink ref="A628" r:id="rId627" xr:uid="{00000000-0004-0000-0800-000073020000}"/>
    <hyperlink ref="A629" r:id="rId628" xr:uid="{00000000-0004-0000-0800-000074020000}"/>
    <hyperlink ref="A630" r:id="rId629" xr:uid="{00000000-0004-0000-0800-000075020000}"/>
    <hyperlink ref="A631" r:id="rId630" xr:uid="{00000000-0004-0000-0800-000076020000}"/>
    <hyperlink ref="A632" r:id="rId631" xr:uid="{00000000-0004-0000-0800-000077020000}"/>
    <hyperlink ref="A633" r:id="rId632" xr:uid="{00000000-0004-0000-0800-000078020000}"/>
    <hyperlink ref="A634" r:id="rId633" xr:uid="{00000000-0004-0000-0800-000079020000}"/>
    <hyperlink ref="A635" r:id="rId634" xr:uid="{00000000-0004-0000-0800-00007A020000}"/>
    <hyperlink ref="A636" r:id="rId635" xr:uid="{00000000-0004-0000-0800-00007B020000}"/>
    <hyperlink ref="A637" r:id="rId636" xr:uid="{00000000-0004-0000-0800-00007C020000}"/>
    <hyperlink ref="A638" r:id="rId637" xr:uid="{00000000-0004-0000-0800-00007D020000}"/>
    <hyperlink ref="A639" r:id="rId638" xr:uid="{00000000-0004-0000-0800-00007E020000}"/>
    <hyperlink ref="A640" r:id="rId639" xr:uid="{00000000-0004-0000-0800-00007F020000}"/>
    <hyperlink ref="A641" r:id="rId640" xr:uid="{00000000-0004-0000-0800-000080020000}"/>
    <hyperlink ref="A642" r:id="rId641" xr:uid="{00000000-0004-0000-0800-000081020000}"/>
    <hyperlink ref="A643" r:id="rId642" xr:uid="{00000000-0004-0000-0800-000082020000}"/>
    <hyperlink ref="A644" r:id="rId643" xr:uid="{00000000-0004-0000-0800-000083020000}"/>
    <hyperlink ref="A645" r:id="rId644" xr:uid="{00000000-0004-0000-0800-000084020000}"/>
    <hyperlink ref="A646" r:id="rId645" xr:uid="{00000000-0004-0000-0800-000085020000}"/>
    <hyperlink ref="A647" r:id="rId646" xr:uid="{00000000-0004-0000-0800-000086020000}"/>
    <hyperlink ref="A648" r:id="rId647" xr:uid="{00000000-0004-0000-0800-000087020000}"/>
    <hyperlink ref="A649" r:id="rId648" xr:uid="{00000000-0004-0000-0800-000088020000}"/>
    <hyperlink ref="A650" r:id="rId649" xr:uid="{00000000-0004-0000-0800-000089020000}"/>
    <hyperlink ref="A651" r:id="rId650" xr:uid="{00000000-0004-0000-0800-00008A020000}"/>
    <hyperlink ref="A652" r:id="rId651" xr:uid="{00000000-0004-0000-0800-00008B020000}"/>
    <hyperlink ref="A653" r:id="rId652" xr:uid="{00000000-0004-0000-0800-00008C020000}"/>
    <hyperlink ref="A654" r:id="rId653" xr:uid="{00000000-0004-0000-0800-00008D020000}"/>
    <hyperlink ref="A655" r:id="rId654" xr:uid="{00000000-0004-0000-0800-00008E020000}"/>
    <hyperlink ref="A656" r:id="rId655" xr:uid="{00000000-0004-0000-0800-00008F020000}"/>
    <hyperlink ref="A657" r:id="rId656" xr:uid="{00000000-0004-0000-0800-000090020000}"/>
    <hyperlink ref="A658" r:id="rId657" xr:uid="{00000000-0004-0000-0800-000091020000}"/>
    <hyperlink ref="A659" r:id="rId658" xr:uid="{00000000-0004-0000-0800-000092020000}"/>
    <hyperlink ref="A660" r:id="rId659" xr:uid="{00000000-0004-0000-0800-000093020000}"/>
    <hyperlink ref="A661" r:id="rId660" xr:uid="{00000000-0004-0000-0800-000094020000}"/>
    <hyperlink ref="A662" r:id="rId661" xr:uid="{00000000-0004-0000-0800-000095020000}"/>
    <hyperlink ref="A663" r:id="rId662" xr:uid="{00000000-0004-0000-0800-000096020000}"/>
    <hyperlink ref="A664" r:id="rId663" xr:uid="{00000000-0004-0000-0800-000097020000}"/>
    <hyperlink ref="A665" r:id="rId664" xr:uid="{00000000-0004-0000-0800-000098020000}"/>
    <hyperlink ref="A666" r:id="rId665" xr:uid="{00000000-0004-0000-0800-000099020000}"/>
    <hyperlink ref="A667" r:id="rId666" xr:uid="{00000000-0004-0000-0800-00009A020000}"/>
    <hyperlink ref="A668" r:id="rId667" xr:uid="{00000000-0004-0000-0800-00009B020000}"/>
    <hyperlink ref="A669" r:id="rId668" xr:uid="{00000000-0004-0000-0800-00009C020000}"/>
    <hyperlink ref="A670" r:id="rId669" xr:uid="{00000000-0004-0000-0800-00009D020000}"/>
    <hyperlink ref="A671" r:id="rId670" xr:uid="{00000000-0004-0000-0800-00009E020000}"/>
    <hyperlink ref="A672" r:id="rId671" xr:uid="{00000000-0004-0000-0800-00009F020000}"/>
    <hyperlink ref="A673" r:id="rId672" xr:uid="{00000000-0004-0000-0800-0000A0020000}"/>
    <hyperlink ref="A674" r:id="rId673" xr:uid="{00000000-0004-0000-0800-0000A1020000}"/>
    <hyperlink ref="A675" r:id="rId674" xr:uid="{00000000-0004-0000-0800-0000A2020000}"/>
    <hyperlink ref="A676" r:id="rId675" xr:uid="{00000000-0004-0000-0800-0000A3020000}"/>
    <hyperlink ref="A677" r:id="rId676" xr:uid="{00000000-0004-0000-0800-0000A4020000}"/>
    <hyperlink ref="A678" r:id="rId677" xr:uid="{00000000-0004-0000-0800-0000A5020000}"/>
    <hyperlink ref="A679" r:id="rId678" xr:uid="{00000000-0004-0000-0800-0000A6020000}"/>
    <hyperlink ref="A680" r:id="rId679" xr:uid="{00000000-0004-0000-0800-0000A7020000}"/>
    <hyperlink ref="A681" r:id="rId680" xr:uid="{00000000-0004-0000-0800-0000A8020000}"/>
    <hyperlink ref="A682" r:id="rId681" xr:uid="{00000000-0004-0000-0800-0000A9020000}"/>
    <hyperlink ref="A683" r:id="rId682" xr:uid="{00000000-0004-0000-0800-0000AA020000}"/>
    <hyperlink ref="A684" r:id="rId683" xr:uid="{00000000-0004-0000-0800-0000AB020000}"/>
    <hyperlink ref="A685" r:id="rId684" xr:uid="{00000000-0004-0000-0800-0000AC020000}"/>
    <hyperlink ref="A686" r:id="rId685" xr:uid="{00000000-0004-0000-0800-0000AD020000}"/>
    <hyperlink ref="A687" r:id="rId686" xr:uid="{00000000-0004-0000-0800-0000AE020000}"/>
    <hyperlink ref="A688" r:id="rId687" xr:uid="{00000000-0004-0000-0800-0000AF020000}"/>
    <hyperlink ref="A689" r:id="rId688" xr:uid="{00000000-0004-0000-0800-0000B0020000}"/>
    <hyperlink ref="A690" r:id="rId689" xr:uid="{00000000-0004-0000-0800-0000B1020000}"/>
    <hyperlink ref="A691" r:id="rId690" xr:uid="{00000000-0004-0000-0800-0000B2020000}"/>
    <hyperlink ref="A692" r:id="rId691" xr:uid="{00000000-0004-0000-0800-0000B3020000}"/>
    <hyperlink ref="A693" r:id="rId692" xr:uid="{00000000-0004-0000-0800-0000B4020000}"/>
    <hyperlink ref="A694" r:id="rId693" xr:uid="{00000000-0004-0000-0800-0000B5020000}"/>
    <hyperlink ref="A695" r:id="rId694" xr:uid="{00000000-0004-0000-0800-0000B6020000}"/>
    <hyperlink ref="A696" r:id="rId695" xr:uid="{00000000-0004-0000-0800-0000B7020000}"/>
    <hyperlink ref="A697" r:id="rId696" xr:uid="{00000000-0004-0000-0800-0000B8020000}"/>
    <hyperlink ref="A698" r:id="rId697" xr:uid="{00000000-0004-0000-0800-0000B9020000}"/>
    <hyperlink ref="A699" r:id="rId698" xr:uid="{00000000-0004-0000-0800-0000BA020000}"/>
    <hyperlink ref="A700" r:id="rId699" xr:uid="{00000000-0004-0000-0800-0000BB020000}"/>
    <hyperlink ref="A701" r:id="rId700" xr:uid="{00000000-0004-0000-0800-0000BC020000}"/>
    <hyperlink ref="A702" r:id="rId701" xr:uid="{00000000-0004-0000-0800-0000BD020000}"/>
    <hyperlink ref="A703" r:id="rId702" xr:uid="{00000000-0004-0000-0800-0000BE020000}"/>
    <hyperlink ref="A704" r:id="rId703" xr:uid="{00000000-0004-0000-0800-0000BF020000}"/>
    <hyperlink ref="A705" r:id="rId704" xr:uid="{00000000-0004-0000-0800-0000C0020000}"/>
    <hyperlink ref="A706" r:id="rId705" xr:uid="{00000000-0004-0000-0800-0000C1020000}"/>
    <hyperlink ref="A707" r:id="rId706" xr:uid="{00000000-0004-0000-0800-0000C2020000}"/>
    <hyperlink ref="A708" r:id="rId707" xr:uid="{00000000-0004-0000-0800-0000C3020000}"/>
    <hyperlink ref="A709" r:id="rId708" xr:uid="{00000000-0004-0000-0800-0000C4020000}"/>
    <hyperlink ref="A710" r:id="rId709" xr:uid="{00000000-0004-0000-0800-0000C5020000}"/>
    <hyperlink ref="A711" r:id="rId710" xr:uid="{00000000-0004-0000-0800-0000C6020000}"/>
    <hyperlink ref="A712" r:id="rId711" xr:uid="{00000000-0004-0000-0800-0000C7020000}"/>
    <hyperlink ref="A713" r:id="rId712" xr:uid="{00000000-0004-0000-0800-0000C8020000}"/>
    <hyperlink ref="A714" r:id="rId713" xr:uid="{00000000-0004-0000-0800-0000C9020000}"/>
    <hyperlink ref="A715" r:id="rId714" xr:uid="{00000000-0004-0000-0800-0000CA020000}"/>
    <hyperlink ref="A716" r:id="rId715" xr:uid="{00000000-0004-0000-0800-0000CB020000}"/>
    <hyperlink ref="A717" r:id="rId716" xr:uid="{00000000-0004-0000-0800-0000CC020000}"/>
    <hyperlink ref="A718" r:id="rId717" xr:uid="{00000000-0004-0000-0800-0000CD020000}"/>
    <hyperlink ref="A719" r:id="rId718" xr:uid="{00000000-0004-0000-0800-0000CE020000}"/>
    <hyperlink ref="A720" r:id="rId719" xr:uid="{00000000-0004-0000-0800-0000CF020000}"/>
    <hyperlink ref="A721" r:id="rId720" xr:uid="{00000000-0004-0000-0800-0000D0020000}"/>
    <hyperlink ref="A722" r:id="rId721" xr:uid="{00000000-0004-0000-0800-0000D1020000}"/>
    <hyperlink ref="A723" r:id="rId722" xr:uid="{00000000-0004-0000-0800-0000D2020000}"/>
    <hyperlink ref="A724" r:id="rId723" xr:uid="{00000000-0004-0000-0800-0000D3020000}"/>
    <hyperlink ref="A725" r:id="rId724" xr:uid="{00000000-0004-0000-0800-0000D4020000}"/>
    <hyperlink ref="A726" r:id="rId725" xr:uid="{00000000-0004-0000-0800-0000D5020000}"/>
    <hyperlink ref="A727" r:id="rId726" xr:uid="{00000000-0004-0000-0800-0000D6020000}"/>
    <hyperlink ref="A728" r:id="rId727" xr:uid="{00000000-0004-0000-0800-0000D7020000}"/>
    <hyperlink ref="A729" r:id="rId728" xr:uid="{00000000-0004-0000-0800-0000D8020000}"/>
    <hyperlink ref="A730" r:id="rId729" xr:uid="{00000000-0004-0000-0800-0000D9020000}"/>
    <hyperlink ref="A731" r:id="rId730" xr:uid="{00000000-0004-0000-0800-0000DA020000}"/>
    <hyperlink ref="A732" r:id="rId731" xr:uid="{00000000-0004-0000-0800-0000DB020000}"/>
    <hyperlink ref="A733" r:id="rId732" xr:uid="{00000000-0004-0000-0800-0000DC020000}"/>
    <hyperlink ref="A734" r:id="rId733" xr:uid="{00000000-0004-0000-0800-0000DD020000}"/>
    <hyperlink ref="A735" r:id="rId734" xr:uid="{00000000-0004-0000-0800-0000DE020000}"/>
    <hyperlink ref="A736" r:id="rId735" xr:uid="{00000000-0004-0000-0800-0000DF020000}"/>
    <hyperlink ref="A737" r:id="rId736" xr:uid="{00000000-0004-0000-0800-0000E0020000}"/>
    <hyperlink ref="A738" r:id="rId737" xr:uid="{00000000-0004-0000-0800-0000E1020000}"/>
    <hyperlink ref="A739" r:id="rId738" xr:uid="{00000000-0004-0000-0800-0000E2020000}"/>
    <hyperlink ref="A740" r:id="rId739" xr:uid="{00000000-0004-0000-0800-0000E3020000}"/>
    <hyperlink ref="A741" r:id="rId740" xr:uid="{00000000-0004-0000-0800-0000E4020000}"/>
    <hyperlink ref="A742" r:id="rId741" xr:uid="{00000000-0004-0000-0800-0000E5020000}"/>
    <hyperlink ref="A743" r:id="rId742" xr:uid="{00000000-0004-0000-0800-0000E6020000}"/>
    <hyperlink ref="A744" r:id="rId743" xr:uid="{00000000-0004-0000-0800-0000E7020000}"/>
    <hyperlink ref="A745" r:id="rId744" xr:uid="{00000000-0004-0000-0800-0000E8020000}"/>
    <hyperlink ref="A746" r:id="rId745" xr:uid="{00000000-0004-0000-0800-0000E9020000}"/>
    <hyperlink ref="A747" r:id="rId746" xr:uid="{00000000-0004-0000-0800-0000EA020000}"/>
    <hyperlink ref="A748" r:id="rId747" xr:uid="{00000000-0004-0000-0800-0000EB020000}"/>
    <hyperlink ref="A749" r:id="rId748" xr:uid="{00000000-0004-0000-0800-0000EC020000}"/>
    <hyperlink ref="A750" r:id="rId749" xr:uid="{00000000-0004-0000-0800-0000ED020000}"/>
    <hyperlink ref="A751" r:id="rId750" xr:uid="{00000000-0004-0000-0800-0000EE020000}"/>
    <hyperlink ref="A752" r:id="rId751" xr:uid="{00000000-0004-0000-0800-0000EF020000}"/>
    <hyperlink ref="A753" r:id="rId752" xr:uid="{00000000-0004-0000-0800-0000F0020000}"/>
    <hyperlink ref="A754" r:id="rId753" xr:uid="{00000000-0004-0000-0800-0000F1020000}"/>
    <hyperlink ref="A755" r:id="rId754" xr:uid="{00000000-0004-0000-0800-0000F2020000}"/>
    <hyperlink ref="A756" r:id="rId755" xr:uid="{00000000-0004-0000-0800-0000F3020000}"/>
    <hyperlink ref="A757" r:id="rId756" xr:uid="{00000000-0004-0000-0800-0000F4020000}"/>
    <hyperlink ref="A758" r:id="rId757" xr:uid="{00000000-0004-0000-0800-0000F5020000}"/>
    <hyperlink ref="A759" r:id="rId758" xr:uid="{00000000-0004-0000-0800-0000F6020000}"/>
    <hyperlink ref="A760" r:id="rId759" xr:uid="{00000000-0004-0000-0800-0000F7020000}"/>
    <hyperlink ref="A761" r:id="rId760" xr:uid="{00000000-0004-0000-0800-0000F8020000}"/>
    <hyperlink ref="A762" r:id="rId761" xr:uid="{00000000-0004-0000-0800-0000F9020000}"/>
    <hyperlink ref="A763" r:id="rId762" xr:uid="{00000000-0004-0000-0800-0000FA020000}"/>
    <hyperlink ref="A764" r:id="rId763" xr:uid="{00000000-0004-0000-0800-0000FB020000}"/>
    <hyperlink ref="A765" r:id="rId764" xr:uid="{00000000-0004-0000-0800-0000FC020000}"/>
    <hyperlink ref="A766" r:id="rId765" xr:uid="{00000000-0004-0000-0800-0000FD020000}"/>
    <hyperlink ref="A767" r:id="rId766" xr:uid="{00000000-0004-0000-0800-0000FE020000}"/>
    <hyperlink ref="A768" r:id="rId767" xr:uid="{00000000-0004-0000-0800-0000FF020000}"/>
    <hyperlink ref="A769" r:id="rId768" xr:uid="{00000000-0004-0000-0800-000000030000}"/>
    <hyperlink ref="A770" r:id="rId769" xr:uid="{00000000-0004-0000-0800-000001030000}"/>
    <hyperlink ref="A771" r:id="rId770" xr:uid="{00000000-0004-0000-0800-000002030000}"/>
    <hyperlink ref="A772" r:id="rId771" xr:uid="{00000000-0004-0000-0800-000003030000}"/>
    <hyperlink ref="A773" r:id="rId772" xr:uid="{00000000-0004-0000-0800-000004030000}"/>
    <hyperlink ref="A774" r:id="rId773" xr:uid="{00000000-0004-0000-0800-000005030000}"/>
    <hyperlink ref="A775" r:id="rId774" xr:uid="{00000000-0004-0000-0800-000006030000}"/>
    <hyperlink ref="A776" r:id="rId775" xr:uid="{00000000-0004-0000-0800-000007030000}"/>
    <hyperlink ref="A777" r:id="rId776" xr:uid="{00000000-0004-0000-0800-000008030000}"/>
    <hyperlink ref="A778" r:id="rId777" xr:uid="{00000000-0004-0000-0800-000009030000}"/>
    <hyperlink ref="A779" r:id="rId778" xr:uid="{00000000-0004-0000-0800-00000A030000}"/>
    <hyperlink ref="A780" r:id="rId779" xr:uid="{00000000-0004-0000-0800-00000B030000}"/>
    <hyperlink ref="A781" r:id="rId780" xr:uid="{00000000-0004-0000-0800-00000C030000}"/>
    <hyperlink ref="A782" r:id="rId781" xr:uid="{00000000-0004-0000-0800-00000D030000}"/>
    <hyperlink ref="A783" r:id="rId782" xr:uid="{00000000-0004-0000-0800-00000E030000}"/>
    <hyperlink ref="A784" r:id="rId783" xr:uid="{00000000-0004-0000-0800-00000F030000}"/>
    <hyperlink ref="A785" r:id="rId784" xr:uid="{00000000-0004-0000-0800-000010030000}"/>
    <hyperlink ref="A786" r:id="rId785" xr:uid="{00000000-0004-0000-0800-000011030000}"/>
    <hyperlink ref="A787" r:id="rId786" xr:uid="{00000000-0004-0000-0800-000012030000}"/>
    <hyperlink ref="A788" r:id="rId787" xr:uid="{00000000-0004-0000-0800-000013030000}"/>
    <hyperlink ref="A789" r:id="rId788" xr:uid="{00000000-0004-0000-0800-000014030000}"/>
    <hyperlink ref="A790" r:id="rId789" xr:uid="{00000000-0004-0000-0800-000015030000}"/>
    <hyperlink ref="A791" r:id="rId790" xr:uid="{00000000-0004-0000-0800-000016030000}"/>
    <hyperlink ref="A792" r:id="rId791" xr:uid="{00000000-0004-0000-0800-000017030000}"/>
    <hyperlink ref="A793" r:id="rId792" xr:uid="{00000000-0004-0000-0800-000018030000}"/>
    <hyperlink ref="A794" r:id="rId793" xr:uid="{00000000-0004-0000-0800-000019030000}"/>
    <hyperlink ref="A795" r:id="rId794" xr:uid="{00000000-0004-0000-0800-00001A030000}"/>
    <hyperlink ref="A796" r:id="rId795" xr:uid="{00000000-0004-0000-0800-00001B030000}"/>
    <hyperlink ref="A797" r:id="rId796" xr:uid="{00000000-0004-0000-0800-00001C030000}"/>
    <hyperlink ref="A798" r:id="rId797" xr:uid="{00000000-0004-0000-0800-00001D030000}"/>
    <hyperlink ref="A799" r:id="rId798" xr:uid="{00000000-0004-0000-0800-00001E030000}"/>
    <hyperlink ref="A800" r:id="rId799" xr:uid="{00000000-0004-0000-0800-00001F030000}"/>
    <hyperlink ref="A801" r:id="rId800" xr:uid="{00000000-0004-0000-0800-000020030000}"/>
    <hyperlink ref="A802" r:id="rId801" xr:uid="{00000000-0004-0000-0800-000021030000}"/>
    <hyperlink ref="A803" r:id="rId802" xr:uid="{00000000-0004-0000-0800-000022030000}"/>
    <hyperlink ref="A804" r:id="rId803" xr:uid="{00000000-0004-0000-0800-000023030000}"/>
    <hyperlink ref="A805" r:id="rId804" xr:uid="{00000000-0004-0000-0800-000024030000}"/>
    <hyperlink ref="A806" r:id="rId805" xr:uid="{00000000-0004-0000-0800-000025030000}"/>
    <hyperlink ref="A807" r:id="rId806" xr:uid="{00000000-0004-0000-0800-000026030000}"/>
    <hyperlink ref="A808" r:id="rId807" xr:uid="{00000000-0004-0000-0800-000027030000}"/>
    <hyperlink ref="A809" r:id="rId808" xr:uid="{00000000-0004-0000-0800-000028030000}"/>
    <hyperlink ref="A810" r:id="rId809" xr:uid="{00000000-0004-0000-0800-000029030000}"/>
    <hyperlink ref="A811" r:id="rId810" xr:uid="{00000000-0004-0000-0800-00002A030000}"/>
    <hyperlink ref="A812" r:id="rId811" xr:uid="{00000000-0004-0000-0800-00002B030000}"/>
    <hyperlink ref="A813" r:id="rId812" xr:uid="{00000000-0004-0000-0800-00002C030000}"/>
    <hyperlink ref="A814" r:id="rId813" xr:uid="{00000000-0004-0000-0800-00002D030000}"/>
    <hyperlink ref="A815" r:id="rId814" xr:uid="{00000000-0004-0000-0800-00002E030000}"/>
    <hyperlink ref="A816" r:id="rId815" xr:uid="{00000000-0004-0000-0800-00002F030000}"/>
    <hyperlink ref="A817" r:id="rId816" xr:uid="{00000000-0004-0000-0800-000030030000}"/>
    <hyperlink ref="A818" r:id="rId817" xr:uid="{00000000-0004-0000-0800-000031030000}"/>
    <hyperlink ref="A819" r:id="rId818" xr:uid="{00000000-0004-0000-0800-000032030000}"/>
    <hyperlink ref="A820" r:id="rId819" xr:uid="{00000000-0004-0000-0800-000033030000}"/>
    <hyperlink ref="A821" r:id="rId820" xr:uid="{00000000-0004-0000-0800-000034030000}"/>
    <hyperlink ref="A822" r:id="rId821" xr:uid="{00000000-0004-0000-0800-000035030000}"/>
    <hyperlink ref="A823" r:id="rId822" xr:uid="{00000000-0004-0000-0800-000036030000}"/>
    <hyperlink ref="A824" r:id="rId823" xr:uid="{00000000-0004-0000-0800-000037030000}"/>
    <hyperlink ref="A825" r:id="rId824" xr:uid="{00000000-0004-0000-0800-000038030000}"/>
    <hyperlink ref="A826" r:id="rId825" xr:uid="{00000000-0004-0000-0800-000039030000}"/>
    <hyperlink ref="A827" r:id="rId826" xr:uid="{00000000-0004-0000-0800-00003A030000}"/>
    <hyperlink ref="A828" r:id="rId827" xr:uid="{00000000-0004-0000-0800-00003B030000}"/>
    <hyperlink ref="A829" r:id="rId828" xr:uid="{00000000-0004-0000-0800-00003C030000}"/>
    <hyperlink ref="A830" r:id="rId829" xr:uid="{00000000-0004-0000-0800-00003D030000}"/>
    <hyperlink ref="A831" r:id="rId830" xr:uid="{00000000-0004-0000-0800-00003E030000}"/>
    <hyperlink ref="A832" r:id="rId831" xr:uid="{00000000-0004-0000-0800-00003F030000}"/>
    <hyperlink ref="A833" r:id="rId832" xr:uid="{00000000-0004-0000-0800-000040030000}"/>
    <hyperlink ref="A834" r:id="rId833" xr:uid="{00000000-0004-0000-0800-000041030000}"/>
    <hyperlink ref="A835" r:id="rId834" xr:uid="{00000000-0004-0000-0800-000042030000}"/>
    <hyperlink ref="A836" r:id="rId835" xr:uid="{00000000-0004-0000-0800-000043030000}"/>
    <hyperlink ref="A837" r:id="rId836" xr:uid="{00000000-0004-0000-0800-000044030000}"/>
    <hyperlink ref="A838" r:id="rId837" xr:uid="{00000000-0004-0000-0800-000045030000}"/>
    <hyperlink ref="A839" r:id="rId838" xr:uid="{00000000-0004-0000-0800-000046030000}"/>
    <hyperlink ref="A840" r:id="rId839" xr:uid="{00000000-0004-0000-0800-000047030000}"/>
    <hyperlink ref="A841" r:id="rId840" xr:uid="{00000000-0004-0000-0800-000048030000}"/>
    <hyperlink ref="A842" r:id="rId841" xr:uid="{00000000-0004-0000-0800-000049030000}"/>
    <hyperlink ref="A843" r:id="rId842" xr:uid="{00000000-0004-0000-0800-00004A030000}"/>
    <hyperlink ref="A844" r:id="rId843" xr:uid="{00000000-0004-0000-0800-00004B030000}"/>
    <hyperlink ref="A845" r:id="rId844" xr:uid="{00000000-0004-0000-0800-00004C030000}"/>
    <hyperlink ref="A846" r:id="rId845" xr:uid="{00000000-0004-0000-0800-00004D030000}"/>
    <hyperlink ref="A847" r:id="rId846" xr:uid="{00000000-0004-0000-0800-00004E030000}"/>
    <hyperlink ref="A848" r:id="rId847" xr:uid="{00000000-0004-0000-0800-00004F030000}"/>
    <hyperlink ref="A849" r:id="rId848" xr:uid="{00000000-0004-0000-0800-000050030000}"/>
    <hyperlink ref="A850" r:id="rId849" xr:uid="{00000000-0004-0000-0800-000051030000}"/>
    <hyperlink ref="A851" r:id="rId850" xr:uid="{00000000-0004-0000-0800-000052030000}"/>
    <hyperlink ref="A852" r:id="rId851" xr:uid="{00000000-0004-0000-0800-000053030000}"/>
    <hyperlink ref="A853" r:id="rId852" xr:uid="{00000000-0004-0000-0800-000054030000}"/>
    <hyperlink ref="A854" r:id="rId853" xr:uid="{00000000-0004-0000-0800-000055030000}"/>
    <hyperlink ref="A855" r:id="rId854" xr:uid="{00000000-0004-0000-0800-000056030000}"/>
    <hyperlink ref="A856" r:id="rId855" xr:uid="{00000000-0004-0000-0800-000057030000}"/>
    <hyperlink ref="A857" r:id="rId856" xr:uid="{00000000-0004-0000-0800-000058030000}"/>
    <hyperlink ref="A858" r:id="rId857" xr:uid="{00000000-0004-0000-0800-000059030000}"/>
    <hyperlink ref="A859" r:id="rId858" xr:uid="{00000000-0004-0000-0800-00005A030000}"/>
    <hyperlink ref="A860" r:id="rId859" xr:uid="{00000000-0004-0000-0800-00005B030000}"/>
    <hyperlink ref="A861" r:id="rId860" xr:uid="{00000000-0004-0000-0800-00005C030000}"/>
    <hyperlink ref="A862" r:id="rId861" xr:uid="{00000000-0004-0000-0800-00005D030000}"/>
    <hyperlink ref="A863" r:id="rId862" xr:uid="{00000000-0004-0000-0800-00005E030000}"/>
    <hyperlink ref="A864" r:id="rId863" xr:uid="{00000000-0004-0000-0800-00005F030000}"/>
    <hyperlink ref="A865" r:id="rId864" xr:uid="{00000000-0004-0000-0800-000060030000}"/>
    <hyperlink ref="A866" r:id="rId865" xr:uid="{00000000-0004-0000-0800-000061030000}"/>
    <hyperlink ref="A867" r:id="rId866" xr:uid="{00000000-0004-0000-0800-000062030000}"/>
    <hyperlink ref="A868" r:id="rId867" xr:uid="{00000000-0004-0000-0800-000063030000}"/>
    <hyperlink ref="A869" r:id="rId868" xr:uid="{00000000-0004-0000-0800-000064030000}"/>
    <hyperlink ref="A870" r:id="rId869" xr:uid="{00000000-0004-0000-0800-000065030000}"/>
    <hyperlink ref="A871" r:id="rId870" xr:uid="{00000000-0004-0000-0800-000066030000}"/>
    <hyperlink ref="A872" r:id="rId871" xr:uid="{00000000-0004-0000-0800-000067030000}"/>
    <hyperlink ref="A873" r:id="rId872" xr:uid="{00000000-0004-0000-0800-000068030000}"/>
    <hyperlink ref="A874" r:id="rId873" xr:uid="{00000000-0004-0000-0800-000069030000}"/>
    <hyperlink ref="A875" r:id="rId874" xr:uid="{00000000-0004-0000-0800-00006A030000}"/>
    <hyperlink ref="A876" r:id="rId875" xr:uid="{00000000-0004-0000-0800-00006B030000}"/>
    <hyperlink ref="A877" r:id="rId876" xr:uid="{00000000-0004-0000-0800-00006C030000}"/>
    <hyperlink ref="A878" r:id="rId877" xr:uid="{00000000-0004-0000-0800-00006D030000}"/>
    <hyperlink ref="A879" r:id="rId878" xr:uid="{00000000-0004-0000-0800-00006E030000}"/>
    <hyperlink ref="A880" r:id="rId879" xr:uid="{00000000-0004-0000-0800-00006F030000}"/>
    <hyperlink ref="A881" r:id="rId880" xr:uid="{00000000-0004-0000-0800-000070030000}"/>
    <hyperlink ref="A882" r:id="rId881" xr:uid="{00000000-0004-0000-0800-000071030000}"/>
    <hyperlink ref="A883" r:id="rId882" xr:uid="{00000000-0004-0000-0800-000072030000}"/>
    <hyperlink ref="A884" r:id="rId883" xr:uid="{00000000-0004-0000-0800-000073030000}"/>
    <hyperlink ref="A885" r:id="rId884" xr:uid="{00000000-0004-0000-0800-000074030000}"/>
    <hyperlink ref="A886" r:id="rId885" xr:uid="{00000000-0004-0000-0800-000075030000}"/>
    <hyperlink ref="A887" r:id="rId886" xr:uid="{00000000-0004-0000-0800-000076030000}"/>
    <hyperlink ref="A888" r:id="rId887" xr:uid="{00000000-0004-0000-0800-000077030000}"/>
    <hyperlink ref="A889" r:id="rId888" xr:uid="{00000000-0004-0000-0800-000078030000}"/>
    <hyperlink ref="A890" r:id="rId889" xr:uid="{00000000-0004-0000-0800-000079030000}"/>
    <hyperlink ref="A891" r:id="rId890" xr:uid="{00000000-0004-0000-0800-00007A030000}"/>
    <hyperlink ref="A892" r:id="rId891" xr:uid="{00000000-0004-0000-0800-00007B030000}"/>
    <hyperlink ref="A893" r:id="rId892" xr:uid="{00000000-0004-0000-0800-00007C030000}"/>
    <hyperlink ref="A894" r:id="rId893" xr:uid="{00000000-0004-0000-0800-00007D030000}"/>
    <hyperlink ref="A895" r:id="rId894" xr:uid="{00000000-0004-0000-0800-00007E030000}"/>
    <hyperlink ref="A896" r:id="rId895" xr:uid="{00000000-0004-0000-0800-00007F030000}"/>
    <hyperlink ref="A897" r:id="rId896" xr:uid="{00000000-0004-0000-0800-000080030000}"/>
    <hyperlink ref="A898" r:id="rId897" xr:uid="{00000000-0004-0000-0800-000081030000}"/>
    <hyperlink ref="A899" r:id="rId898" xr:uid="{00000000-0004-0000-0800-000082030000}"/>
    <hyperlink ref="A900" r:id="rId899" xr:uid="{00000000-0004-0000-0800-000083030000}"/>
    <hyperlink ref="A901" r:id="rId900" xr:uid="{00000000-0004-0000-0800-000084030000}"/>
    <hyperlink ref="A902" r:id="rId901" xr:uid="{00000000-0004-0000-0800-000085030000}"/>
    <hyperlink ref="A903" r:id="rId902" xr:uid="{00000000-0004-0000-0800-000086030000}"/>
    <hyperlink ref="A904" r:id="rId903" xr:uid="{00000000-0004-0000-0800-000087030000}"/>
    <hyperlink ref="A905" r:id="rId904" xr:uid="{00000000-0004-0000-0800-000088030000}"/>
    <hyperlink ref="A906" r:id="rId905" xr:uid="{00000000-0004-0000-0800-000089030000}"/>
    <hyperlink ref="A907" r:id="rId906" xr:uid="{00000000-0004-0000-0800-00008A030000}"/>
    <hyperlink ref="A908" r:id="rId907" xr:uid="{00000000-0004-0000-0800-00008B030000}"/>
    <hyperlink ref="A909" r:id="rId908" xr:uid="{00000000-0004-0000-0800-00008C030000}"/>
    <hyperlink ref="A910" r:id="rId909" xr:uid="{00000000-0004-0000-0800-00008D030000}"/>
    <hyperlink ref="A911" r:id="rId910" xr:uid="{00000000-0004-0000-0800-00008E030000}"/>
    <hyperlink ref="A912" r:id="rId911" xr:uid="{00000000-0004-0000-0800-00008F030000}"/>
    <hyperlink ref="A913" r:id="rId912" xr:uid="{00000000-0004-0000-0800-000090030000}"/>
    <hyperlink ref="A914" r:id="rId913" xr:uid="{00000000-0004-0000-0800-000091030000}"/>
    <hyperlink ref="A915" r:id="rId914" xr:uid="{00000000-0004-0000-0800-000092030000}"/>
    <hyperlink ref="A916" r:id="rId915" xr:uid="{00000000-0004-0000-0800-000093030000}"/>
    <hyperlink ref="A917" r:id="rId916" xr:uid="{00000000-0004-0000-0800-000094030000}"/>
    <hyperlink ref="A918" r:id="rId917" xr:uid="{00000000-0004-0000-0800-000095030000}"/>
    <hyperlink ref="A919" r:id="rId918" xr:uid="{00000000-0004-0000-0800-000096030000}"/>
    <hyperlink ref="A920" r:id="rId919" xr:uid="{00000000-0004-0000-0800-000097030000}"/>
    <hyperlink ref="A921" r:id="rId920" xr:uid="{00000000-0004-0000-0800-000098030000}"/>
    <hyperlink ref="A922" r:id="rId921" xr:uid="{00000000-0004-0000-0800-000099030000}"/>
    <hyperlink ref="A923" r:id="rId922" xr:uid="{00000000-0004-0000-0800-00009A030000}"/>
    <hyperlink ref="A924" r:id="rId923" xr:uid="{00000000-0004-0000-0800-00009B030000}"/>
    <hyperlink ref="A925" r:id="rId924" xr:uid="{00000000-0004-0000-0800-00009C030000}"/>
    <hyperlink ref="A926" r:id="rId925" xr:uid="{00000000-0004-0000-0800-00009D030000}"/>
    <hyperlink ref="A927" r:id="rId926" xr:uid="{00000000-0004-0000-0800-00009E030000}"/>
    <hyperlink ref="A928" r:id="rId927" xr:uid="{00000000-0004-0000-0800-00009F030000}"/>
    <hyperlink ref="A929" r:id="rId928" xr:uid="{00000000-0004-0000-0800-0000A0030000}"/>
    <hyperlink ref="A930" r:id="rId929" xr:uid="{00000000-0004-0000-0800-0000A1030000}"/>
    <hyperlink ref="A931" r:id="rId930" xr:uid="{00000000-0004-0000-0800-0000A2030000}"/>
    <hyperlink ref="A932" r:id="rId931" xr:uid="{00000000-0004-0000-0800-0000A3030000}"/>
    <hyperlink ref="A933" r:id="rId932" xr:uid="{00000000-0004-0000-0800-0000A4030000}"/>
    <hyperlink ref="A934" r:id="rId933" xr:uid="{00000000-0004-0000-0800-0000A5030000}"/>
    <hyperlink ref="A935" r:id="rId934" xr:uid="{00000000-0004-0000-0800-0000A6030000}"/>
    <hyperlink ref="A936" r:id="rId935" xr:uid="{00000000-0004-0000-0800-0000A7030000}"/>
    <hyperlink ref="A937" r:id="rId936" xr:uid="{00000000-0004-0000-0800-0000A8030000}"/>
    <hyperlink ref="A938" r:id="rId937" xr:uid="{00000000-0004-0000-0800-0000A9030000}"/>
    <hyperlink ref="A939" r:id="rId938" xr:uid="{00000000-0004-0000-0800-0000AA030000}"/>
    <hyperlink ref="A940" r:id="rId939" xr:uid="{00000000-0004-0000-0800-0000AB030000}"/>
    <hyperlink ref="A941" r:id="rId940" xr:uid="{00000000-0004-0000-0800-0000AC030000}"/>
    <hyperlink ref="A942" r:id="rId941" xr:uid="{00000000-0004-0000-0800-0000AD030000}"/>
    <hyperlink ref="A943" r:id="rId942" xr:uid="{00000000-0004-0000-0800-0000AE030000}"/>
    <hyperlink ref="A944" r:id="rId943" xr:uid="{00000000-0004-0000-0800-0000AF030000}"/>
    <hyperlink ref="A945" r:id="rId944" xr:uid="{00000000-0004-0000-0800-0000B0030000}"/>
    <hyperlink ref="A946" r:id="rId945" xr:uid="{00000000-0004-0000-0800-0000B1030000}"/>
    <hyperlink ref="A947" r:id="rId946" xr:uid="{00000000-0004-0000-0800-0000B2030000}"/>
    <hyperlink ref="A948" r:id="rId947" xr:uid="{00000000-0004-0000-0800-0000B3030000}"/>
    <hyperlink ref="A949" r:id="rId948" xr:uid="{00000000-0004-0000-0800-0000B4030000}"/>
    <hyperlink ref="A950" r:id="rId949" xr:uid="{00000000-0004-0000-0800-0000B5030000}"/>
    <hyperlink ref="A951" r:id="rId950" xr:uid="{00000000-0004-0000-0800-0000B6030000}"/>
    <hyperlink ref="A952" r:id="rId951" xr:uid="{00000000-0004-0000-0800-0000B7030000}"/>
    <hyperlink ref="A953" r:id="rId952" xr:uid="{00000000-0004-0000-0800-0000B8030000}"/>
    <hyperlink ref="A954" r:id="rId953" xr:uid="{00000000-0004-0000-0800-0000B9030000}"/>
    <hyperlink ref="A955" r:id="rId954" xr:uid="{00000000-0004-0000-0800-0000BA030000}"/>
    <hyperlink ref="A956" r:id="rId955" xr:uid="{00000000-0004-0000-0800-0000BB030000}"/>
    <hyperlink ref="A957" r:id="rId956" xr:uid="{00000000-0004-0000-0800-0000BC030000}"/>
    <hyperlink ref="A958" r:id="rId957" xr:uid="{00000000-0004-0000-0800-0000BD030000}"/>
    <hyperlink ref="A959" r:id="rId958" xr:uid="{00000000-0004-0000-0800-0000BE030000}"/>
    <hyperlink ref="A960" r:id="rId959" xr:uid="{00000000-0004-0000-0800-0000BF030000}"/>
    <hyperlink ref="A961" r:id="rId960" xr:uid="{00000000-0004-0000-0800-0000C0030000}"/>
    <hyperlink ref="A962" r:id="rId961" xr:uid="{00000000-0004-0000-0800-0000C1030000}"/>
    <hyperlink ref="A963" r:id="rId962" xr:uid="{00000000-0004-0000-0800-0000C2030000}"/>
    <hyperlink ref="A964" r:id="rId963" xr:uid="{00000000-0004-0000-0800-0000C3030000}"/>
    <hyperlink ref="A965" r:id="rId964" xr:uid="{00000000-0004-0000-0800-0000C4030000}"/>
    <hyperlink ref="A966" r:id="rId965" xr:uid="{00000000-0004-0000-0800-0000C5030000}"/>
    <hyperlink ref="A967" r:id="rId966" xr:uid="{00000000-0004-0000-0800-0000C6030000}"/>
    <hyperlink ref="A968" r:id="rId967" xr:uid="{00000000-0004-0000-0800-0000C7030000}"/>
    <hyperlink ref="A969" r:id="rId968" xr:uid="{00000000-0004-0000-0800-0000C8030000}"/>
    <hyperlink ref="A970" r:id="rId969" xr:uid="{00000000-0004-0000-0800-0000C9030000}"/>
    <hyperlink ref="A971" r:id="rId970" xr:uid="{00000000-0004-0000-0800-0000CA030000}"/>
    <hyperlink ref="A972" r:id="rId971" xr:uid="{00000000-0004-0000-0800-0000CB030000}"/>
    <hyperlink ref="A973" r:id="rId972" xr:uid="{00000000-0004-0000-0800-0000CC030000}"/>
    <hyperlink ref="A974" r:id="rId973" xr:uid="{00000000-0004-0000-0800-0000CD030000}"/>
    <hyperlink ref="A975" r:id="rId974" xr:uid="{00000000-0004-0000-0800-0000CE030000}"/>
    <hyperlink ref="A976" r:id="rId975" xr:uid="{00000000-0004-0000-0800-0000CF030000}"/>
    <hyperlink ref="A977" r:id="rId976" xr:uid="{00000000-0004-0000-0800-0000D0030000}"/>
    <hyperlink ref="A978" r:id="rId977" xr:uid="{00000000-0004-0000-0800-0000D1030000}"/>
    <hyperlink ref="A979" r:id="rId978" xr:uid="{00000000-0004-0000-0800-0000D2030000}"/>
    <hyperlink ref="A980" r:id="rId979" xr:uid="{00000000-0004-0000-0800-0000D3030000}"/>
    <hyperlink ref="A981" r:id="rId980" xr:uid="{00000000-0004-0000-0800-0000D4030000}"/>
    <hyperlink ref="A982" r:id="rId981" xr:uid="{00000000-0004-0000-0800-0000D5030000}"/>
    <hyperlink ref="A983" r:id="rId982" xr:uid="{00000000-0004-0000-0800-0000D6030000}"/>
    <hyperlink ref="A984" r:id="rId983" xr:uid="{00000000-0004-0000-0800-0000D7030000}"/>
    <hyperlink ref="A985" r:id="rId984" xr:uid="{00000000-0004-0000-0800-0000D8030000}"/>
    <hyperlink ref="A986" r:id="rId985" xr:uid="{00000000-0004-0000-0800-0000D9030000}"/>
    <hyperlink ref="A987" r:id="rId986" xr:uid="{00000000-0004-0000-0800-0000DA030000}"/>
    <hyperlink ref="A988" r:id="rId987" xr:uid="{00000000-0004-0000-0800-0000DB030000}"/>
    <hyperlink ref="A989" r:id="rId988" xr:uid="{00000000-0004-0000-0800-0000DC030000}"/>
    <hyperlink ref="A990" r:id="rId989" xr:uid="{00000000-0004-0000-0800-0000DD030000}"/>
    <hyperlink ref="A991" r:id="rId990" xr:uid="{00000000-0004-0000-0800-0000DE030000}"/>
    <hyperlink ref="A992" r:id="rId991" xr:uid="{00000000-0004-0000-0800-0000DF030000}"/>
    <hyperlink ref="A993" r:id="rId992" xr:uid="{00000000-0004-0000-0800-0000E0030000}"/>
    <hyperlink ref="A994" r:id="rId993" xr:uid="{00000000-0004-0000-0800-0000E1030000}"/>
    <hyperlink ref="A995" r:id="rId994" xr:uid="{00000000-0004-0000-0800-0000E2030000}"/>
    <hyperlink ref="A996" r:id="rId995" xr:uid="{00000000-0004-0000-0800-0000E3030000}"/>
    <hyperlink ref="A997" r:id="rId996" xr:uid="{00000000-0004-0000-0800-0000E4030000}"/>
    <hyperlink ref="A998" r:id="rId997" xr:uid="{00000000-0004-0000-0800-0000E5030000}"/>
    <hyperlink ref="A999" r:id="rId998" xr:uid="{00000000-0004-0000-0800-0000E6030000}"/>
    <hyperlink ref="A1000" r:id="rId999" xr:uid="{00000000-0004-0000-0800-0000E7030000}"/>
    <hyperlink ref="A1001" r:id="rId1000" xr:uid="{00000000-0004-0000-0800-0000E8030000}"/>
    <hyperlink ref="A1002" r:id="rId1001" xr:uid="{00000000-0004-0000-0800-0000E9030000}"/>
    <hyperlink ref="A1003" r:id="rId1002" xr:uid="{00000000-0004-0000-0800-0000EA030000}"/>
    <hyperlink ref="A1004" r:id="rId1003" xr:uid="{00000000-0004-0000-0800-0000EB030000}"/>
    <hyperlink ref="A1005" r:id="rId1004" xr:uid="{00000000-0004-0000-0800-0000EC030000}"/>
    <hyperlink ref="A1006" r:id="rId1005" xr:uid="{00000000-0004-0000-0800-0000ED030000}"/>
    <hyperlink ref="A1007" r:id="rId1006" xr:uid="{00000000-0004-0000-0800-0000EE030000}"/>
    <hyperlink ref="A1008" r:id="rId1007" xr:uid="{00000000-0004-0000-0800-0000EF030000}"/>
    <hyperlink ref="A1009" r:id="rId1008" xr:uid="{00000000-0004-0000-0800-0000F0030000}"/>
    <hyperlink ref="A1010" r:id="rId1009" xr:uid="{00000000-0004-0000-0800-0000F1030000}"/>
    <hyperlink ref="A1011" r:id="rId1010" xr:uid="{00000000-0004-0000-0800-0000F2030000}"/>
    <hyperlink ref="A1012" r:id="rId1011" xr:uid="{00000000-0004-0000-0800-0000F3030000}"/>
    <hyperlink ref="A1013" r:id="rId1012" xr:uid="{00000000-0004-0000-0800-0000F4030000}"/>
    <hyperlink ref="A1014" r:id="rId1013" xr:uid="{00000000-0004-0000-0800-0000F5030000}"/>
    <hyperlink ref="A1015" r:id="rId1014" xr:uid="{00000000-0004-0000-0800-0000F6030000}"/>
    <hyperlink ref="A1016" r:id="rId1015" xr:uid="{00000000-0004-0000-0800-0000F7030000}"/>
    <hyperlink ref="A1017" r:id="rId1016" xr:uid="{00000000-0004-0000-0800-0000F8030000}"/>
    <hyperlink ref="A1018" r:id="rId1017" xr:uid="{00000000-0004-0000-0800-0000F9030000}"/>
    <hyperlink ref="A1019" r:id="rId1018" xr:uid="{00000000-0004-0000-0800-0000FA030000}"/>
    <hyperlink ref="A1020" r:id="rId1019" xr:uid="{00000000-0004-0000-0800-0000FB030000}"/>
    <hyperlink ref="A1021" r:id="rId1020" xr:uid="{00000000-0004-0000-0800-0000FC030000}"/>
    <hyperlink ref="A1022" r:id="rId1021" xr:uid="{00000000-0004-0000-0800-0000FD030000}"/>
    <hyperlink ref="A1023" r:id="rId1022" xr:uid="{00000000-0004-0000-0800-0000FE030000}"/>
    <hyperlink ref="A1024" r:id="rId1023" xr:uid="{00000000-0004-0000-0800-0000FF030000}"/>
    <hyperlink ref="A1025" r:id="rId1024" xr:uid="{00000000-0004-0000-0800-000000040000}"/>
    <hyperlink ref="A1026" r:id="rId1025" xr:uid="{00000000-0004-0000-0800-000001040000}"/>
    <hyperlink ref="A1027" r:id="rId1026" xr:uid="{00000000-0004-0000-0800-000002040000}"/>
    <hyperlink ref="A1028" r:id="rId1027" xr:uid="{00000000-0004-0000-0800-000003040000}"/>
    <hyperlink ref="A1029" r:id="rId1028" xr:uid="{00000000-0004-0000-0800-000004040000}"/>
    <hyperlink ref="A1030" r:id="rId1029" xr:uid="{00000000-0004-0000-0800-000005040000}"/>
    <hyperlink ref="A1031" r:id="rId1030" xr:uid="{00000000-0004-0000-0800-000006040000}"/>
    <hyperlink ref="A1032" r:id="rId1031" xr:uid="{00000000-0004-0000-0800-000007040000}"/>
    <hyperlink ref="A1033" r:id="rId1032" xr:uid="{00000000-0004-0000-0800-000008040000}"/>
    <hyperlink ref="A1034" r:id="rId1033" xr:uid="{00000000-0004-0000-0800-000009040000}"/>
    <hyperlink ref="A1035" r:id="rId1034" xr:uid="{00000000-0004-0000-0800-00000A040000}"/>
    <hyperlink ref="A1036" r:id="rId1035" xr:uid="{00000000-0004-0000-0800-00000B040000}"/>
    <hyperlink ref="A1037" r:id="rId1036" xr:uid="{00000000-0004-0000-0800-00000C040000}"/>
    <hyperlink ref="A1038" r:id="rId1037" xr:uid="{00000000-0004-0000-0800-00000D040000}"/>
    <hyperlink ref="A1039" r:id="rId1038" xr:uid="{00000000-0004-0000-0800-00000E040000}"/>
    <hyperlink ref="A1040" r:id="rId1039" xr:uid="{00000000-0004-0000-0800-00000F040000}"/>
    <hyperlink ref="A1041" r:id="rId1040" xr:uid="{00000000-0004-0000-0800-000010040000}"/>
    <hyperlink ref="A1042" r:id="rId1041" xr:uid="{00000000-0004-0000-0800-000011040000}"/>
    <hyperlink ref="A1043" r:id="rId1042" xr:uid="{00000000-0004-0000-0800-000012040000}"/>
    <hyperlink ref="A1044" r:id="rId1043" xr:uid="{00000000-0004-0000-0800-000013040000}"/>
    <hyperlink ref="A1045" r:id="rId1044" xr:uid="{00000000-0004-0000-0800-000014040000}"/>
    <hyperlink ref="A1046" r:id="rId1045" xr:uid="{00000000-0004-0000-0800-000015040000}"/>
    <hyperlink ref="A1047" r:id="rId1046" xr:uid="{00000000-0004-0000-0800-000016040000}"/>
    <hyperlink ref="A1048" r:id="rId1047" xr:uid="{00000000-0004-0000-0800-000017040000}"/>
    <hyperlink ref="A1049" r:id="rId1048" xr:uid="{00000000-0004-0000-0800-000018040000}"/>
    <hyperlink ref="A1050" r:id="rId1049" xr:uid="{00000000-0004-0000-0800-000019040000}"/>
    <hyperlink ref="A1051" r:id="rId1050" xr:uid="{00000000-0004-0000-0800-00001A040000}"/>
    <hyperlink ref="A1052" r:id="rId1051" xr:uid="{00000000-0004-0000-0800-00001B040000}"/>
    <hyperlink ref="A1053" r:id="rId1052" xr:uid="{00000000-0004-0000-0800-00001C040000}"/>
    <hyperlink ref="A1054" r:id="rId1053" xr:uid="{00000000-0004-0000-0800-00001D040000}"/>
    <hyperlink ref="A1055" r:id="rId1054" xr:uid="{00000000-0004-0000-0800-00001E040000}"/>
    <hyperlink ref="A1056" r:id="rId1055" xr:uid="{00000000-0004-0000-0800-00001F040000}"/>
    <hyperlink ref="A1057" r:id="rId1056" xr:uid="{00000000-0004-0000-0800-000020040000}"/>
    <hyperlink ref="A1058" r:id="rId1057" xr:uid="{00000000-0004-0000-0800-000021040000}"/>
    <hyperlink ref="A1059" r:id="rId1058" xr:uid="{00000000-0004-0000-0800-000022040000}"/>
    <hyperlink ref="A1060" r:id="rId1059" xr:uid="{00000000-0004-0000-0800-000023040000}"/>
    <hyperlink ref="A1061" r:id="rId1060" xr:uid="{00000000-0004-0000-0800-000024040000}"/>
    <hyperlink ref="A1062" r:id="rId1061" xr:uid="{00000000-0004-0000-0800-000025040000}"/>
    <hyperlink ref="A1063" r:id="rId1062" xr:uid="{00000000-0004-0000-0800-000026040000}"/>
    <hyperlink ref="A1064" r:id="rId1063" xr:uid="{00000000-0004-0000-0800-000027040000}"/>
    <hyperlink ref="A1065" r:id="rId1064" xr:uid="{00000000-0004-0000-0800-000028040000}"/>
    <hyperlink ref="A1066" r:id="rId1065" xr:uid="{00000000-0004-0000-0800-000029040000}"/>
    <hyperlink ref="A1067" r:id="rId1066" xr:uid="{00000000-0004-0000-0800-00002A040000}"/>
    <hyperlink ref="A1068" r:id="rId1067" xr:uid="{00000000-0004-0000-0800-00002B040000}"/>
    <hyperlink ref="A1069" r:id="rId1068" xr:uid="{00000000-0004-0000-0800-00002C040000}"/>
    <hyperlink ref="A1070" r:id="rId1069" xr:uid="{00000000-0004-0000-0800-00002D040000}"/>
    <hyperlink ref="A1071" r:id="rId1070" xr:uid="{00000000-0004-0000-0800-00002E040000}"/>
    <hyperlink ref="A1072" r:id="rId1071" xr:uid="{00000000-0004-0000-0800-00002F040000}"/>
    <hyperlink ref="A1073" r:id="rId1072" xr:uid="{00000000-0004-0000-0800-000030040000}"/>
    <hyperlink ref="A1074" r:id="rId1073" xr:uid="{00000000-0004-0000-0800-000031040000}"/>
    <hyperlink ref="A1075" r:id="rId1074" xr:uid="{00000000-0004-0000-0800-000032040000}"/>
    <hyperlink ref="A1076" r:id="rId1075" xr:uid="{00000000-0004-0000-0800-000033040000}"/>
    <hyperlink ref="A1077" r:id="rId1076" xr:uid="{00000000-0004-0000-0800-000034040000}"/>
    <hyperlink ref="A1078" r:id="rId1077" xr:uid="{00000000-0004-0000-0800-000035040000}"/>
    <hyperlink ref="A1079" r:id="rId1078" xr:uid="{00000000-0004-0000-0800-000036040000}"/>
    <hyperlink ref="A1080" r:id="rId1079" xr:uid="{00000000-0004-0000-0800-000037040000}"/>
    <hyperlink ref="A1081" r:id="rId1080" xr:uid="{00000000-0004-0000-0800-000038040000}"/>
    <hyperlink ref="A1082" r:id="rId1081" xr:uid="{00000000-0004-0000-0800-000039040000}"/>
    <hyperlink ref="A1083" r:id="rId1082" xr:uid="{00000000-0004-0000-0800-00003A040000}"/>
    <hyperlink ref="A1084" r:id="rId1083" xr:uid="{00000000-0004-0000-0800-00003B040000}"/>
    <hyperlink ref="A1085" r:id="rId1084" xr:uid="{00000000-0004-0000-0800-00003C040000}"/>
    <hyperlink ref="A1086" r:id="rId1085" xr:uid="{00000000-0004-0000-0800-00003D040000}"/>
    <hyperlink ref="A1087" r:id="rId1086" xr:uid="{00000000-0004-0000-0800-00003E040000}"/>
    <hyperlink ref="A1088" r:id="rId1087" xr:uid="{00000000-0004-0000-0800-00003F040000}"/>
    <hyperlink ref="A1089" r:id="rId1088" xr:uid="{00000000-0004-0000-0800-000040040000}"/>
    <hyperlink ref="A1090" r:id="rId1089" xr:uid="{00000000-0004-0000-0800-000041040000}"/>
    <hyperlink ref="A1091" r:id="rId1090" xr:uid="{00000000-0004-0000-0800-000042040000}"/>
    <hyperlink ref="A1092" r:id="rId1091" xr:uid="{00000000-0004-0000-0800-000043040000}"/>
    <hyperlink ref="A1093" r:id="rId1092" xr:uid="{00000000-0004-0000-0800-000044040000}"/>
    <hyperlink ref="A1094" r:id="rId1093" xr:uid="{00000000-0004-0000-0800-000045040000}"/>
    <hyperlink ref="A1095" r:id="rId1094" xr:uid="{00000000-0004-0000-0800-000046040000}"/>
    <hyperlink ref="A1096" r:id="rId1095" xr:uid="{00000000-0004-0000-0800-000047040000}"/>
    <hyperlink ref="A1097" r:id="rId1096" xr:uid="{00000000-0004-0000-0800-000048040000}"/>
    <hyperlink ref="A1098" r:id="rId1097" xr:uid="{00000000-0004-0000-0800-000049040000}"/>
    <hyperlink ref="A1099" r:id="rId1098" xr:uid="{00000000-0004-0000-0800-00004A040000}"/>
    <hyperlink ref="A1100" r:id="rId1099" xr:uid="{00000000-0004-0000-0800-00004B040000}"/>
    <hyperlink ref="A1101" r:id="rId1100" xr:uid="{00000000-0004-0000-0800-00004C040000}"/>
    <hyperlink ref="A1102" r:id="rId1101" xr:uid="{00000000-0004-0000-0800-00004D040000}"/>
    <hyperlink ref="A1103" r:id="rId1102" xr:uid="{00000000-0004-0000-0800-00004E040000}"/>
    <hyperlink ref="A1104" r:id="rId1103" xr:uid="{00000000-0004-0000-0800-00004F040000}"/>
    <hyperlink ref="A1105" r:id="rId1104" xr:uid="{00000000-0004-0000-0800-000050040000}"/>
    <hyperlink ref="A1106" r:id="rId1105" xr:uid="{00000000-0004-0000-0800-000051040000}"/>
    <hyperlink ref="A1107" r:id="rId1106" xr:uid="{00000000-0004-0000-0800-000052040000}"/>
    <hyperlink ref="A1108" r:id="rId1107" xr:uid="{00000000-0004-0000-0800-000053040000}"/>
    <hyperlink ref="A1109" r:id="rId1108" xr:uid="{00000000-0004-0000-0800-000054040000}"/>
    <hyperlink ref="A1110" r:id="rId1109" xr:uid="{00000000-0004-0000-0800-000055040000}"/>
    <hyperlink ref="A1111" r:id="rId1110" xr:uid="{00000000-0004-0000-0800-000056040000}"/>
    <hyperlink ref="A1112" r:id="rId1111" xr:uid="{00000000-0004-0000-0800-000057040000}"/>
    <hyperlink ref="A1113" r:id="rId1112" xr:uid="{00000000-0004-0000-0800-000058040000}"/>
    <hyperlink ref="A1114" r:id="rId1113" xr:uid="{00000000-0004-0000-0800-000059040000}"/>
    <hyperlink ref="A1115" r:id="rId1114" xr:uid="{00000000-0004-0000-0800-00005A040000}"/>
    <hyperlink ref="A1116" r:id="rId1115" xr:uid="{00000000-0004-0000-0800-00005B040000}"/>
    <hyperlink ref="A1117" r:id="rId1116" xr:uid="{00000000-0004-0000-0800-00005C040000}"/>
    <hyperlink ref="A1118" r:id="rId1117" xr:uid="{00000000-0004-0000-0800-00005D040000}"/>
    <hyperlink ref="A1119" r:id="rId1118" xr:uid="{00000000-0004-0000-0800-00005E040000}"/>
    <hyperlink ref="A1120" r:id="rId1119" xr:uid="{00000000-0004-0000-0800-00005F040000}"/>
    <hyperlink ref="A1121" r:id="rId1120" xr:uid="{00000000-0004-0000-0800-000060040000}"/>
    <hyperlink ref="A1122" r:id="rId1121" xr:uid="{00000000-0004-0000-0800-000061040000}"/>
    <hyperlink ref="A1123" r:id="rId1122" xr:uid="{00000000-0004-0000-0800-000062040000}"/>
    <hyperlink ref="A1124" r:id="rId1123" xr:uid="{00000000-0004-0000-0800-000063040000}"/>
    <hyperlink ref="A1125" r:id="rId1124" xr:uid="{00000000-0004-0000-0800-000064040000}"/>
    <hyperlink ref="A1126" r:id="rId1125" xr:uid="{00000000-0004-0000-0800-000065040000}"/>
    <hyperlink ref="A1127" r:id="rId1126" xr:uid="{00000000-0004-0000-0800-000066040000}"/>
    <hyperlink ref="A1128" r:id="rId1127" xr:uid="{00000000-0004-0000-0800-000067040000}"/>
    <hyperlink ref="A1129" r:id="rId1128" xr:uid="{00000000-0004-0000-0800-000068040000}"/>
    <hyperlink ref="A1130" r:id="rId1129" xr:uid="{00000000-0004-0000-0800-000069040000}"/>
    <hyperlink ref="A1131" r:id="rId1130" xr:uid="{00000000-0004-0000-0800-00006A040000}"/>
    <hyperlink ref="A1132" r:id="rId1131" xr:uid="{00000000-0004-0000-0800-00006B040000}"/>
    <hyperlink ref="A1133" r:id="rId1132" xr:uid="{00000000-0004-0000-0800-00006C040000}"/>
    <hyperlink ref="A1134" r:id="rId1133" xr:uid="{00000000-0004-0000-0800-00006D040000}"/>
    <hyperlink ref="A1135" r:id="rId1134" xr:uid="{00000000-0004-0000-0800-00006E040000}"/>
    <hyperlink ref="A1136" r:id="rId1135" xr:uid="{00000000-0004-0000-0800-00006F040000}"/>
    <hyperlink ref="A1137" r:id="rId1136" xr:uid="{00000000-0004-0000-0800-000070040000}"/>
    <hyperlink ref="A1138" r:id="rId1137" xr:uid="{00000000-0004-0000-0800-000071040000}"/>
    <hyperlink ref="A1139" r:id="rId1138" xr:uid="{00000000-0004-0000-0800-000072040000}"/>
    <hyperlink ref="A1140" r:id="rId1139" xr:uid="{00000000-0004-0000-0800-000073040000}"/>
    <hyperlink ref="A1141" r:id="rId1140" xr:uid="{00000000-0004-0000-0800-000074040000}"/>
    <hyperlink ref="A1142" r:id="rId1141" xr:uid="{00000000-0004-0000-0800-000075040000}"/>
    <hyperlink ref="A1143" r:id="rId1142" xr:uid="{00000000-0004-0000-0800-000076040000}"/>
    <hyperlink ref="A1144" r:id="rId1143" xr:uid="{00000000-0004-0000-0800-000077040000}"/>
    <hyperlink ref="A1145" r:id="rId1144" xr:uid="{00000000-0004-0000-0800-000078040000}"/>
    <hyperlink ref="A1146" r:id="rId1145" xr:uid="{00000000-0004-0000-0800-000079040000}"/>
    <hyperlink ref="A1147" r:id="rId1146" xr:uid="{00000000-0004-0000-0800-00007A040000}"/>
    <hyperlink ref="A1148" r:id="rId1147" xr:uid="{00000000-0004-0000-0800-00007B040000}"/>
    <hyperlink ref="A1149" r:id="rId1148" xr:uid="{00000000-0004-0000-0800-00007C040000}"/>
    <hyperlink ref="A1150" r:id="rId1149" xr:uid="{00000000-0004-0000-0800-00007D040000}"/>
    <hyperlink ref="A1151" r:id="rId1150" xr:uid="{00000000-0004-0000-0800-00007E040000}"/>
    <hyperlink ref="A1152" r:id="rId1151" xr:uid="{00000000-0004-0000-0800-00007F040000}"/>
    <hyperlink ref="A1153" r:id="rId1152" xr:uid="{00000000-0004-0000-0800-000080040000}"/>
    <hyperlink ref="A1154" r:id="rId1153" xr:uid="{00000000-0004-0000-0800-000081040000}"/>
    <hyperlink ref="A1155" r:id="rId1154" xr:uid="{00000000-0004-0000-0800-000082040000}"/>
    <hyperlink ref="A1156" r:id="rId1155" xr:uid="{00000000-0004-0000-0800-000083040000}"/>
    <hyperlink ref="A1157" r:id="rId1156" xr:uid="{00000000-0004-0000-0800-000084040000}"/>
    <hyperlink ref="A1158" r:id="rId1157" xr:uid="{00000000-0004-0000-0800-000085040000}"/>
    <hyperlink ref="A1159" r:id="rId1158" xr:uid="{00000000-0004-0000-0800-000086040000}"/>
    <hyperlink ref="A1160" r:id="rId1159" xr:uid="{00000000-0004-0000-0800-000087040000}"/>
    <hyperlink ref="A1161" r:id="rId1160" xr:uid="{00000000-0004-0000-0800-000088040000}"/>
    <hyperlink ref="A1162" r:id="rId1161" xr:uid="{00000000-0004-0000-0800-000089040000}"/>
    <hyperlink ref="A1163" r:id="rId1162" xr:uid="{00000000-0004-0000-0800-00008A040000}"/>
    <hyperlink ref="A1164" r:id="rId1163" xr:uid="{00000000-0004-0000-0800-00008B040000}"/>
    <hyperlink ref="A1165" r:id="rId1164" xr:uid="{00000000-0004-0000-0800-00008C040000}"/>
    <hyperlink ref="A1166" r:id="rId1165" xr:uid="{00000000-0004-0000-0800-00008D040000}"/>
    <hyperlink ref="A1167" r:id="rId1166" xr:uid="{00000000-0004-0000-0800-00008E040000}"/>
    <hyperlink ref="A1168" r:id="rId1167" xr:uid="{00000000-0004-0000-0800-00008F040000}"/>
    <hyperlink ref="A1169" r:id="rId1168" xr:uid="{00000000-0004-0000-0800-000090040000}"/>
    <hyperlink ref="A1170" r:id="rId1169" xr:uid="{00000000-0004-0000-0800-000091040000}"/>
    <hyperlink ref="A1171" r:id="rId1170" xr:uid="{00000000-0004-0000-0800-000092040000}"/>
    <hyperlink ref="A1172" r:id="rId1171" xr:uid="{00000000-0004-0000-0800-000093040000}"/>
    <hyperlink ref="A1173" r:id="rId1172" xr:uid="{00000000-0004-0000-0800-000094040000}"/>
    <hyperlink ref="A1174" r:id="rId1173" xr:uid="{00000000-0004-0000-0800-000095040000}"/>
    <hyperlink ref="A1175" r:id="rId1174" xr:uid="{00000000-0004-0000-0800-000096040000}"/>
    <hyperlink ref="A1176" r:id="rId1175" xr:uid="{00000000-0004-0000-0800-000097040000}"/>
    <hyperlink ref="A1177" r:id="rId1176" xr:uid="{00000000-0004-0000-0800-000098040000}"/>
    <hyperlink ref="A1178" r:id="rId1177" xr:uid="{00000000-0004-0000-0800-000099040000}"/>
    <hyperlink ref="A1179" r:id="rId1178" xr:uid="{00000000-0004-0000-0800-00009A040000}"/>
    <hyperlink ref="A1180" r:id="rId1179" xr:uid="{00000000-0004-0000-0800-00009B040000}"/>
    <hyperlink ref="A1181" r:id="rId1180" xr:uid="{00000000-0004-0000-0800-00009C040000}"/>
    <hyperlink ref="A1182" r:id="rId1181" xr:uid="{00000000-0004-0000-0800-00009D040000}"/>
    <hyperlink ref="A1183" r:id="rId1182" xr:uid="{00000000-0004-0000-0800-00009E040000}"/>
    <hyperlink ref="A1184" r:id="rId1183" xr:uid="{00000000-0004-0000-0800-00009F040000}"/>
    <hyperlink ref="A1185" r:id="rId1184" xr:uid="{00000000-0004-0000-0800-0000A0040000}"/>
    <hyperlink ref="A1186" r:id="rId1185" xr:uid="{00000000-0004-0000-0800-0000A1040000}"/>
    <hyperlink ref="A1187" r:id="rId1186" xr:uid="{00000000-0004-0000-0800-0000A2040000}"/>
    <hyperlink ref="A1188" r:id="rId1187" xr:uid="{00000000-0004-0000-0800-0000A3040000}"/>
    <hyperlink ref="A1189" r:id="rId1188" xr:uid="{00000000-0004-0000-0800-0000A4040000}"/>
    <hyperlink ref="A1190" r:id="rId1189" xr:uid="{00000000-0004-0000-0800-0000A5040000}"/>
    <hyperlink ref="A1191" r:id="rId1190" xr:uid="{00000000-0004-0000-0800-0000A6040000}"/>
    <hyperlink ref="A1192" r:id="rId1191" xr:uid="{00000000-0004-0000-0800-0000A7040000}"/>
    <hyperlink ref="A1193" r:id="rId1192" xr:uid="{00000000-0004-0000-0800-0000A8040000}"/>
    <hyperlink ref="A1194" r:id="rId1193" xr:uid="{00000000-0004-0000-0800-0000A9040000}"/>
    <hyperlink ref="A1195" r:id="rId1194" xr:uid="{00000000-0004-0000-0800-0000AA040000}"/>
    <hyperlink ref="A1196" r:id="rId1195" xr:uid="{00000000-0004-0000-0800-0000AB040000}"/>
    <hyperlink ref="A1197" r:id="rId1196" xr:uid="{00000000-0004-0000-0800-0000AC040000}"/>
    <hyperlink ref="A1198" r:id="rId1197" xr:uid="{00000000-0004-0000-0800-0000AD040000}"/>
    <hyperlink ref="A1199" r:id="rId1198" xr:uid="{00000000-0004-0000-0800-0000AE040000}"/>
    <hyperlink ref="A1200" r:id="rId1199" xr:uid="{00000000-0004-0000-0800-0000AF040000}"/>
    <hyperlink ref="A1201" r:id="rId1200" xr:uid="{00000000-0004-0000-0800-0000B0040000}"/>
    <hyperlink ref="A1202" r:id="rId1201" xr:uid="{00000000-0004-0000-0800-0000B1040000}"/>
    <hyperlink ref="A1203" r:id="rId1202" xr:uid="{00000000-0004-0000-0800-0000B2040000}"/>
    <hyperlink ref="A1204" r:id="rId1203" xr:uid="{00000000-0004-0000-0800-0000B3040000}"/>
    <hyperlink ref="A1205" r:id="rId1204" xr:uid="{00000000-0004-0000-0800-0000B4040000}"/>
    <hyperlink ref="A1206" r:id="rId1205" xr:uid="{00000000-0004-0000-0800-0000B5040000}"/>
    <hyperlink ref="A1207" r:id="rId1206" xr:uid="{00000000-0004-0000-0800-0000B6040000}"/>
    <hyperlink ref="A1208" r:id="rId1207" xr:uid="{00000000-0004-0000-0800-0000B7040000}"/>
    <hyperlink ref="A1209" r:id="rId1208" xr:uid="{00000000-0004-0000-0800-0000B8040000}"/>
    <hyperlink ref="A1210" r:id="rId1209" xr:uid="{00000000-0004-0000-0800-0000B9040000}"/>
    <hyperlink ref="A1211" r:id="rId1210" xr:uid="{00000000-0004-0000-0800-0000BA040000}"/>
    <hyperlink ref="A1212" r:id="rId1211" xr:uid="{00000000-0004-0000-0800-0000BB040000}"/>
    <hyperlink ref="A1213" r:id="rId1212" xr:uid="{00000000-0004-0000-0800-0000BC040000}"/>
    <hyperlink ref="A1214" r:id="rId1213" xr:uid="{00000000-0004-0000-0800-0000BD040000}"/>
    <hyperlink ref="A1215" r:id="rId1214" xr:uid="{00000000-0004-0000-0800-0000BE040000}"/>
    <hyperlink ref="A1216" r:id="rId1215" xr:uid="{00000000-0004-0000-0800-0000BF040000}"/>
    <hyperlink ref="A1217" r:id="rId1216" xr:uid="{00000000-0004-0000-0800-0000C0040000}"/>
    <hyperlink ref="A1218" r:id="rId1217" xr:uid="{00000000-0004-0000-0800-0000C1040000}"/>
    <hyperlink ref="A1219" r:id="rId1218" xr:uid="{00000000-0004-0000-0800-0000C2040000}"/>
    <hyperlink ref="A1220" r:id="rId1219" xr:uid="{00000000-0004-0000-0800-0000C3040000}"/>
    <hyperlink ref="A1221" r:id="rId1220" xr:uid="{00000000-0004-0000-0800-0000C4040000}"/>
    <hyperlink ref="A1222" r:id="rId1221" xr:uid="{00000000-0004-0000-0800-0000C5040000}"/>
    <hyperlink ref="A1223" r:id="rId1222" xr:uid="{00000000-0004-0000-0800-0000C6040000}"/>
    <hyperlink ref="A1224" r:id="rId1223" xr:uid="{00000000-0004-0000-0800-0000C7040000}"/>
    <hyperlink ref="A1225" r:id="rId1224" xr:uid="{00000000-0004-0000-0800-0000C8040000}"/>
    <hyperlink ref="A1226" r:id="rId1225" xr:uid="{00000000-0004-0000-0800-0000C9040000}"/>
    <hyperlink ref="A1227" r:id="rId1226" xr:uid="{00000000-0004-0000-0800-0000CA040000}"/>
    <hyperlink ref="A1228" r:id="rId1227" xr:uid="{00000000-0004-0000-0800-0000CB040000}"/>
    <hyperlink ref="A1229" r:id="rId1228" xr:uid="{00000000-0004-0000-0800-0000CC040000}"/>
    <hyperlink ref="A1230" r:id="rId1229" xr:uid="{00000000-0004-0000-0800-0000CD040000}"/>
    <hyperlink ref="A1231" r:id="rId1230" xr:uid="{00000000-0004-0000-0800-0000CE040000}"/>
    <hyperlink ref="A1232" r:id="rId1231" xr:uid="{00000000-0004-0000-0800-0000CF040000}"/>
    <hyperlink ref="A1233" r:id="rId1232" xr:uid="{00000000-0004-0000-0800-0000D0040000}"/>
    <hyperlink ref="A1234" r:id="rId1233" xr:uid="{00000000-0004-0000-0800-0000D1040000}"/>
    <hyperlink ref="A1235" r:id="rId1234" xr:uid="{00000000-0004-0000-0800-0000D2040000}"/>
    <hyperlink ref="A1236" r:id="rId1235" xr:uid="{00000000-0004-0000-0800-0000D3040000}"/>
    <hyperlink ref="A1237" r:id="rId1236" xr:uid="{00000000-0004-0000-0800-0000D4040000}"/>
    <hyperlink ref="A1238" r:id="rId1237" xr:uid="{00000000-0004-0000-0800-0000D5040000}"/>
    <hyperlink ref="A1239" r:id="rId1238" xr:uid="{00000000-0004-0000-0800-0000D6040000}"/>
    <hyperlink ref="A1240" r:id="rId1239" xr:uid="{00000000-0004-0000-0800-0000D7040000}"/>
    <hyperlink ref="A1241" r:id="rId1240" xr:uid="{00000000-0004-0000-0800-0000D8040000}"/>
    <hyperlink ref="A1242" r:id="rId1241" xr:uid="{00000000-0004-0000-0800-0000D9040000}"/>
    <hyperlink ref="A1243" r:id="rId1242" xr:uid="{00000000-0004-0000-0800-0000DA040000}"/>
    <hyperlink ref="A1244" r:id="rId1243" xr:uid="{00000000-0004-0000-0800-0000DB040000}"/>
    <hyperlink ref="A1245" r:id="rId1244" xr:uid="{00000000-0004-0000-0800-0000DC040000}"/>
    <hyperlink ref="A1246" r:id="rId1245" xr:uid="{00000000-0004-0000-0800-0000DD040000}"/>
    <hyperlink ref="A1247" r:id="rId1246" xr:uid="{00000000-0004-0000-0800-0000DE040000}"/>
    <hyperlink ref="A1248" r:id="rId1247" xr:uid="{00000000-0004-0000-0800-0000DF040000}"/>
    <hyperlink ref="A1249" r:id="rId1248" xr:uid="{00000000-0004-0000-0800-0000E0040000}"/>
    <hyperlink ref="A1250" r:id="rId1249" xr:uid="{00000000-0004-0000-0800-0000E1040000}"/>
    <hyperlink ref="A1251" r:id="rId1250" xr:uid="{00000000-0004-0000-0800-0000E2040000}"/>
    <hyperlink ref="A1252" r:id="rId1251" xr:uid="{00000000-0004-0000-0800-0000E3040000}"/>
    <hyperlink ref="A1253" r:id="rId1252" xr:uid="{00000000-0004-0000-0800-0000E4040000}"/>
    <hyperlink ref="A1254" r:id="rId1253" xr:uid="{00000000-0004-0000-0800-0000E5040000}"/>
    <hyperlink ref="A1255" r:id="rId1254" xr:uid="{00000000-0004-0000-0800-0000E6040000}"/>
    <hyperlink ref="A1256" r:id="rId1255" xr:uid="{00000000-0004-0000-0800-0000E7040000}"/>
    <hyperlink ref="A1257" r:id="rId1256" xr:uid="{00000000-0004-0000-0800-0000E8040000}"/>
    <hyperlink ref="A1258" r:id="rId1257" xr:uid="{00000000-0004-0000-0800-0000E9040000}"/>
    <hyperlink ref="A1259" r:id="rId1258" xr:uid="{00000000-0004-0000-0800-0000EA040000}"/>
    <hyperlink ref="A1260" r:id="rId1259" xr:uid="{00000000-0004-0000-0800-0000EB040000}"/>
    <hyperlink ref="A1261" r:id="rId1260" xr:uid="{00000000-0004-0000-0800-0000EC040000}"/>
    <hyperlink ref="A1262" r:id="rId1261" xr:uid="{00000000-0004-0000-0800-0000ED040000}"/>
    <hyperlink ref="A1263" r:id="rId1262" xr:uid="{00000000-0004-0000-0800-0000EE040000}"/>
    <hyperlink ref="A1264" r:id="rId1263" xr:uid="{00000000-0004-0000-0800-0000EF040000}"/>
    <hyperlink ref="A1265" r:id="rId1264" xr:uid="{00000000-0004-0000-0800-0000F0040000}"/>
    <hyperlink ref="A1266" r:id="rId1265" xr:uid="{00000000-0004-0000-0800-0000F1040000}"/>
    <hyperlink ref="A1267" r:id="rId1266" xr:uid="{00000000-0004-0000-0800-0000F2040000}"/>
    <hyperlink ref="A1268" r:id="rId1267" xr:uid="{00000000-0004-0000-0800-0000F3040000}"/>
    <hyperlink ref="A1269" r:id="rId1268" xr:uid="{00000000-0004-0000-0800-0000F4040000}"/>
    <hyperlink ref="A1270" r:id="rId1269" xr:uid="{00000000-0004-0000-0800-0000F5040000}"/>
    <hyperlink ref="A1271" r:id="rId1270" xr:uid="{00000000-0004-0000-0800-0000F6040000}"/>
    <hyperlink ref="A1272" r:id="rId1271" xr:uid="{00000000-0004-0000-0800-0000F7040000}"/>
    <hyperlink ref="A1273" r:id="rId1272" xr:uid="{00000000-0004-0000-0800-0000F8040000}"/>
    <hyperlink ref="A1274" r:id="rId1273" xr:uid="{00000000-0004-0000-0800-0000F9040000}"/>
    <hyperlink ref="A1275" r:id="rId1274" xr:uid="{00000000-0004-0000-0800-0000FA040000}"/>
    <hyperlink ref="A1276" r:id="rId1275" xr:uid="{00000000-0004-0000-0800-0000FB040000}"/>
    <hyperlink ref="A1277" r:id="rId1276" xr:uid="{00000000-0004-0000-0800-0000FC040000}"/>
    <hyperlink ref="A1278" r:id="rId1277" xr:uid="{00000000-0004-0000-0800-0000FD040000}"/>
    <hyperlink ref="A1279" r:id="rId1278" xr:uid="{00000000-0004-0000-0800-0000FE040000}"/>
    <hyperlink ref="A1280" r:id="rId1279" xr:uid="{00000000-0004-0000-0800-0000FF040000}"/>
    <hyperlink ref="A1281" r:id="rId1280" xr:uid="{00000000-0004-0000-0800-000000050000}"/>
    <hyperlink ref="A1282" r:id="rId1281" xr:uid="{00000000-0004-0000-0800-000001050000}"/>
    <hyperlink ref="A1283" r:id="rId1282" xr:uid="{00000000-0004-0000-0800-000002050000}"/>
    <hyperlink ref="A1284" r:id="rId1283" xr:uid="{00000000-0004-0000-0800-000003050000}"/>
    <hyperlink ref="A1285" r:id="rId1284" xr:uid="{00000000-0004-0000-0800-000004050000}"/>
    <hyperlink ref="A1286" r:id="rId1285" xr:uid="{00000000-0004-0000-0800-000005050000}"/>
    <hyperlink ref="A1287" r:id="rId1286" xr:uid="{00000000-0004-0000-0800-000006050000}"/>
    <hyperlink ref="A1288" r:id="rId1287" xr:uid="{00000000-0004-0000-0800-000007050000}"/>
    <hyperlink ref="A1289" r:id="rId1288" xr:uid="{00000000-0004-0000-0800-000008050000}"/>
    <hyperlink ref="A1290" r:id="rId1289" xr:uid="{00000000-0004-0000-0800-000009050000}"/>
    <hyperlink ref="A1291" r:id="rId1290" xr:uid="{00000000-0004-0000-0800-00000A050000}"/>
    <hyperlink ref="A1292" r:id="rId1291" xr:uid="{00000000-0004-0000-0800-00000B050000}"/>
    <hyperlink ref="A1293" r:id="rId1292" xr:uid="{00000000-0004-0000-0800-00000C050000}"/>
    <hyperlink ref="A1294" r:id="rId1293" xr:uid="{00000000-0004-0000-0800-00000D050000}"/>
    <hyperlink ref="A1295" r:id="rId1294" xr:uid="{00000000-0004-0000-0800-00000E050000}"/>
    <hyperlink ref="A1296" r:id="rId1295" xr:uid="{00000000-0004-0000-0800-00000F050000}"/>
    <hyperlink ref="A1297" r:id="rId1296" xr:uid="{00000000-0004-0000-0800-000010050000}"/>
    <hyperlink ref="A1298" r:id="rId1297" xr:uid="{00000000-0004-0000-0800-000011050000}"/>
    <hyperlink ref="A1299" r:id="rId1298" xr:uid="{00000000-0004-0000-0800-000012050000}"/>
    <hyperlink ref="A1300" r:id="rId1299" xr:uid="{00000000-0004-0000-0800-000013050000}"/>
    <hyperlink ref="A1301" r:id="rId1300" xr:uid="{00000000-0004-0000-0800-000014050000}"/>
    <hyperlink ref="A1302" r:id="rId1301" xr:uid="{00000000-0004-0000-0800-000015050000}"/>
    <hyperlink ref="A1303" r:id="rId1302" xr:uid="{00000000-0004-0000-0800-000016050000}"/>
    <hyperlink ref="A1304" r:id="rId1303" xr:uid="{00000000-0004-0000-0800-000017050000}"/>
    <hyperlink ref="A1305" r:id="rId1304" xr:uid="{00000000-0004-0000-0800-000018050000}"/>
    <hyperlink ref="A1306" r:id="rId1305" xr:uid="{00000000-0004-0000-0800-000019050000}"/>
    <hyperlink ref="A1307" r:id="rId1306" xr:uid="{00000000-0004-0000-0800-00001A050000}"/>
    <hyperlink ref="A1308" r:id="rId1307" xr:uid="{00000000-0004-0000-0800-00001B050000}"/>
    <hyperlink ref="A1309" r:id="rId1308" xr:uid="{00000000-0004-0000-0800-00001C050000}"/>
    <hyperlink ref="A1310" r:id="rId1309" xr:uid="{00000000-0004-0000-0800-00001D050000}"/>
    <hyperlink ref="A1311" r:id="rId1310" xr:uid="{00000000-0004-0000-0800-00001E050000}"/>
    <hyperlink ref="A1312" r:id="rId1311" xr:uid="{00000000-0004-0000-0800-00001F050000}"/>
    <hyperlink ref="A1313" r:id="rId1312" xr:uid="{00000000-0004-0000-0800-000020050000}"/>
    <hyperlink ref="A1314" r:id="rId1313" xr:uid="{00000000-0004-0000-0800-000021050000}"/>
    <hyperlink ref="A1315" r:id="rId1314" xr:uid="{00000000-0004-0000-0800-000022050000}"/>
    <hyperlink ref="A1316" r:id="rId1315" xr:uid="{00000000-0004-0000-0800-000023050000}"/>
    <hyperlink ref="A1317" r:id="rId1316" xr:uid="{00000000-0004-0000-0800-000024050000}"/>
    <hyperlink ref="A1318" r:id="rId1317" xr:uid="{00000000-0004-0000-0800-000025050000}"/>
    <hyperlink ref="A1319" r:id="rId1318" xr:uid="{00000000-0004-0000-0800-000026050000}"/>
    <hyperlink ref="A1320" r:id="rId1319" xr:uid="{00000000-0004-0000-0800-000027050000}"/>
    <hyperlink ref="A1321" r:id="rId1320" xr:uid="{00000000-0004-0000-0800-000028050000}"/>
    <hyperlink ref="A1322" r:id="rId1321" xr:uid="{00000000-0004-0000-0800-000029050000}"/>
    <hyperlink ref="A1323" r:id="rId1322" xr:uid="{00000000-0004-0000-0800-00002A050000}"/>
    <hyperlink ref="A1324" r:id="rId1323" xr:uid="{00000000-0004-0000-0800-00002B050000}"/>
    <hyperlink ref="A1325" r:id="rId1324" xr:uid="{00000000-0004-0000-0800-00002C050000}"/>
    <hyperlink ref="A1326" r:id="rId1325" xr:uid="{00000000-0004-0000-0800-00002D050000}"/>
    <hyperlink ref="A1327" r:id="rId1326" xr:uid="{00000000-0004-0000-0800-00002E050000}"/>
    <hyperlink ref="A1328" r:id="rId1327" xr:uid="{00000000-0004-0000-0800-00002F050000}"/>
    <hyperlink ref="A1329" r:id="rId1328" xr:uid="{00000000-0004-0000-0800-000030050000}"/>
    <hyperlink ref="A1330" r:id="rId1329" xr:uid="{00000000-0004-0000-0800-000031050000}"/>
    <hyperlink ref="A1331" r:id="rId1330" xr:uid="{00000000-0004-0000-0800-000032050000}"/>
    <hyperlink ref="A1332" r:id="rId1331" xr:uid="{00000000-0004-0000-0800-000033050000}"/>
    <hyperlink ref="A1333" r:id="rId1332" xr:uid="{00000000-0004-0000-0800-000034050000}"/>
    <hyperlink ref="A1334" r:id="rId1333" xr:uid="{00000000-0004-0000-0800-000035050000}"/>
    <hyperlink ref="A1335" r:id="rId1334" xr:uid="{00000000-0004-0000-0800-000036050000}"/>
    <hyperlink ref="A1336" r:id="rId1335" xr:uid="{00000000-0004-0000-0800-000037050000}"/>
    <hyperlink ref="A1337" r:id="rId1336" xr:uid="{00000000-0004-0000-0800-000038050000}"/>
    <hyperlink ref="A1338" r:id="rId1337" xr:uid="{00000000-0004-0000-0800-000039050000}"/>
    <hyperlink ref="A1339" r:id="rId1338" xr:uid="{00000000-0004-0000-0800-00003A050000}"/>
    <hyperlink ref="A1340" r:id="rId1339" xr:uid="{00000000-0004-0000-0800-00003B050000}"/>
    <hyperlink ref="A1341" r:id="rId1340" xr:uid="{00000000-0004-0000-0800-00003C050000}"/>
    <hyperlink ref="A1342" r:id="rId1341" xr:uid="{00000000-0004-0000-0800-00003D050000}"/>
    <hyperlink ref="A1343" r:id="rId1342" xr:uid="{00000000-0004-0000-0800-00003E050000}"/>
    <hyperlink ref="A1344" r:id="rId1343" xr:uid="{00000000-0004-0000-0800-00003F050000}"/>
    <hyperlink ref="A1345" r:id="rId1344" xr:uid="{00000000-0004-0000-0800-000040050000}"/>
    <hyperlink ref="A1346" r:id="rId1345" xr:uid="{00000000-0004-0000-0800-000041050000}"/>
    <hyperlink ref="A1347" r:id="rId1346" xr:uid="{00000000-0004-0000-0800-000042050000}"/>
    <hyperlink ref="A1348" r:id="rId1347" xr:uid="{00000000-0004-0000-0800-000043050000}"/>
    <hyperlink ref="A1349" r:id="rId1348" xr:uid="{00000000-0004-0000-0800-000044050000}"/>
    <hyperlink ref="A1350" r:id="rId1349" xr:uid="{00000000-0004-0000-0800-000045050000}"/>
    <hyperlink ref="A1351" r:id="rId1350" xr:uid="{00000000-0004-0000-0800-000046050000}"/>
    <hyperlink ref="A1352" r:id="rId1351" xr:uid="{00000000-0004-0000-0800-000047050000}"/>
    <hyperlink ref="A1353" r:id="rId1352" xr:uid="{00000000-0004-0000-0800-000048050000}"/>
    <hyperlink ref="A1354" r:id="rId1353" xr:uid="{00000000-0004-0000-0800-000049050000}"/>
    <hyperlink ref="A1355" r:id="rId1354" xr:uid="{00000000-0004-0000-0800-00004A050000}"/>
    <hyperlink ref="A1356" r:id="rId1355" xr:uid="{00000000-0004-0000-0800-00004B050000}"/>
    <hyperlink ref="A1357" r:id="rId1356" xr:uid="{00000000-0004-0000-0800-00004C050000}"/>
    <hyperlink ref="A1358" r:id="rId1357" xr:uid="{00000000-0004-0000-0800-00004D050000}"/>
    <hyperlink ref="A1359" r:id="rId1358" xr:uid="{00000000-0004-0000-0800-00004E050000}"/>
    <hyperlink ref="A1360" r:id="rId1359" xr:uid="{00000000-0004-0000-0800-00004F050000}"/>
    <hyperlink ref="A1361" r:id="rId1360" xr:uid="{00000000-0004-0000-0800-000050050000}"/>
    <hyperlink ref="A1362" r:id="rId1361" xr:uid="{00000000-0004-0000-0800-000051050000}"/>
    <hyperlink ref="A1363" r:id="rId1362" xr:uid="{00000000-0004-0000-0800-000052050000}"/>
    <hyperlink ref="A1364" r:id="rId1363" xr:uid="{00000000-0004-0000-0800-000053050000}"/>
    <hyperlink ref="A1365" r:id="rId1364" xr:uid="{00000000-0004-0000-0800-000054050000}"/>
    <hyperlink ref="A1366" r:id="rId1365" xr:uid="{00000000-0004-0000-0800-000055050000}"/>
    <hyperlink ref="A1367" r:id="rId1366" xr:uid="{00000000-0004-0000-0800-000056050000}"/>
    <hyperlink ref="A1368" r:id="rId1367" xr:uid="{00000000-0004-0000-0800-000057050000}"/>
    <hyperlink ref="A1369" r:id="rId1368" xr:uid="{00000000-0004-0000-0800-000058050000}"/>
    <hyperlink ref="A1370" r:id="rId1369" xr:uid="{00000000-0004-0000-0800-000059050000}"/>
    <hyperlink ref="A1371" r:id="rId1370" xr:uid="{00000000-0004-0000-0800-00005A050000}"/>
    <hyperlink ref="A1372" r:id="rId1371" xr:uid="{00000000-0004-0000-0800-00005B050000}"/>
    <hyperlink ref="A1373" r:id="rId1372" xr:uid="{00000000-0004-0000-0800-00005C050000}"/>
    <hyperlink ref="A1374" r:id="rId1373" xr:uid="{00000000-0004-0000-0800-00005D050000}"/>
    <hyperlink ref="A1375" r:id="rId1374" xr:uid="{00000000-0004-0000-0800-00005E050000}"/>
    <hyperlink ref="A1376" r:id="rId1375" xr:uid="{00000000-0004-0000-0800-00005F050000}"/>
    <hyperlink ref="A1377" r:id="rId1376" xr:uid="{00000000-0004-0000-0800-000060050000}"/>
    <hyperlink ref="A1378" r:id="rId1377" xr:uid="{00000000-0004-0000-0800-000061050000}"/>
    <hyperlink ref="A1379" r:id="rId1378" xr:uid="{00000000-0004-0000-0800-000062050000}"/>
    <hyperlink ref="A1380" r:id="rId1379" xr:uid="{00000000-0004-0000-0800-000063050000}"/>
  </hyperlinks>
  <pageMargins left="0.75" right="0.75" top="1" bottom="1" header="0.5" footer="0.5"/>
  <legacyDrawing r:id="rId138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340"/>
  <sheetViews>
    <sheetView workbookViewId="0">
      <pane xSplit="2" ySplit="1" topLeftCell="C2" activePane="bottomRight" state="frozen"/>
      <selection pane="topRight"/>
      <selection pane="bottomLeft"/>
      <selection pane="bottomRight"/>
    </sheetView>
  </sheetViews>
  <sheetFormatPr defaultRowHeight="15" x14ac:dyDescent="0.25"/>
  <cols>
    <col min="1" max="2" width="50" customWidth="1"/>
    <col min="3" max="3" width="30" customWidth="1"/>
    <col min="4" max="4" width="15" customWidth="1"/>
    <col min="5" max="5" width="11" customWidth="1"/>
    <col min="6" max="6" width="13" customWidth="1"/>
    <col min="7" max="7" width="16" customWidth="1"/>
  </cols>
  <sheetData>
    <row r="1" spans="1:8" ht="45" x14ac:dyDescent="0.25">
      <c r="A1" s="63" t="s">
        <v>1487</v>
      </c>
      <c r="B1" s="63" t="s">
        <v>583</v>
      </c>
      <c r="C1" s="63" t="s">
        <v>584</v>
      </c>
      <c r="D1" s="63" t="s">
        <v>1488</v>
      </c>
      <c r="E1" s="63" t="s">
        <v>1489</v>
      </c>
      <c r="F1" s="63" t="s">
        <v>535</v>
      </c>
      <c r="G1" s="63" t="s">
        <v>1490</v>
      </c>
      <c r="H1" s="32" t="s">
        <v>95</v>
      </c>
    </row>
    <row r="2" spans="1:8" ht="30" x14ac:dyDescent="0.25">
      <c r="A2" s="64" t="s">
        <v>146</v>
      </c>
      <c r="B2" s="37" t="s">
        <v>615</v>
      </c>
      <c r="C2" s="33"/>
      <c r="D2" s="33"/>
      <c r="E2" s="33" t="s">
        <v>1491</v>
      </c>
      <c r="F2" s="52">
        <v>200</v>
      </c>
      <c r="G2" s="33" t="s">
        <v>1492</v>
      </c>
      <c r="H2" s="41"/>
    </row>
    <row r="3" spans="1:8" ht="30" x14ac:dyDescent="0.25">
      <c r="A3" s="64" t="s">
        <v>146</v>
      </c>
      <c r="B3" s="44" t="s">
        <v>617</v>
      </c>
      <c r="C3" s="42" t="s">
        <v>618</v>
      </c>
      <c r="D3" s="42"/>
      <c r="E3" s="42" t="s">
        <v>1493</v>
      </c>
      <c r="F3" s="52">
        <v>200</v>
      </c>
      <c r="G3" s="42" t="s">
        <v>1492</v>
      </c>
    </row>
    <row r="4" spans="1:8" ht="30" x14ac:dyDescent="0.25">
      <c r="A4" s="64" t="s">
        <v>146</v>
      </c>
      <c r="B4" s="37" t="s">
        <v>619</v>
      </c>
      <c r="C4" s="33" t="s">
        <v>620</v>
      </c>
      <c r="D4" s="33"/>
      <c r="E4" s="33" t="s">
        <v>1493</v>
      </c>
      <c r="F4" s="52">
        <v>200</v>
      </c>
      <c r="G4" s="33" t="s">
        <v>1492</v>
      </c>
      <c r="H4" s="41"/>
    </row>
    <row r="5" spans="1:8" ht="30" x14ac:dyDescent="0.25">
      <c r="A5" s="64" t="s">
        <v>146</v>
      </c>
      <c r="B5" s="44" t="s">
        <v>621</v>
      </c>
      <c r="C5" s="42" t="s">
        <v>622</v>
      </c>
      <c r="D5" s="42"/>
      <c r="E5" s="42" t="s">
        <v>1493</v>
      </c>
      <c r="F5" s="52">
        <v>200</v>
      </c>
      <c r="G5" s="42" t="s">
        <v>1492</v>
      </c>
    </row>
    <row r="6" spans="1:8" ht="30" x14ac:dyDescent="0.25">
      <c r="A6" s="64" t="s">
        <v>146</v>
      </c>
      <c r="B6" s="37" t="s">
        <v>623</v>
      </c>
      <c r="C6" s="33" t="s">
        <v>624</v>
      </c>
      <c r="D6" s="33"/>
      <c r="E6" s="33" t="s">
        <v>1493</v>
      </c>
      <c r="F6" s="52">
        <v>200</v>
      </c>
      <c r="G6" s="33" t="s">
        <v>1492</v>
      </c>
      <c r="H6" s="41"/>
    </row>
    <row r="7" spans="1:8" ht="30" x14ac:dyDescent="0.25">
      <c r="A7" s="64" t="s">
        <v>146</v>
      </c>
      <c r="B7" s="44" t="s">
        <v>625</v>
      </c>
      <c r="C7" s="42" t="s">
        <v>626</v>
      </c>
      <c r="D7" s="42"/>
      <c r="E7" s="42" t="s">
        <v>1493</v>
      </c>
      <c r="F7" s="52">
        <v>200</v>
      </c>
      <c r="G7" s="42" t="s">
        <v>1492</v>
      </c>
    </row>
    <row r="8" spans="1:8" ht="30" x14ac:dyDescent="0.25">
      <c r="A8" s="64" t="s">
        <v>146</v>
      </c>
      <c r="B8" s="37" t="s">
        <v>627</v>
      </c>
      <c r="C8" s="33" t="s">
        <v>628</v>
      </c>
      <c r="D8" s="33"/>
      <c r="E8" s="33" t="s">
        <v>1493</v>
      </c>
      <c r="F8" s="52">
        <v>200</v>
      </c>
      <c r="G8" s="33" t="s">
        <v>1492</v>
      </c>
      <c r="H8" s="41"/>
    </row>
    <row r="9" spans="1:8" ht="30" x14ac:dyDescent="0.25">
      <c r="A9" s="64" t="s">
        <v>146</v>
      </c>
      <c r="B9" s="44" t="s">
        <v>617</v>
      </c>
      <c r="C9" s="42" t="s">
        <v>618</v>
      </c>
      <c r="D9" s="42"/>
      <c r="E9" s="42" t="s">
        <v>1493</v>
      </c>
      <c r="F9" s="52">
        <v>200</v>
      </c>
      <c r="G9" s="42" t="s">
        <v>1492</v>
      </c>
    </row>
    <row r="10" spans="1:8" ht="30" x14ac:dyDescent="0.25">
      <c r="A10" s="64" t="s">
        <v>146</v>
      </c>
      <c r="B10" s="37" t="s">
        <v>619</v>
      </c>
      <c r="C10" s="33" t="s">
        <v>620</v>
      </c>
      <c r="D10" s="33"/>
      <c r="E10" s="33" t="s">
        <v>1493</v>
      </c>
      <c r="F10" s="52">
        <v>200</v>
      </c>
      <c r="G10" s="33" t="s">
        <v>1492</v>
      </c>
      <c r="H10" s="41"/>
    </row>
    <row r="11" spans="1:8" ht="30" x14ac:dyDescent="0.25">
      <c r="A11" s="64" t="s">
        <v>146</v>
      </c>
      <c r="B11" s="44" t="s">
        <v>621</v>
      </c>
      <c r="C11" s="42" t="s">
        <v>622</v>
      </c>
      <c r="D11" s="42"/>
      <c r="E11" s="42" t="s">
        <v>1493</v>
      </c>
      <c r="F11" s="52">
        <v>200</v>
      </c>
      <c r="G11" s="42" t="s">
        <v>1492</v>
      </c>
    </row>
    <row r="12" spans="1:8" ht="30" x14ac:dyDescent="0.25">
      <c r="A12" s="64" t="s">
        <v>146</v>
      </c>
      <c r="B12" s="37" t="s">
        <v>623</v>
      </c>
      <c r="C12" s="33" t="s">
        <v>624</v>
      </c>
      <c r="D12" s="33"/>
      <c r="E12" s="33" t="s">
        <v>1493</v>
      </c>
      <c r="F12" s="52">
        <v>200</v>
      </c>
      <c r="G12" s="33" t="s">
        <v>1492</v>
      </c>
      <c r="H12" s="41"/>
    </row>
    <row r="13" spans="1:8" ht="30" x14ac:dyDescent="0.25">
      <c r="A13" s="64" t="s">
        <v>146</v>
      </c>
      <c r="B13" s="44" t="s">
        <v>625</v>
      </c>
      <c r="C13" s="42" t="s">
        <v>626</v>
      </c>
      <c r="D13" s="42"/>
      <c r="E13" s="42" t="s">
        <v>1493</v>
      </c>
      <c r="F13" s="52">
        <v>200</v>
      </c>
      <c r="G13" s="42" t="s">
        <v>1492</v>
      </c>
    </row>
    <row r="14" spans="1:8" ht="30" x14ac:dyDescent="0.25">
      <c r="A14" s="64" t="s">
        <v>146</v>
      </c>
      <c r="B14" s="37" t="s">
        <v>627</v>
      </c>
      <c r="C14" s="33" t="s">
        <v>628</v>
      </c>
      <c r="D14" s="33"/>
      <c r="E14" s="33" t="s">
        <v>1493</v>
      </c>
      <c r="F14" s="52">
        <v>200</v>
      </c>
      <c r="G14" s="33" t="s">
        <v>1492</v>
      </c>
      <c r="H14" s="41"/>
    </row>
    <row r="15" spans="1:8" ht="30" x14ac:dyDescent="0.25">
      <c r="A15" s="64" t="s">
        <v>146</v>
      </c>
      <c r="B15" s="44" t="s">
        <v>629</v>
      </c>
      <c r="C15" s="42" t="s">
        <v>630</v>
      </c>
      <c r="D15" s="42"/>
      <c r="E15" s="42" t="s">
        <v>1493</v>
      </c>
      <c r="F15" s="52">
        <v>200</v>
      </c>
      <c r="G15" s="42" t="s">
        <v>1492</v>
      </c>
    </row>
    <row r="16" spans="1:8" ht="30" x14ac:dyDescent="0.25">
      <c r="A16" s="64" t="s">
        <v>146</v>
      </c>
      <c r="B16" s="37" t="s">
        <v>631</v>
      </c>
      <c r="C16" s="33"/>
      <c r="D16" s="33"/>
      <c r="E16" s="33" t="s">
        <v>1491</v>
      </c>
      <c r="F16" s="52">
        <v>200</v>
      </c>
      <c r="G16" s="33" t="s">
        <v>1492</v>
      </c>
      <c r="H16" s="41"/>
    </row>
    <row r="17" spans="1:8" ht="30" x14ac:dyDescent="0.25">
      <c r="A17" s="64" t="s">
        <v>146</v>
      </c>
      <c r="B17" s="44" t="s">
        <v>632</v>
      </c>
      <c r="C17" s="42"/>
      <c r="D17" s="42"/>
      <c r="E17" s="42" t="s">
        <v>1491</v>
      </c>
      <c r="F17" s="52">
        <v>200</v>
      </c>
      <c r="G17" s="42" t="s">
        <v>1492</v>
      </c>
    </row>
    <row r="18" spans="1:8" ht="30" x14ac:dyDescent="0.25">
      <c r="A18" s="37" t="s">
        <v>146</v>
      </c>
      <c r="B18" s="37" t="s">
        <v>633</v>
      </c>
      <c r="C18" s="33"/>
      <c r="D18" s="33"/>
      <c r="E18" s="33" t="s">
        <v>1491</v>
      </c>
      <c r="F18" s="34">
        <v>403</v>
      </c>
      <c r="G18" s="33" t="s">
        <v>1492</v>
      </c>
      <c r="H18" s="41"/>
    </row>
    <row r="19" spans="1:8" ht="30" x14ac:dyDescent="0.25">
      <c r="A19" s="64" t="s">
        <v>146</v>
      </c>
      <c r="B19" s="44" t="s">
        <v>634</v>
      </c>
      <c r="C19" s="42" t="s">
        <v>635</v>
      </c>
      <c r="D19" s="42"/>
      <c r="E19" s="42" t="s">
        <v>1493</v>
      </c>
      <c r="F19" s="52">
        <v>200</v>
      </c>
      <c r="G19" s="42" t="s">
        <v>1492</v>
      </c>
    </row>
    <row r="20" spans="1:8" ht="30" x14ac:dyDescent="0.25">
      <c r="A20" s="37" t="s">
        <v>146</v>
      </c>
      <c r="B20" s="37" t="s">
        <v>636</v>
      </c>
      <c r="C20" s="33" t="s">
        <v>637</v>
      </c>
      <c r="D20" s="33"/>
      <c r="E20" s="33" t="s">
        <v>1493</v>
      </c>
      <c r="F20" s="34">
        <v>404</v>
      </c>
      <c r="G20" s="33" t="s">
        <v>1492</v>
      </c>
      <c r="H20" s="41"/>
    </row>
    <row r="21" spans="1:8" ht="30" x14ac:dyDescent="0.25">
      <c r="A21" s="44" t="s">
        <v>146</v>
      </c>
      <c r="B21" s="44" t="s">
        <v>636</v>
      </c>
      <c r="C21" s="42" t="s">
        <v>638</v>
      </c>
      <c r="D21" s="42"/>
      <c r="E21" s="42" t="s">
        <v>1493</v>
      </c>
      <c r="F21" s="34">
        <v>404</v>
      </c>
      <c r="G21" s="42" t="s">
        <v>1492</v>
      </c>
    </row>
    <row r="22" spans="1:8" x14ac:dyDescent="0.25">
      <c r="A22" s="64" t="s">
        <v>178</v>
      </c>
      <c r="B22" s="37" t="s">
        <v>176</v>
      </c>
      <c r="C22" s="33"/>
      <c r="D22" s="33"/>
      <c r="E22" s="33" t="s">
        <v>1493</v>
      </c>
      <c r="F22" s="52">
        <v>200</v>
      </c>
      <c r="G22" s="33" t="s">
        <v>1492</v>
      </c>
      <c r="H22" s="41"/>
    </row>
    <row r="23" spans="1:8" x14ac:dyDescent="0.25">
      <c r="A23" s="64" t="s">
        <v>178</v>
      </c>
      <c r="B23" s="44" t="s">
        <v>176</v>
      </c>
      <c r="C23" s="42" t="s">
        <v>639</v>
      </c>
      <c r="D23" s="42"/>
      <c r="E23" s="42" t="s">
        <v>1493</v>
      </c>
      <c r="F23" s="52">
        <v>200</v>
      </c>
      <c r="G23" s="42" t="s">
        <v>1492</v>
      </c>
    </row>
    <row r="24" spans="1:8" x14ac:dyDescent="0.25">
      <c r="A24" s="64" t="s">
        <v>178</v>
      </c>
      <c r="B24" s="37" t="s">
        <v>178</v>
      </c>
      <c r="C24" s="33" t="s">
        <v>640</v>
      </c>
      <c r="D24" s="33"/>
      <c r="E24" s="33" t="s">
        <v>1493</v>
      </c>
      <c r="F24" s="52">
        <v>200</v>
      </c>
      <c r="G24" s="33" t="s">
        <v>1492</v>
      </c>
      <c r="H24" s="41"/>
    </row>
    <row r="25" spans="1:8" ht="30" x14ac:dyDescent="0.25">
      <c r="A25" s="64" t="s">
        <v>178</v>
      </c>
      <c r="B25" s="44" t="s">
        <v>641</v>
      </c>
      <c r="C25" s="42" t="s">
        <v>642</v>
      </c>
      <c r="D25" s="42"/>
      <c r="E25" s="42" t="s">
        <v>1493</v>
      </c>
      <c r="F25" s="52">
        <v>200</v>
      </c>
      <c r="G25" s="42" t="s">
        <v>1492</v>
      </c>
    </row>
    <row r="26" spans="1:8" x14ac:dyDescent="0.25">
      <c r="A26" s="64" t="s">
        <v>178</v>
      </c>
      <c r="B26" s="37" t="s">
        <v>643</v>
      </c>
      <c r="C26" s="33" t="s">
        <v>644</v>
      </c>
      <c r="D26" s="33"/>
      <c r="E26" s="33" t="s">
        <v>1493</v>
      </c>
      <c r="F26" s="52">
        <v>200</v>
      </c>
      <c r="G26" s="33" t="s">
        <v>1492</v>
      </c>
      <c r="H26" s="41"/>
    </row>
    <row r="27" spans="1:8" ht="30" x14ac:dyDescent="0.25">
      <c r="A27" s="64" t="s">
        <v>178</v>
      </c>
      <c r="B27" s="44" t="s">
        <v>208</v>
      </c>
      <c r="C27" s="42" t="s">
        <v>645</v>
      </c>
      <c r="D27" s="42"/>
      <c r="E27" s="42" t="s">
        <v>1493</v>
      </c>
      <c r="F27" s="52">
        <v>200</v>
      </c>
      <c r="G27" s="42" t="s">
        <v>1492</v>
      </c>
    </row>
    <row r="28" spans="1:8" x14ac:dyDescent="0.25">
      <c r="A28" s="64" t="s">
        <v>178</v>
      </c>
      <c r="B28" s="37" t="s">
        <v>646</v>
      </c>
      <c r="C28" s="33" t="s">
        <v>647</v>
      </c>
      <c r="D28" s="33"/>
      <c r="E28" s="33" t="s">
        <v>1493</v>
      </c>
      <c r="F28" s="52">
        <v>200</v>
      </c>
      <c r="G28" s="33" t="s">
        <v>1492</v>
      </c>
      <c r="H28" s="41"/>
    </row>
    <row r="29" spans="1:8" ht="30" x14ac:dyDescent="0.25">
      <c r="A29" s="64" t="s">
        <v>178</v>
      </c>
      <c r="B29" s="44" t="s">
        <v>648</v>
      </c>
      <c r="C29" s="42" t="s">
        <v>649</v>
      </c>
      <c r="D29" s="42"/>
      <c r="E29" s="42" t="s">
        <v>1493</v>
      </c>
      <c r="F29" s="52">
        <v>200</v>
      </c>
      <c r="G29" s="42" t="s">
        <v>1492</v>
      </c>
    </row>
    <row r="30" spans="1:8" ht="30" x14ac:dyDescent="0.25">
      <c r="A30" s="64" t="s">
        <v>178</v>
      </c>
      <c r="B30" s="37" t="s">
        <v>650</v>
      </c>
      <c r="C30" s="33" t="s">
        <v>651</v>
      </c>
      <c r="D30" s="33"/>
      <c r="E30" s="33" t="s">
        <v>1493</v>
      </c>
      <c r="F30" s="52">
        <v>200</v>
      </c>
      <c r="G30" s="33" t="s">
        <v>1492</v>
      </c>
      <c r="H30" s="41"/>
    </row>
    <row r="31" spans="1:8" ht="30" x14ac:dyDescent="0.25">
      <c r="A31" s="64" t="s">
        <v>178</v>
      </c>
      <c r="B31" s="44" t="s">
        <v>652</v>
      </c>
      <c r="C31" s="42" t="s">
        <v>653</v>
      </c>
      <c r="D31" s="42"/>
      <c r="E31" s="42" t="s">
        <v>1493</v>
      </c>
      <c r="F31" s="52">
        <v>200</v>
      </c>
      <c r="G31" s="42" t="s">
        <v>1492</v>
      </c>
    </row>
    <row r="32" spans="1:8" ht="30" x14ac:dyDescent="0.25">
      <c r="A32" s="64" t="s">
        <v>178</v>
      </c>
      <c r="B32" s="37" t="s">
        <v>652</v>
      </c>
      <c r="C32" s="33" t="s">
        <v>654</v>
      </c>
      <c r="D32" s="33"/>
      <c r="E32" s="33" t="s">
        <v>1493</v>
      </c>
      <c r="F32" s="52">
        <v>200</v>
      </c>
      <c r="G32" s="33" t="s">
        <v>1492</v>
      </c>
      <c r="H32" s="41"/>
    </row>
    <row r="33" spans="1:8" ht="30" x14ac:dyDescent="0.25">
      <c r="A33" s="64" t="s">
        <v>178</v>
      </c>
      <c r="B33" s="44" t="s">
        <v>629</v>
      </c>
      <c r="C33" s="42" t="s">
        <v>655</v>
      </c>
      <c r="D33" s="42"/>
      <c r="E33" s="42" t="s">
        <v>1493</v>
      </c>
      <c r="F33" s="52">
        <v>200</v>
      </c>
      <c r="G33" s="42" t="s">
        <v>1492</v>
      </c>
    </row>
    <row r="34" spans="1:8" ht="30" x14ac:dyDescent="0.25">
      <c r="A34" s="64" t="s">
        <v>178</v>
      </c>
      <c r="B34" s="37" t="s">
        <v>656</v>
      </c>
      <c r="C34" s="33" t="s">
        <v>286</v>
      </c>
      <c r="D34" s="33"/>
      <c r="E34" s="33" t="s">
        <v>1493</v>
      </c>
      <c r="F34" s="52">
        <v>200</v>
      </c>
      <c r="G34" s="33" t="s">
        <v>1492</v>
      </c>
      <c r="H34" s="41"/>
    </row>
    <row r="35" spans="1:8" ht="30" x14ac:dyDescent="0.25">
      <c r="A35" s="64" t="s">
        <v>178</v>
      </c>
      <c r="B35" s="44" t="s">
        <v>657</v>
      </c>
      <c r="C35" s="42" t="s">
        <v>658</v>
      </c>
      <c r="D35" s="42"/>
      <c r="E35" s="42" t="s">
        <v>1493</v>
      </c>
      <c r="F35" s="52">
        <v>200</v>
      </c>
      <c r="G35" s="42" t="s">
        <v>1492</v>
      </c>
    </row>
    <row r="36" spans="1:8" x14ac:dyDescent="0.25">
      <c r="A36" s="64" t="s">
        <v>178</v>
      </c>
      <c r="B36" s="37" t="s">
        <v>176</v>
      </c>
      <c r="C36" s="33" t="s">
        <v>639</v>
      </c>
      <c r="D36" s="33"/>
      <c r="E36" s="33" t="s">
        <v>1493</v>
      </c>
      <c r="F36" s="52">
        <v>200</v>
      </c>
      <c r="G36" s="33" t="s">
        <v>1492</v>
      </c>
      <c r="H36" s="41"/>
    </row>
    <row r="37" spans="1:8" x14ac:dyDescent="0.25">
      <c r="A37" s="64" t="s">
        <v>178</v>
      </c>
      <c r="B37" s="44" t="s">
        <v>178</v>
      </c>
      <c r="C37" s="42" t="s">
        <v>640</v>
      </c>
      <c r="D37" s="42"/>
      <c r="E37" s="42" t="s">
        <v>1493</v>
      </c>
      <c r="F37" s="52">
        <v>200</v>
      </c>
      <c r="G37" s="42" t="s">
        <v>1492</v>
      </c>
    </row>
    <row r="38" spans="1:8" ht="30" x14ac:dyDescent="0.25">
      <c r="A38" s="64" t="s">
        <v>178</v>
      </c>
      <c r="B38" s="37" t="s">
        <v>641</v>
      </c>
      <c r="C38" s="33" t="s">
        <v>642</v>
      </c>
      <c r="D38" s="33"/>
      <c r="E38" s="33" t="s">
        <v>1493</v>
      </c>
      <c r="F38" s="52">
        <v>200</v>
      </c>
      <c r="G38" s="33" t="s">
        <v>1492</v>
      </c>
      <c r="H38" s="41"/>
    </row>
    <row r="39" spans="1:8" x14ac:dyDescent="0.25">
      <c r="A39" s="64" t="s">
        <v>178</v>
      </c>
      <c r="B39" s="44" t="s">
        <v>643</v>
      </c>
      <c r="C39" s="42" t="s">
        <v>644</v>
      </c>
      <c r="D39" s="42"/>
      <c r="E39" s="42" t="s">
        <v>1493</v>
      </c>
      <c r="F39" s="52">
        <v>200</v>
      </c>
      <c r="G39" s="42" t="s">
        <v>1492</v>
      </c>
    </row>
    <row r="40" spans="1:8" ht="30" x14ac:dyDescent="0.25">
      <c r="A40" s="64" t="s">
        <v>178</v>
      </c>
      <c r="B40" s="37" t="s">
        <v>208</v>
      </c>
      <c r="C40" s="33" t="s">
        <v>645</v>
      </c>
      <c r="D40" s="33"/>
      <c r="E40" s="33" t="s">
        <v>1493</v>
      </c>
      <c r="F40" s="52">
        <v>200</v>
      </c>
      <c r="G40" s="33" t="s">
        <v>1492</v>
      </c>
      <c r="H40" s="41"/>
    </row>
    <row r="41" spans="1:8" x14ac:dyDescent="0.25">
      <c r="A41" s="64" t="s">
        <v>178</v>
      </c>
      <c r="B41" s="44" t="s">
        <v>646</v>
      </c>
      <c r="C41" s="42" t="s">
        <v>647</v>
      </c>
      <c r="D41" s="42"/>
      <c r="E41" s="42" t="s">
        <v>1493</v>
      </c>
      <c r="F41" s="52">
        <v>200</v>
      </c>
      <c r="G41" s="42" t="s">
        <v>1492</v>
      </c>
    </row>
    <row r="42" spans="1:8" ht="30" x14ac:dyDescent="0.25">
      <c r="A42" s="64" t="s">
        <v>178</v>
      </c>
      <c r="B42" s="37" t="s">
        <v>648</v>
      </c>
      <c r="C42" s="33" t="s">
        <v>649</v>
      </c>
      <c r="D42" s="33"/>
      <c r="E42" s="33" t="s">
        <v>1493</v>
      </c>
      <c r="F42" s="52">
        <v>200</v>
      </c>
      <c r="G42" s="33" t="s">
        <v>1492</v>
      </c>
      <c r="H42" s="41"/>
    </row>
    <row r="43" spans="1:8" ht="30" x14ac:dyDescent="0.25">
      <c r="A43" s="64" t="s">
        <v>178</v>
      </c>
      <c r="B43" s="44" t="s">
        <v>650</v>
      </c>
      <c r="C43" s="42" t="s">
        <v>651</v>
      </c>
      <c r="D43" s="42"/>
      <c r="E43" s="42" t="s">
        <v>1493</v>
      </c>
      <c r="F43" s="52">
        <v>200</v>
      </c>
      <c r="G43" s="42" t="s">
        <v>1492</v>
      </c>
    </row>
    <row r="44" spans="1:8" ht="30" x14ac:dyDescent="0.25">
      <c r="A44" s="64" t="s">
        <v>178</v>
      </c>
      <c r="B44" s="37" t="s">
        <v>652</v>
      </c>
      <c r="C44" s="33" t="s">
        <v>653</v>
      </c>
      <c r="D44" s="33"/>
      <c r="E44" s="33" t="s">
        <v>1493</v>
      </c>
      <c r="F44" s="52">
        <v>200</v>
      </c>
      <c r="G44" s="33" t="s">
        <v>1492</v>
      </c>
      <c r="H44" s="41"/>
    </row>
    <row r="45" spans="1:8" ht="30" x14ac:dyDescent="0.25">
      <c r="A45" s="64" t="s">
        <v>178</v>
      </c>
      <c r="B45" s="44" t="s">
        <v>652</v>
      </c>
      <c r="C45" s="42" t="s">
        <v>654</v>
      </c>
      <c r="D45" s="42"/>
      <c r="E45" s="42" t="s">
        <v>1493</v>
      </c>
      <c r="F45" s="52">
        <v>200</v>
      </c>
      <c r="G45" s="42" t="s">
        <v>1492</v>
      </c>
    </row>
    <row r="46" spans="1:8" ht="30" x14ac:dyDescent="0.25">
      <c r="A46" s="64" t="s">
        <v>178</v>
      </c>
      <c r="B46" s="37" t="s">
        <v>629</v>
      </c>
      <c r="C46" s="33" t="s">
        <v>655</v>
      </c>
      <c r="D46" s="33"/>
      <c r="E46" s="33" t="s">
        <v>1493</v>
      </c>
      <c r="F46" s="52">
        <v>200</v>
      </c>
      <c r="G46" s="33" t="s">
        <v>1492</v>
      </c>
      <c r="H46" s="41"/>
    </row>
    <row r="47" spans="1:8" ht="30" x14ac:dyDescent="0.25">
      <c r="A47" s="64" t="s">
        <v>178</v>
      </c>
      <c r="B47" s="44" t="s">
        <v>656</v>
      </c>
      <c r="C47" s="42" t="s">
        <v>286</v>
      </c>
      <c r="D47" s="42"/>
      <c r="E47" s="42" t="s">
        <v>1493</v>
      </c>
      <c r="F47" s="52">
        <v>200</v>
      </c>
      <c r="G47" s="42" t="s">
        <v>1492</v>
      </c>
    </row>
    <row r="48" spans="1:8" ht="30" x14ac:dyDescent="0.25">
      <c r="A48" s="64" t="s">
        <v>178</v>
      </c>
      <c r="B48" s="37" t="s">
        <v>657</v>
      </c>
      <c r="C48" s="33" t="s">
        <v>658</v>
      </c>
      <c r="D48" s="33"/>
      <c r="E48" s="33" t="s">
        <v>1493</v>
      </c>
      <c r="F48" s="52">
        <v>200</v>
      </c>
      <c r="G48" s="33" t="s">
        <v>1492</v>
      </c>
      <c r="H48" s="41"/>
    </row>
    <row r="49" spans="1:8" ht="30" x14ac:dyDescent="0.25">
      <c r="A49" s="64" t="s">
        <v>178</v>
      </c>
      <c r="B49" s="44" t="s">
        <v>659</v>
      </c>
      <c r="C49" s="42" t="s">
        <v>660</v>
      </c>
      <c r="D49" s="42"/>
      <c r="E49" s="42" t="s">
        <v>1491</v>
      </c>
      <c r="F49" s="52">
        <v>200</v>
      </c>
      <c r="G49" s="42" t="s">
        <v>1492</v>
      </c>
    </row>
    <row r="50" spans="1:8" ht="30" x14ac:dyDescent="0.25">
      <c r="A50" s="64" t="s">
        <v>178</v>
      </c>
      <c r="B50" s="37" t="s">
        <v>661</v>
      </c>
      <c r="C50" s="33" t="s">
        <v>660</v>
      </c>
      <c r="D50" s="33"/>
      <c r="E50" s="33" t="s">
        <v>1491</v>
      </c>
      <c r="F50" s="52">
        <v>200</v>
      </c>
      <c r="G50" s="33" t="s">
        <v>1492</v>
      </c>
      <c r="H50" s="41"/>
    </row>
    <row r="51" spans="1:8" ht="30" x14ac:dyDescent="0.25">
      <c r="A51" s="64" t="s">
        <v>178</v>
      </c>
      <c r="B51" s="44" t="s">
        <v>662</v>
      </c>
      <c r="C51" s="42" t="s">
        <v>660</v>
      </c>
      <c r="D51" s="42"/>
      <c r="E51" s="42" t="s">
        <v>1491</v>
      </c>
      <c r="F51" s="52">
        <v>200</v>
      </c>
      <c r="G51" s="42" t="s">
        <v>1492</v>
      </c>
    </row>
    <row r="52" spans="1:8" ht="30" x14ac:dyDescent="0.25">
      <c r="A52" s="64" t="s">
        <v>178</v>
      </c>
      <c r="B52" s="37" t="s">
        <v>663</v>
      </c>
      <c r="C52" s="33" t="s">
        <v>660</v>
      </c>
      <c r="D52" s="33"/>
      <c r="E52" s="33" t="s">
        <v>1491</v>
      </c>
      <c r="F52" s="52">
        <v>200</v>
      </c>
      <c r="G52" s="33" t="s">
        <v>1492</v>
      </c>
      <c r="H52" s="41"/>
    </row>
    <row r="53" spans="1:8" ht="30" x14ac:dyDescent="0.25">
      <c r="A53" s="64" t="s">
        <v>178</v>
      </c>
      <c r="B53" s="44" t="s">
        <v>664</v>
      </c>
      <c r="C53" s="42" t="s">
        <v>660</v>
      </c>
      <c r="D53" s="42"/>
      <c r="E53" s="42" t="s">
        <v>1491</v>
      </c>
      <c r="F53" s="52">
        <v>200</v>
      </c>
      <c r="G53" s="42" t="s">
        <v>1492</v>
      </c>
    </row>
    <row r="54" spans="1:8" x14ac:dyDescent="0.25">
      <c r="A54" s="64" t="s">
        <v>178</v>
      </c>
      <c r="B54" s="37" t="s">
        <v>643</v>
      </c>
      <c r="C54" s="33" t="s">
        <v>665</v>
      </c>
      <c r="D54" s="33"/>
      <c r="E54" s="33" t="s">
        <v>1493</v>
      </c>
      <c r="F54" s="52">
        <v>200</v>
      </c>
      <c r="G54" s="33" t="s">
        <v>1492</v>
      </c>
      <c r="H54" s="41"/>
    </row>
    <row r="55" spans="1:8" ht="30" x14ac:dyDescent="0.25">
      <c r="A55" s="64" t="s">
        <v>178</v>
      </c>
      <c r="B55" s="44" t="s">
        <v>629</v>
      </c>
      <c r="C55" s="42" t="s">
        <v>630</v>
      </c>
      <c r="D55" s="42"/>
      <c r="E55" s="42" t="s">
        <v>1493</v>
      </c>
      <c r="F55" s="52">
        <v>200</v>
      </c>
      <c r="G55" s="42" t="s">
        <v>1492</v>
      </c>
    </row>
    <row r="56" spans="1:8" ht="30" x14ac:dyDescent="0.25">
      <c r="A56" s="64" t="s">
        <v>178</v>
      </c>
      <c r="B56" s="37" t="s">
        <v>631</v>
      </c>
      <c r="C56" s="33"/>
      <c r="D56" s="33"/>
      <c r="E56" s="33" t="s">
        <v>1491</v>
      </c>
      <c r="F56" s="52">
        <v>200</v>
      </c>
      <c r="G56" s="33" t="s">
        <v>1492</v>
      </c>
      <c r="H56" s="41"/>
    </row>
    <row r="57" spans="1:8" ht="30" x14ac:dyDescent="0.25">
      <c r="A57" s="64" t="s">
        <v>178</v>
      </c>
      <c r="B57" s="44" t="s">
        <v>632</v>
      </c>
      <c r="C57" s="42"/>
      <c r="D57" s="42"/>
      <c r="E57" s="42" t="s">
        <v>1491</v>
      </c>
      <c r="F57" s="52">
        <v>200</v>
      </c>
      <c r="G57" s="42" t="s">
        <v>1492</v>
      </c>
    </row>
    <row r="58" spans="1:8" ht="30" x14ac:dyDescent="0.25">
      <c r="A58" s="64" t="s">
        <v>178</v>
      </c>
      <c r="B58" s="37" t="s">
        <v>634</v>
      </c>
      <c r="C58" s="33" t="s">
        <v>666</v>
      </c>
      <c r="D58" s="33"/>
      <c r="E58" s="33" t="s">
        <v>1493</v>
      </c>
      <c r="F58" s="52">
        <v>200</v>
      </c>
      <c r="G58" s="33" t="s">
        <v>1492</v>
      </c>
      <c r="H58" s="41"/>
    </row>
    <row r="59" spans="1:8" ht="30" x14ac:dyDescent="0.25">
      <c r="A59" s="44" t="s">
        <v>178</v>
      </c>
      <c r="B59" s="44" t="s">
        <v>636</v>
      </c>
      <c r="C59" s="42" t="s">
        <v>637</v>
      </c>
      <c r="D59" s="42"/>
      <c r="E59" s="42" t="s">
        <v>1493</v>
      </c>
      <c r="F59" s="34">
        <v>404</v>
      </c>
      <c r="G59" s="42" t="s">
        <v>1492</v>
      </c>
    </row>
    <row r="60" spans="1:8" ht="30" x14ac:dyDescent="0.25">
      <c r="A60" s="37" t="s">
        <v>178</v>
      </c>
      <c r="B60" s="37" t="s">
        <v>636</v>
      </c>
      <c r="C60" s="33" t="s">
        <v>638</v>
      </c>
      <c r="D60" s="33"/>
      <c r="E60" s="33" t="s">
        <v>1493</v>
      </c>
      <c r="F60" s="34">
        <v>404</v>
      </c>
      <c r="G60" s="33" t="s">
        <v>1492</v>
      </c>
      <c r="H60" s="41"/>
    </row>
    <row r="61" spans="1:8" x14ac:dyDescent="0.25">
      <c r="A61" s="64" t="s">
        <v>176</v>
      </c>
      <c r="B61" s="44" t="s">
        <v>176</v>
      </c>
      <c r="C61" s="42"/>
      <c r="D61" s="42"/>
      <c r="E61" s="42" t="s">
        <v>1493</v>
      </c>
      <c r="F61" s="52">
        <v>200</v>
      </c>
      <c r="G61" s="42" t="s">
        <v>1492</v>
      </c>
    </row>
    <row r="62" spans="1:8" x14ac:dyDescent="0.25">
      <c r="A62" s="64" t="s">
        <v>176</v>
      </c>
      <c r="B62" s="37" t="s">
        <v>176</v>
      </c>
      <c r="C62" s="33" t="s">
        <v>639</v>
      </c>
      <c r="D62" s="33"/>
      <c r="E62" s="33" t="s">
        <v>1493</v>
      </c>
      <c r="F62" s="52">
        <v>200</v>
      </c>
      <c r="G62" s="33" t="s">
        <v>1492</v>
      </c>
      <c r="H62" s="41"/>
    </row>
    <row r="63" spans="1:8" x14ac:dyDescent="0.25">
      <c r="A63" s="64" t="s">
        <v>176</v>
      </c>
      <c r="B63" s="44" t="s">
        <v>178</v>
      </c>
      <c r="C63" s="42" t="s">
        <v>640</v>
      </c>
      <c r="D63" s="42"/>
      <c r="E63" s="42" t="s">
        <v>1493</v>
      </c>
      <c r="F63" s="52">
        <v>200</v>
      </c>
      <c r="G63" s="42" t="s">
        <v>1492</v>
      </c>
    </row>
    <row r="64" spans="1:8" ht="30" x14ac:dyDescent="0.25">
      <c r="A64" s="64" t="s">
        <v>176</v>
      </c>
      <c r="B64" s="37" t="s">
        <v>641</v>
      </c>
      <c r="C64" s="33" t="s">
        <v>642</v>
      </c>
      <c r="D64" s="33"/>
      <c r="E64" s="33" t="s">
        <v>1493</v>
      </c>
      <c r="F64" s="52">
        <v>200</v>
      </c>
      <c r="G64" s="33" t="s">
        <v>1492</v>
      </c>
      <c r="H64" s="41"/>
    </row>
    <row r="65" spans="1:8" x14ac:dyDescent="0.25">
      <c r="A65" s="64" t="s">
        <v>176</v>
      </c>
      <c r="B65" s="44" t="s">
        <v>643</v>
      </c>
      <c r="C65" s="42" t="s">
        <v>644</v>
      </c>
      <c r="D65" s="42"/>
      <c r="E65" s="42" t="s">
        <v>1493</v>
      </c>
      <c r="F65" s="52">
        <v>200</v>
      </c>
      <c r="G65" s="42" t="s">
        <v>1492</v>
      </c>
    </row>
    <row r="66" spans="1:8" ht="30" x14ac:dyDescent="0.25">
      <c r="A66" s="64" t="s">
        <v>176</v>
      </c>
      <c r="B66" s="37" t="s">
        <v>208</v>
      </c>
      <c r="C66" s="33" t="s">
        <v>645</v>
      </c>
      <c r="D66" s="33"/>
      <c r="E66" s="33" t="s">
        <v>1493</v>
      </c>
      <c r="F66" s="52">
        <v>200</v>
      </c>
      <c r="G66" s="33" t="s">
        <v>1492</v>
      </c>
      <c r="H66" s="41"/>
    </row>
    <row r="67" spans="1:8" x14ac:dyDescent="0.25">
      <c r="A67" s="64" t="s">
        <v>176</v>
      </c>
      <c r="B67" s="44" t="s">
        <v>646</v>
      </c>
      <c r="C67" s="42" t="s">
        <v>647</v>
      </c>
      <c r="D67" s="42"/>
      <c r="E67" s="42" t="s">
        <v>1493</v>
      </c>
      <c r="F67" s="52">
        <v>200</v>
      </c>
      <c r="G67" s="42" t="s">
        <v>1492</v>
      </c>
    </row>
    <row r="68" spans="1:8" ht="30" x14ac:dyDescent="0.25">
      <c r="A68" s="64" t="s">
        <v>176</v>
      </c>
      <c r="B68" s="37" t="s">
        <v>648</v>
      </c>
      <c r="C68" s="33" t="s">
        <v>649</v>
      </c>
      <c r="D68" s="33"/>
      <c r="E68" s="33" t="s">
        <v>1493</v>
      </c>
      <c r="F68" s="52">
        <v>200</v>
      </c>
      <c r="G68" s="33" t="s">
        <v>1492</v>
      </c>
      <c r="H68" s="41"/>
    </row>
    <row r="69" spans="1:8" ht="30" x14ac:dyDescent="0.25">
      <c r="A69" s="64" t="s">
        <v>176</v>
      </c>
      <c r="B69" s="44" t="s">
        <v>650</v>
      </c>
      <c r="C69" s="42" t="s">
        <v>651</v>
      </c>
      <c r="D69" s="42"/>
      <c r="E69" s="42" t="s">
        <v>1493</v>
      </c>
      <c r="F69" s="52">
        <v>200</v>
      </c>
      <c r="G69" s="42" t="s">
        <v>1492</v>
      </c>
    </row>
    <row r="70" spans="1:8" ht="30" x14ac:dyDescent="0.25">
      <c r="A70" s="64" t="s">
        <v>176</v>
      </c>
      <c r="B70" s="37" t="s">
        <v>652</v>
      </c>
      <c r="C70" s="33" t="s">
        <v>653</v>
      </c>
      <c r="D70" s="33"/>
      <c r="E70" s="33" t="s">
        <v>1493</v>
      </c>
      <c r="F70" s="52">
        <v>200</v>
      </c>
      <c r="G70" s="33" t="s">
        <v>1492</v>
      </c>
      <c r="H70" s="41"/>
    </row>
    <row r="71" spans="1:8" ht="30" x14ac:dyDescent="0.25">
      <c r="A71" s="64" t="s">
        <v>176</v>
      </c>
      <c r="B71" s="44" t="s">
        <v>652</v>
      </c>
      <c r="C71" s="42" t="s">
        <v>654</v>
      </c>
      <c r="D71" s="42"/>
      <c r="E71" s="42" t="s">
        <v>1493</v>
      </c>
      <c r="F71" s="52">
        <v>200</v>
      </c>
      <c r="G71" s="42" t="s">
        <v>1492</v>
      </c>
    </row>
    <row r="72" spans="1:8" ht="30" x14ac:dyDescent="0.25">
      <c r="A72" s="64" t="s">
        <v>176</v>
      </c>
      <c r="B72" s="37" t="s">
        <v>629</v>
      </c>
      <c r="C72" s="33" t="s">
        <v>655</v>
      </c>
      <c r="D72" s="33"/>
      <c r="E72" s="33" t="s">
        <v>1493</v>
      </c>
      <c r="F72" s="52">
        <v>200</v>
      </c>
      <c r="G72" s="33" t="s">
        <v>1492</v>
      </c>
      <c r="H72" s="41"/>
    </row>
    <row r="73" spans="1:8" ht="30" x14ac:dyDescent="0.25">
      <c r="A73" s="64" t="s">
        <v>176</v>
      </c>
      <c r="B73" s="44" t="s">
        <v>656</v>
      </c>
      <c r="C73" s="42" t="s">
        <v>286</v>
      </c>
      <c r="D73" s="42"/>
      <c r="E73" s="42" t="s">
        <v>1493</v>
      </c>
      <c r="F73" s="52">
        <v>200</v>
      </c>
      <c r="G73" s="42" t="s">
        <v>1492</v>
      </c>
    </row>
    <row r="74" spans="1:8" ht="30" x14ac:dyDescent="0.25">
      <c r="A74" s="64" t="s">
        <v>176</v>
      </c>
      <c r="B74" s="37" t="s">
        <v>657</v>
      </c>
      <c r="C74" s="33" t="s">
        <v>658</v>
      </c>
      <c r="D74" s="33"/>
      <c r="E74" s="33" t="s">
        <v>1493</v>
      </c>
      <c r="F74" s="52">
        <v>200</v>
      </c>
      <c r="G74" s="33" t="s">
        <v>1492</v>
      </c>
      <c r="H74" s="41"/>
    </row>
    <row r="75" spans="1:8" x14ac:dyDescent="0.25">
      <c r="A75" s="64" t="s">
        <v>176</v>
      </c>
      <c r="B75" s="44" t="s">
        <v>176</v>
      </c>
      <c r="C75" s="42" t="s">
        <v>639</v>
      </c>
      <c r="D75" s="42"/>
      <c r="E75" s="42" t="s">
        <v>1493</v>
      </c>
      <c r="F75" s="52">
        <v>200</v>
      </c>
      <c r="G75" s="42" t="s">
        <v>1492</v>
      </c>
    </row>
    <row r="76" spans="1:8" x14ac:dyDescent="0.25">
      <c r="A76" s="64" t="s">
        <v>176</v>
      </c>
      <c r="B76" s="37" t="s">
        <v>178</v>
      </c>
      <c r="C76" s="33" t="s">
        <v>640</v>
      </c>
      <c r="D76" s="33"/>
      <c r="E76" s="33" t="s">
        <v>1493</v>
      </c>
      <c r="F76" s="52">
        <v>200</v>
      </c>
      <c r="G76" s="33" t="s">
        <v>1492</v>
      </c>
      <c r="H76" s="41"/>
    </row>
    <row r="77" spans="1:8" ht="30" x14ac:dyDescent="0.25">
      <c r="A77" s="64" t="s">
        <v>176</v>
      </c>
      <c r="B77" s="44" t="s">
        <v>641</v>
      </c>
      <c r="C77" s="42" t="s">
        <v>642</v>
      </c>
      <c r="D77" s="42"/>
      <c r="E77" s="42" t="s">
        <v>1493</v>
      </c>
      <c r="F77" s="52">
        <v>200</v>
      </c>
      <c r="G77" s="42" t="s">
        <v>1492</v>
      </c>
    </row>
    <row r="78" spans="1:8" x14ac:dyDescent="0.25">
      <c r="A78" s="64" t="s">
        <v>176</v>
      </c>
      <c r="B78" s="37" t="s">
        <v>643</v>
      </c>
      <c r="C78" s="33" t="s">
        <v>644</v>
      </c>
      <c r="D78" s="33"/>
      <c r="E78" s="33" t="s">
        <v>1493</v>
      </c>
      <c r="F78" s="52">
        <v>200</v>
      </c>
      <c r="G78" s="33" t="s">
        <v>1492</v>
      </c>
      <c r="H78" s="41"/>
    </row>
    <row r="79" spans="1:8" ht="30" x14ac:dyDescent="0.25">
      <c r="A79" s="64" t="s">
        <v>176</v>
      </c>
      <c r="B79" s="44" t="s">
        <v>208</v>
      </c>
      <c r="C79" s="42" t="s">
        <v>645</v>
      </c>
      <c r="D79" s="42"/>
      <c r="E79" s="42" t="s">
        <v>1493</v>
      </c>
      <c r="F79" s="52">
        <v>200</v>
      </c>
      <c r="G79" s="42" t="s">
        <v>1492</v>
      </c>
    </row>
    <row r="80" spans="1:8" x14ac:dyDescent="0.25">
      <c r="A80" s="64" t="s">
        <v>176</v>
      </c>
      <c r="B80" s="37" t="s">
        <v>646</v>
      </c>
      <c r="C80" s="33" t="s">
        <v>647</v>
      </c>
      <c r="D80" s="33"/>
      <c r="E80" s="33" t="s">
        <v>1493</v>
      </c>
      <c r="F80" s="52">
        <v>200</v>
      </c>
      <c r="G80" s="33" t="s">
        <v>1492</v>
      </c>
      <c r="H80" s="41"/>
    </row>
    <row r="81" spans="1:8" ht="30" x14ac:dyDescent="0.25">
      <c r="A81" s="64" t="s">
        <v>176</v>
      </c>
      <c r="B81" s="44" t="s">
        <v>648</v>
      </c>
      <c r="C81" s="42" t="s">
        <v>649</v>
      </c>
      <c r="D81" s="42"/>
      <c r="E81" s="42" t="s">
        <v>1493</v>
      </c>
      <c r="F81" s="52">
        <v>200</v>
      </c>
      <c r="G81" s="42" t="s">
        <v>1492</v>
      </c>
    </row>
    <row r="82" spans="1:8" ht="30" x14ac:dyDescent="0.25">
      <c r="A82" s="64" t="s">
        <v>176</v>
      </c>
      <c r="B82" s="37" t="s">
        <v>650</v>
      </c>
      <c r="C82" s="33" t="s">
        <v>651</v>
      </c>
      <c r="D82" s="33"/>
      <c r="E82" s="33" t="s">
        <v>1493</v>
      </c>
      <c r="F82" s="52">
        <v>200</v>
      </c>
      <c r="G82" s="33" t="s">
        <v>1492</v>
      </c>
      <c r="H82" s="41"/>
    </row>
    <row r="83" spans="1:8" ht="30" x14ac:dyDescent="0.25">
      <c r="A83" s="64" t="s">
        <v>176</v>
      </c>
      <c r="B83" s="44" t="s">
        <v>652</v>
      </c>
      <c r="C83" s="42" t="s">
        <v>653</v>
      </c>
      <c r="D83" s="42"/>
      <c r="E83" s="42" t="s">
        <v>1493</v>
      </c>
      <c r="F83" s="52">
        <v>200</v>
      </c>
      <c r="G83" s="42" t="s">
        <v>1492</v>
      </c>
    </row>
    <row r="84" spans="1:8" ht="30" x14ac:dyDescent="0.25">
      <c r="A84" s="64" t="s">
        <v>176</v>
      </c>
      <c r="B84" s="37" t="s">
        <v>652</v>
      </c>
      <c r="C84" s="33" t="s">
        <v>654</v>
      </c>
      <c r="D84" s="33"/>
      <c r="E84" s="33" t="s">
        <v>1493</v>
      </c>
      <c r="F84" s="52">
        <v>200</v>
      </c>
      <c r="G84" s="33" t="s">
        <v>1492</v>
      </c>
      <c r="H84" s="41"/>
    </row>
    <row r="85" spans="1:8" ht="30" x14ac:dyDescent="0.25">
      <c r="A85" s="64" t="s">
        <v>176</v>
      </c>
      <c r="B85" s="44" t="s">
        <v>629</v>
      </c>
      <c r="C85" s="42" t="s">
        <v>655</v>
      </c>
      <c r="D85" s="42"/>
      <c r="E85" s="42" t="s">
        <v>1493</v>
      </c>
      <c r="F85" s="52">
        <v>200</v>
      </c>
      <c r="G85" s="42" t="s">
        <v>1492</v>
      </c>
    </row>
    <row r="86" spans="1:8" ht="30" x14ac:dyDescent="0.25">
      <c r="A86" s="64" t="s">
        <v>176</v>
      </c>
      <c r="B86" s="37" t="s">
        <v>656</v>
      </c>
      <c r="C86" s="33" t="s">
        <v>286</v>
      </c>
      <c r="D86" s="33"/>
      <c r="E86" s="33" t="s">
        <v>1493</v>
      </c>
      <c r="F86" s="52">
        <v>200</v>
      </c>
      <c r="G86" s="33" t="s">
        <v>1492</v>
      </c>
      <c r="H86" s="41"/>
    </row>
    <row r="87" spans="1:8" ht="30" x14ac:dyDescent="0.25">
      <c r="A87" s="64" t="s">
        <v>176</v>
      </c>
      <c r="B87" s="44" t="s">
        <v>657</v>
      </c>
      <c r="C87" s="42" t="s">
        <v>658</v>
      </c>
      <c r="D87" s="42"/>
      <c r="E87" s="42" t="s">
        <v>1493</v>
      </c>
      <c r="F87" s="52">
        <v>200</v>
      </c>
      <c r="G87" s="42" t="s">
        <v>1492</v>
      </c>
    </row>
    <row r="88" spans="1:8" ht="30" x14ac:dyDescent="0.25">
      <c r="A88" s="64" t="s">
        <v>176</v>
      </c>
      <c r="B88" s="37" t="s">
        <v>656</v>
      </c>
      <c r="C88" s="33" t="s">
        <v>667</v>
      </c>
      <c r="D88" s="33"/>
      <c r="E88" s="33" t="s">
        <v>1493</v>
      </c>
      <c r="F88" s="52">
        <v>200</v>
      </c>
      <c r="G88" s="33" t="s">
        <v>1492</v>
      </c>
      <c r="H88" s="41"/>
    </row>
    <row r="89" spans="1:8" ht="30" x14ac:dyDescent="0.25">
      <c r="A89" s="64" t="s">
        <v>176</v>
      </c>
      <c r="B89" s="44" t="s">
        <v>650</v>
      </c>
      <c r="C89" s="42" t="s">
        <v>668</v>
      </c>
      <c r="D89" s="42"/>
      <c r="E89" s="42" t="s">
        <v>1493</v>
      </c>
      <c r="F89" s="52">
        <v>200</v>
      </c>
      <c r="G89" s="42" t="s">
        <v>1492</v>
      </c>
    </row>
    <row r="90" spans="1:8" x14ac:dyDescent="0.25">
      <c r="A90" s="64" t="s">
        <v>176</v>
      </c>
      <c r="B90" s="37" t="s">
        <v>178</v>
      </c>
      <c r="C90" s="33" t="s">
        <v>669</v>
      </c>
      <c r="D90" s="33"/>
      <c r="E90" s="33" t="s">
        <v>1493</v>
      </c>
      <c r="F90" s="52">
        <v>200</v>
      </c>
      <c r="G90" s="33" t="s">
        <v>1492</v>
      </c>
      <c r="H90" s="41"/>
    </row>
    <row r="91" spans="1:8" ht="30" x14ac:dyDescent="0.25">
      <c r="A91" s="64" t="s">
        <v>176</v>
      </c>
      <c r="B91" s="44" t="s">
        <v>656</v>
      </c>
      <c r="C91" s="42" t="s">
        <v>670</v>
      </c>
      <c r="D91" s="42"/>
      <c r="E91" s="42" t="s">
        <v>1493</v>
      </c>
      <c r="F91" s="52">
        <v>200</v>
      </c>
      <c r="G91" s="42" t="s">
        <v>1492</v>
      </c>
    </row>
    <row r="92" spans="1:8" ht="30" x14ac:dyDescent="0.25">
      <c r="A92" s="64" t="s">
        <v>176</v>
      </c>
      <c r="B92" s="37" t="s">
        <v>617</v>
      </c>
      <c r="C92" s="33" t="s">
        <v>671</v>
      </c>
      <c r="D92" s="33"/>
      <c r="E92" s="33" t="s">
        <v>1493</v>
      </c>
      <c r="F92" s="52">
        <v>200</v>
      </c>
      <c r="G92" s="33" t="s">
        <v>1492</v>
      </c>
      <c r="H92" s="41"/>
    </row>
    <row r="93" spans="1:8" x14ac:dyDescent="0.25">
      <c r="A93" s="64" t="s">
        <v>176</v>
      </c>
      <c r="B93" s="44" t="s">
        <v>646</v>
      </c>
      <c r="C93" s="42" t="s">
        <v>672</v>
      </c>
      <c r="D93" s="42"/>
      <c r="E93" s="42" t="s">
        <v>1493</v>
      </c>
      <c r="F93" s="52">
        <v>200</v>
      </c>
      <c r="G93" s="42" t="s">
        <v>1492</v>
      </c>
    </row>
    <row r="94" spans="1:8" ht="30" x14ac:dyDescent="0.25">
      <c r="A94" s="64" t="s">
        <v>176</v>
      </c>
      <c r="B94" s="37" t="s">
        <v>629</v>
      </c>
      <c r="C94" s="33" t="s">
        <v>673</v>
      </c>
      <c r="D94" s="33"/>
      <c r="E94" s="33" t="s">
        <v>1493</v>
      </c>
      <c r="F94" s="52">
        <v>200</v>
      </c>
      <c r="G94" s="33" t="s">
        <v>1494</v>
      </c>
      <c r="H94" s="41"/>
    </row>
    <row r="95" spans="1:8" ht="30" x14ac:dyDescent="0.25">
      <c r="A95" s="64" t="s">
        <v>176</v>
      </c>
      <c r="B95" s="44" t="s">
        <v>652</v>
      </c>
      <c r="C95" s="42" t="s">
        <v>673</v>
      </c>
      <c r="D95" s="42"/>
      <c r="E95" s="42" t="s">
        <v>1493</v>
      </c>
      <c r="F95" s="52">
        <v>200</v>
      </c>
      <c r="G95" s="42" t="s">
        <v>1494</v>
      </c>
    </row>
    <row r="96" spans="1:8" ht="30" x14ac:dyDescent="0.25">
      <c r="A96" s="64" t="s">
        <v>176</v>
      </c>
      <c r="B96" s="37" t="s">
        <v>629</v>
      </c>
      <c r="C96" s="33" t="s">
        <v>669</v>
      </c>
      <c r="D96" s="33"/>
      <c r="E96" s="33" t="s">
        <v>1493</v>
      </c>
      <c r="F96" s="52">
        <v>200</v>
      </c>
      <c r="G96" s="33" t="s">
        <v>1492</v>
      </c>
      <c r="H96" s="41"/>
    </row>
    <row r="97" spans="1:8" ht="30" x14ac:dyDescent="0.25">
      <c r="A97" s="64" t="s">
        <v>176</v>
      </c>
      <c r="B97" s="44" t="s">
        <v>629</v>
      </c>
      <c r="C97" s="42" t="s">
        <v>669</v>
      </c>
      <c r="D97" s="42"/>
      <c r="E97" s="42" t="s">
        <v>1493</v>
      </c>
      <c r="F97" s="52">
        <v>200</v>
      </c>
      <c r="G97" s="42" t="s">
        <v>1492</v>
      </c>
    </row>
    <row r="98" spans="1:8" ht="30" x14ac:dyDescent="0.25">
      <c r="A98" s="64" t="s">
        <v>176</v>
      </c>
      <c r="B98" s="37" t="s">
        <v>629</v>
      </c>
      <c r="C98" s="33" t="s">
        <v>669</v>
      </c>
      <c r="D98" s="33"/>
      <c r="E98" s="33" t="s">
        <v>1493</v>
      </c>
      <c r="F98" s="52">
        <v>200</v>
      </c>
      <c r="G98" s="33" t="s">
        <v>1492</v>
      </c>
      <c r="H98" s="41"/>
    </row>
    <row r="99" spans="1:8" x14ac:dyDescent="0.25">
      <c r="A99" s="64" t="s">
        <v>176</v>
      </c>
      <c r="B99" s="44" t="s">
        <v>674</v>
      </c>
      <c r="C99" s="42" t="s">
        <v>675</v>
      </c>
      <c r="D99" s="42"/>
      <c r="E99" s="42" t="s">
        <v>1493</v>
      </c>
      <c r="F99" s="52">
        <v>200</v>
      </c>
      <c r="G99" s="42" t="s">
        <v>1492</v>
      </c>
    </row>
    <row r="100" spans="1:8" ht="45" x14ac:dyDescent="0.25">
      <c r="A100" s="64" t="s">
        <v>176</v>
      </c>
      <c r="B100" s="37" t="s">
        <v>676</v>
      </c>
      <c r="C100" s="33"/>
      <c r="D100" s="33"/>
      <c r="E100" s="33" t="s">
        <v>1493</v>
      </c>
      <c r="F100" s="52">
        <v>200</v>
      </c>
      <c r="G100" s="33" t="s">
        <v>1492</v>
      </c>
      <c r="H100" s="41"/>
    </row>
    <row r="101" spans="1:8" ht="45" x14ac:dyDescent="0.25">
      <c r="A101" s="64" t="s">
        <v>176</v>
      </c>
      <c r="B101" s="44" t="s">
        <v>676</v>
      </c>
      <c r="C101" s="42" t="s">
        <v>677</v>
      </c>
      <c r="D101" s="42"/>
      <c r="E101" s="42" t="s">
        <v>1493</v>
      </c>
      <c r="F101" s="52">
        <v>200</v>
      </c>
      <c r="G101" s="42" t="s">
        <v>1492</v>
      </c>
    </row>
    <row r="102" spans="1:8" ht="45" x14ac:dyDescent="0.25">
      <c r="A102" s="64" t="s">
        <v>176</v>
      </c>
      <c r="B102" s="37" t="s">
        <v>676</v>
      </c>
      <c r="C102" s="33" t="s">
        <v>678</v>
      </c>
      <c r="D102" s="33"/>
      <c r="E102" s="33" t="s">
        <v>1493</v>
      </c>
      <c r="F102" s="52">
        <v>200</v>
      </c>
      <c r="G102" s="33" t="s">
        <v>1492</v>
      </c>
      <c r="H102" s="41"/>
    </row>
    <row r="103" spans="1:8" ht="45" x14ac:dyDescent="0.25">
      <c r="A103" s="64" t="s">
        <v>176</v>
      </c>
      <c r="B103" s="44" t="s">
        <v>679</v>
      </c>
      <c r="C103" s="42"/>
      <c r="D103" s="42"/>
      <c r="E103" s="42" t="s">
        <v>1493</v>
      </c>
      <c r="F103" s="52">
        <v>200</v>
      </c>
      <c r="G103" s="42" t="s">
        <v>1492</v>
      </c>
    </row>
    <row r="104" spans="1:8" ht="45" x14ac:dyDescent="0.25">
      <c r="A104" s="64" t="s">
        <v>176</v>
      </c>
      <c r="B104" s="37" t="s">
        <v>679</v>
      </c>
      <c r="C104" s="33" t="s">
        <v>680</v>
      </c>
      <c r="D104" s="33"/>
      <c r="E104" s="33" t="s">
        <v>1493</v>
      </c>
      <c r="F104" s="52">
        <v>200</v>
      </c>
      <c r="G104" s="33" t="s">
        <v>1492</v>
      </c>
      <c r="H104" s="41"/>
    </row>
    <row r="105" spans="1:8" ht="45" x14ac:dyDescent="0.25">
      <c r="A105" s="64" t="s">
        <v>176</v>
      </c>
      <c r="B105" s="44" t="s">
        <v>679</v>
      </c>
      <c r="C105" s="42" t="s">
        <v>678</v>
      </c>
      <c r="D105" s="42"/>
      <c r="E105" s="42" t="s">
        <v>1493</v>
      </c>
      <c r="F105" s="52">
        <v>200</v>
      </c>
      <c r="G105" s="42" t="s">
        <v>1492</v>
      </c>
    </row>
    <row r="106" spans="1:8" ht="45" x14ac:dyDescent="0.25">
      <c r="A106" s="64" t="s">
        <v>176</v>
      </c>
      <c r="B106" s="37" t="s">
        <v>681</v>
      </c>
      <c r="C106" s="33"/>
      <c r="D106" s="33"/>
      <c r="E106" s="33" t="s">
        <v>1493</v>
      </c>
      <c r="F106" s="52">
        <v>200</v>
      </c>
      <c r="G106" s="33" t="s">
        <v>1492</v>
      </c>
      <c r="H106" s="41"/>
    </row>
    <row r="107" spans="1:8" ht="45" x14ac:dyDescent="0.25">
      <c r="A107" s="64" t="s">
        <v>176</v>
      </c>
      <c r="B107" s="44" t="s">
        <v>681</v>
      </c>
      <c r="C107" s="42" t="s">
        <v>682</v>
      </c>
      <c r="D107" s="42"/>
      <c r="E107" s="42" t="s">
        <v>1493</v>
      </c>
      <c r="F107" s="52">
        <v>200</v>
      </c>
      <c r="G107" s="42" t="s">
        <v>1492</v>
      </c>
    </row>
    <row r="108" spans="1:8" ht="45" x14ac:dyDescent="0.25">
      <c r="A108" s="64" t="s">
        <v>176</v>
      </c>
      <c r="B108" s="37" t="s">
        <v>681</v>
      </c>
      <c r="C108" s="33" t="s">
        <v>678</v>
      </c>
      <c r="D108" s="33"/>
      <c r="E108" s="33" t="s">
        <v>1493</v>
      </c>
      <c r="F108" s="52">
        <v>200</v>
      </c>
      <c r="G108" s="33" t="s">
        <v>1492</v>
      </c>
      <c r="H108" s="41"/>
    </row>
    <row r="109" spans="1:8" ht="45" x14ac:dyDescent="0.25">
      <c r="A109" s="64" t="s">
        <v>176</v>
      </c>
      <c r="B109" s="44" t="s">
        <v>683</v>
      </c>
      <c r="C109" s="42"/>
      <c r="D109" s="42"/>
      <c r="E109" s="42" t="s">
        <v>1493</v>
      </c>
      <c r="F109" s="52">
        <v>200</v>
      </c>
      <c r="G109" s="42" t="s">
        <v>1492</v>
      </c>
    </row>
    <row r="110" spans="1:8" ht="45" x14ac:dyDescent="0.25">
      <c r="A110" s="64" t="s">
        <v>176</v>
      </c>
      <c r="B110" s="37" t="s">
        <v>683</v>
      </c>
      <c r="C110" s="33" t="s">
        <v>684</v>
      </c>
      <c r="D110" s="33"/>
      <c r="E110" s="33" t="s">
        <v>1493</v>
      </c>
      <c r="F110" s="52">
        <v>200</v>
      </c>
      <c r="G110" s="33" t="s">
        <v>1492</v>
      </c>
      <c r="H110" s="41"/>
    </row>
    <row r="111" spans="1:8" ht="45" x14ac:dyDescent="0.25">
      <c r="A111" s="64" t="s">
        <v>176</v>
      </c>
      <c r="B111" s="44" t="s">
        <v>683</v>
      </c>
      <c r="C111" s="42" t="s">
        <v>678</v>
      </c>
      <c r="D111" s="42"/>
      <c r="E111" s="42" t="s">
        <v>1493</v>
      </c>
      <c r="F111" s="52">
        <v>200</v>
      </c>
      <c r="G111" s="42" t="s">
        <v>1492</v>
      </c>
    </row>
    <row r="112" spans="1:8" ht="45" x14ac:dyDescent="0.25">
      <c r="A112" s="64" t="s">
        <v>176</v>
      </c>
      <c r="B112" s="37" t="s">
        <v>685</v>
      </c>
      <c r="C112" s="33"/>
      <c r="D112" s="33"/>
      <c r="E112" s="33" t="s">
        <v>1493</v>
      </c>
      <c r="F112" s="52">
        <v>200</v>
      </c>
      <c r="G112" s="33" t="s">
        <v>1492</v>
      </c>
      <c r="H112" s="41"/>
    </row>
    <row r="113" spans="1:8" ht="45" x14ac:dyDescent="0.25">
      <c r="A113" s="64" t="s">
        <v>176</v>
      </c>
      <c r="B113" s="44" t="s">
        <v>685</v>
      </c>
      <c r="C113" s="42" t="s">
        <v>686</v>
      </c>
      <c r="D113" s="42"/>
      <c r="E113" s="42" t="s">
        <v>1493</v>
      </c>
      <c r="F113" s="52">
        <v>200</v>
      </c>
      <c r="G113" s="42" t="s">
        <v>1492</v>
      </c>
    </row>
    <row r="114" spans="1:8" ht="45" x14ac:dyDescent="0.25">
      <c r="A114" s="64" t="s">
        <v>176</v>
      </c>
      <c r="B114" s="37" t="s">
        <v>685</v>
      </c>
      <c r="C114" s="33" t="s">
        <v>678</v>
      </c>
      <c r="D114" s="33"/>
      <c r="E114" s="33" t="s">
        <v>1493</v>
      </c>
      <c r="F114" s="52">
        <v>200</v>
      </c>
      <c r="G114" s="33" t="s">
        <v>1492</v>
      </c>
      <c r="H114" s="41"/>
    </row>
    <row r="115" spans="1:8" ht="30" x14ac:dyDescent="0.25">
      <c r="A115" s="64" t="s">
        <v>176</v>
      </c>
      <c r="B115" s="44" t="s">
        <v>687</v>
      </c>
      <c r="C115" s="42"/>
      <c r="D115" s="42"/>
      <c r="E115" s="42" t="s">
        <v>1493</v>
      </c>
      <c r="F115" s="52">
        <v>200</v>
      </c>
      <c r="G115" s="42" t="s">
        <v>1492</v>
      </c>
    </row>
    <row r="116" spans="1:8" ht="30" x14ac:dyDescent="0.25">
      <c r="A116" s="64" t="s">
        <v>176</v>
      </c>
      <c r="B116" s="37" t="s">
        <v>687</v>
      </c>
      <c r="C116" s="33" t="s">
        <v>688</v>
      </c>
      <c r="D116" s="33"/>
      <c r="E116" s="33" t="s">
        <v>1493</v>
      </c>
      <c r="F116" s="52">
        <v>200</v>
      </c>
      <c r="G116" s="33" t="s">
        <v>1492</v>
      </c>
      <c r="H116" s="41"/>
    </row>
    <row r="117" spans="1:8" ht="30" x14ac:dyDescent="0.25">
      <c r="A117" s="64" t="s">
        <v>176</v>
      </c>
      <c r="B117" s="44" t="s">
        <v>687</v>
      </c>
      <c r="C117" s="42" t="s">
        <v>678</v>
      </c>
      <c r="D117" s="42"/>
      <c r="E117" s="42" t="s">
        <v>1493</v>
      </c>
      <c r="F117" s="52">
        <v>200</v>
      </c>
      <c r="G117" s="42" t="s">
        <v>1492</v>
      </c>
    </row>
    <row r="118" spans="1:8" ht="30" x14ac:dyDescent="0.25">
      <c r="A118" s="64" t="s">
        <v>176</v>
      </c>
      <c r="B118" s="37" t="s">
        <v>652</v>
      </c>
      <c r="C118" s="33" t="s">
        <v>689</v>
      </c>
      <c r="D118" s="33"/>
      <c r="E118" s="33" t="s">
        <v>1493</v>
      </c>
      <c r="F118" s="52">
        <v>200</v>
      </c>
      <c r="G118" s="33" t="s">
        <v>1492</v>
      </c>
      <c r="H118" s="41"/>
    </row>
    <row r="119" spans="1:8" ht="30" x14ac:dyDescent="0.25">
      <c r="A119" s="64" t="s">
        <v>176</v>
      </c>
      <c r="B119" s="44" t="s">
        <v>629</v>
      </c>
      <c r="C119" s="42" t="s">
        <v>630</v>
      </c>
      <c r="D119" s="42"/>
      <c r="E119" s="42" t="s">
        <v>1493</v>
      </c>
      <c r="F119" s="52">
        <v>200</v>
      </c>
      <c r="G119" s="42" t="s">
        <v>1492</v>
      </c>
    </row>
    <row r="120" spans="1:8" ht="30" x14ac:dyDescent="0.25">
      <c r="A120" s="64" t="s">
        <v>176</v>
      </c>
      <c r="B120" s="37" t="s">
        <v>631</v>
      </c>
      <c r="C120" s="33"/>
      <c r="D120" s="33"/>
      <c r="E120" s="33" t="s">
        <v>1491</v>
      </c>
      <c r="F120" s="52">
        <v>200</v>
      </c>
      <c r="G120" s="33" t="s">
        <v>1492</v>
      </c>
      <c r="H120" s="41"/>
    </row>
    <row r="121" spans="1:8" ht="30" x14ac:dyDescent="0.25">
      <c r="A121" s="64" t="s">
        <v>176</v>
      </c>
      <c r="B121" s="44" t="s">
        <v>632</v>
      </c>
      <c r="C121" s="42"/>
      <c r="D121" s="42"/>
      <c r="E121" s="42" t="s">
        <v>1491</v>
      </c>
      <c r="F121" s="52">
        <v>200</v>
      </c>
      <c r="G121" s="42" t="s">
        <v>1492</v>
      </c>
    </row>
    <row r="122" spans="1:8" ht="30" x14ac:dyDescent="0.25">
      <c r="A122" s="64" t="s">
        <v>176</v>
      </c>
      <c r="B122" s="37" t="s">
        <v>634</v>
      </c>
      <c r="C122" s="33" t="s">
        <v>666</v>
      </c>
      <c r="D122" s="33"/>
      <c r="E122" s="33" t="s">
        <v>1493</v>
      </c>
      <c r="F122" s="52">
        <v>200</v>
      </c>
      <c r="G122" s="33" t="s">
        <v>1492</v>
      </c>
      <c r="H122" s="41"/>
    </row>
    <row r="123" spans="1:8" ht="30" x14ac:dyDescent="0.25">
      <c r="A123" s="44" t="s">
        <v>176</v>
      </c>
      <c r="B123" s="44" t="s">
        <v>636</v>
      </c>
      <c r="C123" s="42" t="s">
        <v>637</v>
      </c>
      <c r="D123" s="42"/>
      <c r="E123" s="42" t="s">
        <v>1493</v>
      </c>
      <c r="F123" s="34">
        <v>404</v>
      </c>
      <c r="G123" s="42" t="s">
        <v>1492</v>
      </c>
    </row>
    <row r="124" spans="1:8" ht="30" x14ac:dyDescent="0.25">
      <c r="A124" s="37" t="s">
        <v>176</v>
      </c>
      <c r="B124" s="37" t="s">
        <v>636</v>
      </c>
      <c r="C124" s="33" t="s">
        <v>638</v>
      </c>
      <c r="D124" s="33"/>
      <c r="E124" s="33" t="s">
        <v>1493</v>
      </c>
      <c r="F124" s="34">
        <v>404</v>
      </c>
      <c r="G124" s="33" t="s">
        <v>1492</v>
      </c>
      <c r="H124" s="41"/>
    </row>
    <row r="125" spans="1:8" ht="30" x14ac:dyDescent="0.25">
      <c r="A125" s="64" t="s">
        <v>208</v>
      </c>
      <c r="B125" s="44" t="s">
        <v>176</v>
      </c>
      <c r="C125" s="42"/>
      <c r="D125" s="42"/>
      <c r="E125" s="42" t="s">
        <v>1493</v>
      </c>
      <c r="F125" s="52">
        <v>200</v>
      </c>
      <c r="G125" s="42" t="s">
        <v>1492</v>
      </c>
    </row>
    <row r="126" spans="1:8" ht="30" x14ac:dyDescent="0.25">
      <c r="A126" s="64" t="s">
        <v>208</v>
      </c>
      <c r="B126" s="37" t="s">
        <v>176</v>
      </c>
      <c r="C126" s="33" t="s">
        <v>639</v>
      </c>
      <c r="D126" s="33"/>
      <c r="E126" s="33" t="s">
        <v>1493</v>
      </c>
      <c r="F126" s="52">
        <v>200</v>
      </c>
      <c r="G126" s="33" t="s">
        <v>1492</v>
      </c>
      <c r="H126" s="41"/>
    </row>
    <row r="127" spans="1:8" ht="30" x14ac:dyDescent="0.25">
      <c r="A127" s="64" t="s">
        <v>208</v>
      </c>
      <c r="B127" s="44" t="s">
        <v>178</v>
      </c>
      <c r="C127" s="42" t="s">
        <v>640</v>
      </c>
      <c r="D127" s="42"/>
      <c r="E127" s="42" t="s">
        <v>1493</v>
      </c>
      <c r="F127" s="52">
        <v>200</v>
      </c>
      <c r="G127" s="42" t="s">
        <v>1492</v>
      </c>
    </row>
    <row r="128" spans="1:8" ht="30" x14ac:dyDescent="0.25">
      <c r="A128" s="64" t="s">
        <v>208</v>
      </c>
      <c r="B128" s="37" t="s">
        <v>641</v>
      </c>
      <c r="C128" s="33" t="s">
        <v>642</v>
      </c>
      <c r="D128" s="33"/>
      <c r="E128" s="33" t="s">
        <v>1493</v>
      </c>
      <c r="F128" s="52">
        <v>200</v>
      </c>
      <c r="G128" s="33" t="s">
        <v>1492</v>
      </c>
      <c r="H128" s="41"/>
    </row>
    <row r="129" spans="1:8" ht="30" x14ac:dyDescent="0.25">
      <c r="A129" s="64" t="s">
        <v>208</v>
      </c>
      <c r="B129" s="44" t="s">
        <v>643</v>
      </c>
      <c r="C129" s="42" t="s">
        <v>644</v>
      </c>
      <c r="D129" s="42"/>
      <c r="E129" s="42" t="s">
        <v>1493</v>
      </c>
      <c r="F129" s="52">
        <v>200</v>
      </c>
      <c r="G129" s="42" t="s">
        <v>1492</v>
      </c>
    </row>
    <row r="130" spans="1:8" ht="30" x14ac:dyDescent="0.25">
      <c r="A130" s="64" t="s">
        <v>208</v>
      </c>
      <c r="B130" s="37" t="s">
        <v>208</v>
      </c>
      <c r="C130" s="33" t="s">
        <v>645</v>
      </c>
      <c r="D130" s="33"/>
      <c r="E130" s="33" t="s">
        <v>1493</v>
      </c>
      <c r="F130" s="52">
        <v>200</v>
      </c>
      <c r="G130" s="33" t="s">
        <v>1492</v>
      </c>
      <c r="H130" s="41"/>
    </row>
    <row r="131" spans="1:8" ht="30" x14ac:dyDescent="0.25">
      <c r="A131" s="64" t="s">
        <v>208</v>
      </c>
      <c r="B131" s="44" t="s">
        <v>646</v>
      </c>
      <c r="C131" s="42" t="s">
        <v>647</v>
      </c>
      <c r="D131" s="42"/>
      <c r="E131" s="42" t="s">
        <v>1493</v>
      </c>
      <c r="F131" s="52">
        <v>200</v>
      </c>
      <c r="G131" s="42" t="s">
        <v>1492</v>
      </c>
    </row>
    <row r="132" spans="1:8" ht="30" x14ac:dyDescent="0.25">
      <c r="A132" s="64" t="s">
        <v>208</v>
      </c>
      <c r="B132" s="37" t="s">
        <v>648</v>
      </c>
      <c r="C132" s="33" t="s">
        <v>649</v>
      </c>
      <c r="D132" s="33"/>
      <c r="E132" s="33" t="s">
        <v>1493</v>
      </c>
      <c r="F132" s="52">
        <v>200</v>
      </c>
      <c r="G132" s="33" t="s">
        <v>1492</v>
      </c>
      <c r="H132" s="41"/>
    </row>
    <row r="133" spans="1:8" ht="30" x14ac:dyDescent="0.25">
      <c r="A133" s="64" t="s">
        <v>208</v>
      </c>
      <c r="B133" s="44" t="s">
        <v>650</v>
      </c>
      <c r="C133" s="42" t="s">
        <v>651</v>
      </c>
      <c r="D133" s="42"/>
      <c r="E133" s="42" t="s">
        <v>1493</v>
      </c>
      <c r="F133" s="52">
        <v>200</v>
      </c>
      <c r="G133" s="42" t="s">
        <v>1492</v>
      </c>
    </row>
    <row r="134" spans="1:8" ht="30" x14ac:dyDescent="0.25">
      <c r="A134" s="64" t="s">
        <v>208</v>
      </c>
      <c r="B134" s="37" t="s">
        <v>652</v>
      </c>
      <c r="C134" s="33" t="s">
        <v>653</v>
      </c>
      <c r="D134" s="33"/>
      <c r="E134" s="33" t="s">
        <v>1493</v>
      </c>
      <c r="F134" s="52">
        <v>200</v>
      </c>
      <c r="G134" s="33" t="s">
        <v>1492</v>
      </c>
      <c r="H134" s="41"/>
    </row>
    <row r="135" spans="1:8" ht="30" x14ac:dyDescent="0.25">
      <c r="A135" s="64" t="s">
        <v>208</v>
      </c>
      <c r="B135" s="44" t="s">
        <v>652</v>
      </c>
      <c r="C135" s="42" t="s">
        <v>654</v>
      </c>
      <c r="D135" s="42"/>
      <c r="E135" s="42" t="s">
        <v>1493</v>
      </c>
      <c r="F135" s="52">
        <v>200</v>
      </c>
      <c r="G135" s="42" t="s">
        <v>1492</v>
      </c>
    </row>
    <row r="136" spans="1:8" ht="30" x14ac:dyDescent="0.25">
      <c r="A136" s="64" t="s">
        <v>208</v>
      </c>
      <c r="B136" s="37" t="s">
        <v>629</v>
      </c>
      <c r="C136" s="33" t="s">
        <v>655</v>
      </c>
      <c r="D136" s="33"/>
      <c r="E136" s="33" t="s">
        <v>1493</v>
      </c>
      <c r="F136" s="52">
        <v>200</v>
      </c>
      <c r="G136" s="33" t="s">
        <v>1492</v>
      </c>
      <c r="H136" s="41"/>
    </row>
    <row r="137" spans="1:8" ht="30" x14ac:dyDescent="0.25">
      <c r="A137" s="64" t="s">
        <v>208</v>
      </c>
      <c r="B137" s="44" t="s">
        <v>656</v>
      </c>
      <c r="C137" s="42" t="s">
        <v>286</v>
      </c>
      <c r="D137" s="42"/>
      <c r="E137" s="42" t="s">
        <v>1493</v>
      </c>
      <c r="F137" s="52">
        <v>200</v>
      </c>
      <c r="G137" s="42" t="s">
        <v>1492</v>
      </c>
    </row>
    <row r="138" spans="1:8" ht="30" x14ac:dyDescent="0.25">
      <c r="A138" s="64" t="s">
        <v>208</v>
      </c>
      <c r="B138" s="37" t="s">
        <v>657</v>
      </c>
      <c r="C138" s="33" t="s">
        <v>658</v>
      </c>
      <c r="D138" s="33"/>
      <c r="E138" s="33" t="s">
        <v>1493</v>
      </c>
      <c r="F138" s="52">
        <v>200</v>
      </c>
      <c r="G138" s="33" t="s">
        <v>1492</v>
      </c>
      <c r="H138" s="41"/>
    </row>
    <row r="139" spans="1:8" ht="30" x14ac:dyDescent="0.25">
      <c r="A139" s="64" t="s">
        <v>208</v>
      </c>
      <c r="B139" s="44" t="s">
        <v>176</v>
      </c>
      <c r="C139" s="42" t="s">
        <v>639</v>
      </c>
      <c r="D139" s="42"/>
      <c r="E139" s="42" t="s">
        <v>1493</v>
      </c>
      <c r="F139" s="52">
        <v>200</v>
      </c>
      <c r="G139" s="42" t="s">
        <v>1492</v>
      </c>
    </row>
    <row r="140" spans="1:8" ht="30" x14ac:dyDescent="0.25">
      <c r="A140" s="64" t="s">
        <v>208</v>
      </c>
      <c r="B140" s="37" t="s">
        <v>178</v>
      </c>
      <c r="C140" s="33" t="s">
        <v>640</v>
      </c>
      <c r="D140" s="33"/>
      <c r="E140" s="33" t="s">
        <v>1493</v>
      </c>
      <c r="F140" s="52">
        <v>200</v>
      </c>
      <c r="G140" s="33" t="s">
        <v>1492</v>
      </c>
      <c r="H140" s="41"/>
    </row>
    <row r="141" spans="1:8" ht="30" x14ac:dyDescent="0.25">
      <c r="A141" s="64" t="s">
        <v>208</v>
      </c>
      <c r="B141" s="44" t="s">
        <v>641</v>
      </c>
      <c r="C141" s="42" t="s">
        <v>642</v>
      </c>
      <c r="D141" s="42"/>
      <c r="E141" s="42" t="s">
        <v>1493</v>
      </c>
      <c r="F141" s="52">
        <v>200</v>
      </c>
      <c r="G141" s="42" t="s">
        <v>1492</v>
      </c>
    </row>
    <row r="142" spans="1:8" ht="30" x14ac:dyDescent="0.25">
      <c r="A142" s="64" t="s">
        <v>208</v>
      </c>
      <c r="B142" s="37" t="s">
        <v>643</v>
      </c>
      <c r="C142" s="33" t="s">
        <v>644</v>
      </c>
      <c r="D142" s="33"/>
      <c r="E142" s="33" t="s">
        <v>1493</v>
      </c>
      <c r="F142" s="52">
        <v>200</v>
      </c>
      <c r="G142" s="33" t="s">
        <v>1492</v>
      </c>
      <c r="H142" s="41"/>
    </row>
    <row r="143" spans="1:8" ht="30" x14ac:dyDescent="0.25">
      <c r="A143" s="64" t="s">
        <v>208</v>
      </c>
      <c r="B143" s="44" t="s">
        <v>208</v>
      </c>
      <c r="C143" s="42" t="s">
        <v>645</v>
      </c>
      <c r="D143" s="42"/>
      <c r="E143" s="42" t="s">
        <v>1493</v>
      </c>
      <c r="F143" s="52">
        <v>200</v>
      </c>
      <c r="G143" s="42" t="s">
        <v>1492</v>
      </c>
    </row>
    <row r="144" spans="1:8" ht="30" x14ac:dyDescent="0.25">
      <c r="A144" s="64" t="s">
        <v>208</v>
      </c>
      <c r="B144" s="37" t="s">
        <v>646</v>
      </c>
      <c r="C144" s="33" t="s">
        <v>647</v>
      </c>
      <c r="D144" s="33"/>
      <c r="E144" s="33" t="s">
        <v>1493</v>
      </c>
      <c r="F144" s="52">
        <v>200</v>
      </c>
      <c r="G144" s="33" t="s">
        <v>1492</v>
      </c>
      <c r="H144" s="41"/>
    </row>
    <row r="145" spans="1:8" ht="30" x14ac:dyDescent="0.25">
      <c r="A145" s="64" t="s">
        <v>208</v>
      </c>
      <c r="B145" s="44" t="s">
        <v>648</v>
      </c>
      <c r="C145" s="42" t="s">
        <v>649</v>
      </c>
      <c r="D145" s="42"/>
      <c r="E145" s="42" t="s">
        <v>1493</v>
      </c>
      <c r="F145" s="52">
        <v>200</v>
      </c>
      <c r="G145" s="42" t="s">
        <v>1492</v>
      </c>
    </row>
    <row r="146" spans="1:8" ht="30" x14ac:dyDescent="0.25">
      <c r="A146" s="64" t="s">
        <v>208</v>
      </c>
      <c r="B146" s="37" t="s">
        <v>650</v>
      </c>
      <c r="C146" s="33" t="s">
        <v>651</v>
      </c>
      <c r="D146" s="33"/>
      <c r="E146" s="33" t="s">
        <v>1493</v>
      </c>
      <c r="F146" s="52">
        <v>200</v>
      </c>
      <c r="G146" s="33" t="s">
        <v>1492</v>
      </c>
      <c r="H146" s="41"/>
    </row>
    <row r="147" spans="1:8" ht="30" x14ac:dyDescent="0.25">
      <c r="A147" s="64" t="s">
        <v>208</v>
      </c>
      <c r="B147" s="44" t="s">
        <v>652</v>
      </c>
      <c r="C147" s="42" t="s">
        <v>653</v>
      </c>
      <c r="D147" s="42"/>
      <c r="E147" s="42" t="s">
        <v>1493</v>
      </c>
      <c r="F147" s="52">
        <v>200</v>
      </c>
      <c r="G147" s="42" t="s">
        <v>1492</v>
      </c>
    </row>
    <row r="148" spans="1:8" ht="30" x14ac:dyDescent="0.25">
      <c r="A148" s="64" t="s">
        <v>208</v>
      </c>
      <c r="B148" s="37" t="s">
        <v>652</v>
      </c>
      <c r="C148" s="33" t="s">
        <v>654</v>
      </c>
      <c r="D148" s="33"/>
      <c r="E148" s="33" t="s">
        <v>1493</v>
      </c>
      <c r="F148" s="52">
        <v>200</v>
      </c>
      <c r="G148" s="33" t="s">
        <v>1492</v>
      </c>
      <c r="H148" s="41"/>
    </row>
    <row r="149" spans="1:8" ht="30" x14ac:dyDescent="0.25">
      <c r="A149" s="64" t="s">
        <v>208</v>
      </c>
      <c r="B149" s="44" t="s">
        <v>629</v>
      </c>
      <c r="C149" s="42" t="s">
        <v>655</v>
      </c>
      <c r="D149" s="42"/>
      <c r="E149" s="42" t="s">
        <v>1493</v>
      </c>
      <c r="F149" s="52">
        <v>200</v>
      </c>
      <c r="G149" s="42" t="s">
        <v>1492</v>
      </c>
    </row>
    <row r="150" spans="1:8" ht="30" x14ac:dyDescent="0.25">
      <c r="A150" s="64" t="s">
        <v>208</v>
      </c>
      <c r="B150" s="37" t="s">
        <v>656</v>
      </c>
      <c r="C150" s="33" t="s">
        <v>286</v>
      </c>
      <c r="D150" s="33"/>
      <c r="E150" s="33" t="s">
        <v>1493</v>
      </c>
      <c r="F150" s="52">
        <v>200</v>
      </c>
      <c r="G150" s="33" t="s">
        <v>1492</v>
      </c>
      <c r="H150" s="41"/>
    </row>
    <row r="151" spans="1:8" ht="30" x14ac:dyDescent="0.25">
      <c r="A151" s="64" t="s">
        <v>208</v>
      </c>
      <c r="B151" s="44" t="s">
        <v>657</v>
      </c>
      <c r="C151" s="42" t="s">
        <v>658</v>
      </c>
      <c r="D151" s="42"/>
      <c r="E151" s="42" t="s">
        <v>1493</v>
      </c>
      <c r="F151" s="52">
        <v>200</v>
      </c>
      <c r="G151" s="42" t="s">
        <v>1492</v>
      </c>
    </row>
    <row r="152" spans="1:8" ht="30" x14ac:dyDescent="0.25">
      <c r="A152" s="64" t="s">
        <v>208</v>
      </c>
      <c r="B152" s="37" t="s">
        <v>615</v>
      </c>
      <c r="C152" s="33"/>
      <c r="D152" s="33"/>
      <c r="E152" s="33" t="s">
        <v>1491</v>
      </c>
      <c r="F152" s="52">
        <v>200</v>
      </c>
      <c r="G152" s="33" t="s">
        <v>1492</v>
      </c>
      <c r="H152" s="41"/>
    </row>
    <row r="153" spans="1:8" ht="30" x14ac:dyDescent="0.25">
      <c r="A153" s="64" t="s">
        <v>208</v>
      </c>
      <c r="B153" s="44" t="s">
        <v>176</v>
      </c>
      <c r="C153" s="42" t="s">
        <v>639</v>
      </c>
      <c r="D153" s="42"/>
      <c r="E153" s="42" t="s">
        <v>1493</v>
      </c>
      <c r="F153" s="52">
        <v>200</v>
      </c>
      <c r="G153" s="42" t="s">
        <v>1492</v>
      </c>
    </row>
    <row r="154" spans="1:8" ht="30" x14ac:dyDescent="0.25">
      <c r="A154" s="64" t="s">
        <v>208</v>
      </c>
      <c r="B154" s="37" t="s">
        <v>178</v>
      </c>
      <c r="C154" s="33" t="s">
        <v>640</v>
      </c>
      <c r="D154" s="33"/>
      <c r="E154" s="33" t="s">
        <v>1493</v>
      </c>
      <c r="F154" s="52">
        <v>200</v>
      </c>
      <c r="G154" s="33" t="s">
        <v>1492</v>
      </c>
      <c r="H154" s="41"/>
    </row>
    <row r="155" spans="1:8" ht="30" x14ac:dyDescent="0.25">
      <c r="A155" s="64" t="s">
        <v>208</v>
      </c>
      <c r="B155" s="44" t="s">
        <v>641</v>
      </c>
      <c r="C155" s="42" t="s">
        <v>642</v>
      </c>
      <c r="D155" s="42"/>
      <c r="E155" s="42" t="s">
        <v>1493</v>
      </c>
      <c r="F155" s="52">
        <v>200</v>
      </c>
      <c r="G155" s="42" t="s">
        <v>1492</v>
      </c>
    </row>
    <row r="156" spans="1:8" ht="30" x14ac:dyDescent="0.25">
      <c r="A156" s="64" t="s">
        <v>208</v>
      </c>
      <c r="B156" s="37" t="s">
        <v>643</v>
      </c>
      <c r="C156" s="33" t="s">
        <v>644</v>
      </c>
      <c r="D156" s="33"/>
      <c r="E156" s="33" t="s">
        <v>1493</v>
      </c>
      <c r="F156" s="52">
        <v>200</v>
      </c>
      <c r="G156" s="33" t="s">
        <v>1492</v>
      </c>
      <c r="H156" s="41"/>
    </row>
    <row r="157" spans="1:8" ht="30" x14ac:dyDescent="0.25">
      <c r="A157" s="64" t="s">
        <v>208</v>
      </c>
      <c r="B157" s="44" t="s">
        <v>208</v>
      </c>
      <c r="C157" s="42" t="s">
        <v>645</v>
      </c>
      <c r="D157" s="42"/>
      <c r="E157" s="42" t="s">
        <v>1493</v>
      </c>
      <c r="F157" s="52">
        <v>200</v>
      </c>
      <c r="G157" s="42" t="s">
        <v>1492</v>
      </c>
    </row>
    <row r="158" spans="1:8" ht="30" x14ac:dyDescent="0.25">
      <c r="A158" s="64" t="s">
        <v>208</v>
      </c>
      <c r="B158" s="37" t="s">
        <v>646</v>
      </c>
      <c r="C158" s="33" t="s">
        <v>647</v>
      </c>
      <c r="D158" s="33"/>
      <c r="E158" s="33" t="s">
        <v>1493</v>
      </c>
      <c r="F158" s="52">
        <v>200</v>
      </c>
      <c r="G158" s="33" t="s">
        <v>1492</v>
      </c>
      <c r="H158" s="41"/>
    </row>
    <row r="159" spans="1:8" ht="30" x14ac:dyDescent="0.25">
      <c r="A159" s="64" t="s">
        <v>208</v>
      </c>
      <c r="B159" s="44" t="s">
        <v>648</v>
      </c>
      <c r="C159" s="42" t="s">
        <v>649</v>
      </c>
      <c r="D159" s="42"/>
      <c r="E159" s="42" t="s">
        <v>1493</v>
      </c>
      <c r="F159" s="52">
        <v>200</v>
      </c>
      <c r="G159" s="42" t="s">
        <v>1492</v>
      </c>
    </row>
    <row r="160" spans="1:8" ht="30" x14ac:dyDescent="0.25">
      <c r="A160" s="64" t="s">
        <v>208</v>
      </c>
      <c r="B160" s="37" t="s">
        <v>650</v>
      </c>
      <c r="C160" s="33" t="s">
        <v>651</v>
      </c>
      <c r="D160" s="33"/>
      <c r="E160" s="33" t="s">
        <v>1493</v>
      </c>
      <c r="F160" s="52">
        <v>200</v>
      </c>
      <c r="G160" s="33" t="s">
        <v>1492</v>
      </c>
      <c r="H160" s="41"/>
    </row>
    <row r="161" spans="1:8" ht="30" x14ac:dyDescent="0.25">
      <c r="A161" s="64" t="s">
        <v>208</v>
      </c>
      <c r="B161" s="44" t="s">
        <v>652</v>
      </c>
      <c r="C161" s="42" t="s">
        <v>653</v>
      </c>
      <c r="D161" s="42"/>
      <c r="E161" s="42" t="s">
        <v>1493</v>
      </c>
      <c r="F161" s="52">
        <v>200</v>
      </c>
      <c r="G161" s="42" t="s">
        <v>1492</v>
      </c>
    </row>
    <row r="162" spans="1:8" ht="30" x14ac:dyDescent="0.25">
      <c r="A162" s="64" t="s">
        <v>208</v>
      </c>
      <c r="B162" s="37" t="s">
        <v>652</v>
      </c>
      <c r="C162" s="33" t="s">
        <v>654</v>
      </c>
      <c r="D162" s="33"/>
      <c r="E162" s="33" t="s">
        <v>1493</v>
      </c>
      <c r="F162" s="52">
        <v>200</v>
      </c>
      <c r="G162" s="33" t="s">
        <v>1492</v>
      </c>
      <c r="H162" s="41"/>
    </row>
    <row r="163" spans="1:8" ht="30" x14ac:dyDescent="0.25">
      <c r="A163" s="64" t="s">
        <v>208</v>
      </c>
      <c r="B163" s="44" t="s">
        <v>629</v>
      </c>
      <c r="C163" s="42" t="s">
        <v>655</v>
      </c>
      <c r="D163" s="42"/>
      <c r="E163" s="42" t="s">
        <v>1493</v>
      </c>
      <c r="F163" s="52">
        <v>200</v>
      </c>
      <c r="G163" s="42" t="s">
        <v>1492</v>
      </c>
    </row>
    <row r="164" spans="1:8" ht="30" x14ac:dyDescent="0.25">
      <c r="A164" s="64" t="s">
        <v>208</v>
      </c>
      <c r="B164" s="37" t="s">
        <v>656</v>
      </c>
      <c r="C164" s="33" t="s">
        <v>286</v>
      </c>
      <c r="D164" s="33"/>
      <c r="E164" s="33" t="s">
        <v>1493</v>
      </c>
      <c r="F164" s="52">
        <v>200</v>
      </c>
      <c r="G164" s="33" t="s">
        <v>1492</v>
      </c>
      <c r="H164" s="41"/>
    </row>
    <row r="165" spans="1:8" ht="30" x14ac:dyDescent="0.25">
      <c r="A165" s="64" t="s">
        <v>208</v>
      </c>
      <c r="B165" s="44" t="s">
        <v>657</v>
      </c>
      <c r="C165" s="42" t="s">
        <v>658</v>
      </c>
      <c r="D165" s="42"/>
      <c r="E165" s="42" t="s">
        <v>1493</v>
      </c>
      <c r="F165" s="52">
        <v>200</v>
      </c>
      <c r="G165" s="42" t="s">
        <v>1492</v>
      </c>
    </row>
    <row r="166" spans="1:8" ht="30" x14ac:dyDescent="0.25">
      <c r="A166" s="64" t="s">
        <v>208</v>
      </c>
      <c r="B166" s="37" t="s">
        <v>176</v>
      </c>
      <c r="C166" s="33" t="s">
        <v>639</v>
      </c>
      <c r="D166" s="33"/>
      <c r="E166" s="33" t="s">
        <v>1493</v>
      </c>
      <c r="F166" s="52">
        <v>200</v>
      </c>
      <c r="G166" s="33" t="s">
        <v>1492</v>
      </c>
      <c r="H166" s="41"/>
    </row>
    <row r="167" spans="1:8" ht="30" x14ac:dyDescent="0.25">
      <c r="A167" s="64" t="s">
        <v>208</v>
      </c>
      <c r="B167" s="44" t="s">
        <v>178</v>
      </c>
      <c r="C167" s="42" t="s">
        <v>640</v>
      </c>
      <c r="D167" s="42"/>
      <c r="E167" s="42" t="s">
        <v>1493</v>
      </c>
      <c r="F167" s="52">
        <v>200</v>
      </c>
      <c r="G167" s="42" t="s">
        <v>1492</v>
      </c>
    </row>
    <row r="168" spans="1:8" ht="30" x14ac:dyDescent="0.25">
      <c r="A168" s="64" t="s">
        <v>208</v>
      </c>
      <c r="B168" s="37" t="s">
        <v>641</v>
      </c>
      <c r="C168" s="33" t="s">
        <v>642</v>
      </c>
      <c r="D168" s="33"/>
      <c r="E168" s="33" t="s">
        <v>1493</v>
      </c>
      <c r="F168" s="52">
        <v>200</v>
      </c>
      <c r="G168" s="33" t="s">
        <v>1492</v>
      </c>
      <c r="H168" s="41"/>
    </row>
    <row r="169" spans="1:8" ht="30" x14ac:dyDescent="0.25">
      <c r="A169" s="64" t="s">
        <v>208</v>
      </c>
      <c r="B169" s="44" t="s">
        <v>643</v>
      </c>
      <c r="C169" s="42" t="s">
        <v>644</v>
      </c>
      <c r="D169" s="42"/>
      <c r="E169" s="42" t="s">
        <v>1493</v>
      </c>
      <c r="F169" s="52">
        <v>200</v>
      </c>
      <c r="G169" s="42" t="s">
        <v>1492</v>
      </c>
    </row>
    <row r="170" spans="1:8" ht="30" x14ac:dyDescent="0.25">
      <c r="A170" s="64" t="s">
        <v>208</v>
      </c>
      <c r="B170" s="37" t="s">
        <v>208</v>
      </c>
      <c r="C170" s="33" t="s">
        <v>645</v>
      </c>
      <c r="D170" s="33"/>
      <c r="E170" s="33" t="s">
        <v>1493</v>
      </c>
      <c r="F170" s="52">
        <v>200</v>
      </c>
      <c r="G170" s="33" t="s">
        <v>1492</v>
      </c>
      <c r="H170" s="41"/>
    </row>
    <row r="171" spans="1:8" ht="30" x14ac:dyDescent="0.25">
      <c r="A171" s="64" t="s">
        <v>208</v>
      </c>
      <c r="B171" s="44" t="s">
        <v>646</v>
      </c>
      <c r="C171" s="42" t="s">
        <v>647</v>
      </c>
      <c r="D171" s="42"/>
      <c r="E171" s="42" t="s">
        <v>1493</v>
      </c>
      <c r="F171" s="52">
        <v>200</v>
      </c>
      <c r="G171" s="42" t="s">
        <v>1492</v>
      </c>
    </row>
    <row r="172" spans="1:8" ht="30" x14ac:dyDescent="0.25">
      <c r="A172" s="64" t="s">
        <v>208</v>
      </c>
      <c r="B172" s="37" t="s">
        <v>648</v>
      </c>
      <c r="C172" s="33" t="s">
        <v>649</v>
      </c>
      <c r="D172" s="33"/>
      <c r="E172" s="33" t="s">
        <v>1493</v>
      </c>
      <c r="F172" s="52">
        <v>200</v>
      </c>
      <c r="G172" s="33" t="s">
        <v>1492</v>
      </c>
      <c r="H172" s="41"/>
    </row>
    <row r="173" spans="1:8" ht="30" x14ac:dyDescent="0.25">
      <c r="A173" s="64" t="s">
        <v>208</v>
      </c>
      <c r="B173" s="44" t="s">
        <v>650</v>
      </c>
      <c r="C173" s="42" t="s">
        <v>651</v>
      </c>
      <c r="D173" s="42"/>
      <c r="E173" s="42" t="s">
        <v>1493</v>
      </c>
      <c r="F173" s="52">
        <v>200</v>
      </c>
      <c r="G173" s="42" t="s">
        <v>1492</v>
      </c>
    </row>
    <row r="174" spans="1:8" ht="30" x14ac:dyDescent="0.25">
      <c r="A174" s="64" t="s">
        <v>208</v>
      </c>
      <c r="B174" s="37" t="s">
        <v>652</v>
      </c>
      <c r="C174" s="33" t="s">
        <v>653</v>
      </c>
      <c r="D174" s="33"/>
      <c r="E174" s="33" t="s">
        <v>1493</v>
      </c>
      <c r="F174" s="52">
        <v>200</v>
      </c>
      <c r="G174" s="33" t="s">
        <v>1492</v>
      </c>
      <c r="H174" s="41"/>
    </row>
    <row r="175" spans="1:8" ht="30" x14ac:dyDescent="0.25">
      <c r="A175" s="64" t="s">
        <v>208</v>
      </c>
      <c r="B175" s="44" t="s">
        <v>652</v>
      </c>
      <c r="C175" s="42" t="s">
        <v>654</v>
      </c>
      <c r="D175" s="42"/>
      <c r="E175" s="42" t="s">
        <v>1493</v>
      </c>
      <c r="F175" s="52">
        <v>200</v>
      </c>
      <c r="G175" s="42" t="s">
        <v>1492</v>
      </c>
    </row>
    <row r="176" spans="1:8" ht="30" x14ac:dyDescent="0.25">
      <c r="A176" s="64" t="s">
        <v>208</v>
      </c>
      <c r="B176" s="37" t="s">
        <v>629</v>
      </c>
      <c r="C176" s="33" t="s">
        <v>655</v>
      </c>
      <c r="D176" s="33"/>
      <c r="E176" s="33" t="s">
        <v>1493</v>
      </c>
      <c r="F176" s="52">
        <v>200</v>
      </c>
      <c r="G176" s="33" t="s">
        <v>1492</v>
      </c>
      <c r="H176" s="41"/>
    </row>
    <row r="177" spans="1:8" ht="30" x14ac:dyDescent="0.25">
      <c r="A177" s="64" t="s">
        <v>208</v>
      </c>
      <c r="B177" s="44" t="s">
        <v>656</v>
      </c>
      <c r="C177" s="42" t="s">
        <v>286</v>
      </c>
      <c r="D177" s="42"/>
      <c r="E177" s="42" t="s">
        <v>1493</v>
      </c>
      <c r="F177" s="52">
        <v>200</v>
      </c>
      <c r="G177" s="42" t="s">
        <v>1492</v>
      </c>
    </row>
    <row r="178" spans="1:8" ht="30" x14ac:dyDescent="0.25">
      <c r="A178" s="64" t="s">
        <v>208</v>
      </c>
      <c r="B178" s="37" t="s">
        <v>657</v>
      </c>
      <c r="C178" s="33" t="s">
        <v>658</v>
      </c>
      <c r="D178" s="33"/>
      <c r="E178" s="33" t="s">
        <v>1493</v>
      </c>
      <c r="F178" s="52">
        <v>200</v>
      </c>
      <c r="G178" s="33" t="s">
        <v>1492</v>
      </c>
      <c r="H178" s="41"/>
    </row>
    <row r="179" spans="1:8" ht="30" x14ac:dyDescent="0.25">
      <c r="A179" s="64" t="s">
        <v>208</v>
      </c>
      <c r="B179" s="44" t="s">
        <v>189</v>
      </c>
      <c r="C179" s="42" t="s">
        <v>690</v>
      </c>
      <c r="D179" s="42"/>
      <c r="E179" s="42" t="s">
        <v>1493</v>
      </c>
      <c r="F179" s="52">
        <v>200</v>
      </c>
      <c r="G179" s="42" t="s">
        <v>1492</v>
      </c>
    </row>
    <row r="180" spans="1:8" ht="30" x14ac:dyDescent="0.25">
      <c r="A180" s="64" t="s">
        <v>208</v>
      </c>
      <c r="B180" s="37" t="s">
        <v>629</v>
      </c>
      <c r="C180" s="33" t="s">
        <v>630</v>
      </c>
      <c r="D180" s="33"/>
      <c r="E180" s="33" t="s">
        <v>1493</v>
      </c>
      <c r="F180" s="52">
        <v>200</v>
      </c>
      <c r="G180" s="33" t="s">
        <v>1492</v>
      </c>
      <c r="H180" s="41"/>
    </row>
    <row r="181" spans="1:8" ht="30" x14ac:dyDescent="0.25">
      <c r="A181" s="64" t="s">
        <v>208</v>
      </c>
      <c r="B181" s="44" t="s">
        <v>631</v>
      </c>
      <c r="C181" s="42"/>
      <c r="D181" s="42"/>
      <c r="E181" s="42" t="s">
        <v>1491</v>
      </c>
      <c r="F181" s="52">
        <v>200</v>
      </c>
      <c r="G181" s="42" t="s">
        <v>1492</v>
      </c>
    </row>
    <row r="182" spans="1:8" ht="30" x14ac:dyDescent="0.25">
      <c r="A182" s="64" t="s">
        <v>208</v>
      </c>
      <c r="B182" s="37" t="s">
        <v>632</v>
      </c>
      <c r="C182" s="33"/>
      <c r="D182" s="33"/>
      <c r="E182" s="33" t="s">
        <v>1491</v>
      </c>
      <c r="F182" s="52">
        <v>200</v>
      </c>
      <c r="G182" s="33" t="s">
        <v>1492</v>
      </c>
      <c r="H182" s="41"/>
    </row>
    <row r="183" spans="1:8" ht="30" x14ac:dyDescent="0.25">
      <c r="A183" s="64" t="s">
        <v>208</v>
      </c>
      <c r="B183" s="44" t="s">
        <v>634</v>
      </c>
      <c r="C183" s="42" t="s">
        <v>666</v>
      </c>
      <c r="D183" s="42"/>
      <c r="E183" s="42" t="s">
        <v>1493</v>
      </c>
      <c r="F183" s="52">
        <v>200</v>
      </c>
      <c r="G183" s="42" t="s">
        <v>1492</v>
      </c>
    </row>
    <row r="184" spans="1:8" ht="30" x14ac:dyDescent="0.25">
      <c r="A184" s="37" t="s">
        <v>208</v>
      </c>
      <c r="B184" s="37" t="s">
        <v>636</v>
      </c>
      <c r="C184" s="33" t="s">
        <v>637</v>
      </c>
      <c r="D184" s="33"/>
      <c r="E184" s="33" t="s">
        <v>1493</v>
      </c>
      <c r="F184" s="34">
        <v>404</v>
      </c>
      <c r="G184" s="33" t="s">
        <v>1492</v>
      </c>
      <c r="H184" s="41"/>
    </row>
    <row r="185" spans="1:8" ht="30" x14ac:dyDescent="0.25">
      <c r="A185" s="44" t="s">
        <v>208</v>
      </c>
      <c r="B185" s="44" t="s">
        <v>636</v>
      </c>
      <c r="C185" s="42" t="s">
        <v>638</v>
      </c>
      <c r="D185" s="42"/>
      <c r="E185" s="42" t="s">
        <v>1493</v>
      </c>
      <c r="F185" s="34">
        <v>404</v>
      </c>
      <c r="G185" s="42" t="s">
        <v>1492</v>
      </c>
    </row>
    <row r="186" spans="1:8" ht="30" x14ac:dyDescent="0.25">
      <c r="A186" s="64" t="s">
        <v>155</v>
      </c>
      <c r="B186" s="37" t="s">
        <v>176</v>
      </c>
      <c r="C186" s="33"/>
      <c r="D186" s="33"/>
      <c r="E186" s="33" t="s">
        <v>1493</v>
      </c>
      <c r="F186" s="52">
        <v>200</v>
      </c>
      <c r="G186" s="33" t="s">
        <v>1492</v>
      </c>
      <c r="H186" s="41"/>
    </row>
    <row r="187" spans="1:8" ht="30" x14ac:dyDescent="0.25">
      <c r="A187" s="64" t="s">
        <v>155</v>
      </c>
      <c r="B187" s="44" t="s">
        <v>176</v>
      </c>
      <c r="C187" s="42" t="s">
        <v>639</v>
      </c>
      <c r="D187" s="42"/>
      <c r="E187" s="42" t="s">
        <v>1493</v>
      </c>
      <c r="F187" s="52">
        <v>200</v>
      </c>
      <c r="G187" s="42" t="s">
        <v>1492</v>
      </c>
    </row>
    <row r="188" spans="1:8" ht="30" x14ac:dyDescent="0.25">
      <c r="A188" s="64" t="s">
        <v>155</v>
      </c>
      <c r="B188" s="37" t="s">
        <v>178</v>
      </c>
      <c r="C188" s="33" t="s">
        <v>640</v>
      </c>
      <c r="D188" s="33"/>
      <c r="E188" s="33" t="s">
        <v>1493</v>
      </c>
      <c r="F188" s="52">
        <v>200</v>
      </c>
      <c r="G188" s="33" t="s">
        <v>1492</v>
      </c>
      <c r="H188" s="41"/>
    </row>
    <row r="189" spans="1:8" ht="30" x14ac:dyDescent="0.25">
      <c r="A189" s="64" t="s">
        <v>155</v>
      </c>
      <c r="B189" s="44" t="s">
        <v>641</v>
      </c>
      <c r="C189" s="42" t="s">
        <v>642</v>
      </c>
      <c r="D189" s="42"/>
      <c r="E189" s="42" t="s">
        <v>1493</v>
      </c>
      <c r="F189" s="52">
        <v>200</v>
      </c>
      <c r="G189" s="42" t="s">
        <v>1492</v>
      </c>
    </row>
    <row r="190" spans="1:8" ht="30" x14ac:dyDescent="0.25">
      <c r="A190" s="64" t="s">
        <v>155</v>
      </c>
      <c r="B190" s="37" t="s">
        <v>643</v>
      </c>
      <c r="C190" s="33" t="s">
        <v>644</v>
      </c>
      <c r="D190" s="33"/>
      <c r="E190" s="33" t="s">
        <v>1493</v>
      </c>
      <c r="F190" s="52">
        <v>200</v>
      </c>
      <c r="G190" s="33" t="s">
        <v>1492</v>
      </c>
      <c r="H190" s="41"/>
    </row>
    <row r="191" spans="1:8" ht="30" x14ac:dyDescent="0.25">
      <c r="A191" s="64" t="s">
        <v>155</v>
      </c>
      <c r="B191" s="44" t="s">
        <v>208</v>
      </c>
      <c r="C191" s="42" t="s">
        <v>645</v>
      </c>
      <c r="D191" s="42"/>
      <c r="E191" s="42" t="s">
        <v>1493</v>
      </c>
      <c r="F191" s="52">
        <v>200</v>
      </c>
      <c r="G191" s="42" t="s">
        <v>1492</v>
      </c>
    </row>
    <row r="192" spans="1:8" ht="30" x14ac:dyDescent="0.25">
      <c r="A192" s="64" t="s">
        <v>155</v>
      </c>
      <c r="B192" s="37" t="s">
        <v>646</v>
      </c>
      <c r="C192" s="33" t="s">
        <v>647</v>
      </c>
      <c r="D192" s="33"/>
      <c r="E192" s="33" t="s">
        <v>1493</v>
      </c>
      <c r="F192" s="52">
        <v>200</v>
      </c>
      <c r="G192" s="33" t="s">
        <v>1492</v>
      </c>
      <c r="H192" s="41"/>
    </row>
    <row r="193" spans="1:8" ht="30" x14ac:dyDescent="0.25">
      <c r="A193" s="64" t="s">
        <v>155</v>
      </c>
      <c r="B193" s="44" t="s">
        <v>648</v>
      </c>
      <c r="C193" s="42" t="s">
        <v>649</v>
      </c>
      <c r="D193" s="42"/>
      <c r="E193" s="42" t="s">
        <v>1493</v>
      </c>
      <c r="F193" s="52">
        <v>200</v>
      </c>
      <c r="G193" s="42" t="s">
        <v>1492</v>
      </c>
    </row>
    <row r="194" spans="1:8" ht="30" x14ac:dyDescent="0.25">
      <c r="A194" s="64" t="s">
        <v>155</v>
      </c>
      <c r="B194" s="37" t="s">
        <v>650</v>
      </c>
      <c r="C194" s="33" t="s">
        <v>651</v>
      </c>
      <c r="D194" s="33"/>
      <c r="E194" s="33" t="s">
        <v>1493</v>
      </c>
      <c r="F194" s="52">
        <v>200</v>
      </c>
      <c r="G194" s="33" t="s">
        <v>1492</v>
      </c>
      <c r="H194" s="41"/>
    </row>
    <row r="195" spans="1:8" ht="30" x14ac:dyDescent="0.25">
      <c r="A195" s="64" t="s">
        <v>155</v>
      </c>
      <c r="B195" s="44" t="s">
        <v>652</v>
      </c>
      <c r="C195" s="42" t="s">
        <v>653</v>
      </c>
      <c r="D195" s="42"/>
      <c r="E195" s="42" t="s">
        <v>1493</v>
      </c>
      <c r="F195" s="52">
        <v>200</v>
      </c>
      <c r="G195" s="42" t="s">
        <v>1492</v>
      </c>
    </row>
    <row r="196" spans="1:8" ht="30" x14ac:dyDescent="0.25">
      <c r="A196" s="64" t="s">
        <v>155</v>
      </c>
      <c r="B196" s="37" t="s">
        <v>652</v>
      </c>
      <c r="C196" s="33" t="s">
        <v>654</v>
      </c>
      <c r="D196" s="33"/>
      <c r="E196" s="33" t="s">
        <v>1493</v>
      </c>
      <c r="F196" s="52">
        <v>200</v>
      </c>
      <c r="G196" s="33" t="s">
        <v>1492</v>
      </c>
      <c r="H196" s="41"/>
    </row>
    <row r="197" spans="1:8" ht="30" x14ac:dyDescent="0.25">
      <c r="A197" s="64" t="s">
        <v>155</v>
      </c>
      <c r="B197" s="44" t="s">
        <v>629</v>
      </c>
      <c r="C197" s="42" t="s">
        <v>655</v>
      </c>
      <c r="D197" s="42"/>
      <c r="E197" s="42" t="s">
        <v>1493</v>
      </c>
      <c r="F197" s="52">
        <v>200</v>
      </c>
      <c r="G197" s="42" t="s">
        <v>1492</v>
      </c>
    </row>
    <row r="198" spans="1:8" ht="30" x14ac:dyDescent="0.25">
      <c r="A198" s="64" t="s">
        <v>155</v>
      </c>
      <c r="B198" s="37" t="s">
        <v>656</v>
      </c>
      <c r="C198" s="33" t="s">
        <v>286</v>
      </c>
      <c r="D198" s="33"/>
      <c r="E198" s="33" t="s">
        <v>1493</v>
      </c>
      <c r="F198" s="52">
        <v>200</v>
      </c>
      <c r="G198" s="33" t="s">
        <v>1492</v>
      </c>
      <c r="H198" s="41"/>
    </row>
    <row r="199" spans="1:8" ht="30" x14ac:dyDescent="0.25">
      <c r="A199" s="64" t="s">
        <v>155</v>
      </c>
      <c r="B199" s="44" t="s">
        <v>657</v>
      </c>
      <c r="C199" s="42" t="s">
        <v>658</v>
      </c>
      <c r="D199" s="42"/>
      <c r="E199" s="42" t="s">
        <v>1493</v>
      </c>
      <c r="F199" s="52">
        <v>200</v>
      </c>
      <c r="G199" s="42" t="s">
        <v>1492</v>
      </c>
    </row>
    <row r="200" spans="1:8" ht="30" x14ac:dyDescent="0.25">
      <c r="A200" s="64" t="s">
        <v>155</v>
      </c>
      <c r="B200" s="37" t="s">
        <v>176</v>
      </c>
      <c r="C200" s="33" t="s">
        <v>639</v>
      </c>
      <c r="D200" s="33"/>
      <c r="E200" s="33" t="s">
        <v>1493</v>
      </c>
      <c r="F200" s="52">
        <v>200</v>
      </c>
      <c r="G200" s="33" t="s">
        <v>1492</v>
      </c>
      <c r="H200" s="41"/>
    </row>
    <row r="201" spans="1:8" ht="30" x14ac:dyDescent="0.25">
      <c r="A201" s="64" t="s">
        <v>155</v>
      </c>
      <c r="B201" s="44" t="s">
        <v>178</v>
      </c>
      <c r="C201" s="42" t="s">
        <v>640</v>
      </c>
      <c r="D201" s="42"/>
      <c r="E201" s="42" t="s">
        <v>1493</v>
      </c>
      <c r="F201" s="52">
        <v>200</v>
      </c>
      <c r="G201" s="42" t="s">
        <v>1492</v>
      </c>
    </row>
    <row r="202" spans="1:8" ht="30" x14ac:dyDescent="0.25">
      <c r="A202" s="64" t="s">
        <v>155</v>
      </c>
      <c r="B202" s="37" t="s">
        <v>641</v>
      </c>
      <c r="C202" s="33" t="s">
        <v>642</v>
      </c>
      <c r="D202" s="33"/>
      <c r="E202" s="33" t="s">
        <v>1493</v>
      </c>
      <c r="F202" s="52">
        <v>200</v>
      </c>
      <c r="G202" s="33" t="s">
        <v>1492</v>
      </c>
      <c r="H202" s="41"/>
    </row>
    <row r="203" spans="1:8" ht="30" x14ac:dyDescent="0.25">
      <c r="A203" s="64" t="s">
        <v>155</v>
      </c>
      <c r="B203" s="44" t="s">
        <v>643</v>
      </c>
      <c r="C203" s="42" t="s">
        <v>644</v>
      </c>
      <c r="D203" s="42"/>
      <c r="E203" s="42" t="s">
        <v>1493</v>
      </c>
      <c r="F203" s="52">
        <v>200</v>
      </c>
      <c r="G203" s="42" t="s">
        <v>1492</v>
      </c>
    </row>
    <row r="204" spans="1:8" ht="30" x14ac:dyDescent="0.25">
      <c r="A204" s="64" t="s">
        <v>155</v>
      </c>
      <c r="B204" s="37" t="s">
        <v>208</v>
      </c>
      <c r="C204" s="33" t="s">
        <v>645</v>
      </c>
      <c r="D204" s="33"/>
      <c r="E204" s="33" t="s">
        <v>1493</v>
      </c>
      <c r="F204" s="52">
        <v>200</v>
      </c>
      <c r="G204" s="33" t="s">
        <v>1492</v>
      </c>
      <c r="H204" s="41"/>
    </row>
    <row r="205" spans="1:8" ht="30" x14ac:dyDescent="0.25">
      <c r="A205" s="64" t="s">
        <v>155</v>
      </c>
      <c r="B205" s="44" t="s">
        <v>646</v>
      </c>
      <c r="C205" s="42" t="s">
        <v>647</v>
      </c>
      <c r="D205" s="42"/>
      <c r="E205" s="42" t="s">
        <v>1493</v>
      </c>
      <c r="F205" s="52">
        <v>200</v>
      </c>
      <c r="G205" s="42" t="s">
        <v>1492</v>
      </c>
    </row>
    <row r="206" spans="1:8" ht="30" x14ac:dyDescent="0.25">
      <c r="A206" s="64" t="s">
        <v>155</v>
      </c>
      <c r="B206" s="37" t="s">
        <v>648</v>
      </c>
      <c r="C206" s="33" t="s">
        <v>649</v>
      </c>
      <c r="D206" s="33"/>
      <c r="E206" s="33" t="s">
        <v>1493</v>
      </c>
      <c r="F206" s="52">
        <v>200</v>
      </c>
      <c r="G206" s="33" t="s">
        <v>1492</v>
      </c>
      <c r="H206" s="41"/>
    </row>
    <row r="207" spans="1:8" ht="30" x14ac:dyDescent="0.25">
      <c r="A207" s="64" t="s">
        <v>155</v>
      </c>
      <c r="B207" s="44" t="s">
        <v>650</v>
      </c>
      <c r="C207" s="42" t="s">
        <v>651</v>
      </c>
      <c r="D207" s="42"/>
      <c r="E207" s="42" t="s">
        <v>1493</v>
      </c>
      <c r="F207" s="52">
        <v>200</v>
      </c>
      <c r="G207" s="42" t="s">
        <v>1492</v>
      </c>
    </row>
    <row r="208" spans="1:8" ht="30" x14ac:dyDescent="0.25">
      <c r="A208" s="64" t="s">
        <v>155</v>
      </c>
      <c r="B208" s="37" t="s">
        <v>652</v>
      </c>
      <c r="C208" s="33" t="s">
        <v>653</v>
      </c>
      <c r="D208" s="33"/>
      <c r="E208" s="33" t="s">
        <v>1493</v>
      </c>
      <c r="F208" s="52">
        <v>200</v>
      </c>
      <c r="G208" s="33" t="s">
        <v>1492</v>
      </c>
      <c r="H208" s="41"/>
    </row>
    <row r="209" spans="1:8" ht="30" x14ac:dyDescent="0.25">
      <c r="A209" s="64" t="s">
        <v>155</v>
      </c>
      <c r="B209" s="44" t="s">
        <v>652</v>
      </c>
      <c r="C209" s="42" t="s">
        <v>654</v>
      </c>
      <c r="D209" s="42"/>
      <c r="E209" s="42" t="s">
        <v>1493</v>
      </c>
      <c r="F209" s="52">
        <v>200</v>
      </c>
      <c r="G209" s="42" t="s">
        <v>1492</v>
      </c>
    </row>
    <row r="210" spans="1:8" ht="30" x14ac:dyDescent="0.25">
      <c r="A210" s="64" t="s">
        <v>155</v>
      </c>
      <c r="B210" s="37" t="s">
        <v>629</v>
      </c>
      <c r="C210" s="33" t="s">
        <v>655</v>
      </c>
      <c r="D210" s="33"/>
      <c r="E210" s="33" t="s">
        <v>1493</v>
      </c>
      <c r="F210" s="52">
        <v>200</v>
      </c>
      <c r="G210" s="33" t="s">
        <v>1492</v>
      </c>
      <c r="H210" s="41"/>
    </row>
    <row r="211" spans="1:8" ht="30" x14ac:dyDescent="0.25">
      <c r="A211" s="64" t="s">
        <v>155</v>
      </c>
      <c r="B211" s="44" t="s">
        <v>656</v>
      </c>
      <c r="C211" s="42" t="s">
        <v>286</v>
      </c>
      <c r="D211" s="42"/>
      <c r="E211" s="42" t="s">
        <v>1493</v>
      </c>
      <c r="F211" s="52">
        <v>200</v>
      </c>
      <c r="G211" s="42" t="s">
        <v>1492</v>
      </c>
    </row>
    <row r="212" spans="1:8" ht="30" x14ac:dyDescent="0.25">
      <c r="A212" s="64" t="s">
        <v>155</v>
      </c>
      <c r="B212" s="37" t="s">
        <v>657</v>
      </c>
      <c r="C212" s="33" t="s">
        <v>658</v>
      </c>
      <c r="D212" s="33"/>
      <c r="E212" s="33" t="s">
        <v>1493</v>
      </c>
      <c r="F212" s="52">
        <v>200</v>
      </c>
      <c r="G212" s="33" t="s">
        <v>1492</v>
      </c>
      <c r="H212" s="41"/>
    </row>
    <row r="213" spans="1:8" ht="30" x14ac:dyDescent="0.25">
      <c r="A213" s="64" t="s">
        <v>155</v>
      </c>
      <c r="B213" s="44" t="s">
        <v>691</v>
      </c>
      <c r="C213" s="42" t="s">
        <v>692</v>
      </c>
      <c r="D213" s="42"/>
      <c r="E213" s="42" t="s">
        <v>1491</v>
      </c>
      <c r="F213" s="52">
        <v>200</v>
      </c>
      <c r="G213" s="42" t="s">
        <v>1492</v>
      </c>
    </row>
    <row r="214" spans="1:8" ht="30" x14ac:dyDescent="0.25">
      <c r="A214" s="64" t="s">
        <v>155</v>
      </c>
      <c r="B214" s="37" t="s">
        <v>634</v>
      </c>
      <c r="C214" s="33" t="s">
        <v>693</v>
      </c>
      <c r="D214" s="33"/>
      <c r="E214" s="33" t="s">
        <v>1493</v>
      </c>
      <c r="F214" s="52">
        <v>200</v>
      </c>
      <c r="G214" s="33" t="s">
        <v>1492</v>
      </c>
      <c r="H214" s="41"/>
    </row>
    <row r="215" spans="1:8" ht="30" x14ac:dyDescent="0.25">
      <c r="A215" s="64" t="s">
        <v>155</v>
      </c>
      <c r="B215" s="44" t="s">
        <v>691</v>
      </c>
      <c r="C215" s="42" t="s">
        <v>692</v>
      </c>
      <c r="D215" s="42"/>
      <c r="E215" s="42" t="s">
        <v>1491</v>
      </c>
      <c r="F215" s="52">
        <v>200</v>
      </c>
      <c r="G215" s="42" t="s">
        <v>1492</v>
      </c>
    </row>
    <row r="216" spans="1:8" ht="30" x14ac:dyDescent="0.25">
      <c r="A216" s="64" t="s">
        <v>155</v>
      </c>
      <c r="B216" s="37" t="s">
        <v>629</v>
      </c>
      <c r="C216" s="33" t="s">
        <v>630</v>
      </c>
      <c r="D216" s="33"/>
      <c r="E216" s="33" t="s">
        <v>1493</v>
      </c>
      <c r="F216" s="52">
        <v>200</v>
      </c>
      <c r="G216" s="33" t="s">
        <v>1492</v>
      </c>
      <c r="H216" s="41"/>
    </row>
    <row r="217" spans="1:8" ht="30" x14ac:dyDescent="0.25">
      <c r="A217" s="64" t="s">
        <v>155</v>
      </c>
      <c r="B217" s="44" t="s">
        <v>631</v>
      </c>
      <c r="C217" s="42"/>
      <c r="D217" s="42"/>
      <c r="E217" s="42" t="s">
        <v>1491</v>
      </c>
      <c r="F217" s="52">
        <v>200</v>
      </c>
      <c r="G217" s="42" t="s">
        <v>1492</v>
      </c>
    </row>
    <row r="218" spans="1:8" ht="30" x14ac:dyDescent="0.25">
      <c r="A218" s="64" t="s">
        <v>155</v>
      </c>
      <c r="B218" s="37" t="s">
        <v>632</v>
      </c>
      <c r="C218" s="33"/>
      <c r="D218" s="33"/>
      <c r="E218" s="33" t="s">
        <v>1491</v>
      </c>
      <c r="F218" s="52">
        <v>200</v>
      </c>
      <c r="G218" s="33" t="s">
        <v>1492</v>
      </c>
      <c r="H218" s="41"/>
    </row>
    <row r="219" spans="1:8" ht="30" x14ac:dyDescent="0.25">
      <c r="A219" s="64" t="s">
        <v>155</v>
      </c>
      <c r="B219" s="44" t="s">
        <v>634</v>
      </c>
      <c r="C219" s="42" t="s">
        <v>666</v>
      </c>
      <c r="D219" s="42"/>
      <c r="E219" s="42" t="s">
        <v>1493</v>
      </c>
      <c r="F219" s="52">
        <v>200</v>
      </c>
      <c r="G219" s="42" t="s">
        <v>1492</v>
      </c>
    </row>
    <row r="220" spans="1:8" ht="30" x14ac:dyDescent="0.25">
      <c r="A220" s="37" t="s">
        <v>155</v>
      </c>
      <c r="B220" s="37" t="s">
        <v>636</v>
      </c>
      <c r="C220" s="33" t="s">
        <v>637</v>
      </c>
      <c r="D220" s="33"/>
      <c r="E220" s="33" t="s">
        <v>1493</v>
      </c>
      <c r="F220" s="34">
        <v>404</v>
      </c>
      <c r="G220" s="33" t="s">
        <v>1492</v>
      </c>
      <c r="H220" s="41"/>
    </row>
    <row r="221" spans="1:8" ht="30" x14ac:dyDescent="0.25">
      <c r="A221" s="44" t="s">
        <v>155</v>
      </c>
      <c r="B221" s="44" t="s">
        <v>636</v>
      </c>
      <c r="C221" s="42" t="s">
        <v>638</v>
      </c>
      <c r="D221" s="42"/>
      <c r="E221" s="42" t="s">
        <v>1493</v>
      </c>
      <c r="F221" s="34">
        <v>404</v>
      </c>
      <c r="G221" s="42" t="s">
        <v>1492</v>
      </c>
    </row>
    <row r="222" spans="1:8" ht="30" x14ac:dyDescent="0.25">
      <c r="A222" s="64" t="s">
        <v>206</v>
      </c>
      <c r="B222" s="37" t="s">
        <v>176</v>
      </c>
      <c r="C222" s="33"/>
      <c r="D222" s="33"/>
      <c r="E222" s="33" t="s">
        <v>1493</v>
      </c>
      <c r="F222" s="52">
        <v>200</v>
      </c>
      <c r="G222" s="33" t="s">
        <v>1492</v>
      </c>
      <c r="H222" s="41"/>
    </row>
    <row r="223" spans="1:8" ht="30" x14ac:dyDescent="0.25">
      <c r="A223" s="64" t="s">
        <v>206</v>
      </c>
      <c r="B223" s="44" t="s">
        <v>176</v>
      </c>
      <c r="C223" s="42" t="s">
        <v>639</v>
      </c>
      <c r="D223" s="42"/>
      <c r="E223" s="42" t="s">
        <v>1493</v>
      </c>
      <c r="F223" s="52">
        <v>200</v>
      </c>
      <c r="G223" s="42" t="s">
        <v>1492</v>
      </c>
    </row>
    <row r="224" spans="1:8" ht="30" x14ac:dyDescent="0.25">
      <c r="A224" s="64" t="s">
        <v>206</v>
      </c>
      <c r="B224" s="37" t="s">
        <v>178</v>
      </c>
      <c r="C224" s="33" t="s">
        <v>640</v>
      </c>
      <c r="D224" s="33"/>
      <c r="E224" s="33" t="s">
        <v>1493</v>
      </c>
      <c r="F224" s="52">
        <v>200</v>
      </c>
      <c r="G224" s="33" t="s">
        <v>1492</v>
      </c>
      <c r="H224" s="41"/>
    </row>
    <row r="225" spans="1:8" ht="30" x14ac:dyDescent="0.25">
      <c r="A225" s="64" t="s">
        <v>206</v>
      </c>
      <c r="B225" s="44" t="s">
        <v>641</v>
      </c>
      <c r="C225" s="42" t="s">
        <v>642</v>
      </c>
      <c r="D225" s="42"/>
      <c r="E225" s="42" t="s">
        <v>1493</v>
      </c>
      <c r="F225" s="52">
        <v>200</v>
      </c>
      <c r="G225" s="42" t="s">
        <v>1492</v>
      </c>
    </row>
    <row r="226" spans="1:8" ht="30" x14ac:dyDescent="0.25">
      <c r="A226" s="64" t="s">
        <v>206</v>
      </c>
      <c r="B226" s="37" t="s">
        <v>643</v>
      </c>
      <c r="C226" s="33" t="s">
        <v>644</v>
      </c>
      <c r="D226" s="33"/>
      <c r="E226" s="33" t="s">
        <v>1493</v>
      </c>
      <c r="F226" s="52">
        <v>200</v>
      </c>
      <c r="G226" s="33" t="s">
        <v>1492</v>
      </c>
      <c r="H226" s="41"/>
    </row>
    <row r="227" spans="1:8" ht="30" x14ac:dyDescent="0.25">
      <c r="A227" s="64" t="s">
        <v>206</v>
      </c>
      <c r="B227" s="44" t="s">
        <v>208</v>
      </c>
      <c r="C227" s="42" t="s">
        <v>645</v>
      </c>
      <c r="D227" s="42"/>
      <c r="E227" s="42" t="s">
        <v>1493</v>
      </c>
      <c r="F227" s="52">
        <v>200</v>
      </c>
      <c r="G227" s="42" t="s">
        <v>1492</v>
      </c>
    </row>
    <row r="228" spans="1:8" ht="30" x14ac:dyDescent="0.25">
      <c r="A228" s="64" t="s">
        <v>206</v>
      </c>
      <c r="B228" s="37" t="s">
        <v>646</v>
      </c>
      <c r="C228" s="33" t="s">
        <v>647</v>
      </c>
      <c r="D228" s="33"/>
      <c r="E228" s="33" t="s">
        <v>1493</v>
      </c>
      <c r="F228" s="52">
        <v>200</v>
      </c>
      <c r="G228" s="33" t="s">
        <v>1492</v>
      </c>
      <c r="H228" s="41"/>
    </row>
    <row r="229" spans="1:8" ht="30" x14ac:dyDescent="0.25">
      <c r="A229" s="64" t="s">
        <v>206</v>
      </c>
      <c r="B229" s="44" t="s">
        <v>648</v>
      </c>
      <c r="C229" s="42" t="s">
        <v>649</v>
      </c>
      <c r="D229" s="42"/>
      <c r="E229" s="42" t="s">
        <v>1493</v>
      </c>
      <c r="F229" s="52">
        <v>200</v>
      </c>
      <c r="G229" s="42" t="s">
        <v>1492</v>
      </c>
    </row>
    <row r="230" spans="1:8" ht="30" x14ac:dyDescent="0.25">
      <c r="A230" s="64" t="s">
        <v>206</v>
      </c>
      <c r="B230" s="37" t="s">
        <v>650</v>
      </c>
      <c r="C230" s="33" t="s">
        <v>651</v>
      </c>
      <c r="D230" s="33"/>
      <c r="E230" s="33" t="s">
        <v>1493</v>
      </c>
      <c r="F230" s="52">
        <v>200</v>
      </c>
      <c r="G230" s="33" t="s">
        <v>1492</v>
      </c>
      <c r="H230" s="41"/>
    </row>
    <row r="231" spans="1:8" ht="30" x14ac:dyDescent="0.25">
      <c r="A231" s="64" t="s">
        <v>206</v>
      </c>
      <c r="B231" s="44" t="s">
        <v>652</v>
      </c>
      <c r="C231" s="42" t="s">
        <v>653</v>
      </c>
      <c r="D231" s="42"/>
      <c r="E231" s="42" t="s">
        <v>1493</v>
      </c>
      <c r="F231" s="52">
        <v>200</v>
      </c>
      <c r="G231" s="42" t="s">
        <v>1492</v>
      </c>
    </row>
    <row r="232" spans="1:8" ht="30" x14ac:dyDescent="0.25">
      <c r="A232" s="64" t="s">
        <v>206</v>
      </c>
      <c r="B232" s="37" t="s">
        <v>652</v>
      </c>
      <c r="C232" s="33" t="s">
        <v>654</v>
      </c>
      <c r="D232" s="33"/>
      <c r="E232" s="33" t="s">
        <v>1493</v>
      </c>
      <c r="F232" s="52">
        <v>200</v>
      </c>
      <c r="G232" s="33" t="s">
        <v>1492</v>
      </c>
      <c r="H232" s="41"/>
    </row>
    <row r="233" spans="1:8" ht="30" x14ac:dyDescent="0.25">
      <c r="A233" s="64" t="s">
        <v>206</v>
      </c>
      <c r="B233" s="44" t="s">
        <v>629</v>
      </c>
      <c r="C233" s="42" t="s">
        <v>655</v>
      </c>
      <c r="D233" s="42"/>
      <c r="E233" s="42" t="s">
        <v>1493</v>
      </c>
      <c r="F233" s="52">
        <v>200</v>
      </c>
      <c r="G233" s="42" t="s">
        <v>1492</v>
      </c>
    </row>
    <row r="234" spans="1:8" ht="30" x14ac:dyDescent="0.25">
      <c r="A234" s="64" t="s">
        <v>206</v>
      </c>
      <c r="B234" s="37" t="s">
        <v>656</v>
      </c>
      <c r="C234" s="33" t="s">
        <v>286</v>
      </c>
      <c r="D234" s="33"/>
      <c r="E234" s="33" t="s">
        <v>1493</v>
      </c>
      <c r="F234" s="52">
        <v>200</v>
      </c>
      <c r="G234" s="33" t="s">
        <v>1492</v>
      </c>
      <c r="H234" s="41"/>
    </row>
    <row r="235" spans="1:8" ht="30" x14ac:dyDescent="0.25">
      <c r="A235" s="64" t="s">
        <v>206</v>
      </c>
      <c r="B235" s="44" t="s">
        <v>657</v>
      </c>
      <c r="C235" s="42" t="s">
        <v>658</v>
      </c>
      <c r="D235" s="42"/>
      <c r="E235" s="42" t="s">
        <v>1493</v>
      </c>
      <c r="F235" s="52">
        <v>200</v>
      </c>
      <c r="G235" s="42" t="s">
        <v>1492</v>
      </c>
    </row>
    <row r="236" spans="1:8" ht="30" x14ac:dyDescent="0.25">
      <c r="A236" s="64" t="s">
        <v>206</v>
      </c>
      <c r="B236" s="37" t="s">
        <v>176</v>
      </c>
      <c r="C236" s="33" t="s">
        <v>639</v>
      </c>
      <c r="D236" s="33"/>
      <c r="E236" s="33" t="s">
        <v>1493</v>
      </c>
      <c r="F236" s="52">
        <v>200</v>
      </c>
      <c r="G236" s="33" t="s">
        <v>1492</v>
      </c>
      <c r="H236" s="41"/>
    </row>
    <row r="237" spans="1:8" ht="30" x14ac:dyDescent="0.25">
      <c r="A237" s="64" t="s">
        <v>206</v>
      </c>
      <c r="B237" s="44" t="s">
        <v>178</v>
      </c>
      <c r="C237" s="42" t="s">
        <v>640</v>
      </c>
      <c r="D237" s="42"/>
      <c r="E237" s="42" t="s">
        <v>1493</v>
      </c>
      <c r="F237" s="52">
        <v>200</v>
      </c>
      <c r="G237" s="42" t="s">
        <v>1492</v>
      </c>
    </row>
    <row r="238" spans="1:8" ht="30" x14ac:dyDescent="0.25">
      <c r="A238" s="64" t="s">
        <v>206</v>
      </c>
      <c r="B238" s="37" t="s">
        <v>641</v>
      </c>
      <c r="C238" s="33" t="s">
        <v>642</v>
      </c>
      <c r="D238" s="33"/>
      <c r="E238" s="33" t="s">
        <v>1493</v>
      </c>
      <c r="F238" s="52">
        <v>200</v>
      </c>
      <c r="G238" s="33" t="s">
        <v>1492</v>
      </c>
      <c r="H238" s="41"/>
    </row>
    <row r="239" spans="1:8" ht="30" x14ac:dyDescent="0.25">
      <c r="A239" s="64" t="s">
        <v>206</v>
      </c>
      <c r="B239" s="44" t="s">
        <v>643</v>
      </c>
      <c r="C239" s="42" t="s">
        <v>644</v>
      </c>
      <c r="D239" s="42"/>
      <c r="E239" s="42" t="s">
        <v>1493</v>
      </c>
      <c r="F239" s="52">
        <v>200</v>
      </c>
      <c r="G239" s="42" t="s">
        <v>1492</v>
      </c>
    </row>
    <row r="240" spans="1:8" ht="30" x14ac:dyDescent="0.25">
      <c r="A240" s="64" t="s">
        <v>206</v>
      </c>
      <c r="B240" s="37" t="s">
        <v>208</v>
      </c>
      <c r="C240" s="33" t="s">
        <v>645</v>
      </c>
      <c r="D240" s="33"/>
      <c r="E240" s="33" t="s">
        <v>1493</v>
      </c>
      <c r="F240" s="52">
        <v>200</v>
      </c>
      <c r="G240" s="33" t="s">
        <v>1492</v>
      </c>
      <c r="H240" s="41"/>
    </row>
    <row r="241" spans="1:8" ht="30" x14ac:dyDescent="0.25">
      <c r="A241" s="64" t="s">
        <v>206</v>
      </c>
      <c r="B241" s="44" t="s">
        <v>646</v>
      </c>
      <c r="C241" s="42" t="s">
        <v>647</v>
      </c>
      <c r="D241" s="42"/>
      <c r="E241" s="42" t="s">
        <v>1493</v>
      </c>
      <c r="F241" s="52">
        <v>200</v>
      </c>
      <c r="G241" s="42" t="s">
        <v>1492</v>
      </c>
    </row>
    <row r="242" spans="1:8" ht="30" x14ac:dyDescent="0.25">
      <c r="A242" s="64" t="s">
        <v>206</v>
      </c>
      <c r="B242" s="37" t="s">
        <v>648</v>
      </c>
      <c r="C242" s="33" t="s">
        <v>649</v>
      </c>
      <c r="D242" s="33"/>
      <c r="E242" s="33" t="s">
        <v>1493</v>
      </c>
      <c r="F242" s="52">
        <v>200</v>
      </c>
      <c r="G242" s="33" t="s">
        <v>1492</v>
      </c>
      <c r="H242" s="41"/>
    </row>
    <row r="243" spans="1:8" ht="30" x14ac:dyDescent="0.25">
      <c r="A243" s="64" t="s">
        <v>206</v>
      </c>
      <c r="B243" s="44" t="s">
        <v>650</v>
      </c>
      <c r="C243" s="42" t="s">
        <v>651</v>
      </c>
      <c r="D243" s="42"/>
      <c r="E243" s="42" t="s">
        <v>1493</v>
      </c>
      <c r="F243" s="52">
        <v>200</v>
      </c>
      <c r="G243" s="42" t="s">
        <v>1492</v>
      </c>
    </row>
    <row r="244" spans="1:8" ht="30" x14ac:dyDescent="0.25">
      <c r="A244" s="64" t="s">
        <v>206</v>
      </c>
      <c r="B244" s="37" t="s">
        <v>652</v>
      </c>
      <c r="C244" s="33" t="s">
        <v>653</v>
      </c>
      <c r="D244" s="33"/>
      <c r="E244" s="33" t="s">
        <v>1493</v>
      </c>
      <c r="F244" s="52">
        <v>200</v>
      </c>
      <c r="G244" s="33" t="s">
        <v>1492</v>
      </c>
      <c r="H244" s="41"/>
    </row>
    <row r="245" spans="1:8" ht="30" x14ac:dyDescent="0.25">
      <c r="A245" s="64" t="s">
        <v>206</v>
      </c>
      <c r="B245" s="44" t="s">
        <v>652</v>
      </c>
      <c r="C245" s="42" t="s">
        <v>654</v>
      </c>
      <c r="D245" s="42"/>
      <c r="E245" s="42" t="s">
        <v>1493</v>
      </c>
      <c r="F245" s="52">
        <v>200</v>
      </c>
      <c r="G245" s="42" t="s">
        <v>1492</v>
      </c>
    </row>
    <row r="246" spans="1:8" ht="30" x14ac:dyDescent="0.25">
      <c r="A246" s="64" t="s">
        <v>206</v>
      </c>
      <c r="B246" s="37" t="s">
        <v>629</v>
      </c>
      <c r="C246" s="33" t="s">
        <v>655</v>
      </c>
      <c r="D246" s="33"/>
      <c r="E246" s="33" t="s">
        <v>1493</v>
      </c>
      <c r="F246" s="52">
        <v>200</v>
      </c>
      <c r="G246" s="33" t="s">
        <v>1492</v>
      </c>
      <c r="H246" s="41"/>
    </row>
    <row r="247" spans="1:8" ht="30" x14ac:dyDescent="0.25">
      <c r="A247" s="64" t="s">
        <v>206</v>
      </c>
      <c r="B247" s="44" t="s">
        <v>656</v>
      </c>
      <c r="C247" s="42" t="s">
        <v>286</v>
      </c>
      <c r="D247" s="42"/>
      <c r="E247" s="42" t="s">
        <v>1493</v>
      </c>
      <c r="F247" s="52">
        <v>200</v>
      </c>
      <c r="G247" s="42" t="s">
        <v>1492</v>
      </c>
    </row>
    <row r="248" spans="1:8" ht="30" x14ac:dyDescent="0.25">
      <c r="A248" s="64" t="s">
        <v>206</v>
      </c>
      <c r="B248" s="37" t="s">
        <v>657</v>
      </c>
      <c r="C248" s="33" t="s">
        <v>658</v>
      </c>
      <c r="D248" s="33"/>
      <c r="E248" s="33" t="s">
        <v>1493</v>
      </c>
      <c r="F248" s="52">
        <v>200</v>
      </c>
      <c r="G248" s="33" t="s">
        <v>1492</v>
      </c>
      <c r="H248" s="41"/>
    </row>
    <row r="249" spans="1:8" ht="45" x14ac:dyDescent="0.25">
      <c r="A249" s="44" t="s">
        <v>206</v>
      </c>
      <c r="B249" s="44" t="s">
        <v>694</v>
      </c>
      <c r="C249" s="42" t="s">
        <v>695</v>
      </c>
      <c r="D249" s="42"/>
      <c r="E249" s="42" t="s">
        <v>1493</v>
      </c>
      <c r="F249" s="34">
        <v>404</v>
      </c>
      <c r="G249" s="42" t="s">
        <v>1492</v>
      </c>
    </row>
    <row r="250" spans="1:8" ht="30" x14ac:dyDescent="0.25">
      <c r="A250" s="64" t="s">
        <v>206</v>
      </c>
      <c r="B250" s="37" t="s">
        <v>629</v>
      </c>
      <c r="C250" s="33" t="s">
        <v>630</v>
      </c>
      <c r="D250" s="33"/>
      <c r="E250" s="33" t="s">
        <v>1493</v>
      </c>
      <c r="F250" s="52">
        <v>200</v>
      </c>
      <c r="G250" s="33" t="s">
        <v>1492</v>
      </c>
      <c r="H250" s="41"/>
    </row>
    <row r="251" spans="1:8" ht="30" x14ac:dyDescent="0.25">
      <c r="A251" s="64" t="s">
        <v>206</v>
      </c>
      <c r="B251" s="44" t="s">
        <v>631</v>
      </c>
      <c r="C251" s="42"/>
      <c r="D251" s="42"/>
      <c r="E251" s="42" t="s">
        <v>1491</v>
      </c>
      <c r="F251" s="52">
        <v>200</v>
      </c>
      <c r="G251" s="42" t="s">
        <v>1492</v>
      </c>
    </row>
    <row r="252" spans="1:8" ht="30" x14ac:dyDescent="0.25">
      <c r="A252" s="64" t="s">
        <v>206</v>
      </c>
      <c r="B252" s="37" t="s">
        <v>632</v>
      </c>
      <c r="C252" s="33"/>
      <c r="D252" s="33"/>
      <c r="E252" s="33" t="s">
        <v>1491</v>
      </c>
      <c r="F252" s="52">
        <v>200</v>
      </c>
      <c r="G252" s="33" t="s">
        <v>1492</v>
      </c>
      <c r="H252" s="41"/>
    </row>
    <row r="253" spans="1:8" ht="30" x14ac:dyDescent="0.25">
      <c r="A253" s="64" t="s">
        <v>206</v>
      </c>
      <c r="B253" s="44" t="s">
        <v>634</v>
      </c>
      <c r="C253" s="42" t="s">
        <v>666</v>
      </c>
      <c r="D253" s="42"/>
      <c r="E253" s="42" t="s">
        <v>1493</v>
      </c>
      <c r="F253" s="52">
        <v>200</v>
      </c>
      <c r="G253" s="42" t="s">
        <v>1492</v>
      </c>
    </row>
    <row r="254" spans="1:8" ht="30" x14ac:dyDescent="0.25">
      <c r="A254" s="37" t="s">
        <v>206</v>
      </c>
      <c r="B254" s="37" t="s">
        <v>636</v>
      </c>
      <c r="C254" s="33" t="s">
        <v>637</v>
      </c>
      <c r="D254" s="33"/>
      <c r="E254" s="33" t="s">
        <v>1493</v>
      </c>
      <c r="F254" s="34">
        <v>404</v>
      </c>
      <c r="G254" s="33" t="s">
        <v>1492</v>
      </c>
      <c r="H254" s="41"/>
    </row>
    <row r="255" spans="1:8" ht="30" x14ac:dyDescent="0.25">
      <c r="A255" s="44" t="s">
        <v>206</v>
      </c>
      <c r="B255" s="44" t="s">
        <v>636</v>
      </c>
      <c r="C255" s="42" t="s">
        <v>638</v>
      </c>
      <c r="D255" s="42"/>
      <c r="E255" s="42" t="s">
        <v>1493</v>
      </c>
      <c r="F255" s="34">
        <v>404</v>
      </c>
      <c r="G255" s="42" t="s">
        <v>1492</v>
      </c>
    </row>
    <row r="256" spans="1:8" ht="30" x14ac:dyDescent="0.25">
      <c r="A256" s="64" t="s">
        <v>207</v>
      </c>
      <c r="B256" s="37" t="s">
        <v>176</v>
      </c>
      <c r="C256" s="33"/>
      <c r="D256" s="33"/>
      <c r="E256" s="33" t="s">
        <v>1493</v>
      </c>
      <c r="F256" s="52">
        <v>200</v>
      </c>
      <c r="G256" s="33" t="s">
        <v>1492</v>
      </c>
      <c r="H256" s="41"/>
    </row>
    <row r="257" spans="1:8" ht="30" x14ac:dyDescent="0.25">
      <c r="A257" s="64" t="s">
        <v>207</v>
      </c>
      <c r="B257" s="44" t="s">
        <v>176</v>
      </c>
      <c r="C257" s="42" t="s">
        <v>639</v>
      </c>
      <c r="D257" s="42"/>
      <c r="E257" s="42" t="s">
        <v>1493</v>
      </c>
      <c r="F257" s="52">
        <v>200</v>
      </c>
      <c r="G257" s="42" t="s">
        <v>1492</v>
      </c>
    </row>
    <row r="258" spans="1:8" ht="30" x14ac:dyDescent="0.25">
      <c r="A258" s="64" t="s">
        <v>207</v>
      </c>
      <c r="B258" s="37" t="s">
        <v>178</v>
      </c>
      <c r="C258" s="33" t="s">
        <v>640</v>
      </c>
      <c r="D258" s="33"/>
      <c r="E258" s="33" t="s">
        <v>1493</v>
      </c>
      <c r="F258" s="52">
        <v>200</v>
      </c>
      <c r="G258" s="33" t="s">
        <v>1492</v>
      </c>
      <c r="H258" s="41"/>
    </row>
    <row r="259" spans="1:8" ht="30" x14ac:dyDescent="0.25">
      <c r="A259" s="64" t="s">
        <v>207</v>
      </c>
      <c r="B259" s="44" t="s">
        <v>641</v>
      </c>
      <c r="C259" s="42" t="s">
        <v>642</v>
      </c>
      <c r="D259" s="42"/>
      <c r="E259" s="42" t="s">
        <v>1493</v>
      </c>
      <c r="F259" s="52">
        <v>200</v>
      </c>
      <c r="G259" s="42" t="s">
        <v>1492</v>
      </c>
    </row>
    <row r="260" spans="1:8" ht="30" x14ac:dyDescent="0.25">
      <c r="A260" s="64" t="s">
        <v>207</v>
      </c>
      <c r="B260" s="37" t="s">
        <v>643</v>
      </c>
      <c r="C260" s="33" t="s">
        <v>644</v>
      </c>
      <c r="D260" s="33"/>
      <c r="E260" s="33" t="s">
        <v>1493</v>
      </c>
      <c r="F260" s="52">
        <v>200</v>
      </c>
      <c r="G260" s="33" t="s">
        <v>1492</v>
      </c>
      <c r="H260" s="41"/>
    </row>
    <row r="261" spans="1:8" ht="30" x14ac:dyDescent="0.25">
      <c r="A261" s="64" t="s">
        <v>207</v>
      </c>
      <c r="B261" s="44" t="s">
        <v>208</v>
      </c>
      <c r="C261" s="42" t="s">
        <v>645</v>
      </c>
      <c r="D261" s="42"/>
      <c r="E261" s="42" t="s">
        <v>1493</v>
      </c>
      <c r="F261" s="52">
        <v>200</v>
      </c>
      <c r="G261" s="42" t="s">
        <v>1492</v>
      </c>
    </row>
    <row r="262" spans="1:8" ht="30" x14ac:dyDescent="0.25">
      <c r="A262" s="64" t="s">
        <v>207</v>
      </c>
      <c r="B262" s="37" t="s">
        <v>646</v>
      </c>
      <c r="C262" s="33" t="s">
        <v>647</v>
      </c>
      <c r="D262" s="33"/>
      <c r="E262" s="33" t="s">
        <v>1493</v>
      </c>
      <c r="F262" s="52">
        <v>200</v>
      </c>
      <c r="G262" s="33" t="s">
        <v>1492</v>
      </c>
      <c r="H262" s="41"/>
    </row>
    <row r="263" spans="1:8" ht="30" x14ac:dyDescent="0.25">
      <c r="A263" s="64" t="s">
        <v>207</v>
      </c>
      <c r="B263" s="44" t="s">
        <v>648</v>
      </c>
      <c r="C263" s="42" t="s">
        <v>649</v>
      </c>
      <c r="D263" s="42"/>
      <c r="E263" s="42" t="s">
        <v>1493</v>
      </c>
      <c r="F263" s="52">
        <v>200</v>
      </c>
      <c r="G263" s="42" t="s">
        <v>1492</v>
      </c>
    </row>
    <row r="264" spans="1:8" ht="30" x14ac:dyDescent="0.25">
      <c r="A264" s="64" t="s">
        <v>207</v>
      </c>
      <c r="B264" s="37" t="s">
        <v>650</v>
      </c>
      <c r="C264" s="33" t="s">
        <v>651</v>
      </c>
      <c r="D264" s="33"/>
      <c r="E264" s="33" t="s">
        <v>1493</v>
      </c>
      <c r="F264" s="52">
        <v>200</v>
      </c>
      <c r="G264" s="33" t="s">
        <v>1492</v>
      </c>
      <c r="H264" s="41"/>
    </row>
    <row r="265" spans="1:8" ht="30" x14ac:dyDescent="0.25">
      <c r="A265" s="64" t="s">
        <v>207</v>
      </c>
      <c r="B265" s="44" t="s">
        <v>652</v>
      </c>
      <c r="C265" s="42" t="s">
        <v>653</v>
      </c>
      <c r="D265" s="42"/>
      <c r="E265" s="42" t="s">
        <v>1493</v>
      </c>
      <c r="F265" s="52">
        <v>200</v>
      </c>
      <c r="G265" s="42" t="s">
        <v>1492</v>
      </c>
    </row>
    <row r="266" spans="1:8" ht="30" x14ac:dyDescent="0.25">
      <c r="A266" s="64" t="s">
        <v>207</v>
      </c>
      <c r="B266" s="37" t="s">
        <v>652</v>
      </c>
      <c r="C266" s="33" t="s">
        <v>654</v>
      </c>
      <c r="D266" s="33"/>
      <c r="E266" s="33" t="s">
        <v>1493</v>
      </c>
      <c r="F266" s="52">
        <v>200</v>
      </c>
      <c r="G266" s="33" t="s">
        <v>1492</v>
      </c>
      <c r="H266" s="41"/>
    </row>
    <row r="267" spans="1:8" ht="30" x14ac:dyDescent="0.25">
      <c r="A267" s="64" t="s">
        <v>207</v>
      </c>
      <c r="B267" s="44" t="s">
        <v>629</v>
      </c>
      <c r="C267" s="42" t="s">
        <v>655</v>
      </c>
      <c r="D267" s="42"/>
      <c r="E267" s="42" t="s">
        <v>1493</v>
      </c>
      <c r="F267" s="52">
        <v>200</v>
      </c>
      <c r="G267" s="42" t="s">
        <v>1492</v>
      </c>
    </row>
    <row r="268" spans="1:8" ht="30" x14ac:dyDescent="0.25">
      <c r="A268" s="64" t="s">
        <v>207</v>
      </c>
      <c r="B268" s="37" t="s">
        <v>656</v>
      </c>
      <c r="C268" s="33" t="s">
        <v>286</v>
      </c>
      <c r="D268" s="33"/>
      <c r="E268" s="33" t="s">
        <v>1493</v>
      </c>
      <c r="F268" s="52">
        <v>200</v>
      </c>
      <c r="G268" s="33" t="s">
        <v>1492</v>
      </c>
      <c r="H268" s="41"/>
    </row>
    <row r="269" spans="1:8" ht="30" x14ac:dyDescent="0.25">
      <c r="A269" s="64" t="s">
        <v>207</v>
      </c>
      <c r="B269" s="44" t="s">
        <v>657</v>
      </c>
      <c r="C269" s="42" t="s">
        <v>658</v>
      </c>
      <c r="D269" s="42"/>
      <c r="E269" s="42" t="s">
        <v>1493</v>
      </c>
      <c r="F269" s="52">
        <v>200</v>
      </c>
      <c r="G269" s="42" t="s">
        <v>1492</v>
      </c>
    </row>
    <row r="270" spans="1:8" ht="30" x14ac:dyDescent="0.25">
      <c r="A270" s="64" t="s">
        <v>207</v>
      </c>
      <c r="B270" s="37" t="s">
        <v>176</v>
      </c>
      <c r="C270" s="33" t="s">
        <v>639</v>
      </c>
      <c r="D270" s="33"/>
      <c r="E270" s="33" t="s">
        <v>1493</v>
      </c>
      <c r="F270" s="52">
        <v>200</v>
      </c>
      <c r="G270" s="33" t="s">
        <v>1492</v>
      </c>
      <c r="H270" s="41"/>
    </row>
    <row r="271" spans="1:8" ht="30" x14ac:dyDescent="0.25">
      <c r="A271" s="64" t="s">
        <v>207</v>
      </c>
      <c r="B271" s="44" t="s">
        <v>178</v>
      </c>
      <c r="C271" s="42" t="s">
        <v>640</v>
      </c>
      <c r="D271" s="42"/>
      <c r="E271" s="42" t="s">
        <v>1493</v>
      </c>
      <c r="F271" s="52">
        <v>200</v>
      </c>
      <c r="G271" s="42" t="s">
        <v>1492</v>
      </c>
    </row>
    <row r="272" spans="1:8" ht="30" x14ac:dyDescent="0.25">
      <c r="A272" s="64" t="s">
        <v>207</v>
      </c>
      <c r="B272" s="37" t="s">
        <v>641</v>
      </c>
      <c r="C272" s="33" t="s">
        <v>642</v>
      </c>
      <c r="D272" s="33"/>
      <c r="E272" s="33" t="s">
        <v>1493</v>
      </c>
      <c r="F272" s="52">
        <v>200</v>
      </c>
      <c r="G272" s="33" t="s">
        <v>1492</v>
      </c>
      <c r="H272" s="41"/>
    </row>
    <row r="273" spans="1:8" ht="30" x14ac:dyDescent="0.25">
      <c r="A273" s="64" t="s">
        <v>207</v>
      </c>
      <c r="B273" s="44" t="s">
        <v>643</v>
      </c>
      <c r="C273" s="42" t="s">
        <v>644</v>
      </c>
      <c r="D273" s="42"/>
      <c r="E273" s="42" t="s">
        <v>1493</v>
      </c>
      <c r="F273" s="52">
        <v>200</v>
      </c>
      <c r="G273" s="42" t="s">
        <v>1492</v>
      </c>
    </row>
    <row r="274" spans="1:8" ht="30" x14ac:dyDescent="0.25">
      <c r="A274" s="64" t="s">
        <v>207</v>
      </c>
      <c r="B274" s="37" t="s">
        <v>208</v>
      </c>
      <c r="C274" s="33" t="s">
        <v>645</v>
      </c>
      <c r="D274" s="33"/>
      <c r="E274" s="33" t="s">
        <v>1493</v>
      </c>
      <c r="F274" s="52">
        <v>200</v>
      </c>
      <c r="G274" s="33" t="s">
        <v>1492</v>
      </c>
      <c r="H274" s="41"/>
    </row>
    <row r="275" spans="1:8" ht="30" x14ac:dyDescent="0.25">
      <c r="A275" s="64" t="s">
        <v>207</v>
      </c>
      <c r="B275" s="44" t="s">
        <v>646</v>
      </c>
      <c r="C275" s="42" t="s">
        <v>647</v>
      </c>
      <c r="D275" s="42"/>
      <c r="E275" s="42" t="s">
        <v>1493</v>
      </c>
      <c r="F275" s="52">
        <v>200</v>
      </c>
      <c r="G275" s="42" t="s">
        <v>1492</v>
      </c>
    </row>
    <row r="276" spans="1:8" ht="30" x14ac:dyDescent="0.25">
      <c r="A276" s="64" t="s">
        <v>207</v>
      </c>
      <c r="B276" s="37" t="s">
        <v>648</v>
      </c>
      <c r="C276" s="33" t="s">
        <v>649</v>
      </c>
      <c r="D276" s="33"/>
      <c r="E276" s="33" t="s">
        <v>1493</v>
      </c>
      <c r="F276" s="52">
        <v>200</v>
      </c>
      <c r="G276" s="33" t="s">
        <v>1492</v>
      </c>
      <c r="H276" s="41"/>
    </row>
    <row r="277" spans="1:8" ht="30" x14ac:dyDescent="0.25">
      <c r="A277" s="64" t="s">
        <v>207</v>
      </c>
      <c r="B277" s="44" t="s">
        <v>650</v>
      </c>
      <c r="C277" s="42" t="s">
        <v>651</v>
      </c>
      <c r="D277" s="42"/>
      <c r="E277" s="42" t="s">
        <v>1493</v>
      </c>
      <c r="F277" s="52">
        <v>200</v>
      </c>
      <c r="G277" s="42" t="s">
        <v>1492</v>
      </c>
    </row>
    <row r="278" spans="1:8" ht="30" x14ac:dyDescent="0.25">
      <c r="A278" s="64" t="s">
        <v>207</v>
      </c>
      <c r="B278" s="37" t="s">
        <v>652</v>
      </c>
      <c r="C278" s="33" t="s">
        <v>653</v>
      </c>
      <c r="D278" s="33"/>
      <c r="E278" s="33" t="s">
        <v>1493</v>
      </c>
      <c r="F278" s="52">
        <v>200</v>
      </c>
      <c r="G278" s="33" t="s">
        <v>1492</v>
      </c>
      <c r="H278" s="41"/>
    </row>
    <row r="279" spans="1:8" ht="30" x14ac:dyDescent="0.25">
      <c r="A279" s="64" t="s">
        <v>207</v>
      </c>
      <c r="B279" s="44" t="s">
        <v>652</v>
      </c>
      <c r="C279" s="42" t="s">
        <v>654</v>
      </c>
      <c r="D279" s="42"/>
      <c r="E279" s="42" t="s">
        <v>1493</v>
      </c>
      <c r="F279" s="52">
        <v>200</v>
      </c>
      <c r="G279" s="42" t="s">
        <v>1492</v>
      </c>
    </row>
    <row r="280" spans="1:8" ht="30" x14ac:dyDescent="0.25">
      <c r="A280" s="64" t="s">
        <v>207</v>
      </c>
      <c r="B280" s="37" t="s">
        <v>629</v>
      </c>
      <c r="C280" s="33" t="s">
        <v>655</v>
      </c>
      <c r="D280" s="33"/>
      <c r="E280" s="33" t="s">
        <v>1493</v>
      </c>
      <c r="F280" s="52">
        <v>200</v>
      </c>
      <c r="G280" s="33" t="s">
        <v>1492</v>
      </c>
      <c r="H280" s="41"/>
    </row>
    <row r="281" spans="1:8" ht="30" x14ac:dyDescent="0.25">
      <c r="A281" s="64" t="s">
        <v>207</v>
      </c>
      <c r="B281" s="44" t="s">
        <v>656</v>
      </c>
      <c r="C281" s="42" t="s">
        <v>286</v>
      </c>
      <c r="D281" s="42"/>
      <c r="E281" s="42" t="s">
        <v>1493</v>
      </c>
      <c r="F281" s="52">
        <v>200</v>
      </c>
      <c r="G281" s="42" t="s">
        <v>1492</v>
      </c>
    </row>
    <row r="282" spans="1:8" ht="30" x14ac:dyDescent="0.25">
      <c r="A282" s="64" t="s">
        <v>207</v>
      </c>
      <c r="B282" s="37" t="s">
        <v>657</v>
      </c>
      <c r="C282" s="33" t="s">
        <v>658</v>
      </c>
      <c r="D282" s="33"/>
      <c r="E282" s="33" t="s">
        <v>1493</v>
      </c>
      <c r="F282" s="52">
        <v>200</v>
      </c>
      <c r="G282" s="33" t="s">
        <v>1492</v>
      </c>
      <c r="H282" s="41"/>
    </row>
    <row r="283" spans="1:8" ht="30" x14ac:dyDescent="0.25">
      <c r="A283" s="64" t="s">
        <v>207</v>
      </c>
      <c r="B283" s="44" t="s">
        <v>615</v>
      </c>
      <c r="C283" s="42"/>
      <c r="D283" s="42"/>
      <c r="E283" s="42" t="s">
        <v>1491</v>
      </c>
      <c r="F283" s="52">
        <v>200</v>
      </c>
      <c r="G283" s="42" t="s">
        <v>1492</v>
      </c>
    </row>
    <row r="284" spans="1:8" ht="30" x14ac:dyDescent="0.25">
      <c r="A284" s="64" t="s">
        <v>207</v>
      </c>
      <c r="B284" s="37" t="s">
        <v>617</v>
      </c>
      <c r="C284" s="33" t="s">
        <v>618</v>
      </c>
      <c r="D284" s="33"/>
      <c r="E284" s="33" t="s">
        <v>1493</v>
      </c>
      <c r="F284" s="52">
        <v>200</v>
      </c>
      <c r="G284" s="33" t="s">
        <v>1492</v>
      </c>
      <c r="H284" s="41"/>
    </row>
    <row r="285" spans="1:8" ht="30" x14ac:dyDescent="0.25">
      <c r="A285" s="64" t="s">
        <v>207</v>
      </c>
      <c r="B285" s="44" t="s">
        <v>619</v>
      </c>
      <c r="C285" s="42" t="s">
        <v>620</v>
      </c>
      <c r="D285" s="42"/>
      <c r="E285" s="42" t="s">
        <v>1493</v>
      </c>
      <c r="F285" s="52">
        <v>200</v>
      </c>
      <c r="G285" s="42" t="s">
        <v>1492</v>
      </c>
    </row>
    <row r="286" spans="1:8" ht="30" x14ac:dyDescent="0.25">
      <c r="A286" s="64" t="s">
        <v>207</v>
      </c>
      <c r="B286" s="37" t="s">
        <v>621</v>
      </c>
      <c r="C286" s="33" t="s">
        <v>622</v>
      </c>
      <c r="D286" s="33"/>
      <c r="E286" s="33" t="s">
        <v>1493</v>
      </c>
      <c r="F286" s="52">
        <v>200</v>
      </c>
      <c r="G286" s="33" t="s">
        <v>1492</v>
      </c>
      <c r="H286" s="41"/>
    </row>
    <row r="287" spans="1:8" ht="30" x14ac:dyDescent="0.25">
      <c r="A287" s="64" t="s">
        <v>207</v>
      </c>
      <c r="B287" s="44" t="s">
        <v>623</v>
      </c>
      <c r="C287" s="42" t="s">
        <v>624</v>
      </c>
      <c r="D287" s="42"/>
      <c r="E287" s="42" t="s">
        <v>1493</v>
      </c>
      <c r="F287" s="52">
        <v>200</v>
      </c>
      <c r="G287" s="42" t="s">
        <v>1492</v>
      </c>
    </row>
    <row r="288" spans="1:8" ht="30" x14ac:dyDescent="0.25">
      <c r="A288" s="64" t="s">
        <v>207</v>
      </c>
      <c r="B288" s="37" t="s">
        <v>625</v>
      </c>
      <c r="C288" s="33" t="s">
        <v>626</v>
      </c>
      <c r="D288" s="33"/>
      <c r="E288" s="33" t="s">
        <v>1493</v>
      </c>
      <c r="F288" s="52">
        <v>200</v>
      </c>
      <c r="G288" s="33" t="s">
        <v>1492</v>
      </c>
      <c r="H288" s="41"/>
    </row>
    <row r="289" spans="1:8" ht="30" x14ac:dyDescent="0.25">
      <c r="A289" s="64" t="s">
        <v>207</v>
      </c>
      <c r="B289" s="44" t="s">
        <v>627</v>
      </c>
      <c r="C289" s="42" t="s">
        <v>628</v>
      </c>
      <c r="D289" s="42"/>
      <c r="E289" s="42" t="s">
        <v>1493</v>
      </c>
      <c r="F289" s="52">
        <v>200</v>
      </c>
      <c r="G289" s="42" t="s">
        <v>1492</v>
      </c>
    </row>
    <row r="290" spans="1:8" ht="30" x14ac:dyDescent="0.25">
      <c r="A290" s="64" t="s">
        <v>207</v>
      </c>
      <c r="B290" s="37" t="s">
        <v>617</v>
      </c>
      <c r="C290" s="33" t="s">
        <v>618</v>
      </c>
      <c r="D290" s="33"/>
      <c r="E290" s="33" t="s">
        <v>1493</v>
      </c>
      <c r="F290" s="52">
        <v>200</v>
      </c>
      <c r="G290" s="33" t="s">
        <v>1492</v>
      </c>
      <c r="H290" s="41"/>
    </row>
    <row r="291" spans="1:8" ht="30" x14ac:dyDescent="0.25">
      <c r="A291" s="64" t="s">
        <v>207</v>
      </c>
      <c r="B291" s="44" t="s">
        <v>619</v>
      </c>
      <c r="C291" s="42" t="s">
        <v>620</v>
      </c>
      <c r="D291" s="42"/>
      <c r="E291" s="42" t="s">
        <v>1493</v>
      </c>
      <c r="F291" s="52">
        <v>200</v>
      </c>
      <c r="G291" s="42" t="s">
        <v>1492</v>
      </c>
    </row>
    <row r="292" spans="1:8" ht="30" x14ac:dyDescent="0.25">
      <c r="A292" s="64" t="s">
        <v>207</v>
      </c>
      <c r="B292" s="37" t="s">
        <v>621</v>
      </c>
      <c r="C292" s="33" t="s">
        <v>622</v>
      </c>
      <c r="D292" s="33"/>
      <c r="E292" s="33" t="s">
        <v>1493</v>
      </c>
      <c r="F292" s="52">
        <v>200</v>
      </c>
      <c r="G292" s="33" t="s">
        <v>1492</v>
      </c>
      <c r="H292" s="41"/>
    </row>
    <row r="293" spans="1:8" ht="30" x14ac:dyDescent="0.25">
      <c r="A293" s="64" t="s">
        <v>207</v>
      </c>
      <c r="B293" s="44" t="s">
        <v>623</v>
      </c>
      <c r="C293" s="42" t="s">
        <v>624</v>
      </c>
      <c r="D293" s="42"/>
      <c r="E293" s="42" t="s">
        <v>1493</v>
      </c>
      <c r="F293" s="52">
        <v>200</v>
      </c>
      <c r="G293" s="42" t="s">
        <v>1492</v>
      </c>
    </row>
    <row r="294" spans="1:8" ht="30" x14ac:dyDescent="0.25">
      <c r="A294" s="64" t="s">
        <v>207</v>
      </c>
      <c r="B294" s="37" t="s">
        <v>625</v>
      </c>
      <c r="C294" s="33" t="s">
        <v>626</v>
      </c>
      <c r="D294" s="33"/>
      <c r="E294" s="33" t="s">
        <v>1493</v>
      </c>
      <c r="F294" s="52">
        <v>200</v>
      </c>
      <c r="G294" s="33" t="s">
        <v>1492</v>
      </c>
      <c r="H294" s="41"/>
    </row>
    <row r="295" spans="1:8" ht="30" x14ac:dyDescent="0.25">
      <c r="A295" s="64" t="s">
        <v>207</v>
      </c>
      <c r="B295" s="44" t="s">
        <v>627</v>
      </c>
      <c r="C295" s="42" t="s">
        <v>628</v>
      </c>
      <c r="D295" s="42"/>
      <c r="E295" s="42" t="s">
        <v>1493</v>
      </c>
      <c r="F295" s="52">
        <v>200</v>
      </c>
      <c r="G295" s="42" t="s">
        <v>1492</v>
      </c>
    </row>
    <row r="296" spans="1:8" ht="45" x14ac:dyDescent="0.25">
      <c r="A296" s="64" t="s">
        <v>207</v>
      </c>
      <c r="B296" s="37" t="s">
        <v>696</v>
      </c>
      <c r="C296" s="33"/>
      <c r="D296" s="33"/>
      <c r="E296" s="33" t="s">
        <v>1493</v>
      </c>
      <c r="F296" s="52">
        <v>200</v>
      </c>
      <c r="G296" s="33" t="s">
        <v>1492</v>
      </c>
      <c r="H296" s="41"/>
    </row>
    <row r="297" spans="1:8" ht="45" x14ac:dyDescent="0.25">
      <c r="A297" s="64" t="s">
        <v>207</v>
      </c>
      <c r="B297" s="44" t="s">
        <v>696</v>
      </c>
      <c r="C297" s="42" t="s">
        <v>697</v>
      </c>
      <c r="D297" s="42"/>
      <c r="E297" s="42" t="s">
        <v>1493</v>
      </c>
      <c r="F297" s="52">
        <v>200</v>
      </c>
      <c r="G297" s="42" t="s">
        <v>1492</v>
      </c>
    </row>
    <row r="298" spans="1:8" ht="45" x14ac:dyDescent="0.25">
      <c r="A298" s="64" t="s">
        <v>207</v>
      </c>
      <c r="B298" s="37" t="s">
        <v>696</v>
      </c>
      <c r="C298" s="33" t="s">
        <v>678</v>
      </c>
      <c r="D298" s="33"/>
      <c r="E298" s="33" t="s">
        <v>1493</v>
      </c>
      <c r="F298" s="52">
        <v>200</v>
      </c>
      <c r="G298" s="33" t="s">
        <v>1492</v>
      </c>
      <c r="H298" s="41"/>
    </row>
    <row r="299" spans="1:8" ht="45" x14ac:dyDescent="0.25">
      <c r="A299" s="64" t="s">
        <v>207</v>
      </c>
      <c r="B299" s="44" t="s">
        <v>698</v>
      </c>
      <c r="C299" s="42"/>
      <c r="D299" s="42"/>
      <c r="E299" s="42" t="s">
        <v>1493</v>
      </c>
      <c r="F299" s="52">
        <v>200</v>
      </c>
      <c r="G299" s="42" t="s">
        <v>1492</v>
      </c>
    </row>
    <row r="300" spans="1:8" ht="45" x14ac:dyDescent="0.25">
      <c r="A300" s="64" t="s">
        <v>207</v>
      </c>
      <c r="B300" s="37" t="s">
        <v>698</v>
      </c>
      <c r="C300" s="33" t="s">
        <v>699</v>
      </c>
      <c r="D300" s="33"/>
      <c r="E300" s="33" t="s">
        <v>1493</v>
      </c>
      <c r="F300" s="52">
        <v>200</v>
      </c>
      <c r="G300" s="33" t="s">
        <v>1492</v>
      </c>
      <c r="H300" s="41"/>
    </row>
    <row r="301" spans="1:8" ht="45" x14ac:dyDescent="0.25">
      <c r="A301" s="64" t="s">
        <v>207</v>
      </c>
      <c r="B301" s="44" t="s">
        <v>698</v>
      </c>
      <c r="C301" s="42" t="s">
        <v>678</v>
      </c>
      <c r="D301" s="42"/>
      <c r="E301" s="42" t="s">
        <v>1493</v>
      </c>
      <c r="F301" s="52">
        <v>200</v>
      </c>
      <c r="G301" s="42" t="s">
        <v>1492</v>
      </c>
    </row>
    <row r="302" spans="1:8" ht="45" x14ac:dyDescent="0.25">
      <c r="A302" s="64" t="s">
        <v>207</v>
      </c>
      <c r="B302" s="37" t="s">
        <v>700</v>
      </c>
      <c r="C302" s="33"/>
      <c r="D302" s="33"/>
      <c r="E302" s="33" t="s">
        <v>1493</v>
      </c>
      <c r="F302" s="52">
        <v>200</v>
      </c>
      <c r="G302" s="33" t="s">
        <v>1492</v>
      </c>
      <c r="H302" s="41"/>
    </row>
    <row r="303" spans="1:8" ht="45" x14ac:dyDescent="0.25">
      <c r="A303" s="64" t="s">
        <v>207</v>
      </c>
      <c r="B303" s="44" t="s">
        <v>700</v>
      </c>
      <c r="C303" s="42" t="s">
        <v>701</v>
      </c>
      <c r="D303" s="42"/>
      <c r="E303" s="42" t="s">
        <v>1493</v>
      </c>
      <c r="F303" s="52">
        <v>200</v>
      </c>
      <c r="G303" s="42" t="s">
        <v>1492</v>
      </c>
    </row>
    <row r="304" spans="1:8" ht="45" x14ac:dyDescent="0.25">
      <c r="A304" s="64" t="s">
        <v>207</v>
      </c>
      <c r="B304" s="37" t="s">
        <v>700</v>
      </c>
      <c r="C304" s="33" t="s">
        <v>678</v>
      </c>
      <c r="D304" s="33"/>
      <c r="E304" s="33" t="s">
        <v>1493</v>
      </c>
      <c r="F304" s="52">
        <v>200</v>
      </c>
      <c r="G304" s="33" t="s">
        <v>1492</v>
      </c>
      <c r="H304" s="41"/>
    </row>
    <row r="305" spans="1:8" ht="45" x14ac:dyDescent="0.25">
      <c r="A305" s="64" t="s">
        <v>207</v>
      </c>
      <c r="B305" s="44" t="s">
        <v>702</v>
      </c>
      <c r="C305" s="42"/>
      <c r="D305" s="42"/>
      <c r="E305" s="42" t="s">
        <v>1493</v>
      </c>
      <c r="F305" s="52">
        <v>200</v>
      </c>
      <c r="G305" s="42" t="s">
        <v>1492</v>
      </c>
    </row>
    <row r="306" spans="1:8" ht="45" x14ac:dyDescent="0.25">
      <c r="A306" s="64" t="s">
        <v>207</v>
      </c>
      <c r="B306" s="37" t="s">
        <v>702</v>
      </c>
      <c r="C306" s="33" t="s">
        <v>703</v>
      </c>
      <c r="D306" s="33"/>
      <c r="E306" s="33" t="s">
        <v>1493</v>
      </c>
      <c r="F306" s="52">
        <v>200</v>
      </c>
      <c r="G306" s="33" t="s">
        <v>1492</v>
      </c>
      <c r="H306" s="41"/>
    </row>
    <row r="307" spans="1:8" ht="45" x14ac:dyDescent="0.25">
      <c r="A307" s="64" t="s">
        <v>207</v>
      </c>
      <c r="B307" s="44" t="s">
        <v>702</v>
      </c>
      <c r="C307" s="42" t="s">
        <v>678</v>
      </c>
      <c r="D307" s="42"/>
      <c r="E307" s="42" t="s">
        <v>1493</v>
      </c>
      <c r="F307" s="52">
        <v>200</v>
      </c>
      <c r="G307" s="42" t="s">
        <v>1492</v>
      </c>
    </row>
    <row r="308" spans="1:8" ht="45" x14ac:dyDescent="0.25">
      <c r="A308" s="64" t="s">
        <v>207</v>
      </c>
      <c r="B308" s="37" t="s">
        <v>704</v>
      </c>
      <c r="C308" s="33"/>
      <c r="D308" s="33"/>
      <c r="E308" s="33" t="s">
        <v>1493</v>
      </c>
      <c r="F308" s="52">
        <v>200</v>
      </c>
      <c r="G308" s="33" t="s">
        <v>1492</v>
      </c>
      <c r="H308" s="41"/>
    </row>
    <row r="309" spans="1:8" ht="45" x14ac:dyDescent="0.25">
      <c r="A309" s="64" t="s">
        <v>207</v>
      </c>
      <c r="B309" s="44" t="s">
        <v>704</v>
      </c>
      <c r="C309" s="42" t="s">
        <v>705</v>
      </c>
      <c r="D309" s="42"/>
      <c r="E309" s="42" t="s">
        <v>1493</v>
      </c>
      <c r="F309" s="52">
        <v>200</v>
      </c>
      <c r="G309" s="42" t="s">
        <v>1492</v>
      </c>
    </row>
    <row r="310" spans="1:8" ht="45" x14ac:dyDescent="0.25">
      <c r="A310" s="64" t="s">
        <v>207</v>
      </c>
      <c r="B310" s="37" t="s">
        <v>704</v>
      </c>
      <c r="C310" s="33" t="s">
        <v>678</v>
      </c>
      <c r="D310" s="33"/>
      <c r="E310" s="33" t="s">
        <v>1493</v>
      </c>
      <c r="F310" s="52">
        <v>200</v>
      </c>
      <c r="G310" s="33" t="s">
        <v>1492</v>
      </c>
      <c r="H310" s="41"/>
    </row>
    <row r="311" spans="1:8" ht="45" x14ac:dyDescent="0.25">
      <c r="A311" s="64" t="s">
        <v>207</v>
      </c>
      <c r="B311" s="44" t="s">
        <v>706</v>
      </c>
      <c r="C311" s="42"/>
      <c r="D311" s="42"/>
      <c r="E311" s="42" t="s">
        <v>1493</v>
      </c>
      <c r="F311" s="52">
        <v>200</v>
      </c>
      <c r="G311" s="42" t="s">
        <v>1492</v>
      </c>
    </row>
    <row r="312" spans="1:8" ht="45" x14ac:dyDescent="0.25">
      <c r="A312" s="64" t="s">
        <v>207</v>
      </c>
      <c r="B312" s="37" t="s">
        <v>706</v>
      </c>
      <c r="C312" s="33" t="s">
        <v>707</v>
      </c>
      <c r="D312" s="33"/>
      <c r="E312" s="33" t="s">
        <v>1493</v>
      </c>
      <c r="F312" s="52">
        <v>200</v>
      </c>
      <c r="G312" s="33" t="s">
        <v>1492</v>
      </c>
      <c r="H312" s="41"/>
    </row>
    <row r="313" spans="1:8" ht="45" x14ac:dyDescent="0.25">
      <c r="A313" s="64" t="s">
        <v>207</v>
      </c>
      <c r="B313" s="44" t="s">
        <v>706</v>
      </c>
      <c r="C313" s="42" t="s">
        <v>678</v>
      </c>
      <c r="D313" s="42"/>
      <c r="E313" s="42" t="s">
        <v>1493</v>
      </c>
      <c r="F313" s="52">
        <v>200</v>
      </c>
      <c r="G313" s="42" t="s">
        <v>1492</v>
      </c>
    </row>
    <row r="314" spans="1:8" ht="30" x14ac:dyDescent="0.25">
      <c r="A314" s="64" t="s">
        <v>207</v>
      </c>
      <c r="B314" s="37" t="s">
        <v>708</v>
      </c>
      <c r="C314" s="33"/>
      <c r="D314" s="33"/>
      <c r="E314" s="33" t="s">
        <v>1493</v>
      </c>
      <c r="F314" s="52">
        <v>200</v>
      </c>
      <c r="G314" s="33" t="s">
        <v>1492</v>
      </c>
      <c r="H314" s="41"/>
    </row>
    <row r="315" spans="1:8" ht="30" x14ac:dyDescent="0.25">
      <c r="A315" s="64" t="s">
        <v>207</v>
      </c>
      <c r="B315" s="44" t="s">
        <v>709</v>
      </c>
      <c r="C315" s="42"/>
      <c r="D315" s="42"/>
      <c r="E315" s="42" t="s">
        <v>1493</v>
      </c>
      <c r="F315" s="52">
        <v>200</v>
      </c>
      <c r="G315" s="42" t="s">
        <v>1492</v>
      </c>
    </row>
    <row r="316" spans="1:8" ht="30" x14ac:dyDescent="0.25">
      <c r="A316" s="64" t="s">
        <v>207</v>
      </c>
      <c r="B316" s="37" t="s">
        <v>710</v>
      </c>
      <c r="C316" s="33"/>
      <c r="D316" s="33"/>
      <c r="E316" s="33" t="s">
        <v>1493</v>
      </c>
      <c r="F316" s="52">
        <v>200</v>
      </c>
      <c r="G316" s="33" t="s">
        <v>1492</v>
      </c>
      <c r="H316" s="41"/>
    </row>
    <row r="317" spans="1:8" ht="30" x14ac:dyDescent="0.25">
      <c r="A317" s="64" t="s">
        <v>207</v>
      </c>
      <c r="B317" s="44" t="s">
        <v>711</v>
      </c>
      <c r="C317" s="42"/>
      <c r="D317" s="42"/>
      <c r="E317" s="42" t="s">
        <v>1493</v>
      </c>
      <c r="F317" s="52">
        <v>200</v>
      </c>
      <c r="G317" s="42" t="s">
        <v>1492</v>
      </c>
    </row>
    <row r="318" spans="1:8" ht="30" x14ac:dyDescent="0.25">
      <c r="A318" s="64" t="s">
        <v>207</v>
      </c>
      <c r="B318" s="37" t="s">
        <v>712</v>
      </c>
      <c r="C318" s="33"/>
      <c r="D318" s="33"/>
      <c r="E318" s="33" t="s">
        <v>1493</v>
      </c>
      <c r="F318" s="52">
        <v>200</v>
      </c>
      <c r="G318" s="33" t="s">
        <v>1492</v>
      </c>
      <c r="H318" s="41"/>
    </row>
    <row r="319" spans="1:8" ht="30" x14ac:dyDescent="0.25">
      <c r="A319" s="64" t="s">
        <v>207</v>
      </c>
      <c r="B319" s="44" t="s">
        <v>713</v>
      </c>
      <c r="C319" s="42"/>
      <c r="D319" s="42"/>
      <c r="E319" s="42" t="s">
        <v>1493</v>
      </c>
      <c r="F319" s="52">
        <v>200</v>
      </c>
      <c r="G319" s="42" t="s">
        <v>1492</v>
      </c>
    </row>
    <row r="320" spans="1:8" ht="30" x14ac:dyDescent="0.25">
      <c r="A320" s="64" t="s">
        <v>207</v>
      </c>
      <c r="B320" s="37" t="s">
        <v>714</v>
      </c>
      <c r="C320" s="33"/>
      <c r="D320" s="33"/>
      <c r="E320" s="33" t="s">
        <v>1493</v>
      </c>
      <c r="F320" s="52">
        <v>200</v>
      </c>
      <c r="G320" s="33" t="s">
        <v>1492</v>
      </c>
      <c r="H320" s="41"/>
    </row>
    <row r="321" spans="1:8" ht="30" x14ac:dyDescent="0.25">
      <c r="A321" s="64" t="s">
        <v>207</v>
      </c>
      <c r="B321" s="44" t="s">
        <v>715</v>
      </c>
      <c r="C321" s="42"/>
      <c r="D321" s="42"/>
      <c r="E321" s="42" t="s">
        <v>1493</v>
      </c>
      <c r="F321" s="52">
        <v>200</v>
      </c>
      <c r="G321" s="42" t="s">
        <v>1492</v>
      </c>
    </row>
    <row r="322" spans="1:8" ht="30" x14ac:dyDescent="0.25">
      <c r="A322" s="64" t="s">
        <v>207</v>
      </c>
      <c r="B322" s="37" t="s">
        <v>716</v>
      </c>
      <c r="C322" s="33"/>
      <c r="D322" s="33"/>
      <c r="E322" s="33" t="s">
        <v>1493</v>
      </c>
      <c r="F322" s="52">
        <v>200</v>
      </c>
      <c r="G322" s="33" t="s">
        <v>1492</v>
      </c>
      <c r="H322" s="41"/>
    </row>
    <row r="323" spans="1:8" ht="30" x14ac:dyDescent="0.25">
      <c r="A323" s="64" t="s">
        <v>207</v>
      </c>
      <c r="B323" s="44" t="s">
        <v>717</v>
      </c>
      <c r="C323" s="42"/>
      <c r="D323" s="42"/>
      <c r="E323" s="42" t="s">
        <v>1493</v>
      </c>
      <c r="F323" s="52">
        <v>200</v>
      </c>
      <c r="G323" s="42" t="s">
        <v>1492</v>
      </c>
    </row>
    <row r="324" spans="1:8" ht="30" x14ac:dyDescent="0.25">
      <c r="A324" s="64" t="s">
        <v>207</v>
      </c>
      <c r="B324" s="37" t="s">
        <v>718</v>
      </c>
      <c r="C324" s="33"/>
      <c r="D324" s="33"/>
      <c r="E324" s="33" t="s">
        <v>1493</v>
      </c>
      <c r="F324" s="52">
        <v>200</v>
      </c>
      <c r="G324" s="33" t="s">
        <v>1492</v>
      </c>
      <c r="H324" s="41"/>
    </row>
    <row r="325" spans="1:8" ht="30" x14ac:dyDescent="0.25">
      <c r="A325" s="64" t="s">
        <v>207</v>
      </c>
      <c r="B325" s="44" t="s">
        <v>719</v>
      </c>
      <c r="C325" s="42"/>
      <c r="D325" s="42"/>
      <c r="E325" s="42" t="s">
        <v>1493</v>
      </c>
      <c r="F325" s="52">
        <v>200</v>
      </c>
      <c r="G325" s="42" t="s">
        <v>1492</v>
      </c>
    </row>
    <row r="326" spans="1:8" ht="30" x14ac:dyDescent="0.25">
      <c r="A326" s="64" t="s">
        <v>207</v>
      </c>
      <c r="B326" s="37" t="s">
        <v>720</v>
      </c>
      <c r="C326" s="33"/>
      <c r="D326" s="33"/>
      <c r="E326" s="33" t="s">
        <v>1493</v>
      </c>
      <c r="F326" s="52">
        <v>200</v>
      </c>
      <c r="G326" s="33" t="s">
        <v>1492</v>
      </c>
      <c r="H326" s="41"/>
    </row>
    <row r="327" spans="1:8" ht="30" x14ac:dyDescent="0.25">
      <c r="A327" s="64" t="s">
        <v>207</v>
      </c>
      <c r="B327" s="44" t="s">
        <v>721</v>
      </c>
      <c r="C327" s="42"/>
      <c r="D327" s="42"/>
      <c r="E327" s="42" t="s">
        <v>1493</v>
      </c>
      <c r="F327" s="52">
        <v>200</v>
      </c>
      <c r="G327" s="42" t="s">
        <v>1492</v>
      </c>
    </row>
    <row r="328" spans="1:8" ht="30" x14ac:dyDescent="0.25">
      <c r="A328" s="64" t="s">
        <v>207</v>
      </c>
      <c r="B328" s="37" t="s">
        <v>722</v>
      </c>
      <c r="C328" s="33"/>
      <c r="D328" s="33"/>
      <c r="E328" s="33" t="s">
        <v>1493</v>
      </c>
      <c r="F328" s="52">
        <v>200</v>
      </c>
      <c r="G328" s="33" t="s">
        <v>1492</v>
      </c>
      <c r="H328" s="41"/>
    </row>
    <row r="329" spans="1:8" ht="30" x14ac:dyDescent="0.25">
      <c r="A329" s="64" t="s">
        <v>207</v>
      </c>
      <c r="B329" s="44" t="s">
        <v>723</v>
      </c>
      <c r="C329" s="42"/>
      <c r="D329" s="42"/>
      <c r="E329" s="42" t="s">
        <v>1493</v>
      </c>
      <c r="F329" s="52">
        <v>200</v>
      </c>
      <c r="G329" s="42" t="s">
        <v>1492</v>
      </c>
    </row>
    <row r="330" spans="1:8" ht="30" x14ac:dyDescent="0.25">
      <c r="A330" s="64" t="s">
        <v>207</v>
      </c>
      <c r="B330" s="37" t="s">
        <v>724</v>
      </c>
      <c r="C330" s="33"/>
      <c r="D330" s="33"/>
      <c r="E330" s="33" t="s">
        <v>1493</v>
      </c>
      <c r="F330" s="52">
        <v>200</v>
      </c>
      <c r="G330" s="33" t="s">
        <v>1492</v>
      </c>
      <c r="H330" s="41"/>
    </row>
    <row r="331" spans="1:8" ht="30" x14ac:dyDescent="0.25">
      <c r="A331" s="64" t="s">
        <v>207</v>
      </c>
      <c r="B331" s="44" t="s">
        <v>725</v>
      </c>
      <c r="C331" s="42"/>
      <c r="D331" s="42"/>
      <c r="E331" s="42" t="s">
        <v>1493</v>
      </c>
      <c r="F331" s="52">
        <v>200</v>
      </c>
      <c r="G331" s="42" t="s">
        <v>1492</v>
      </c>
    </row>
    <row r="332" spans="1:8" ht="30" x14ac:dyDescent="0.25">
      <c r="A332" s="64" t="s">
        <v>207</v>
      </c>
      <c r="B332" s="37" t="s">
        <v>726</v>
      </c>
      <c r="C332" s="33"/>
      <c r="D332" s="33"/>
      <c r="E332" s="33" t="s">
        <v>1493</v>
      </c>
      <c r="F332" s="52">
        <v>200</v>
      </c>
      <c r="G332" s="33" t="s">
        <v>1492</v>
      </c>
      <c r="H332" s="41"/>
    </row>
    <row r="333" spans="1:8" ht="30" x14ac:dyDescent="0.25">
      <c r="A333" s="64" t="s">
        <v>207</v>
      </c>
      <c r="B333" s="44" t="s">
        <v>727</v>
      </c>
      <c r="C333" s="42"/>
      <c r="D333" s="42"/>
      <c r="E333" s="42" t="s">
        <v>1493</v>
      </c>
      <c r="F333" s="52">
        <v>200</v>
      </c>
      <c r="G333" s="42" t="s">
        <v>1492</v>
      </c>
    </row>
    <row r="334" spans="1:8" ht="30" x14ac:dyDescent="0.25">
      <c r="A334" s="64" t="s">
        <v>207</v>
      </c>
      <c r="B334" s="37" t="s">
        <v>728</v>
      </c>
      <c r="C334" s="33"/>
      <c r="D334" s="33"/>
      <c r="E334" s="33" t="s">
        <v>1493</v>
      </c>
      <c r="F334" s="52">
        <v>200</v>
      </c>
      <c r="G334" s="33" t="s">
        <v>1492</v>
      </c>
      <c r="H334" s="41"/>
    </row>
    <row r="335" spans="1:8" ht="30" x14ac:dyDescent="0.25">
      <c r="A335" s="64" t="s">
        <v>207</v>
      </c>
      <c r="B335" s="44" t="s">
        <v>729</v>
      </c>
      <c r="C335" s="42"/>
      <c r="D335" s="42"/>
      <c r="E335" s="42" t="s">
        <v>1493</v>
      </c>
      <c r="F335" s="52">
        <v>200</v>
      </c>
      <c r="G335" s="42" t="s">
        <v>1492</v>
      </c>
    </row>
    <row r="336" spans="1:8" ht="30" x14ac:dyDescent="0.25">
      <c r="A336" s="64" t="s">
        <v>207</v>
      </c>
      <c r="B336" s="37" t="s">
        <v>730</v>
      </c>
      <c r="C336" s="33"/>
      <c r="D336" s="33"/>
      <c r="E336" s="33" t="s">
        <v>1493</v>
      </c>
      <c r="F336" s="52">
        <v>200</v>
      </c>
      <c r="G336" s="33" t="s">
        <v>1492</v>
      </c>
      <c r="H336" s="41"/>
    </row>
    <row r="337" spans="1:8" ht="30" x14ac:dyDescent="0.25">
      <c r="A337" s="64" t="s">
        <v>207</v>
      </c>
      <c r="B337" s="44" t="s">
        <v>731</v>
      </c>
      <c r="C337" s="42"/>
      <c r="D337" s="42"/>
      <c r="E337" s="42" t="s">
        <v>1493</v>
      </c>
      <c r="F337" s="52">
        <v>200</v>
      </c>
      <c r="G337" s="42" t="s">
        <v>1492</v>
      </c>
    </row>
    <row r="338" spans="1:8" ht="30" x14ac:dyDescent="0.25">
      <c r="A338" s="64" t="s">
        <v>207</v>
      </c>
      <c r="B338" s="37" t="s">
        <v>732</v>
      </c>
      <c r="C338" s="33"/>
      <c r="D338" s="33"/>
      <c r="E338" s="33" t="s">
        <v>1493</v>
      </c>
      <c r="F338" s="52">
        <v>200</v>
      </c>
      <c r="G338" s="33" t="s">
        <v>1492</v>
      </c>
      <c r="H338" s="41"/>
    </row>
    <row r="339" spans="1:8" ht="30" x14ac:dyDescent="0.25">
      <c r="A339" s="64" t="s">
        <v>207</v>
      </c>
      <c r="B339" s="44" t="s">
        <v>733</v>
      </c>
      <c r="C339" s="42"/>
      <c r="D339" s="42"/>
      <c r="E339" s="42" t="s">
        <v>1493</v>
      </c>
      <c r="F339" s="52">
        <v>200</v>
      </c>
      <c r="G339" s="42" t="s">
        <v>1492</v>
      </c>
    </row>
    <row r="340" spans="1:8" ht="30" x14ac:dyDescent="0.25">
      <c r="A340" s="64" t="s">
        <v>207</v>
      </c>
      <c r="B340" s="37" t="s">
        <v>734</v>
      </c>
      <c r="C340" s="33"/>
      <c r="D340" s="33"/>
      <c r="E340" s="33" t="s">
        <v>1493</v>
      </c>
      <c r="F340" s="52">
        <v>200</v>
      </c>
      <c r="G340" s="33" t="s">
        <v>1492</v>
      </c>
      <c r="H340" s="41"/>
    </row>
    <row r="341" spans="1:8" ht="30" x14ac:dyDescent="0.25">
      <c r="A341" s="64" t="s">
        <v>207</v>
      </c>
      <c r="B341" s="44" t="s">
        <v>735</v>
      </c>
      <c r="C341" s="42"/>
      <c r="D341" s="42"/>
      <c r="E341" s="42" t="s">
        <v>1493</v>
      </c>
      <c r="F341" s="52">
        <v>200</v>
      </c>
      <c r="G341" s="42" t="s">
        <v>1492</v>
      </c>
    </row>
    <row r="342" spans="1:8" ht="30" x14ac:dyDescent="0.25">
      <c r="A342" s="64" t="s">
        <v>207</v>
      </c>
      <c r="B342" s="37" t="s">
        <v>736</v>
      </c>
      <c r="C342" s="33"/>
      <c r="D342" s="33"/>
      <c r="E342" s="33" t="s">
        <v>1493</v>
      </c>
      <c r="F342" s="52">
        <v>200</v>
      </c>
      <c r="G342" s="33" t="s">
        <v>1492</v>
      </c>
      <c r="H342" s="41"/>
    </row>
    <row r="343" spans="1:8" ht="30" x14ac:dyDescent="0.25">
      <c r="A343" s="64" t="s">
        <v>207</v>
      </c>
      <c r="B343" s="44" t="s">
        <v>737</v>
      </c>
      <c r="C343" s="42"/>
      <c r="D343" s="42"/>
      <c r="E343" s="42" t="s">
        <v>1493</v>
      </c>
      <c r="F343" s="52">
        <v>200</v>
      </c>
      <c r="G343" s="42" t="s">
        <v>1492</v>
      </c>
    </row>
    <row r="344" spans="1:8" ht="30" x14ac:dyDescent="0.25">
      <c r="A344" s="64" t="s">
        <v>207</v>
      </c>
      <c r="B344" s="37" t="s">
        <v>738</v>
      </c>
      <c r="C344" s="33"/>
      <c r="D344" s="33"/>
      <c r="E344" s="33" t="s">
        <v>1493</v>
      </c>
      <c r="F344" s="52">
        <v>200</v>
      </c>
      <c r="G344" s="33" t="s">
        <v>1492</v>
      </c>
      <c r="H344" s="41"/>
    </row>
    <row r="345" spans="1:8" ht="30" x14ac:dyDescent="0.25">
      <c r="A345" s="64" t="s">
        <v>207</v>
      </c>
      <c r="B345" s="44" t="s">
        <v>739</v>
      </c>
      <c r="C345" s="42"/>
      <c r="D345" s="42"/>
      <c r="E345" s="42" t="s">
        <v>1493</v>
      </c>
      <c r="F345" s="52">
        <v>200</v>
      </c>
      <c r="G345" s="42" t="s">
        <v>1492</v>
      </c>
    </row>
    <row r="346" spans="1:8" ht="30" x14ac:dyDescent="0.25">
      <c r="A346" s="64" t="s">
        <v>207</v>
      </c>
      <c r="B346" s="37" t="s">
        <v>740</v>
      </c>
      <c r="C346" s="33"/>
      <c r="D346" s="33"/>
      <c r="E346" s="33" t="s">
        <v>1493</v>
      </c>
      <c r="F346" s="52">
        <v>200</v>
      </c>
      <c r="G346" s="33" t="s">
        <v>1492</v>
      </c>
      <c r="H346" s="41"/>
    </row>
    <row r="347" spans="1:8" ht="30" x14ac:dyDescent="0.25">
      <c r="A347" s="64" t="s">
        <v>207</v>
      </c>
      <c r="B347" s="44" t="s">
        <v>741</v>
      </c>
      <c r="C347" s="42"/>
      <c r="D347" s="42"/>
      <c r="E347" s="42" t="s">
        <v>1493</v>
      </c>
      <c r="F347" s="52">
        <v>200</v>
      </c>
      <c r="G347" s="42" t="s">
        <v>1492</v>
      </c>
    </row>
    <row r="348" spans="1:8" ht="30" x14ac:dyDescent="0.25">
      <c r="A348" s="64" t="s">
        <v>207</v>
      </c>
      <c r="B348" s="37" t="s">
        <v>742</v>
      </c>
      <c r="C348" s="33"/>
      <c r="D348" s="33"/>
      <c r="E348" s="33" t="s">
        <v>1493</v>
      </c>
      <c r="F348" s="52">
        <v>200</v>
      </c>
      <c r="G348" s="33" t="s">
        <v>1492</v>
      </c>
      <c r="H348" s="41"/>
    </row>
    <row r="349" spans="1:8" ht="30" x14ac:dyDescent="0.25">
      <c r="A349" s="64" t="s">
        <v>207</v>
      </c>
      <c r="B349" s="44" t="s">
        <v>743</v>
      </c>
      <c r="C349" s="42"/>
      <c r="D349" s="42"/>
      <c r="E349" s="42" t="s">
        <v>1493</v>
      </c>
      <c r="F349" s="52">
        <v>200</v>
      </c>
      <c r="G349" s="42" t="s">
        <v>1492</v>
      </c>
    </row>
    <row r="350" spans="1:8" ht="30" x14ac:dyDescent="0.25">
      <c r="A350" s="64" t="s">
        <v>207</v>
      </c>
      <c r="B350" s="37" t="s">
        <v>744</v>
      </c>
      <c r="C350" s="33"/>
      <c r="D350" s="33"/>
      <c r="E350" s="33" t="s">
        <v>1493</v>
      </c>
      <c r="F350" s="52">
        <v>200</v>
      </c>
      <c r="G350" s="33" t="s">
        <v>1492</v>
      </c>
      <c r="H350" s="41"/>
    </row>
    <row r="351" spans="1:8" ht="30" x14ac:dyDescent="0.25">
      <c r="A351" s="64" t="s">
        <v>207</v>
      </c>
      <c r="B351" s="44" t="s">
        <v>745</v>
      </c>
      <c r="C351" s="42"/>
      <c r="D351" s="42"/>
      <c r="E351" s="42" t="s">
        <v>1493</v>
      </c>
      <c r="F351" s="52">
        <v>200</v>
      </c>
      <c r="G351" s="42" t="s">
        <v>1492</v>
      </c>
    </row>
    <row r="352" spans="1:8" ht="30" x14ac:dyDescent="0.25">
      <c r="A352" s="64" t="s">
        <v>207</v>
      </c>
      <c r="B352" s="37" t="s">
        <v>629</v>
      </c>
      <c r="C352" s="33" t="s">
        <v>630</v>
      </c>
      <c r="D352" s="33"/>
      <c r="E352" s="33" t="s">
        <v>1493</v>
      </c>
      <c r="F352" s="52">
        <v>200</v>
      </c>
      <c r="G352" s="33" t="s">
        <v>1492</v>
      </c>
      <c r="H352" s="41"/>
    </row>
    <row r="353" spans="1:8" ht="30" x14ac:dyDescent="0.25">
      <c r="A353" s="64" t="s">
        <v>207</v>
      </c>
      <c r="B353" s="44" t="s">
        <v>631</v>
      </c>
      <c r="C353" s="42"/>
      <c r="D353" s="42"/>
      <c r="E353" s="42" t="s">
        <v>1491</v>
      </c>
      <c r="F353" s="52">
        <v>200</v>
      </c>
      <c r="G353" s="42" t="s">
        <v>1492</v>
      </c>
    </row>
    <row r="354" spans="1:8" ht="30" x14ac:dyDescent="0.25">
      <c r="A354" s="64" t="s">
        <v>207</v>
      </c>
      <c r="B354" s="37" t="s">
        <v>632</v>
      </c>
      <c r="C354" s="33"/>
      <c r="D354" s="33"/>
      <c r="E354" s="33" t="s">
        <v>1491</v>
      </c>
      <c r="F354" s="52">
        <v>200</v>
      </c>
      <c r="G354" s="33" t="s">
        <v>1492</v>
      </c>
      <c r="H354" s="41"/>
    </row>
    <row r="355" spans="1:8" ht="30" x14ac:dyDescent="0.25">
      <c r="A355" s="64" t="s">
        <v>207</v>
      </c>
      <c r="B355" s="44" t="s">
        <v>634</v>
      </c>
      <c r="C355" s="42" t="s">
        <v>666</v>
      </c>
      <c r="D355" s="42"/>
      <c r="E355" s="42" t="s">
        <v>1493</v>
      </c>
      <c r="F355" s="52">
        <v>200</v>
      </c>
      <c r="G355" s="42" t="s">
        <v>1492</v>
      </c>
    </row>
    <row r="356" spans="1:8" ht="30" x14ac:dyDescent="0.25">
      <c r="A356" s="37" t="s">
        <v>207</v>
      </c>
      <c r="B356" s="37" t="s">
        <v>636</v>
      </c>
      <c r="C356" s="33" t="s">
        <v>637</v>
      </c>
      <c r="D356" s="33"/>
      <c r="E356" s="33" t="s">
        <v>1493</v>
      </c>
      <c r="F356" s="34">
        <v>404</v>
      </c>
      <c r="G356" s="33" t="s">
        <v>1492</v>
      </c>
      <c r="H356" s="41"/>
    </row>
    <row r="357" spans="1:8" ht="30" x14ac:dyDescent="0.25">
      <c r="A357" s="44" t="s">
        <v>207</v>
      </c>
      <c r="B357" s="44" t="s">
        <v>636</v>
      </c>
      <c r="C357" s="42" t="s">
        <v>638</v>
      </c>
      <c r="D357" s="42"/>
      <c r="E357" s="42" t="s">
        <v>1493</v>
      </c>
      <c r="F357" s="34">
        <v>404</v>
      </c>
      <c r="G357" s="42" t="s">
        <v>1492</v>
      </c>
    </row>
    <row r="358" spans="1:8" ht="30" x14ac:dyDescent="0.25">
      <c r="A358" s="64" t="s">
        <v>209</v>
      </c>
      <c r="B358" s="37" t="s">
        <v>617</v>
      </c>
      <c r="C358" s="33" t="s">
        <v>618</v>
      </c>
      <c r="D358" s="33"/>
      <c r="E358" s="33" t="s">
        <v>1493</v>
      </c>
      <c r="F358" s="52">
        <v>200</v>
      </c>
      <c r="G358" s="33" t="s">
        <v>1492</v>
      </c>
      <c r="H358" s="41"/>
    </row>
    <row r="359" spans="1:8" ht="30" x14ac:dyDescent="0.25">
      <c r="A359" s="64" t="s">
        <v>209</v>
      </c>
      <c r="B359" s="44" t="s">
        <v>619</v>
      </c>
      <c r="C359" s="42" t="s">
        <v>620</v>
      </c>
      <c r="D359" s="42"/>
      <c r="E359" s="42" t="s">
        <v>1493</v>
      </c>
      <c r="F359" s="52">
        <v>200</v>
      </c>
      <c r="G359" s="42" t="s">
        <v>1492</v>
      </c>
    </row>
    <row r="360" spans="1:8" ht="30" x14ac:dyDescent="0.25">
      <c r="A360" s="64" t="s">
        <v>209</v>
      </c>
      <c r="B360" s="37" t="s">
        <v>621</v>
      </c>
      <c r="C360" s="33" t="s">
        <v>622</v>
      </c>
      <c r="D360" s="33"/>
      <c r="E360" s="33" t="s">
        <v>1493</v>
      </c>
      <c r="F360" s="52">
        <v>200</v>
      </c>
      <c r="G360" s="33" t="s">
        <v>1492</v>
      </c>
      <c r="H360" s="41"/>
    </row>
    <row r="361" spans="1:8" ht="30" x14ac:dyDescent="0.25">
      <c r="A361" s="64" t="s">
        <v>209</v>
      </c>
      <c r="B361" s="44" t="s">
        <v>623</v>
      </c>
      <c r="C361" s="42" t="s">
        <v>624</v>
      </c>
      <c r="D361" s="42"/>
      <c r="E361" s="42" t="s">
        <v>1493</v>
      </c>
      <c r="F361" s="52">
        <v>200</v>
      </c>
      <c r="G361" s="42" t="s">
        <v>1492</v>
      </c>
    </row>
    <row r="362" spans="1:8" ht="30" x14ac:dyDescent="0.25">
      <c r="A362" s="64" t="s">
        <v>209</v>
      </c>
      <c r="B362" s="37" t="s">
        <v>625</v>
      </c>
      <c r="C362" s="33" t="s">
        <v>626</v>
      </c>
      <c r="D362" s="33"/>
      <c r="E362" s="33" t="s">
        <v>1493</v>
      </c>
      <c r="F362" s="52">
        <v>200</v>
      </c>
      <c r="G362" s="33" t="s">
        <v>1492</v>
      </c>
      <c r="H362" s="41"/>
    </row>
    <row r="363" spans="1:8" ht="30" x14ac:dyDescent="0.25">
      <c r="A363" s="64" t="s">
        <v>209</v>
      </c>
      <c r="B363" s="44" t="s">
        <v>627</v>
      </c>
      <c r="C363" s="42" t="s">
        <v>628</v>
      </c>
      <c r="D363" s="42"/>
      <c r="E363" s="42" t="s">
        <v>1493</v>
      </c>
      <c r="F363" s="52">
        <v>200</v>
      </c>
      <c r="G363" s="42" t="s">
        <v>1492</v>
      </c>
    </row>
    <row r="364" spans="1:8" ht="30" x14ac:dyDescent="0.25">
      <c r="A364" s="64" t="s">
        <v>209</v>
      </c>
      <c r="B364" s="37" t="s">
        <v>617</v>
      </c>
      <c r="C364" s="33" t="s">
        <v>618</v>
      </c>
      <c r="D364" s="33"/>
      <c r="E364" s="33" t="s">
        <v>1493</v>
      </c>
      <c r="F364" s="52">
        <v>200</v>
      </c>
      <c r="G364" s="33" t="s">
        <v>1492</v>
      </c>
      <c r="H364" s="41"/>
    </row>
    <row r="365" spans="1:8" ht="30" x14ac:dyDescent="0.25">
      <c r="A365" s="64" t="s">
        <v>209</v>
      </c>
      <c r="B365" s="44" t="s">
        <v>619</v>
      </c>
      <c r="C365" s="42" t="s">
        <v>620</v>
      </c>
      <c r="D365" s="42"/>
      <c r="E365" s="42" t="s">
        <v>1493</v>
      </c>
      <c r="F365" s="52">
        <v>200</v>
      </c>
      <c r="G365" s="42" t="s">
        <v>1492</v>
      </c>
    </row>
    <row r="366" spans="1:8" ht="30" x14ac:dyDescent="0.25">
      <c r="A366" s="64" t="s">
        <v>209</v>
      </c>
      <c r="B366" s="37" t="s">
        <v>621</v>
      </c>
      <c r="C366" s="33" t="s">
        <v>622</v>
      </c>
      <c r="D366" s="33"/>
      <c r="E366" s="33" t="s">
        <v>1493</v>
      </c>
      <c r="F366" s="52">
        <v>200</v>
      </c>
      <c r="G366" s="33" t="s">
        <v>1492</v>
      </c>
      <c r="H366" s="41"/>
    </row>
    <row r="367" spans="1:8" ht="30" x14ac:dyDescent="0.25">
      <c r="A367" s="64" t="s">
        <v>209</v>
      </c>
      <c r="B367" s="44" t="s">
        <v>623</v>
      </c>
      <c r="C367" s="42" t="s">
        <v>624</v>
      </c>
      <c r="D367" s="42"/>
      <c r="E367" s="42" t="s">
        <v>1493</v>
      </c>
      <c r="F367" s="52">
        <v>200</v>
      </c>
      <c r="G367" s="42" t="s">
        <v>1492</v>
      </c>
    </row>
    <row r="368" spans="1:8" ht="30" x14ac:dyDescent="0.25">
      <c r="A368" s="64" t="s">
        <v>209</v>
      </c>
      <c r="B368" s="37" t="s">
        <v>625</v>
      </c>
      <c r="C368" s="33" t="s">
        <v>626</v>
      </c>
      <c r="D368" s="33"/>
      <c r="E368" s="33" t="s">
        <v>1493</v>
      </c>
      <c r="F368" s="52">
        <v>200</v>
      </c>
      <c r="G368" s="33" t="s">
        <v>1492</v>
      </c>
      <c r="H368" s="41"/>
    </row>
    <row r="369" spans="1:8" ht="30" x14ac:dyDescent="0.25">
      <c r="A369" s="64" t="s">
        <v>209</v>
      </c>
      <c r="B369" s="44" t="s">
        <v>627</v>
      </c>
      <c r="C369" s="42" t="s">
        <v>628</v>
      </c>
      <c r="D369" s="42"/>
      <c r="E369" s="42" t="s">
        <v>1493</v>
      </c>
      <c r="F369" s="52">
        <v>200</v>
      </c>
      <c r="G369" s="42" t="s">
        <v>1492</v>
      </c>
    </row>
    <row r="370" spans="1:8" ht="30" x14ac:dyDescent="0.25">
      <c r="A370" s="64" t="s">
        <v>209</v>
      </c>
      <c r="B370" s="37" t="s">
        <v>217</v>
      </c>
      <c r="C370" s="33" t="s">
        <v>746</v>
      </c>
      <c r="D370" s="33"/>
      <c r="E370" s="33" t="s">
        <v>1493</v>
      </c>
      <c r="F370" s="52">
        <v>200</v>
      </c>
      <c r="G370" s="33" t="s">
        <v>1492</v>
      </c>
      <c r="H370" s="41"/>
    </row>
    <row r="371" spans="1:8" ht="30" x14ac:dyDescent="0.25">
      <c r="A371" s="64" t="s">
        <v>209</v>
      </c>
      <c r="B371" s="44" t="s">
        <v>747</v>
      </c>
      <c r="C371" s="42"/>
      <c r="D371" s="42"/>
      <c r="E371" s="42" t="s">
        <v>1493</v>
      </c>
      <c r="F371" s="52">
        <v>200</v>
      </c>
      <c r="G371" s="42" t="s">
        <v>1492</v>
      </c>
    </row>
    <row r="372" spans="1:8" ht="30" x14ac:dyDescent="0.25">
      <c r="A372" s="64" t="s">
        <v>209</v>
      </c>
      <c r="B372" s="37" t="s">
        <v>748</v>
      </c>
      <c r="C372" s="33"/>
      <c r="D372" s="33"/>
      <c r="E372" s="33" t="s">
        <v>1493</v>
      </c>
      <c r="F372" s="52">
        <v>200</v>
      </c>
      <c r="G372" s="33" t="s">
        <v>1492</v>
      </c>
      <c r="H372" s="41"/>
    </row>
    <row r="373" spans="1:8" ht="30" x14ac:dyDescent="0.25">
      <c r="A373" s="64" t="s">
        <v>209</v>
      </c>
      <c r="B373" s="44" t="s">
        <v>749</v>
      </c>
      <c r="C373" s="42"/>
      <c r="D373" s="42"/>
      <c r="E373" s="42" t="s">
        <v>1493</v>
      </c>
      <c r="F373" s="52">
        <v>200</v>
      </c>
      <c r="G373" s="42" t="s">
        <v>1492</v>
      </c>
    </row>
    <row r="374" spans="1:8" ht="30" x14ac:dyDescent="0.25">
      <c r="A374" s="64" t="s">
        <v>209</v>
      </c>
      <c r="B374" s="37" t="s">
        <v>750</v>
      </c>
      <c r="C374" s="33"/>
      <c r="D374" s="33"/>
      <c r="E374" s="33" t="s">
        <v>1493</v>
      </c>
      <c r="F374" s="52">
        <v>200</v>
      </c>
      <c r="G374" s="33" t="s">
        <v>1492</v>
      </c>
      <c r="H374" s="41"/>
    </row>
    <row r="375" spans="1:8" ht="30" x14ac:dyDescent="0.25">
      <c r="A375" s="64" t="s">
        <v>209</v>
      </c>
      <c r="B375" s="44" t="s">
        <v>751</v>
      </c>
      <c r="C375" s="42"/>
      <c r="D375" s="42"/>
      <c r="E375" s="42" t="s">
        <v>1493</v>
      </c>
      <c r="F375" s="52">
        <v>200</v>
      </c>
      <c r="G375" s="42" t="s">
        <v>1492</v>
      </c>
    </row>
    <row r="376" spans="1:8" ht="30" x14ac:dyDescent="0.25">
      <c r="A376" s="64" t="s">
        <v>209</v>
      </c>
      <c r="B376" s="37" t="s">
        <v>752</v>
      </c>
      <c r="C376" s="33"/>
      <c r="D376" s="33"/>
      <c r="E376" s="33" t="s">
        <v>1493</v>
      </c>
      <c r="F376" s="52">
        <v>200</v>
      </c>
      <c r="G376" s="33" t="s">
        <v>1492</v>
      </c>
      <c r="H376" s="41"/>
    </row>
    <row r="377" spans="1:8" ht="30" x14ac:dyDescent="0.25">
      <c r="A377" s="64" t="s">
        <v>209</v>
      </c>
      <c r="B377" s="44" t="s">
        <v>753</v>
      </c>
      <c r="C377" s="42"/>
      <c r="D377" s="42"/>
      <c r="E377" s="42" t="s">
        <v>1493</v>
      </c>
      <c r="F377" s="52">
        <v>200</v>
      </c>
      <c r="G377" s="42" t="s">
        <v>1492</v>
      </c>
    </row>
    <row r="378" spans="1:8" ht="30" x14ac:dyDescent="0.25">
      <c r="A378" s="64" t="s">
        <v>209</v>
      </c>
      <c r="B378" s="37" t="s">
        <v>754</v>
      </c>
      <c r="C378" s="33"/>
      <c r="D378" s="33"/>
      <c r="E378" s="33" t="s">
        <v>1493</v>
      </c>
      <c r="F378" s="52">
        <v>200</v>
      </c>
      <c r="G378" s="33" t="s">
        <v>1492</v>
      </c>
      <c r="H378" s="41"/>
    </row>
    <row r="379" spans="1:8" ht="30" x14ac:dyDescent="0.25">
      <c r="A379" s="64" t="s">
        <v>209</v>
      </c>
      <c r="B379" s="44" t="s">
        <v>755</v>
      </c>
      <c r="C379" s="42"/>
      <c r="D379" s="42"/>
      <c r="E379" s="42" t="s">
        <v>1493</v>
      </c>
      <c r="F379" s="52">
        <v>200</v>
      </c>
      <c r="G379" s="42" t="s">
        <v>1492</v>
      </c>
    </row>
    <row r="380" spans="1:8" ht="30" x14ac:dyDescent="0.25">
      <c r="A380" s="64" t="s">
        <v>209</v>
      </c>
      <c r="B380" s="37" t="s">
        <v>756</v>
      </c>
      <c r="C380" s="33"/>
      <c r="D380" s="33"/>
      <c r="E380" s="33" t="s">
        <v>1493</v>
      </c>
      <c r="F380" s="52">
        <v>200</v>
      </c>
      <c r="G380" s="33" t="s">
        <v>1492</v>
      </c>
      <c r="H380" s="41"/>
    </row>
    <row r="381" spans="1:8" ht="30" x14ac:dyDescent="0.25">
      <c r="A381" s="64" t="s">
        <v>209</v>
      </c>
      <c r="B381" s="44" t="s">
        <v>757</v>
      </c>
      <c r="C381" s="42"/>
      <c r="D381" s="42"/>
      <c r="E381" s="42" t="s">
        <v>1493</v>
      </c>
      <c r="F381" s="52">
        <v>200</v>
      </c>
      <c r="G381" s="42" t="s">
        <v>1492</v>
      </c>
    </row>
    <row r="382" spans="1:8" ht="30" x14ac:dyDescent="0.25">
      <c r="A382" s="64" t="s">
        <v>209</v>
      </c>
      <c r="B382" s="37" t="s">
        <v>758</v>
      </c>
      <c r="C382" s="33"/>
      <c r="D382" s="33"/>
      <c r="E382" s="33" t="s">
        <v>1493</v>
      </c>
      <c r="F382" s="52">
        <v>200</v>
      </c>
      <c r="G382" s="33" t="s">
        <v>1492</v>
      </c>
      <c r="H382" s="41"/>
    </row>
    <row r="383" spans="1:8" ht="30" x14ac:dyDescent="0.25">
      <c r="A383" s="64" t="s">
        <v>209</v>
      </c>
      <c r="B383" s="44" t="s">
        <v>759</v>
      </c>
      <c r="C383" s="42"/>
      <c r="D383" s="42"/>
      <c r="E383" s="42" t="s">
        <v>1493</v>
      </c>
      <c r="F383" s="52">
        <v>200</v>
      </c>
      <c r="G383" s="42" t="s">
        <v>1492</v>
      </c>
    </row>
    <row r="384" spans="1:8" ht="30" x14ac:dyDescent="0.25">
      <c r="A384" s="64" t="s">
        <v>209</v>
      </c>
      <c r="B384" s="37" t="s">
        <v>760</v>
      </c>
      <c r="C384" s="33"/>
      <c r="D384" s="33"/>
      <c r="E384" s="33" t="s">
        <v>1493</v>
      </c>
      <c r="F384" s="52">
        <v>200</v>
      </c>
      <c r="G384" s="33" t="s">
        <v>1492</v>
      </c>
      <c r="H384" s="41"/>
    </row>
    <row r="385" spans="1:8" ht="30" x14ac:dyDescent="0.25">
      <c r="A385" s="64" t="s">
        <v>209</v>
      </c>
      <c r="B385" s="44" t="s">
        <v>761</v>
      </c>
      <c r="C385" s="42"/>
      <c r="D385" s="42"/>
      <c r="E385" s="42" t="s">
        <v>1493</v>
      </c>
      <c r="F385" s="52">
        <v>200</v>
      </c>
      <c r="G385" s="42" t="s">
        <v>1492</v>
      </c>
    </row>
    <row r="386" spans="1:8" ht="30" x14ac:dyDescent="0.25">
      <c r="A386" s="64" t="s">
        <v>209</v>
      </c>
      <c r="B386" s="37" t="s">
        <v>762</v>
      </c>
      <c r="C386" s="33"/>
      <c r="D386" s="33"/>
      <c r="E386" s="33" t="s">
        <v>1493</v>
      </c>
      <c r="F386" s="52">
        <v>200</v>
      </c>
      <c r="G386" s="33" t="s">
        <v>1492</v>
      </c>
      <c r="H386" s="41"/>
    </row>
    <row r="387" spans="1:8" ht="30" x14ac:dyDescent="0.25">
      <c r="A387" s="64" t="s">
        <v>209</v>
      </c>
      <c r="B387" s="44" t="s">
        <v>763</v>
      </c>
      <c r="C387" s="42"/>
      <c r="D387" s="42"/>
      <c r="E387" s="42" t="s">
        <v>1493</v>
      </c>
      <c r="F387" s="52">
        <v>200</v>
      </c>
      <c r="G387" s="42" t="s">
        <v>1492</v>
      </c>
    </row>
    <row r="388" spans="1:8" ht="30" x14ac:dyDescent="0.25">
      <c r="A388" s="64" t="s">
        <v>209</v>
      </c>
      <c r="B388" s="37" t="s">
        <v>764</v>
      </c>
      <c r="C388" s="33"/>
      <c r="D388" s="33"/>
      <c r="E388" s="33" t="s">
        <v>1493</v>
      </c>
      <c r="F388" s="52">
        <v>200</v>
      </c>
      <c r="G388" s="33" t="s">
        <v>1492</v>
      </c>
      <c r="H388" s="41"/>
    </row>
    <row r="389" spans="1:8" ht="30" x14ac:dyDescent="0.25">
      <c r="A389" s="64" t="s">
        <v>209</v>
      </c>
      <c r="B389" s="44" t="s">
        <v>765</v>
      </c>
      <c r="C389" s="42"/>
      <c r="D389" s="42"/>
      <c r="E389" s="42" t="s">
        <v>1493</v>
      </c>
      <c r="F389" s="52">
        <v>200</v>
      </c>
      <c r="G389" s="42" t="s">
        <v>1492</v>
      </c>
    </row>
    <row r="390" spans="1:8" ht="30" x14ac:dyDescent="0.25">
      <c r="A390" s="64" t="s">
        <v>209</v>
      </c>
      <c r="B390" s="37" t="s">
        <v>766</v>
      </c>
      <c r="C390" s="33"/>
      <c r="D390" s="33"/>
      <c r="E390" s="33" t="s">
        <v>1493</v>
      </c>
      <c r="F390" s="52">
        <v>200</v>
      </c>
      <c r="G390" s="33" t="s">
        <v>1492</v>
      </c>
      <c r="H390" s="41"/>
    </row>
    <row r="391" spans="1:8" ht="30" x14ac:dyDescent="0.25">
      <c r="A391" s="64" t="s">
        <v>209</v>
      </c>
      <c r="B391" s="44" t="s">
        <v>214</v>
      </c>
      <c r="C391" s="42" t="s">
        <v>767</v>
      </c>
      <c r="D391" s="42"/>
      <c r="E391" s="42" t="s">
        <v>1493</v>
      </c>
      <c r="F391" s="52">
        <v>200</v>
      </c>
      <c r="G391" s="42" t="s">
        <v>1492</v>
      </c>
    </row>
    <row r="392" spans="1:8" ht="30" x14ac:dyDescent="0.25">
      <c r="A392" s="64" t="s">
        <v>209</v>
      </c>
      <c r="B392" s="37" t="s">
        <v>219</v>
      </c>
      <c r="C392" s="33" t="s">
        <v>768</v>
      </c>
      <c r="D392" s="33"/>
      <c r="E392" s="33" t="s">
        <v>1493</v>
      </c>
      <c r="F392" s="52">
        <v>200</v>
      </c>
      <c r="G392" s="33" t="s">
        <v>1492</v>
      </c>
      <c r="H392" s="41"/>
    </row>
    <row r="393" spans="1:8" ht="30" x14ac:dyDescent="0.25">
      <c r="A393" s="64" t="s">
        <v>209</v>
      </c>
      <c r="B393" s="44" t="s">
        <v>769</v>
      </c>
      <c r="C393" s="42"/>
      <c r="D393" s="42"/>
      <c r="E393" s="42" t="s">
        <v>1491</v>
      </c>
      <c r="F393" s="52">
        <v>200</v>
      </c>
      <c r="G393" s="42" t="s">
        <v>1492</v>
      </c>
    </row>
    <row r="394" spans="1:8" ht="30" x14ac:dyDescent="0.25">
      <c r="A394" s="64" t="s">
        <v>209</v>
      </c>
      <c r="B394" s="37" t="s">
        <v>770</v>
      </c>
      <c r="C394" s="33"/>
      <c r="D394" s="33"/>
      <c r="E394" s="33" t="s">
        <v>1491</v>
      </c>
      <c r="F394" s="52">
        <v>200</v>
      </c>
      <c r="G394" s="33" t="s">
        <v>1492</v>
      </c>
      <c r="H394" s="41"/>
    </row>
    <row r="395" spans="1:8" ht="30" x14ac:dyDescent="0.25">
      <c r="A395" s="64" t="s">
        <v>209</v>
      </c>
      <c r="B395" s="44" t="s">
        <v>771</v>
      </c>
      <c r="C395" s="42"/>
      <c r="D395" s="42"/>
      <c r="E395" s="42" t="s">
        <v>1491</v>
      </c>
      <c r="F395" s="52">
        <v>200</v>
      </c>
      <c r="G395" s="42" t="s">
        <v>1492</v>
      </c>
    </row>
    <row r="396" spans="1:8" ht="30" x14ac:dyDescent="0.25">
      <c r="A396" s="64" t="s">
        <v>209</v>
      </c>
      <c r="B396" s="37" t="s">
        <v>772</v>
      </c>
      <c r="C396" s="33"/>
      <c r="D396" s="33"/>
      <c r="E396" s="33" t="s">
        <v>1491</v>
      </c>
      <c r="F396" s="52">
        <v>200</v>
      </c>
      <c r="G396" s="33" t="s">
        <v>1492</v>
      </c>
      <c r="H396" s="41"/>
    </row>
    <row r="397" spans="1:8" ht="30" x14ac:dyDescent="0.25">
      <c r="A397" s="64" t="s">
        <v>209</v>
      </c>
      <c r="B397" s="44" t="s">
        <v>773</v>
      </c>
      <c r="C397" s="42"/>
      <c r="D397" s="42"/>
      <c r="E397" s="42" t="s">
        <v>1491</v>
      </c>
      <c r="F397" s="52">
        <v>200</v>
      </c>
      <c r="G397" s="42" t="s">
        <v>1492</v>
      </c>
    </row>
    <row r="398" spans="1:8" ht="30" x14ac:dyDescent="0.25">
      <c r="A398" s="64" t="s">
        <v>209</v>
      </c>
      <c r="B398" s="37" t="s">
        <v>774</v>
      </c>
      <c r="C398" s="33"/>
      <c r="D398" s="33"/>
      <c r="E398" s="33" t="s">
        <v>1491</v>
      </c>
      <c r="F398" s="52">
        <v>200</v>
      </c>
      <c r="G398" s="33" t="s">
        <v>1492</v>
      </c>
      <c r="H398" s="41"/>
    </row>
    <row r="399" spans="1:8" ht="45" x14ac:dyDescent="0.25">
      <c r="A399" s="64" t="s">
        <v>209</v>
      </c>
      <c r="B399" s="44" t="s">
        <v>775</v>
      </c>
      <c r="C399" s="42"/>
      <c r="D399" s="42"/>
      <c r="E399" s="42" t="s">
        <v>1491</v>
      </c>
      <c r="F399" s="52">
        <v>200</v>
      </c>
      <c r="G399" s="42" t="s">
        <v>1492</v>
      </c>
    </row>
    <row r="400" spans="1:8" ht="30" x14ac:dyDescent="0.25">
      <c r="A400" s="64" t="s">
        <v>209</v>
      </c>
      <c r="B400" s="37" t="s">
        <v>776</v>
      </c>
      <c r="C400" s="33"/>
      <c r="D400" s="33"/>
      <c r="E400" s="33" t="s">
        <v>1491</v>
      </c>
      <c r="F400" s="52">
        <v>200</v>
      </c>
      <c r="G400" s="33" t="s">
        <v>1492</v>
      </c>
      <c r="H400" s="41"/>
    </row>
    <row r="401" spans="1:8" ht="30" x14ac:dyDescent="0.25">
      <c r="A401" s="44" t="s">
        <v>209</v>
      </c>
      <c r="B401" s="44" t="s">
        <v>777</v>
      </c>
      <c r="C401" s="42"/>
      <c r="D401" s="42"/>
      <c r="E401" s="42" t="s">
        <v>1491</v>
      </c>
      <c r="F401" s="34">
        <v>500</v>
      </c>
      <c r="G401" s="42" t="s">
        <v>1492</v>
      </c>
    </row>
    <row r="402" spans="1:8" ht="30" x14ac:dyDescent="0.25">
      <c r="A402" s="64" t="s">
        <v>209</v>
      </c>
      <c r="B402" s="37" t="s">
        <v>778</v>
      </c>
      <c r="C402" s="33"/>
      <c r="D402" s="33"/>
      <c r="E402" s="33" t="s">
        <v>1491</v>
      </c>
      <c r="F402" s="52">
        <v>200</v>
      </c>
      <c r="G402" s="33" t="s">
        <v>1492</v>
      </c>
      <c r="H402" s="41"/>
    </row>
    <row r="403" spans="1:8" ht="30" x14ac:dyDescent="0.25">
      <c r="A403" s="64" t="s">
        <v>209</v>
      </c>
      <c r="B403" s="44" t="s">
        <v>629</v>
      </c>
      <c r="C403" s="42" t="s">
        <v>630</v>
      </c>
      <c r="D403" s="42"/>
      <c r="E403" s="42" t="s">
        <v>1493</v>
      </c>
      <c r="F403" s="52">
        <v>200</v>
      </c>
      <c r="G403" s="42" t="s">
        <v>1492</v>
      </c>
    </row>
    <row r="404" spans="1:8" ht="30" x14ac:dyDescent="0.25">
      <c r="A404" s="64" t="s">
        <v>209</v>
      </c>
      <c r="B404" s="37" t="s">
        <v>631</v>
      </c>
      <c r="C404" s="33"/>
      <c r="D404" s="33"/>
      <c r="E404" s="33" t="s">
        <v>1491</v>
      </c>
      <c r="F404" s="52">
        <v>200</v>
      </c>
      <c r="G404" s="33" t="s">
        <v>1492</v>
      </c>
      <c r="H404" s="41"/>
    </row>
    <row r="405" spans="1:8" ht="30" x14ac:dyDescent="0.25">
      <c r="A405" s="64" t="s">
        <v>209</v>
      </c>
      <c r="B405" s="44" t="s">
        <v>632</v>
      </c>
      <c r="C405" s="42"/>
      <c r="D405" s="42"/>
      <c r="E405" s="42" t="s">
        <v>1491</v>
      </c>
      <c r="F405" s="52">
        <v>200</v>
      </c>
      <c r="G405" s="42" t="s">
        <v>1492</v>
      </c>
    </row>
    <row r="406" spans="1:8" ht="30" x14ac:dyDescent="0.25">
      <c r="A406" s="37" t="s">
        <v>209</v>
      </c>
      <c r="B406" s="37" t="s">
        <v>633</v>
      </c>
      <c r="C406" s="33"/>
      <c r="D406" s="33"/>
      <c r="E406" s="33" t="s">
        <v>1491</v>
      </c>
      <c r="F406" s="34">
        <v>403</v>
      </c>
      <c r="G406" s="33" t="s">
        <v>1492</v>
      </c>
      <c r="H406" s="41"/>
    </row>
    <row r="407" spans="1:8" ht="30" x14ac:dyDescent="0.25">
      <c r="A407" s="44" t="s">
        <v>209</v>
      </c>
      <c r="B407" s="44" t="s">
        <v>779</v>
      </c>
      <c r="C407" s="42"/>
      <c r="D407" s="42"/>
      <c r="E407" s="42" t="s">
        <v>1493</v>
      </c>
      <c r="F407" s="34">
        <v>404</v>
      </c>
      <c r="G407" s="42" t="s">
        <v>1492</v>
      </c>
    </row>
    <row r="408" spans="1:8" ht="30" x14ac:dyDescent="0.25">
      <c r="A408" s="37" t="s">
        <v>209</v>
      </c>
      <c r="B408" s="37" t="s">
        <v>779</v>
      </c>
      <c r="C408" s="33" t="s">
        <v>780</v>
      </c>
      <c r="D408" s="33"/>
      <c r="E408" s="33" t="s">
        <v>1493</v>
      </c>
      <c r="F408" s="34">
        <v>404</v>
      </c>
      <c r="G408" s="33" t="s">
        <v>1492</v>
      </c>
      <c r="H408" s="41"/>
    </row>
    <row r="409" spans="1:8" ht="30" x14ac:dyDescent="0.25">
      <c r="A409" s="64" t="s">
        <v>209</v>
      </c>
      <c r="B409" s="44" t="s">
        <v>634</v>
      </c>
      <c r="C409" s="42" t="s">
        <v>635</v>
      </c>
      <c r="D409" s="42"/>
      <c r="E409" s="42" t="s">
        <v>1493</v>
      </c>
      <c r="F409" s="52">
        <v>200</v>
      </c>
      <c r="G409" s="42" t="s">
        <v>1492</v>
      </c>
    </row>
    <row r="410" spans="1:8" ht="30" x14ac:dyDescent="0.25">
      <c r="A410" s="37" t="s">
        <v>209</v>
      </c>
      <c r="B410" s="37" t="s">
        <v>636</v>
      </c>
      <c r="C410" s="33" t="s">
        <v>637</v>
      </c>
      <c r="D410" s="33"/>
      <c r="E410" s="33" t="s">
        <v>1493</v>
      </c>
      <c r="F410" s="34">
        <v>404</v>
      </c>
      <c r="G410" s="33" t="s">
        <v>1492</v>
      </c>
      <c r="H410" s="41"/>
    </row>
    <row r="411" spans="1:8" ht="30" x14ac:dyDescent="0.25">
      <c r="A411" s="44" t="s">
        <v>209</v>
      </c>
      <c r="B411" s="44" t="s">
        <v>636</v>
      </c>
      <c r="C411" s="42" t="s">
        <v>638</v>
      </c>
      <c r="D411" s="42"/>
      <c r="E411" s="42" t="s">
        <v>1493</v>
      </c>
      <c r="F411" s="34">
        <v>404</v>
      </c>
      <c r="G411" s="42" t="s">
        <v>1492</v>
      </c>
    </row>
    <row r="412" spans="1:8" ht="30" x14ac:dyDescent="0.25">
      <c r="A412" s="64" t="s">
        <v>157</v>
      </c>
      <c r="B412" s="37" t="s">
        <v>176</v>
      </c>
      <c r="C412" s="33" t="s">
        <v>781</v>
      </c>
      <c r="D412" s="33"/>
      <c r="E412" s="33" t="s">
        <v>1493</v>
      </c>
      <c r="F412" s="52">
        <v>200</v>
      </c>
      <c r="G412" s="33" t="s">
        <v>1492</v>
      </c>
      <c r="H412" s="41"/>
    </row>
    <row r="413" spans="1:8" ht="30" x14ac:dyDescent="0.25">
      <c r="A413" s="64" t="s">
        <v>157</v>
      </c>
      <c r="B413" s="44" t="s">
        <v>209</v>
      </c>
      <c r="C413" s="42" t="s">
        <v>782</v>
      </c>
      <c r="D413" s="42"/>
      <c r="E413" s="42" t="s">
        <v>1493</v>
      </c>
      <c r="F413" s="52">
        <v>200</v>
      </c>
      <c r="G413" s="42" t="s">
        <v>1492</v>
      </c>
    </row>
    <row r="414" spans="1:8" ht="30" x14ac:dyDescent="0.25">
      <c r="A414" s="64" t="s">
        <v>157</v>
      </c>
      <c r="B414" s="37" t="s">
        <v>217</v>
      </c>
      <c r="C414" s="33" t="s">
        <v>321</v>
      </c>
      <c r="D414" s="33"/>
      <c r="E414" s="33" t="s">
        <v>1493</v>
      </c>
      <c r="F414" s="52">
        <v>200</v>
      </c>
      <c r="G414" s="33" t="s">
        <v>1492</v>
      </c>
      <c r="H414" s="41"/>
    </row>
    <row r="415" spans="1:8" ht="30" x14ac:dyDescent="0.25">
      <c r="A415" s="64" t="s">
        <v>157</v>
      </c>
      <c r="B415" s="44" t="s">
        <v>219</v>
      </c>
      <c r="C415" s="42" t="s">
        <v>327</v>
      </c>
      <c r="D415" s="42"/>
      <c r="E415" s="42" t="s">
        <v>1493</v>
      </c>
      <c r="F415" s="52">
        <v>200</v>
      </c>
      <c r="G415" s="42" t="s">
        <v>1492</v>
      </c>
    </row>
    <row r="416" spans="1:8" ht="30" x14ac:dyDescent="0.25">
      <c r="A416" s="64" t="s">
        <v>157</v>
      </c>
      <c r="B416" s="37" t="s">
        <v>210</v>
      </c>
      <c r="C416" s="33" t="s">
        <v>292</v>
      </c>
      <c r="D416" s="33"/>
      <c r="E416" s="33" t="s">
        <v>1493</v>
      </c>
      <c r="F416" s="52">
        <v>200</v>
      </c>
      <c r="G416" s="33" t="s">
        <v>1492</v>
      </c>
      <c r="H416" s="41"/>
    </row>
    <row r="417" spans="1:8" ht="30" x14ac:dyDescent="0.25">
      <c r="A417" s="64" t="s">
        <v>157</v>
      </c>
      <c r="B417" s="44" t="s">
        <v>215</v>
      </c>
      <c r="C417" s="42" t="s">
        <v>783</v>
      </c>
      <c r="D417" s="42"/>
      <c r="E417" s="42" t="s">
        <v>1493</v>
      </c>
      <c r="F417" s="52">
        <v>200</v>
      </c>
      <c r="G417" s="42" t="s">
        <v>1492</v>
      </c>
    </row>
    <row r="418" spans="1:8" ht="30" x14ac:dyDescent="0.25">
      <c r="A418" s="64" t="s">
        <v>157</v>
      </c>
      <c r="B418" s="37" t="s">
        <v>214</v>
      </c>
      <c r="C418" s="33" t="s">
        <v>784</v>
      </c>
      <c r="D418" s="33"/>
      <c r="E418" s="33" t="s">
        <v>1493</v>
      </c>
      <c r="F418" s="52">
        <v>200</v>
      </c>
      <c r="G418" s="33" t="s">
        <v>1492</v>
      </c>
      <c r="H418" s="41"/>
    </row>
    <row r="419" spans="1:8" ht="30" x14ac:dyDescent="0.25">
      <c r="A419" s="64" t="s">
        <v>157</v>
      </c>
      <c r="B419" s="44" t="s">
        <v>176</v>
      </c>
      <c r="C419" s="42" t="s">
        <v>781</v>
      </c>
      <c r="D419" s="42"/>
      <c r="E419" s="42" t="s">
        <v>1493</v>
      </c>
      <c r="F419" s="52">
        <v>200</v>
      </c>
      <c r="G419" s="42" t="s">
        <v>1492</v>
      </c>
    </row>
    <row r="420" spans="1:8" ht="30" x14ac:dyDescent="0.25">
      <c r="A420" s="64" t="s">
        <v>157</v>
      </c>
      <c r="B420" s="37" t="s">
        <v>209</v>
      </c>
      <c r="C420" s="33" t="s">
        <v>782</v>
      </c>
      <c r="D420" s="33"/>
      <c r="E420" s="33" t="s">
        <v>1493</v>
      </c>
      <c r="F420" s="52">
        <v>200</v>
      </c>
      <c r="G420" s="33" t="s">
        <v>1492</v>
      </c>
      <c r="H420" s="41"/>
    </row>
    <row r="421" spans="1:8" ht="30" x14ac:dyDescent="0.25">
      <c r="A421" s="64" t="s">
        <v>157</v>
      </c>
      <c r="B421" s="44" t="s">
        <v>217</v>
      </c>
      <c r="C421" s="42" t="s">
        <v>321</v>
      </c>
      <c r="D421" s="42"/>
      <c r="E421" s="42" t="s">
        <v>1493</v>
      </c>
      <c r="F421" s="52">
        <v>200</v>
      </c>
      <c r="G421" s="42" t="s">
        <v>1492</v>
      </c>
    </row>
    <row r="422" spans="1:8" ht="30" x14ac:dyDescent="0.25">
      <c r="A422" s="64" t="s">
        <v>157</v>
      </c>
      <c r="B422" s="37" t="s">
        <v>219</v>
      </c>
      <c r="C422" s="33" t="s">
        <v>327</v>
      </c>
      <c r="D422" s="33"/>
      <c r="E422" s="33" t="s">
        <v>1493</v>
      </c>
      <c r="F422" s="52">
        <v>200</v>
      </c>
      <c r="G422" s="33" t="s">
        <v>1492</v>
      </c>
      <c r="H422" s="41"/>
    </row>
    <row r="423" spans="1:8" ht="30" x14ac:dyDescent="0.25">
      <c r="A423" s="64" t="s">
        <v>157</v>
      </c>
      <c r="B423" s="44" t="s">
        <v>210</v>
      </c>
      <c r="C423" s="42" t="s">
        <v>292</v>
      </c>
      <c r="D423" s="42"/>
      <c r="E423" s="42" t="s">
        <v>1493</v>
      </c>
      <c r="F423" s="52">
        <v>200</v>
      </c>
      <c r="G423" s="42" t="s">
        <v>1492</v>
      </c>
    </row>
    <row r="424" spans="1:8" ht="30" x14ac:dyDescent="0.25">
      <c r="A424" s="64" t="s">
        <v>157</v>
      </c>
      <c r="B424" s="37" t="s">
        <v>215</v>
      </c>
      <c r="C424" s="33" t="s">
        <v>783</v>
      </c>
      <c r="D424" s="33"/>
      <c r="E424" s="33" t="s">
        <v>1493</v>
      </c>
      <c r="F424" s="52">
        <v>200</v>
      </c>
      <c r="G424" s="33" t="s">
        <v>1492</v>
      </c>
      <c r="H424" s="41"/>
    </row>
    <row r="425" spans="1:8" ht="30" x14ac:dyDescent="0.25">
      <c r="A425" s="64" t="s">
        <v>157</v>
      </c>
      <c r="B425" s="44" t="s">
        <v>214</v>
      </c>
      <c r="C425" s="42" t="s">
        <v>784</v>
      </c>
      <c r="D425" s="42"/>
      <c r="E425" s="42" t="s">
        <v>1493</v>
      </c>
      <c r="F425" s="52">
        <v>200</v>
      </c>
      <c r="G425" s="42" t="s">
        <v>1492</v>
      </c>
    </row>
    <row r="426" spans="1:8" ht="30" x14ac:dyDescent="0.25">
      <c r="A426" s="64" t="s">
        <v>157</v>
      </c>
      <c r="B426" s="37" t="s">
        <v>209</v>
      </c>
      <c r="C426" s="33" t="s">
        <v>785</v>
      </c>
      <c r="D426" s="33"/>
      <c r="E426" s="33" t="s">
        <v>1493</v>
      </c>
      <c r="F426" s="52">
        <v>200</v>
      </c>
      <c r="G426" s="33" t="s">
        <v>1492</v>
      </c>
      <c r="H426" s="41"/>
    </row>
    <row r="427" spans="1:8" ht="30" x14ac:dyDescent="0.25">
      <c r="A427" s="64" t="s">
        <v>157</v>
      </c>
      <c r="B427" s="44" t="s">
        <v>629</v>
      </c>
      <c r="C427" s="42" t="s">
        <v>630</v>
      </c>
      <c r="D427" s="42"/>
      <c r="E427" s="42" t="s">
        <v>1493</v>
      </c>
      <c r="F427" s="52">
        <v>200</v>
      </c>
      <c r="G427" s="42" t="s">
        <v>1492</v>
      </c>
    </row>
    <row r="428" spans="1:8" ht="30" x14ac:dyDescent="0.25">
      <c r="A428" s="64" t="s">
        <v>157</v>
      </c>
      <c r="B428" s="37" t="s">
        <v>631</v>
      </c>
      <c r="C428" s="33"/>
      <c r="D428" s="33"/>
      <c r="E428" s="33" t="s">
        <v>1491</v>
      </c>
      <c r="F428" s="52">
        <v>200</v>
      </c>
      <c r="G428" s="33" t="s">
        <v>1492</v>
      </c>
      <c r="H428" s="41"/>
    </row>
    <row r="429" spans="1:8" ht="30" x14ac:dyDescent="0.25">
      <c r="A429" s="64" t="s">
        <v>157</v>
      </c>
      <c r="B429" s="44" t="s">
        <v>632</v>
      </c>
      <c r="C429" s="42"/>
      <c r="D429" s="42"/>
      <c r="E429" s="42" t="s">
        <v>1491</v>
      </c>
      <c r="F429" s="52">
        <v>200</v>
      </c>
      <c r="G429" s="42" t="s">
        <v>1492</v>
      </c>
    </row>
    <row r="430" spans="1:8" ht="30" x14ac:dyDescent="0.25">
      <c r="A430" s="64" t="s">
        <v>157</v>
      </c>
      <c r="B430" s="37" t="s">
        <v>634</v>
      </c>
      <c r="C430" s="33" t="s">
        <v>666</v>
      </c>
      <c r="D430" s="33"/>
      <c r="E430" s="33" t="s">
        <v>1493</v>
      </c>
      <c r="F430" s="52">
        <v>200</v>
      </c>
      <c r="G430" s="33" t="s">
        <v>1492</v>
      </c>
      <c r="H430" s="41"/>
    </row>
    <row r="431" spans="1:8" ht="30" x14ac:dyDescent="0.25">
      <c r="A431" s="44" t="s">
        <v>157</v>
      </c>
      <c r="B431" s="44" t="s">
        <v>636</v>
      </c>
      <c r="C431" s="42" t="s">
        <v>637</v>
      </c>
      <c r="D431" s="42"/>
      <c r="E431" s="42" t="s">
        <v>1493</v>
      </c>
      <c r="F431" s="34">
        <v>404</v>
      </c>
      <c r="G431" s="42" t="s">
        <v>1492</v>
      </c>
    </row>
    <row r="432" spans="1:8" ht="30" x14ac:dyDescent="0.25">
      <c r="A432" s="37" t="s">
        <v>157</v>
      </c>
      <c r="B432" s="37" t="s">
        <v>636</v>
      </c>
      <c r="C432" s="33" t="s">
        <v>638</v>
      </c>
      <c r="D432" s="33"/>
      <c r="E432" s="33" t="s">
        <v>1493</v>
      </c>
      <c r="F432" s="34">
        <v>404</v>
      </c>
      <c r="G432" s="33" t="s">
        <v>1492</v>
      </c>
      <c r="H432" s="41"/>
    </row>
    <row r="433" spans="1:8" ht="30" x14ac:dyDescent="0.25">
      <c r="A433" s="64" t="s">
        <v>210</v>
      </c>
      <c r="B433" s="44" t="s">
        <v>176</v>
      </c>
      <c r="C433" s="42" t="s">
        <v>781</v>
      </c>
      <c r="D433" s="42"/>
      <c r="E433" s="42" t="s">
        <v>1493</v>
      </c>
      <c r="F433" s="52">
        <v>200</v>
      </c>
      <c r="G433" s="42" t="s">
        <v>1492</v>
      </c>
    </row>
    <row r="434" spans="1:8" ht="30" x14ac:dyDescent="0.25">
      <c r="A434" s="64" t="s">
        <v>210</v>
      </c>
      <c r="B434" s="37" t="s">
        <v>209</v>
      </c>
      <c r="C434" s="33" t="s">
        <v>782</v>
      </c>
      <c r="D434" s="33"/>
      <c r="E434" s="33" t="s">
        <v>1493</v>
      </c>
      <c r="F434" s="52">
        <v>200</v>
      </c>
      <c r="G434" s="33" t="s">
        <v>1492</v>
      </c>
      <c r="H434" s="41"/>
    </row>
    <row r="435" spans="1:8" ht="30" x14ac:dyDescent="0.25">
      <c r="A435" s="64" t="s">
        <v>210</v>
      </c>
      <c r="B435" s="44" t="s">
        <v>217</v>
      </c>
      <c r="C435" s="42" t="s">
        <v>321</v>
      </c>
      <c r="D435" s="42"/>
      <c r="E435" s="42" t="s">
        <v>1493</v>
      </c>
      <c r="F435" s="52">
        <v>200</v>
      </c>
      <c r="G435" s="42" t="s">
        <v>1492</v>
      </c>
    </row>
    <row r="436" spans="1:8" ht="30" x14ac:dyDescent="0.25">
      <c r="A436" s="64" t="s">
        <v>210</v>
      </c>
      <c r="B436" s="37" t="s">
        <v>219</v>
      </c>
      <c r="C436" s="33" t="s">
        <v>327</v>
      </c>
      <c r="D436" s="33"/>
      <c r="E436" s="33" t="s">
        <v>1493</v>
      </c>
      <c r="F436" s="52">
        <v>200</v>
      </c>
      <c r="G436" s="33" t="s">
        <v>1492</v>
      </c>
      <c r="H436" s="41"/>
    </row>
    <row r="437" spans="1:8" ht="30" x14ac:dyDescent="0.25">
      <c r="A437" s="64" t="s">
        <v>210</v>
      </c>
      <c r="B437" s="44" t="s">
        <v>210</v>
      </c>
      <c r="C437" s="42" t="s">
        <v>292</v>
      </c>
      <c r="D437" s="42"/>
      <c r="E437" s="42" t="s">
        <v>1493</v>
      </c>
      <c r="F437" s="52">
        <v>200</v>
      </c>
      <c r="G437" s="42" t="s">
        <v>1492</v>
      </c>
    </row>
    <row r="438" spans="1:8" ht="30" x14ac:dyDescent="0.25">
      <c r="A438" s="64" t="s">
        <v>210</v>
      </c>
      <c r="B438" s="37" t="s">
        <v>215</v>
      </c>
      <c r="C438" s="33" t="s">
        <v>783</v>
      </c>
      <c r="D438" s="33"/>
      <c r="E438" s="33" t="s">
        <v>1493</v>
      </c>
      <c r="F438" s="52">
        <v>200</v>
      </c>
      <c r="G438" s="33" t="s">
        <v>1492</v>
      </c>
      <c r="H438" s="41"/>
    </row>
    <row r="439" spans="1:8" ht="30" x14ac:dyDescent="0.25">
      <c r="A439" s="64" t="s">
        <v>210</v>
      </c>
      <c r="B439" s="44" t="s">
        <v>214</v>
      </c>
      <c r="C439" s="42" t="s">
        <v>784</v>
      </c>
      <c r="D439" s="42"/>
      <c r="E439" s="42" t="s">
        <v>1493</v>
      </c>
      <c r="F439" s="52">
        <v>200</v>
      </c>
      <c r="G439" s="42" t="s">
        <v>1492</v>
      </c>
    </row>
    <row r="440" spans="1:8" ht="30" x14ac:dyDescent="0.25">
      <c r="A440" s="64" t="s">
        <v>210</v>
      </c>
      <c r="B440" s="37" t="s">
        <v>176</v>
      </c>
      <c r="C440" s="33" t="s">
        <v>781</v>
      </c>
      <c r="D440" s="33"/>
      <c r="E440" s="33" t="s">
        <v>1493</v>
      </c>
      <c r="F440" s="52">
        <v>200</v>
      </c>
      <c r="G440" s="33" t="s">
        <v>1492</v>
      </c>
      <c r="H440" s="41"/>
    </row>
    <row r="441" spans="1:8" ht="30" x14ac:dyDescent="0.25">
      <c r="A441" s="64" t="s">
        <v>210</v>
      </c>
      <c r="B441" s="44" t="s">
        <v>209</v>
      </c>
      <c r="C441" s="42" t="s">
        <v>782</v>
      </c>
      <c r="D441" s="42"/>
      <c r="E441" s="42" t="s">
        <v>1493</v>
      </c>
      <c r="F441" s="52">
        <v>200</v>
      </c>
      <c r="G441" s="42" t="s">
        <v>1492</v>
      </c>
    </row>
    <row r="442" spans="1:8" ht="30" x14ac:dyDescent="0.25">
      <c r="A442" s="64" t="s">
        <v>210</v>
      </c>
      <c r="B442" s="37" t="s">
        <v>217</v>
      </c>
      <c r="C442" s="33" t="s">
        <v>321</v>
      </c>
      <c r="D442" s="33"/>
      <c r="E442" s="33" t="s">
        <v>1493</v>
      </c>
      <c r="F442" s="52">
        <v>200</v>
      </c>
      <c r="G442" s="33" t="s">
        <v>1492</v>
      </c>
      <c r="H442" s="41"/>
    </row>
    <row r="443" spans="1:8" ht="30" x14ac:dyDescent="0.25">
      <c r="A443" s="64" t="s">
        <v>210</v>
      </c>
      <c r="B443" s="44" t="s">
        <v>219</v>
      </c>
      <c r="C443" s="42" t="s">
        <v>327</v>
      </c>
      <c r="D443" s="42"/>
      <c r="E443" s="42" t="s">
        <v>1493</v>
      </c>
      <c r="F443" s="52">
        <v>200</v>
      </c>
      <c r="G443" s="42" t="s">
        <v>1492</v>
      </c>
    </row>
    <row r="444" spans="1:8" ht="30" x14ac:dyDescent="0.25">
      <c r="A444" s="64" t="s">
        <v>210</v>
      </c>
      <c r="B444" s="37" t="s">
        <v>210</v>
      </c>
      <c r="C444" s="33" t="s">
        <v>292</v>
      </c>
      <c r="D444" s="33"/>
      <c r="E444" s="33" t="s">
        <v>1493</v>
      </c>
      <c r="F444" s="52">
        <v>200</v>
      </c>
      <c r="G444" s="33" t="s">
        <v>1492</v>
      </c>
      <c r="H444" s="41"/>
    </row>
    <row r="445" spans="1:8" ht="30" x14ac:dyDescent="0.25">
      <c r="A445" s="64" t="s">
        <v>210</v>
      </c>
      <c r="B445" s="44" t="s">
        <v>215</v>
      </c>
      <c r="C445" s="42" t="s">
        <v>783</v>
      </c>
      <c r="D445" s="42"/>
      <c r="E445" s="42" t="s">
        <v>1493</v>
      </c>
      <c r="F445" s="52">
        <v>200</v>
      </c>
      <c r="G445" s="42" t="s">
        <v>1492</v>
      </c>
    </row>
    <row r="446" spans="1:8" ht="30" x14ac:dyDescent="0.25">
      <c r="A446" s="64" t="s">
        <v>210</v>
      </c>
      <c r="B446" s="37" t="s">
        <v>214</v>
      </c>
      <c r="C446" s="33" t="s">
        <v>784</v>
      </c>
      <c r="D446" s="33"/>
      <c r="E446" s="33" t="s">
        <v>1493</v>
      </c>
      <c r="F446" s="52">
        <v>200</v>
      </c>
      <c r="G446" s="33" t="s">
        <v>1492</v>
      </c>
      <c r="H446" s="41"/>
    </row>
    <row r="447" spans="1:8" ht="30" x14ac:dyDescent="0.25">
      <c r="A447" s="64" t="s">
        <v>210</v>
      </c>
      <c r="B447" s="44" t="s">
        <v>209</v>
      </c>
      <c r="C447" s="42" t="s">
        <v>785</v>
      </c>
      <c r="D447" s="42"/>
      <c r="E447" s="42" t="s">
        <v>1493</v>
      </c>
      <c r="F447" s="52">
        <v>200</v>
      </c>
      <c r="G447" s="42" t="s">
        <v>1492</v>
      </c>
    </row>
    <row r="448" spans="1:8" ht="30" x14ac:dyDescent="0.25">
      <c r="A448" s="64" t="s">
        <v>210</v>
      </c>
      <c r="B448" s="37" t="s">
        <v>629</v>
      </c>
      <c r="C448" s="33" t="s">
        <v>630</v>
      </c>
      <c r="D448" s="33"/>
      <c r="E448" s="33" t="s">
        <v>1493</v>
      </c>
      <c r="F448" s="52">
        <v>200</v>
      </c>
      <c r="G448" s="33" t="s">
        <v>1492</v>
      </c>
      <c r="H448" s="41"/>
    </row>
    <row r="449" spans="1:8" ht="30" x14ac:dyDescent="0.25">
      <c r="A449" s="64" t="s">
        <v>210</v>
      </c>
      <c r="B449" s="44" t="s">
        <v>631</v>
      </c>
      <c r="C449" s="42"/>
      <c r="D449" s="42"/>
      <c r="E449" s="42" t="s">
        <v>1491</v>
      </c>
      <c r="F449" s="52">
        <v>200</v>
      </c>
      <c r="G449" s="42" t="s">
        <v>1492</v>
      </c>
    </row>
    <row r="450" spans="1:8" ht="30" x14ac:dyDescent="0.25">
      <c r="A450" s="64" t="s">
        <v>210</v>
      </c>
      <c r="B450" s="37" t="s">
        <v>632</v>
      </c>
      <c r="C450" s="33"/>
      <c r="D450" s="33"/>
      <c r="E450" s="33" t="s">
        <v>1491</v>
      </c>
      <c r="F450" s="52">
        <v>200</v>
      </c>
      <c r="G450" s="33" t="s">
        <v>1492</v>
      </c>
      <c r="H450" s="41"/>
    </row>
    <row r="451" spans="1:8" ht="30" x14ac:dyDescent="0.25">
      <c r="A451" s="64" t="s">
        <v>210</v>
      </c>
      <c r="B451" s="44" t="s">
        <v>634</v>
      </c>
      <c r="C451" s="42" t="s">
        <v>666</v>
      </c>
      <c r="D451" s="42"/>
      <c r="E451" s="42" t="s">
        <v>1493</v>
      </c>
      <c r="F451" s="52">
        <v>200</v>
      </c>
      <c r="G451" s="42" t="s">
        <v>1492</v>
      </c>
    </row>
    <row r="452" spans="1:8" ht="30" x14ac:dyDescent="0.25">
      <c r="A452" s="37" t="s">
        <v>210</v>
      </c>
      <c r="B452" s="37" t="s">
        <v>636</v>
      </c>
      <c r="C452" s="33" t="s">
        <v>637</v>
      </c>
      <c r="D452" s="33"/>
      <c r="E452" s="33" t="s">
        <v>1493</v>
      </c>
      <c r="F452" s="34">
        <v>404</v>
      </c>
      <c r="G452" s="33" t="s">
        <v>1492</v>
      </c>
      <c r="H452" s="41"/>
    </row>
    <row r="453" spans="1:8" ht="30" x14ac:dyDescent="0.25">
      <c r="A453" s="44" t="s">
        <v>210</v>
      </c>
      <c r="B453" s="44" t="s">
        <v>636</v>
      </c>
      <c r="C453" s="42" t="s">
        <v>638</v>
      </c>
      <c r="D453" s="42"/>
      <c r="E453" s="42" t="s">
        <v>1493</v>
      </c>
      <c r="F453" s="34">
        <v>404</v>
      </c>
      <c r="G453" s="42" t="s">
        <v>1492</v>
      </c>
    </row>
    <row r="454" spans="1:8" ht="30" x14ac:dyDescent="0.25">
      <c r="A454" s="37" t="s">
        <v>211</v>
      </c>
      <c r="B454" s="37" t="s">
        <v>636</v>
      </c>
      <c r="C454" s="33" t="s">
        <v>637</v>
      </c>
      <c r="D454" s="33"/>
      <c r="E454" s="33" t="s">
        <v>1493</v>
      </c>
      <c r="F454" s="34">
        <v>404</v>
      </c>
      <c r="G454" s="33" t="s">
        <v>1492</v>
      </c>
      <c r="H454" s="41"/>
    </row>
    <row r="455" spans="1:8" ht="30" x14ac:dyDescent="0.25">
      <c r="A455" s="44" t="s">
        <v>211</v>
      </c>
      <c r="B455" s="44" t="s">
        <v>636</v>
      </c>
      <c r="C455" s="42" t="s">
        <v>638</v>
      </c>
      <c r="D455" s="42"/>
      <c r="E455" s="42" t="s">
        <v>1493</v>
      </c>
      <c r="F455" s="34">
        <v>404</v>
      </c>
      <c r="G455" s="42" t="s">
        <v>1492</v>
      </c>
    </row>
    <row r="456" spans="1:8" ht="30" x14ac:dyDescent="0.25">
      <c r="A456" s="64" t="s">
        <v>212</v>
      </c>
      <c r="B456" s="37" t="s">
        <v>176</v>
      </c>
      <c r="C456" s="33" t="s">
        <v>781</v>
      </c>
      <c r="D456" s="33"/>
      <c r="E456" s="33" t="s">
        <v>1493</v>
      </c>
      <c r="F456" s="52">
        <v>200</v>
      </c>
      <c r="G456" s="33" t="s">
        <v>1492</v>
      </c>
      <c r="H456" s="41"/>
    </row>
    <row r="457" spans="1:8" ht="30" x14ac:dyDescent="0.25">
      <c r="A457" s="64" t="s">
        <v>212</v>
      </c>
      <c r="B457" s="44" t="s">
        <v>209</v>
      </c>
      <c r="C457" s="42" t="s">
        <v>782</v>
      </c>
      <c r="D457" s="42"/>
      <c r="E457" s="42" t="s">
        <v>1493</v>
      </c>
      <c r="F457" s="52">
        <v>200</v>
      </c>
      <c r="G457" s="42" t="s">
        <v>1492</v>
      </c>
    </row>
    <row r="458" spans="1:8" ht="30" x14ac:dyDescent="0.25">
      <c r="A458" s="64" t="s">
        <v>212</v>
      </c>
      <c r="B458" s="37" t="s">
        <v>217</v>
      </c>
      <c r="C458" s="33" t="s">
        <v>321</v>
      </c>
      <c r="D458" s="33"/>
      <c r="E458" s="33" t="s">
        <v>1493</v>
      </c>
      <c r="F458" s="52">
        <v>200</v>
      </c>
      <c r="G458" s="33" t="s">
        <v>1492</v>
      </c>
      <c r="H458" s="41"/>
    </row>
    <row r="459" spans="1:8" ht="30" x14ac:dyDescent="0.25">
      <c r="A459" s="64" t="s">
        <v>212</v>
      </c>
      <c r="B459" s="44" t="s">
        <v>219</v>
      </c>
      <c r="C459" s="42" t="s">
        <v>327</v>
      </c>
      <c r="D459" s="42"/>
      <c r="E459" s="42" t="s">
        <v>1493</v>
      </c>
      <c r="F459" s="52">
        <v>200</v>
      </c>
      <c r="G459" s="42" t="s">
        <v>1492</v>
      </c>
    </row>
    <row r="460" spans="1:8" ht="30" x14ac:dyDescent="0.25">
      <c r="A460" s="64" t="s">
        <v>212</v>
      </c>
      <c r="B460" s="37" t="s">
        <v>210</v>
      </c>
      <c r="C460" s="33" t="s">
        <v>292</v>
      </c>
      <c r="D460" s="33"/>
      <c r="E460" s="33" t="s">
        <v>1493</v>
      </c>
      <c r="F460" s="52">
        <v>200</v>
      </c>
      <c r="G460" s="33" t="s">
        <v>1492</v>
      </c>
      <c r="H460" s="41"/>
    </row>
    <row r="461" spans="1:8" ht="30" x14ac:dyDescent="0.25">
      <c r="A461" s="64" t="s">
        <v>212</v>
      </c>
      <c r="B461" s="44" t="s">
        <v>215</v>
      </c>
      <c r="C461" s="42" t="s">
        <v>783</v>
      </c>
      <c r="D461" s="42"/>
      <c r="E461" s="42" t="s">
        <v>1493</v>
      </c>
      <c r="F461" s="52">
        <v>200</v>
      </c>
      <c r="G461" s="42" t="s">
        <v>1492</v>
      </c>
    </row>
    <row r="462" spans="1:8" ht="30" x14ac:dyDescent="0.25">
      <c r="A462" s="64" t="s">
        <v>212</v>
      </c>
      <c r="B462" s="37" t="s">
        <v>214</v>
      </c>
      <c r="C462" s="33" t="s">
        <v>784</v>
      </c>
      <c r="D462" s="33"/>
      <c r="E462" s="33" t="s">
        <v>1493</v>
      </c>
      <c r="F462" s="52">
        <v>200</v>
      </c>
      <c r="G462" s="33" t="s">
        <v>1492</v>
      </c>
      <c r="H462" s="41"/>
    </row>
    <row r="463" spans="1:8" ht="30" x14ac:dyDescent="0.25">
      <c r="A463" s="64" t="s">
        <v>212</v>
      </c>
      <c r="B463" s="44" t="s">
        <v>176</v>
      </c>
      <c r="C463" s="42" t="s">
        <v>781</v>
      </c>
      <c r="D463" s="42"/>
      <c r="E463" s="42" t="s">
        <v>1493</v>
      </c>
      <c r="F463" s="52">
        <v>200</v>
      </c>
      <c r="G463" s="42" t="s">
        <v>1492</v>
      </c>
    </row>
    <row r="464" spans="1:8" ht="30" x14ac:dyDescent="0.25">
      <c r="A464" s="64" t="s">
        <v>212</v>
      </c>
      <c r="B464" s="37" t="s">
        <v>209</v>
      </c>
      <c r="C464" s="33" t="s">
        <v>782</v>
      </c>
      <c r="D464" s="33"/>
      <c r="E464" s="33" t="s">
        <v>1493</v>
      </c>
      <c r="F464" s="52">
        <v>200</v>
      </c>
      <c r="G464" s="33" t="s">
        <v>1492</v>
      </c>
      <c r="H464" s="41"/>
    </row>
    <row r="465" spans="1:8" ht="30" x14ac:dyDescent="0.25">
      <c r="A465" s="64" t="s">
        <v>212</v>
      </c>
      <c r="B465" s="44" t="s">
        <v>217</v>
      </c>
      <c r="C465" s="42" t="s">
        <v>321</v>
      </c>
      <c r="D465" s="42"/>
      <c r="E465" s="42" t="s">
        <v>1493</v>
      </c>
      <c r="F465" s="52">
        <v>200</v>
      </c>
      <c r="G465" s="42" t="s">
        <v>1492</v>
      </c>
    </row>
    <row r="466" spans="1:8" ht="30" x14ac:dyDescent="0.25">
      <c r="A466" s="64" t="s">
        <v>212</v>
      </c>
      <c r="B466" s="37" t="s">
        <v>219</v>
      </c>
      <c r="C466" s="33" t="s">
        <v>327</v>
      </c>
      <c r="D466" s="33"/>
      <c r="E466" s="33" t="s">
        <v>1493</v>
      </c>
      <c r="F466" s="52">
        <v>200</v>
      </c>
      <c r="G466" s="33" t="s">
        <v>1492</v>
      </c>
      <c r="H466" s="41"/>
    </row>
    <row r="467" spans="1:8" ht="30" x14ac:dyDescent="0.25">
      <c r="A467" s="64" t="s">
        <v>212</v>
      </c>
      <c r="B467" s="44" t="s">
        <v>210</v>
      </c>
      <c r="C467" s="42" t="s">
        <v>292</v>
      </c>
      <c r="D467" s="42"/>
      <c r="E467" s="42" t="s">
        <v>1493</v>
      </c>
      <c r="F467" s="52">
        <v>200</v>
      </c>
      <c r="G467" s="42" t="s">
        <v>1492</v>
      </c>
    </row>
    <row r="468" spans="1:8" ht="30" x14ac:dyDescent="0.25">
      <c r="A468" s="64" t="s">
        <v>212</v>
      </c>
      <c r="B468" s="37" t="s">
        <v>215</v>
      </c>
      <c r="C468" s="33" t="s">
        <v>783</v>
      </c>
      <c r="D468" s="33"/>
      <c r="E468" s="33" t="s">
        <v>1493</v>
      </c>
      <c r="F468" s="52">
        <v>200</v>
      </c>
      <c r="G468" s="33" t="s">
        <v>1492</v>
      </c>
      <c r="H468" s="41"/>
    </row>
    <row r="469" spans="1:8" ht="30" x14ac:dyDescent="0.25">
      <c r="A469" s="64" t="s">
        <v>212</v>
      </c>
      <c r="B469" s="44" t="s">
        <v>214</v>
      </c>
      <c r="C469" s="42" t="s">
        <v>784</v>
      </c>
      <c r="D469" s="42"/>
      <c r="E469" s="42" t="s">
        <v>1493</v>
      </c>
      <c r="F469" s="52">
        <v>200</v>
      </c>
      <c r="G469" s="42" t="s">
        <v>1492</v>
      </c>
    </row>
    <row r="470" spans="1:8" ht="30" x14ac:dyDescent="0.25">
      <c r="A470" s="64" t="s">
        <v>212</v>
      </c>
      <c r="B470" s="37" t="s">
        <v>209</v>
      </c>
      <c r="C470" s="33" t="s">
        <v>785</v>
      </c>
      <c r="D470" s="33"/>
      <c r="E470" s="33" t="s">
        <v>1493</v>
      </c>
      <c r="F470" s="52">
        <v>200</v>
      </c>
      <c r="G470" s="33" t="s">
        <v>1492</v>
      </c>
      <c r="H470" s="41"/>
    </row>
    <row r="471" spans="1:8" ht="30" x14ac:dyDescent="0.25">
      <c r="A471" s="64" t="s">
        <v>212</v>
      </c>
      <c r="B471" s="44" t="s">
        <v>629</v>
      </c>
      <c r="C471" s="42" t="s">
        <v>630</v>
      </c>
      <c r="D471" s="42"/>
      <c r="E471" s="42" t="s">
        <v>1493</v>
      </c>
      <c r="F471" s="52">
        <v>200</v>
      </c>
      <c r="G471" s="42" t="s">
        <v>1492</v>
      </c>
    </row>
    <row r="472" spans="1:8" ht="30" x14ac:dyDescent="0.25">
      <c r="A472" s="64" t="s">
        <v>212</v>
      </c>
      <c r="B472" s="37" t="s">
        <v>631</v>
      </c>
      <c r="C472" s="33"/>
      <c r="D472" s="33"/>
      <c r="E472" s="33" t="s">
        <v>1491</v>
      </c>
      <c r="F472" s="52">
        <v>200</v>
      </c>
      <c r="G472" s="33" t="s">
        <v>1492</v>
      </c>
      <c r="H472" s="41"/>
    </row>
    <row r="473" spans="1:8" ht="30" x14ac:dyDescent="0.25">
      <c r="A473" s="64" t="s">
        <v>212</v>
      </c>
      <c r="B473" s="44" t="s">
        <v>632</v>
      </c>
      <c r="C473" s="42"/>
      <c r="D473" s="42"/>
      <c r="E473" s="42" t="s">
        <v>1491</v>
      </c>
      <c r="F473" s="52">
        <v>200</v>
      </c>
      <c r="G473" s="42" t="s">
        <v>1492</v>
      </c>
    </row>
    <row r="474" spans="1:8" ht="30" x14ac:dyDescent="0.25">
      <c r="A474" s="64" t="s">
        <v>212</v>
      </c>
      <c r="B474" s="37" t="s">
        <v>634</v>
      </c>
      <c r="C474" s="33" t="s">
        <v>666</v>
      </c>
      <c r="D474" s="33"/>
      <c r="E474" s="33" t="s">
        <v>1493</v>
      </c>
      <c r="F474" s="52">
        <v>200</v>
      </c>
      <c r="G474" s="33" t="s">
        <v>1492</v>
      </c>
      <c r="H474" s="41"/>
    </row>
    <row r="475" spans="1:8" ht="30" x14ac:dyDescent="0.25">
      <c r="A475" s="44" t="s">
        <v>212</v>
      </c>
      <c r="B475" s="44" t="s">
        <v>636</v>
      </c>
      <c r="C475" s="42" t="s">
        <v>637</v>
      </c>
      <c r="D475" s="42"/>
      <c r="E475" s="42" t="s">
        <v>1493</v>
      </c>
      <c r="F475" s="34">
        <v>404</v>
      </c>
      <c r="G475" s="42" t="s">
        <v>1492</v>
      </c>
    </row>
    <row r="476" spans="1:8" ht="30" x14ac:dyDescent="0.25">
      <c r="A476" s="37" t="s">
        <v>212</v>
      </c>
      <c r="B476" s="37" t="s">
        <v>636</v>
      </c>
      <c r="C476" s="33" t="s">
        <v>638</v>
      </c>
      <c r="D476" s="33"/>
      <c r="E476" s="33" t="s">
        <v>1493</v>
      </c>
      <c r="F476" s="34">
        <v>404</v>
      </c>
      <c r="G476" s="33" t="s">
        <v>1492</v>
      </c>
      <c r="H476" s="41"/>
    </row>
    <row r="477" spans="1:8" ht="30" x14ac:dyDescent="0.25">
      <c r="A477" s="64" t="s">
        <v>213</v>
      </c>
      <c r="B477" s="44" t="s">
        <v>176</v>
      </c>
      <c r="C477" s="42" t="s">
        <v>781</v>
      </c>
      <c r="D477" s="42"/>
      <c r="E477" s="42" t="s">
        <v>1493</v>
      </c>
      <c r="F477" s="52">
        <v>200</v>
      </c>
      <c r="G477" s="42" t="s">
        <v>1492</v>
      </c>
    </row>
    <row r="478" spans="1:8" ht="30" x14ac:dyDescent="0.25">
      <c r="A478" s="64" t="s">
        <v>213</v>
      </c>
      <c r="B478" s="37" t="s">
        <v>209</v>
      </c>
      <c r="C478" s="33" t="s">
        <v>782</v>
      </c>
      <c r="D478" s="33"/>
      <c r="E478" s="33" t="s">
        <v>1493</v>
      </c>
      <c r="F478" s="52">
        <v>200</v>
      </c>
      <c r="G478" s="33" t="s">
        <v>1492</v>
      </c>
      <c r="H478" s="41"/>
    </row>
    <row r="479" spans="1:8" ht="30" x14ac:dyDescent="0.25">
      <c r="A479" s="64" t="s">
        <v>213</v>
      </c>
      <c r="B479" s="44" t="s">
        <v>217</v>
      </c>
      <c r="C479" s="42" t="s">
        <v>321</v>
      </c>
      <c r="D479" s="42"/>
      <c r="E479" s="42" t="s">
        <v>1493</v>
      </c>
      <c r="F479" s="52">
        <v>200</v>
      </c>
      <c r="G479" s="42" t="s">
        <v>1492</v>
      </c>
    </row>
    <row r="480" spans="1:8" ht="30" x14ac:dyDescent="0.25">
      <c r="A480" s="64" t="s">
        <v>213</v>
      </c>
      <c r="B480" s="37" t="s">
        <v>219</v>
      </c>
      <c r="C480" s="33" t="s">
        <v>327</v>
      </c>
      <c r="D480" s="33"/>
      <c r="E480" s="33" t="s">
        <v>1493</v>
      </c>
      <c r="F480" s="52">
        <v>200</v>
      </c>
      <c r="G480" s="33" t="s">
        <v>1492</v>
      </c>
      <c r="H480" s="41"/>
    </row>
    <row r="481" spans="1:8" ht="30" x14ac:dyDescent="0.25">
      <c r="A481" s="64" t="s">
        <v>213</v>
      </c>
      <c r="B481" s="44" t="s">
        <v>210</v>
      </c>
      <c r="C481" s="42" t="s">
        <v>292</v>
      </c>
      <c r="D481" s="42"/>
      <c r="E481" s="42" t="s">
        <v>1493</v>
      </c>
      <c r="F481" s="52">
        <v>200</v>
      </c>
      <c r="G481" s="42" t="s">
        <v>1492</v>
      </c>
    </row>
    <row r="482" spans="1:8" ht="30" x14ac:dyDescent="0.25">
      <c r="A482" s="64" t="s">
        <v>213</v>
      </c>
      <c r="B482" s="37" t="s">
        <v>215</v>
      </c>
      <c r="C482" s="33" t="s">
        <v>783</v>
      </c>
      <c r="D482" s="33"/>
      <c r="E482" s="33" t="s">
        <v>1493</v>
      </c>
      <c r="F482" s="52">
        <v>200</v>
      </c>
      <c r="G482" s="33" t="s">
        <v>1492</v>
      </c>
      <c r="H482" s="41"/>
    </row>
    <row r="483" spans="1:8" ht="30" x14ac:dyDescent="0.25">
      <c r="A483" s="64" t="s">
        <v>213</v>
      </c>
      <c r="B483" s="44" t="s">
        <v>214</v>
      </c>
      <c r="C483" s="42" t="s">
        <v>784</v>
      </c>
      <c r="D483" s="42"/>
      <c r="E483" s="42" t="s">
        <v>1493</v>
      </c>
      <c r="F483" s="52">
        <v>200</v>
      </c>
      <c r="G483" s="42" t="s">
        <v>1492</v>
      </c>
    </row>
    <row r="484" spans="1:8" ht="30" x14ac:dyDescent="0.25">
      <c r="A484" s="64" t="s">
        <v>213</v>
      </c>
      <c r="B484" s="37" t="s">
        <v>176</v>
      </c>
      <c r="C484" s="33" t="s">
        <v>781</v>
      </c>
      <c r="D484" s="33"/>
      <c r="E484" s="33" t="s">
        <v>1493</v>
      </c>
      <c r="F484" s="52">
        <v>200</v>
      </c>
      <c r="G484" s="33" t="s">
        <v>1492</v>
      </c>
      <c r="H484" s="41"/>
    </row>
    <row r="485" spans="1:8" ht="30" x14ac:dyDescent="0.25">
      <c r="A485" s="64" t="s">
        <v>213</v>
      </c>
      <c r="B485" s="44" t="s">
        <v>209</v>
      </c>
      <c r="C485" s="42" t="s">
        <v>782</v>
      </c>
      <c r="D485" s="42"/>
      <c r="E485" s="42" t="s">
        <v>1493</v>
      </c>
      <c r="F485" s="52">
        <v>200</v>
      </c>
      <c r="G485" s="42" t="s">
        <v>1492</v>
      </c>
    </row>
    <row r="486" spans="1:8" ht="30" x14ac:dyDescent="0.25">
      <c r="A486" s="64" t="s">
        <v>213</v>
      </c>
      <c r="B486" s="37" t="s">
        <v>217</v>
      </c>
      <c r="C486" s="33" t="s">
        <v>321</v>
      </c>
      <c r="D486" s="33"/>
      <c r="E486" s="33" t="s">
        <v>1493</v>
      </c>
      <c r="F486" s="52">
        <v>200</v>
      </c>
      <c r="G486" s="33" t="s">
        <v>1492</v>
      </c>
      <c r="H486" s="41"/>
    </row>
    <row r="487" spans="1:8" ht="30" x14ac:dyDescent="0.25">
      <c r="A487" s="64" t="s">
        <v>213</v>
      </c>
      <c r="B487" s="44" t="s">
        <v>219</v>
      </c>
      <c r="C487" s="42" t="s">
        <v>327</v>
      </c>
      <c r="D487" s="42"/>
      <c r="E487" s="42" t="s">
        <v>1493</v>
      </c>
      <c r="F487" s="52">
        <v>200</v>
      </c>
      <c r="G487" s="42" t="s">
        <v>1492</v>
      </c>
    </row>
    <row r="488" spans="1:8" ht="30" x14ac:dyDescent="0.25">
      <c r="A488" s="64" t="s">
        <v>213</v>
      </c>
      <c r="B488" s="37" t="s">
        <v>210</v>
      </c>
      <c r="C488" s="33" t="s">
        <v>292</v>
      </c>
      <c r="D488" s="33"/>
      <c r="E488" s="33" t="s">
        <v>1493</v>
      </c>
      <c r="F488" s="52">
        <v>200</v>
      </c>
      <c r="G488" s="33" t="s">
        <v>1492</v>
      </c>
      <c r="H488" s="41"/>
    </row>
    <row r="489" spans="1:8" ht="30" x14ac:dyDescent="0.25">
      <c r="A489" s="64" t="s">
        <v>213</v>
      </c>
      <c r="B489" s="44" t="s">
        <v>215</v>
      </c>
      <c r="C489" s="42" t="s">
        <v>783</v>
      </c>
      <c r="D489" s="42"/>
      <c r="E489" s="42" t="s">
        <v>1493</v>
      </c>
      <c r="F489" s="52">
        <v>200</v>
      </c>
      <c r="G489" s="42" t="s">
        <v>1492</v>
      </c>
    </row>
    <row r="490" spans="1:8" ht="30" x14ac:dyDescent="0.25">
      <c r="A490" s="64" t="s">
        <v>213</v>
      </c>
      <c r="B490" s="37" t="s">
        <v>214</v>
      </c>
      <c r="C490" s="33" t="s">
        <v>784</v>
      </c>
      <c r="D490" s="33"/>
      <c r="E490" s="33" t="s">
        <v>1493</v>
      </c>
      <c r="F490" s="52">
        <v>200</v>
      </c>
      <c r="G490" s="33" t="s">
        <v>1492</v>
      </c>
      <c r="H490" s="41"/>
    </row>
    <row r="491" spans="1:8" ht="30" x14ac:dyDescent="0.25">
      <c r="A491" s="64" t="s">
        <v>213</v>
      </c>
      <c r="B491" s="44" t="s">
        <v>786</v>
      </c>
      <c r="C491" s="42" t="s">
        <v>692</v>
      </c>
      <c r="D491" s="42"/>
      <c r="E491" s="42" t="s">
        <v>1493</v>
      </c>
      <c r="F491" s="52">
        <v>200</v>
      </c>
      <c r="G491" s="42" t="s">
        <v>1492</v>
      </c>
    </row>
    <row r="492" spans="1:8" ht="30" x14ac:dyDescent="0.25">
      <c r="A492" s="64" t="s">
        <v>213</v>
      </c>
      <c r="B492" s="37" t="s">
        <v>634</v>
      </c>
      <c r="C492" s="33" t="s">
        <v>787</v>
      </c>
      <c r="D492" s="33"/>
      <c r="E492" s="33" t="s">
        <v>1493</v>
      </c>
      <c r="F492" s="52">
        <v>200</v>
      </c>
      <c r="G492" s="33" t="s">
        <v>1492</v>
      </c>
      <c r="H492" s="41"/>
    </row>
    <row r="493" spans="1:8" ht="30" x14ac:dyDescent="0.25">
      <c r="A493" s="64" t="s">
        <v>213</v>
      </c>
      <c r="B493" s="44" t="s">
        <v>629</v>
      </c>
      <c r="C493" s="42" t="s">
        <v>630</v>
      </c>
      <c r="D493" s="42"/>
      <c r="E493" s="42" t="s">
        <v>1493</v>
      </c>
      <c r="F493" s="52">
        <v>200</v>
      </c>
      <c r="G493" s="42" t="s">
        <v>1492</v>
      </c>
    </row>
    <row r="494" spans="1:8" ht="30" x14ac:dyDescent="0.25">
      <c r="A494" s="64" t="s">
        <v>213</v>
      </c>
      <c r="B494" s="37" t="s">
        <v>631</v>
      </c>
      <c r="C494" s="33"/>
      <c r="D494" s="33"/>
      <c r="E494" s="33" t="s">
        <v>1491</v>
      </c>
      <c r="F494" s="52">
        <v>200</v>
      </c>
      <c r="G494" s="33" t="s">
        <v>1492</v>
      </c>
      <c r="H494" s="41"/>
    </row>
    <row r="495" spans="1:8" ht="30" x14ac:dyDescent="0.25">
      <c r="A495" s="64" t="s">
        <v>213</v>
      </c>
      <c r="B495" s="44" t="s">
        <v>632</v>
      </c>
      <c r="C495" s="42"/>
      <c r="D495" s="42"/>
      <c r="E495" s="42" t="s">
        <v>1491</v>
      </c>
      <c r="F495" s="52">
        <v>200</v>
      </c>
      <c r="G495" s="42" t="s">
        <v>1492</v>
      </c>
    </row>
    <row r="496" spans="1:8" ht="30" x14ac:dyDescent="0.25">
      <c r="A496" s="37" t="s">
        <v>213</v>
      </c>
      <c r="B496" s="37" t="s">
        <v>633</v>
      </c>
      <c r="C496" s="33"/>
      <c r="D496" s="33"/>
      <c r="E496" s="33" t="s">
        <v>1491</v>
      </c>
      <c r="F496" s="34">
        <v>403</v>
      </c>
      <c r="G496" s="33" t="s">
        <v>1492</v>
      </c>
      <c r="H496" s="41"/>
    </row>
    <row r="497" spans="1:8" ht="30" x14ac:dyDescent="0.25">
      <c r="A497" s="44" t="s">
        <v>213</v>
      </c>
      <c r="B497" s="44" t="s">
        <v>779</v>
      </c>
      <c r="C497" s="42"/>
      <c r="D497" s="42"/>
      <c r="E497" s="42" t="s">
        <v>1493</v>
      </c>
      <c r="F497" s="34">
        <v>404</v>
      </c>
      <c r="G497" s="42" t="s">
        <v>1492</v>
      </c>
    </row>
    <row r="498" spans="1:8" ht="30" x14ac:dyDescent="0.25">
      <c r="A498" s="37" t="s">
        <v>213</v>
      </c>
      <c r="B498" s="37" t="s">
        <v>779</v>
      </c>
      <c r="C498" s="33" t="s">
        <v>780</v>
      </c>
      <c r="D498" s="33"/>
      <c r="E498" s="33" t="s">
        <v>1493</v>
      </c>
      <c r="F498" s="34">
        <v>404</v>
      </c>
      <c r="G498" s="33" t="s">
        <v>1492</v>
      </c>
      <c r="H498" s="41"/>
    </row>
    <row r="499" spans="1:8" ht="30" x14ac:dyDescent="0.25">
      <c r="A499" s="64" t="s">
        <v>213</v>
      </c>
      <c r="B499" s="44" t="s">
        <v>634</v>
      </c>
      <c r="C499" s="42" t="s">
        <v>635</v>
      </c>
      <c r="D499" s="42"/>
      <c r="E499" s="42" t="s">
        <v>1493</v>
      </c>
      <c r="F499" s="52">
        <v>200</v>
      </c>
      <c r="G499" s="42" t="s">
        <v>1492</v>
      </c>
    </row>
    <row r="500" spans="1:8" ht="30" x14ac:dyDescent="0.25">
      <c r="A500" s="37" t="s">
        <v>213</v>
      </c>
      <c r="B500" s="37" t="s">
        <v>636</v>
      </c>
      <c r="C500" s="33" t="s">
        <v>637</v>
      </c>
      <c r="D500" s="33"/>
      <c r="E500" s="33" t="s">
        <v>1493</v>
      </c>
      <c r="F500" s="34">
        <v>404</v>
      </c>
      <c r="G500" s="33" t="s">
        <v>1492</v>
      </c>
      <c r="H500" s="41"/>
    </row>
    <row r="501" spans="1:8" ht="30" x14ac:dyDescent="0.25">
      <c r="A501" s="44" t="s">
        <v>213</v>
      </c>
      <c r="B501" s="44" t="s">
        <v>636</v>
      </c>
      <c r="C501" s="42" t="s">
        <v>638</v>
      </c>
      <c r="D501" s="42"/>
      <c r="E501" s="42" t="s">
        <v>1493</v>
      </c>
      <c r="F501" s="34">
        <v>404</v>
      </c>
      <c r="G501" s="42" t="s">
        <v>1492</v>
      </c>
    </row>
    <row r="502" spans="1:8" ht="30" x14ac:dyDescent="0.25">
      <c r="A502" s="64" t="s">
        <v>214</v>
      </c>
      <c r="B502" s="37" t="s">
        <v>176</v>
      </c>
      <c r="C502" s="33" t="s">
        <v>781</v>
      </c>
      <c r="D502" s="33"/>
      <c r="E502" s="33" t="s">
        <v>1493</v>
      </c>
      <c r="F502" s="52">
        <v>200</v>
      </c>
      <c r="G502" s="33" t="s">
        <v>1492</v>
      </c>
      <c r="H502" s="41"/>
    </row>
    <row r="503" spans="1:8" ht="30" x14ac:dyDescent="0.25">
      <c r="A503" s="64" t="s">
        <v>214</v>
      </c>
      <c r="B503" s="44" t="s">
        <v>209</v>
      </c>
      <c r="C503" s="42" t="s">
        <v>782</v>
      </c>
      <c r="D503" s="42"/>
      <c r="E503" s="42" t="s">
        <v>1493</v>
      </c>
      <c r="F503" s="52">
        <v>200</v>
      </c>
      <c r="G503" s="42" t="s">
        <v>1492</v>
      </c>
    </row>
    <row r="504" spans="1:8" ht="30" x14ac:dyDescent="0.25">
      <c r="A504" s="64" t="s">
        <v>214</v>
      </c>
      <c r="B504" s="37" t="s">
        <v>217</v>
      </c>
      <c r="C504" s="33" t="s">
        <v>321</v>
      </c>
      <c r="D504" s="33"/>
      <c r="E504" s="33" t="s">
        <v>1493</v>
      </c>
      <c r="F504" s="52">
        <v>200</v>
      </c>
      <c r="G504" s="33" t="s">
        <v>1492</v>
      </c>
      <c r="H504" s="41"/>
    </row>
    <row r="505" spans="1:8" ht="30" x14ac:dyDescent="0.25">
      <c r="A505" s="64" t="s">
        <v>214</v>
      </c>
      <c r="B505" s="44" t="s">
        <v>219</v>
      </c>
      <c r="C505" s="42" t="s">
        <v>327</v>
      </c>
      <c r="D505" s="42"/>
      <c r="E505" s="42" t="s">
        <v>1493</v>
      </c>
      <c r="F505" s="52">
        <v>200</v>
      </c>
      <c r="G505" s="42" t="s">
        <v>1492</v>
      </c>
    </row>
    <row r="506" spans="1:8" ht="30" x14ac:dyDescent="0.25">
      <c r="A506" s="64" t="s">
        <v>214</v>
      </c>
      <c r="B506" s="37" t="s">
        <v>210</v>
      </c>
      <c r="C506" s="33" t="s">
        <v>292</v>
      </c>
      <c r="D506" s="33"/>
      <c r="E506" s="33" t="s">
        <v>1493</v>
      </c>
      <c r="F506" s="52">
        <v>200</v>
      </c>
      <c r="G506" s="33" t="s">
        <v>1492</v>
      </c>
      <c r="H506" s="41"/>
    </row>
    <row r="507" spans="1:8" ht="30" x14ac:dyDescent="0.25">
      <c r="A507" s="64" t="s">
        <v>214</v>
      </c>
      <c r="B507" s="44" t="s">
        <v>215</v>
      </c>
      <c r="C507" s="42" t="s">
        <v>783</v>
      </c>
      <c r="D507" s="42"/>
      <c r="E507" s="42" t="s">
        <v>1493</v>
      </c>
      <c r="F507" s="52">
        <v>200</v>
      </c>
      <c r="G507" s="42" t="s">
        <v>1492</v>
      </c>
    </row>
    <row r="508" spans="1:8" ht="30" x14ac:dyDescent="0.25">
      <c r="A508" s="64" t="s">
        <v>214</v>
      </c>
      <c r="B508" s="37" t="s">
        <v>214</v>
      </c>
      <c r="C508" s="33" t="s">
        <v>784</v>
      </c>
      <c r="D508" s="33"/>
      <c r="E508" s="33" t="s">
        <v>1493</v>
      </c>
      <c r="F508" s="52">
        <v>200</v>
      </c>
      <c r="G508" s="33" t="s">
        <v>1492</v>
      </c>
      <c r="H508" s="41"/>
    </row>
    <row r="509" spans="1:8" ht="30" x14ac:dyDescent="0.25">
      <c r="A509" s="64" t="s">
        <v>214</v>
      </c>
      <c r="B509" s="44" t="s">
        <v>176</v>
      </c>
      <c r="C509" s="42" t="s">
        <v>781</v>
      </c>
      <c r="D509" s="42"/>
      <c r="E509" s="42" t="s">
        <v>1493</v>
      </c>
      <c r="F509" s="52">
        <v>200</v>
      </c>
      <c r="G509" s="42" t="s">
        <v>1492</v>
      </c>
    </row>
    <row r="510" spans="1:8" ht="30" x14ac:dyDescent="0.25">
      <c r="A510" s="64" t="s">
        <v>214</v>
      </c>
      <c r="B510" s="37" t="s">
        <v>209</v>
      </c>
      <c r="C510" s="33" t="s">
        <v>782</v>
      </c>
      <c r="D510" s="33"/>
      <c r="E510" s="33" t="s">
        <v>1493</v>
      </c>
      <c r="F510" s="52">
        <v>200</v>
      </c>
      <c r="G510" s="33" t="s">
        <v>1492</v>
      </c>
      <c r="H510" s="41"/>
    </row>
    <row r="511" spans="1:8" ht="30" x14ac:dyDescent="0.25">
      <c r="A511" s="64" t="s">
        <v>214</v>
      </c>
      <c r="B511" s="44" t="s">
        <v>217</v>
      </c>
      <c r="C511" s="42" t="s">
        <v>321</v>
      </c>
      <c r="D511" s="42"/>
      <c r="E511" s="42" t="s">
        <v>1493</v>
      </c>
      <c r="F511" s="52">
        <v>200</v>
      </c>
      <c r="G511" s="42" t="s">
        <v>1492</v>
      </c>
    </row>
    <row r="512" spans="1:8" ht="30" x14ac:dyDescent="0.25">
      <c r="A512" s="64" t="s">
        <v>214</v>
      </c>
      <c r="B512" s="37" t="s">
        <v>219</v>
      </c>
      <c r="C512" s="33" t="s">
        <v>327</v>
      </c>
      <c r="D512" s="33"/>
      <c r="E512" s="33" t="s">
        <v>1493</v>
      </c>
      <c r="F512" s="52">
        <v>200</v>
      </c>
      <c r="G512" s="33" t="s">
        <v>1492</v>
      </c>
      <c r="H512" s="41"/>
    </row>
    <row r="513" spans="1:8" ht="30" x14ac:dyDescent="0.25">
      <c r="A513" s="64" t="s">
        <v>214</v>
      </c>
      <c r="B513" s="44" t="s">
        <v>210</v>
      </c>
      <c r="C513" s="42" t="s">
        <v>292</v>
      </c>
      <c r="D513" s="42"/>
      <c r="E513" s="42" t="s">
        <v>1493</v>
      </c>
      <c r="F513" s="52">
        <v>200</v>
      </c>
      <c r="G513" s="42" t="s">
        <v>1492</v>
      </c>
    </row>
    <row r="514" spans="1:8" ht="30" x14ac:dyDescent="0.25">
      <c r="A514" s="64" t="s">
        <v>214</v>
      </c>
      <c r="B514" s="37" t="s">
        <v>215</v>
      </c>
      <c r="C514" s="33" t="s">
        <v>783</v>
      </c>
      <c r="D514" s="33"/>
      <c r="E514" s="33" t="s">
        <v>1493</v>
      </c>
      <c r="F514" s="52">
        <v>200</v>
      </c>
      <c r="G514" s="33" t="s">
        <v>1492</v>
      </c>
      <c r="H514" s="41"/>
    </row>
    <row r="515" spans="1:8" ht="30" x14ac:dyDescent="0.25">
      <c r="A515" s="64" t="s">
        <v>214</v>
      </c>
      <c r="B515" s="44" t="s">
        <v>214</v>
      </c>
      <c r="C515" s="42" t="s">
        <v>784</v>
      </c>
      <c r="D515" s="42"/>
      <c r="E515" s="42" t="s">
        <v>1493</v>
      </c>
      <c r="F515" s="52">
        <v>200</v>
      </c>
      <c r="G515" s="42" t="s">
        <v>1492</v>
      </c>
    </row>
    <row r="516" spans="1:8" ht="30" x14ac:dyDescent="0.25">
      <c r="A516" s="64" t="s">
        <v>214</v>
      </c>
      <c r="B516" s="37" t="s">
        <v>209</v>
      </c>
      <c r="C516" s="33" t="s">
        <v>785</v>
      </c>
      <c r="D516" s="33"/>
      <c r="E516" s="33" t="s">
        <v>1493</v>
      </c>
      <c r="F516" s="52">
        <v>200</v>
      </c>
      <c r="G516" s="33" t="s">
        <v>1492</v>
      </c>
      <c r="H516" s="41"/>
    </row>
    <row r="517" spans="1:8" ht="30" x14ac:dyDescent="0.25">
      <c r="A517" s="64" t="s">
        <v>214</v>
      </c>
      <c r="B517" s="44" t="s">
        <v>788</v>
      </c>
      <c r="C517" s="42"/>
      <c r="D517" s="42"/>
      <c r="E517" s="42" t="s">
        <v>1493</v>
      </c>
      <c r="F517" s="52">
        <v>200</v>
      </c>
      <c r="G517" s="42" t="s">
        <v>1492</v>
      </c>
    </row>
    <row r="518" spans="1:8" ht="30" x14ac:dyDescent="0.25">
      <c r="A518" s="64" t="s">
        <v>214</v>
      </c>
      <c r="B518" s="37" t="s">
        <v>789</v>
      </c>
      <c r="C518" s="33"/>
      <c r="D518" s="33"/>
      <c r="E518" s="33" t="s">
        <v>1493</v>
      </c>
      <c r="F518" s="52">
        <v>200</v>
      </c>
      <c r="G518" s="33" t="s">
        <v>1492</v>
      </c>
      <c r="H518" s="41"/>
    </row>
    <row r="519" spans="1:8" ht="30" x14ac:dyDescent="0.25">
      <c r="A519" s="64" t="s">
        <v>214</v>
      </c>
      <c r="B519" s="44" t="s">
        <v>790</v>
      </c>
      <c r="C519" s="42"/>
      <c r="D519" s="42"/>
      <c r="E519" s="42" t="s">
        <v>1493</v>
      </c>
      <c r="F519" s="52">
        <v>200</v>
      </c>
      <c r="G519" s="42" t="s">
        <v>1492</v>
      </c>
    </row>
    <row r="520" spans="1:8" ht="30" x14ac:dyDescent="0.25">
      <c r="A520" s="64" t="s">
        <v>214</v>
      </c>
      <c r="B520" s="37" t="s">
        <v>791</v>
      </c>
      <c r="C520" s="33"/>
      <c r="D520" s="33"/>
      <c r="E520" s="33" t="s">
        <v>1493</v>
      </c>
      <c r="F520" s="52">
        <v>200</v>
      </c>
      <c r="G520" s="33" t="s">
        <v>1492</v>
      </c>
      <c r="H520" s="41"/>
    </row>
    <row r="521" spans="1:8" ht="30" x14ac:dyDescent="0.25">
      <c r="A521" s="64" t="s">
        <v>214</v>
      </c>
      <c r="B521" s="44" t="s">
        <v>792</v>
      </c>
      <c r="C521" s="42"/>
      <c r="D521" s="42"/>
      <c r="E521" s="42" t="s">
        <v>1493</v>
      </c>
      <c r="F521" s="52">
        <v>200</v>
      </c>
      <c r="G521" s="42" t="s">
        <v>1492</v>
      </c>
    </row>
    <row r="522" spans="1:8" ht="30" x14ac:dyDescent="0.25">
      <c r="A522" s="64" t="s">
        <v>214</v>
      </c>
      <c r="B522" s="37" t="s">
        <v>793</v>
      </c>
      <c r="C522" s="33"/>
      <c r="D522" s="33"/>
      <c r="E522" s="33" t="s">
        <v>1493</v>
      </c>
      <c r="F522" s="52">
        <v>200</v>
      </c>
      <c r="G522" s="33" t="s">
        <v>1492</v>
      </c>
      <c r="H522" s="41"/>
    </row>
    <row r="523" spans="1:8" ht="30" x14ac:dyDescent="0.25">
      <c r="A523" s="64" t="s">
        <v>214</v>
      </c>
      <c r="B523" s="44" t="s">
        <v>794</v>
      </c>
      <c r="C523" s="42"/>
      <c r="D523" s="42"/>
      <c r="E523" s="42" t="s">
        <v>1493</v>
      </c>
      <c r="F523" s="52">
        <v>200</v>
      </c>
      <c r="G523" s="42" t="s">
        <v>1492</v>
      </c>
    </row>
    <row r="524" spans="1:8" ht="30" x14ac:dyDescent="0.25">
      <c r="A524" s="64" t="s">
        <v>214</v>
      </c>
      <c r="B524" s="37" t="s">
        <v>795</v>
      </c>
      <c r="C524" s="33"/>
      <c r="D524" s="33"/>
      <c r="E524" s="33" t="s">
        <v>1493</v>
      </c>
      <c r="F524" s="52">
        <v>200</v>
      </c>
      <c r="G524" s="33" t="s">
        <v>1492</v>
      </c>
      <c r="H524" s="41"/>
    </row>
    <row r="525" spans="1:8" ht="30" x14ac:dyDescent="0.25">
      <c r="A525" s="64" t="s">
        <v>214</v>
      </c>
      <c r="B525" s="44" t="s">
        <v>796</v>
      </c>
      <c r="C525" s="42"/>
      <c r="D525" s="42"/>
      <c r="E525" s="42" t="s">
        <v>1493</v>
      </c>
      <c r="F525" s="52">
        <v>200</v>
      </c>
      <c r="G525" s="42" t="s">
        <v>1492</v>
      </c>
    </row>
    <row r="526" spans="1:8" ht="30" x14ac:dyDescent="0.25">
      <c r="A526" s="64" t="s">
        <v>214</v>
      </c>
      <c r="B526" s="37" t="s">
        <v>797</v>
      </c>
      <c r="C526" s="33"/>
      <c r="D526" s="33"/>
      <c r="E526" s="33" t="s">
        <v>1493</v>
      </c>
      <c r="F526" s="52">
        <v>200</v>
      </c>
      <c r="G526" s="33" t="s">
        <v>1492</v>
      </c>
      <c r="H526" s="41"/>
    </row>
    <row r="527" spans="1:8" ht="30" x14ac:dyDescent="0.25">
      <c r="A527" s="64" t="s">
        <v>214</v>
      </c>
      <c r="B527" s="44" t="s">
        <v>798</v>
      </c>
      <c r="C527" s="42"/>
      <c r="D527" s="42"/>
      <c r="E527" s="42" t="s">
        <v>1493</v>
      </c>
      <c r="F527" s="52">
        <v>200</v>
      </c>
      <c r="G527" s="42" t="s">
        <v>1492</v>
      </c>
    </row>
    <row r="528" spans="1:8" ht="30" x14ac:dyDescent="0.25">
      <c r="A528" s="64" t="s">
        <v>214</v>
      </c>
      <c r="B528" s="37" t="s">
        <v>799</v>
      </c>
      <c r="C528" s="33"/>
      <c r="D528" s="33"/>
      <c r="E528" s="33" t="s">
        <v>1493</v>
      </c>
      <c r="F528" s="52">
        <v>200</v>
      </c>
      <c r="G528" s="33" t="s">
        <v>1492</v>
      </c>
      <c r="H528" s="41"/>
    </row>
    <row r="529" spans="1:8" ht="30" x14ac:dyDescent="0.25">
      <c r="A529" s="64" t="s">
        <v>214</v>
      </c>
      <c r="B529" s="44" t="s">
        <v>800</v>
      </c>
      <c r="C529" s="42"/>
      <c r="D529" s="42"/>
      <c r="E529" s="42" t="s">
        <v>1493</v>
      </c>
      <c r="F529" s="52">
        <v>200</v>
      </c>
      <c r="G529" s="42" t="s">
        <v>1492</v>
      </c>
    </row>
    <row r="530" spans="1:8" ht="30" x14ac:dyDescent="0.25">
      <c r="A530" s="64" t="s">
        <v>214</v>
      </c>
      <c r="B530" s="37" t="s">
        <v>801</v>
      </c>
      <c r="C530" s="33"/>
      <c r="D530" s="33"/>
      <c r="E530" s="33" t="s">
        <v>1493</v>
      </c>
      <c r="F530" s="52">
        <v>200</v>
      </c>
      <c r="G530" s="33" t="s">
        <v>1492</v>
      </c>
      <c r="H530" s="41"/>
    </row>
    <row r="531" spans="1:8" ht="30" x14ac:dyDescent="0.25">
      <c r="A531" s="64" t="s">
        <v>214</v>
      </c>
      <c r="B531" s="44" t="s">
        <v>802</v>
      </c>
      <c r="C531" s="42"/>
      <c r="D531" s="42"/>
      <c r="E531" s="42" t="s">
        <v>1493</v>
      </c>
      <c r="F531" s="52">
        <v>200</v>
      </c>
      <c r="G531" s="42" t="s">
        <v>1492</v>
      </c>
    </row>
    <row r="532" spans="1:8" ht="30" x14ac:dyDescent="0.25">
      <c r="A532" s="64" t="s">
        <v>214</v>
      </c>
      <c r="B532" s="37" t="s">
        <v>803</v>
      </c>
      <c r="C532" s="33"/>
      <c r="D532" s="33"/>
      <c r="E532" s="33" t="s">
        <v>1493</v>
      </c>
      <c r="F532" s="52">
        <v>200</v>
      </c>
      <c r="G532" s="33" t="s">
        <v>1492</v>
      </c>
      <c r="H532" s="41"/>
    </row>
    <row r="533" spans="1:8" ht="30" x14ac:dyDescent="0.25">
      <c r="A533" s="64" t="s">
        <v>214</v>
      </c>
      <c r="B533" s="44" t="s">
        <v>804</v>
      </c>
      <c r="C533" s="42"/>
      <c r="D533" s="42"/>
      <c r="E533" s="42" t="s">
        <v>1493</v>
      </c>
      <c r="F533" s="52">
        <v>200</v>
      </c>
      <c r="G533" s="42" t="s">
        <v>1492</v>
      </c>
    </row>
    <row r="534" spans="1:8" ht="30" x14ac:dyDescent="0.25">
      <c r="A534" s="64" t="s">
        <v>214</v>
      </c>
      <c r="B534" s="37" t="s">
        <v>805</v>
      </c>
      <c r="C534" s="33"/>
      <c r="D534" s="33"/>
      <c r="E534" s="33" t="s">
        <v>1493</v>
      </c>
      <c r="F534" s="52">
        <v>200</v>
      </c>
      <c r="G534" s="33" t="s">
        <v>1492</v>
      </c>
      <c r="H534" s="41"/>
    </row>
    <row r="535" spans="1:8" ht="30" x14ac:dyDescent="0.25">
      <c r="A535" s="64" t="s">
        <v>214</v>
      </c>
      <c r="B535" s="44" t="s">
        <v>806</v>
      </c>
      <c r="C535" s="42"/>
      <c r="D535" s="42"/>
      <c r="E535" s="42" t="s">
        <v>1493</v>
      </c>
      <c r="F535" s="52">
        <v>200</v>
      </c>
      <c r="G535" s="42" t="s">
        <v>1492</v>
      </c>
    </row>
    <row r="536" spans="1:8" ht="30" x14ac:dyDescent="0.25">
      <c r="A536" s="64" t="s">
        <v>214</v>
      </c>
      <c r="B536" s="37" t="s">
        <v>807</v>
      </c>
      <c r="C536" s="33"/>
      <c r="D536" s="33"/>
      <c r="E536" s="33" t="s">
        <v>1493</v>
      </c>
      <c r="F536" s="52">
        <v>200</v>
      </c>
      <c r="G536" s="33" t="s">
        <v>1492</v>
      </c>
      <c r="H536" s="41"/>
    </row>
    <row r="537" spans="1:8" ht="30" x14ac:dyDescent="0.25">
      <c r="A537" s="64" t="s">
        <v>214</v>
      </c>
      <c r="B537" s="44" t="s">
        <v>808</v>
      </c>
      <c r="C537" s="42"/>
      <c r="D537" s="42"/>
      <c r="E537" s="42" t="s">
        <v>1493</v>
      </c>
      <c r="F537" s="52">
        <v>200</v>
      </c>
      <c r="G537" s="42" t="s">
        <v>1492</v>
      </c>
    </row>
    <row r="538" spans="1:8" ht="30" x14ac:dyDescent="0.25">
      <c r="A538" s="64" t="s">
        <v>214</v>
      </c>
      <c r="B538" s="37" t="s">
        <v>809</v>
      </c>
      <c r="C538" s="33"/>
      <c r="D538" s="33"/>
      <c r="E538" s="33" t="s">
        <v>1493</v>
      </c>
      <c r="F538" s="52">
        <v>200</v>
      </c>
      <c r="G538" s="33" t="s">
        <v>1492</v>
      </c>
      <c r="H538" s="41"/>
    </row>
    <row r="539" spans="1:8" ht="30" x14ac:dyDescent="0.25">
      <c r="A539" s="64" t="s">
        <v>214</v>
      </c>
      <c r="B539" s="44" t="s">
        <v>810</v>
      </c>
      <c r="C539" s="42"/>
      <c r="D539" s="42"/>
      <c r="E539" s="42" t="s">
        <v>1493</v>
      </c>
      <c r="F539" s="52">
        <v>200</v>
      </c>
      <c r="G539" s="42" t="s">
        <v>1492</v>
      </c>
    </row>
    <row r="540" spans="1:8" ht="30" x14ac:dyDescent="0.25">
      <c r="A540" s="64" t="s">
        <v>214</v>
      </c>
      <c r="B540" s="37" t="s">
        <v>811</v>
      </c>
      <c r="C540" s="33"/>
      <c r="D540" s="33"/>
      <c r="E540" s="33" t="s">
        <v>1493</v>
      </c>
      <c r="F540" s="52">
        <v>200</v>
      </c>
      <c r="G540" s="33" t="s">
        <v>1492</v>
      </c>
      <c r="H540" s="41"/>
    </row>
    <row r="541" spans="1:8" ht="30" x14ac:dyDescent="0.25">
      <c r="A541" s="64" t="s">
        <v>214</v>
      </c>
      <c r="B541" s="44" t="s">
        <v>812</v>
      </c>
      <c r="C541" s="42"/>
      <c r="D541" s="42"/>
      <c r="E541" s="42" t="s">
        <v>1493</v>
      </c>
      <c r="F541" s="52">
        <v>200</v>
      </c>
      <c r="G541" s="42" t="s">
        <v>1492</v>
      </c>
    </row>
    <row r="542" spans="1:8" ht="30" x14ac:dyDescent="0.25">
      <c r="A542" s="64" t="s">
        <v>214</v>
      </c>
      <c r="B542" s="37" t="s">
        <v>813</v>
      </c>
      <c r="C542" s="33"/>
      <c r="D542" s="33"/>
      <c r="E542" s="33" t="s">
        <v>1493</v>
      </c>
      <c r="F542" s="52">
        <v>200</v>
      </c>
      <c r="G542" s="33" t="s">
        <v>1492</v>
      </c>
      <c r="H542" s="41"/>
    </row>
    <row r="543" spans="1:8" ht="30" x14ac:dyDescent="0.25">
      <c r="A543" s="64" t="s">
        <v>214</v>
      </c>
      <c r="B543" s="44" t="s">
        <v>814</v>
      </c>
      <c r="C543" s="42"/>
      <c r="D543" s="42"/>
      <c r="E543" s="42" t="s">
        <v>1493</v>
      </c>
      <c r="F543" s="52">
        <v>200</v>
      </c>
      <c r="G543" s="42" t="s">
        <v>1492</v>
      </c>
    </row>
    <row r="544" spans="1:8" ht="30" x14ac:dyDescent="0.25">
      <c r="A544" s="64" t="s">
        <v>214</v>
      </c>
      <c r="B544" s="37" t="s">
        <v>815</v>
      </c>
      <c r="C544" s="33"/>
      <c r="D544" s="33"/>
      <c r="E544" s="33" t="s">
        <v>1493</v>
      </c>
      <c r="F544" s="52">
        <v>200</v>
      </c>
      <c r="G544" s="33" t="s">
        <v>1492</v>
      </c>
      <c r="H544" s="41"/>
    </row>
    <row r="545" spans="1:8" ht="30" x14ac:dyDescent="0.25">
      <c r="A545" s="64" t="s">
        <v>214</v>
      </c>
      <c r="B545" s="44" t="s">
        <v>816</v>
      </c>
      <c r="C545" s="42"/>
      <c r="D545" s="42"/>
      <c r="E545" s="42" t="s">
        <v>1493</v>
      </c>
      <c r="F545" s="52">
        <v>200</v>
      </c>
      <c r="G545" s="42" t="s">
        <v>1492</v>
      </c>
    </row>
    <row r="546" spans="1:8" ht="30" x14ac:dyDescent="0.25">
      <c r="A546" s="64" t="s">
        <v>214</v>
      </c>
      <c r="B546" s="37" t="s">
        <v>817</v>
      </c>
      <c r="C546" s="33"/>
      <c r="D546" s="33"/>
      <c r="E546" s="33" t="s">
        <v>1493</v>
      </c>
      <c r="F546" s="52">
        <v>200</v>
      </c>
      <c r="G546" s="33" t="s">
        <v>1492</v>
      </c>
      <c r="H546" s="41"/>
    </row>
    <row r="547" spans="1:8" ht="30" x14ac:dyDescent="0.25">
      <c r="A547" s="64" t="s">
        <v>214</v>
      </c>
      <c r="B547" s="44" t="s">
        <v>818</v>
      </c>
      <c r="C547" s="42"/>
      <c r="D547" s="42"/>
      <c r="E547" s="42" t="s">
        <v>1493</v>
      </c>
      <c r="F547" s="52">
        <v>200</v>
      </c>
      <c r="G547" s="42" t="s">
        <v>1492</v>
      </c>
    </row>
    <row r="548" spans="1:8" ht="30" x14ac:dyDescent="0.25">
      <c r="A548" s="64" t="s">
        <v>214</v>
      </c>
      <c r="B548" s="37" t="s">
        <v>819</v>
      </c>
      <c r="C548" s="33"/>
      <c r="D548" s="33"/>
      <c r="E548" s="33" t="s">
        <v>1493</v>
      </c>
      <c r="F548" s="52">
        <v>200</v>
      </c>
      <c r="G548" s="33" t="s">
        <v>1492</v>
      </c>
      <c r="H548" s="41"/>
    </row>
    <row r="549" spans="1:8" ht="30" x14ac:dyDescent="0.25">
      <c r="A549" s="64" t="s">
        <v>214</v>
      </c>
      <c r="B549" s="44" t="s">
        <v>820</v>
      </c>
      <c r="C549" s="42"/>
      <c r="D549" s="42"/>
      <c r="E549" s="42" t="s">
        <v>1493</v>
      </c>
      <c r="F549" s="52">
        <v>200</v>
      </c>
      <c r="G549" s="42" t="s">
        <v>1492</v>
      </c>
    </row>
    <row r="550" spans="1:8" ht="30" x14ac:dyDescent="0.25">
      <c r="A550" s="64" t="s">
        <v>214</v>
      </c>
      <c r="B550" s="37" t="s">
        <v>821</v>
      </c>
      <c r="C550" s="33"/>
      <c r="D550" s="33"/>
      <c r="E550" s="33" t="s">
        <v>1493</v>
      </c>
      <c r="F550" s="52">
        <v>200</v>
      </c>
      <c r="G550" s="33" t="s">
        <v>1492</v>
      </c>
      <c r="H550" s="41"/>
    </row>
    <row r="551" spans="1:8" ht="30" x14ac:dyDescent="0.25">
      <c r="A551" s="64" t="s">
        <v>214</v>
      </c>
      <c r="B551" s="44" t="s">
        <v>822</v>
      </c>
      <c r="C551" s="42"/>
      <c r="D551" s="42"/>
      <c r="E551" s="42" t="s">
        <v>1493</v>
      </c>
      <c r="F551" s="52">
        <v>200</v>
      </c>
      <c r="G551" s="42" t="s">
        <v>1492</v>
      </c>
    </row>
    <row r="552" spans="1:8" ht="30" x14ac:dyDescent="0.25">
      <c r="A552" s="64" t="s">
        <v>214</v>
      </c>
      <c r="B552" s="37" t="s">
        <v>823</v>
      </c>
      <c r="C552" s="33"/>
      <c r="D552" s="33"/>
      <c r="E552" s="33" t="s">
        <v>1493</v>
      </c>
      <c r="F552" s="52">
        <v>200</v>
      </c>
      <c r="G552" s="33" t="s">
        <v>1492</v>
      </c>
      <c r="H552" s="41"/>
    </row>
    <row r="553" spans="1:8" ht="30" x14ac:dyDescent="0.25">
      <c r="A553" s="64" t="s">
        <v>214</v>
      </c>
      <c r="B553" s="44" t="s">
        <v>824</v>
      </c>
      <c r="C553" s="42"/>
      <c r="D553" s="42"/>
      <c r="E553" s="42" t="s">
        <v>1493</v>
      </c>
      <c r="F553" s="52">
        <v>200</v>
      </c>
      <c r="G553" s="42" t="s">
        <v>1492</v>
      </c>
    </row>
    <row r="554" spans="1:8" ht="30" x14ac:dyDescent="0.25">
      <c r="A554" s="64" t="s">
        <v>214</v>
      </c>
      <c r="B554" s="37" t="s">
        <v>825</v>
      </c>
      <c r="C554" s="33"/>
      <c r="D554" s="33"/>
      <c r="E554" s="33" t="s">
        <v>1493</v>
      </c>
      <c r="F554" s="52">
        <v>200</v>
      </c>
      <c r="G554" s="33" t="s">
        <v>1492</v>
      </c>
      <c r="H554" s="41"/>
    </row>
    <row r="555" spans="1:8" ht="30" x14ac:dyDescent="0.25">
      <c r="A555" s="64" t="s">
        <v>214</v>
      </c>
      <c r="B555" s="44" t="s">
        <v>826</v>
      </c>
      <c r="C555" s="42"/>
      <c r="D555" s="42"/>
      <c r="E555" s="42" t="s">
        <v>1493</v>
      </c>
      <c r="F555" s="52">
        <v>200</v>
      </c>
      <c r="G555" s="42" t="s">
        <v>1492</v>
      </c>
    </row>
    <row r="556" spans="1:8" ht="30" x14ac:dyDescent="0.25">
      <c r="A556" s="64" t="s">
        <v>214</v>
      </c>
      <c r="B556" s="37" t="s">
        <v>827</v>
      </c>
      <c r="C556" s="33"/>
      <c r="D556" s="33"/>
      <c r="E556" s="33" t="s">
        <v>1493</v>
      </c>
      <c r="F556" s="52">
        <v>200</v>
      </c>
      <c r="G556" s="33" t="s">
        <v>1492</v>
      </c>
      <c r="H556" s="41"/>
    </row>
    <row r="557" spans="1:8" ht="30" x14ac:dyDescent="0.25">
      <c r="A557" s="64" t="s">
        <v>214</v>
      </c>
      <c r="B557" s="44" t="s">
        <v>828</v>
      </c>
      <c r="C557" s="42"/>
      <c r="D557" s="42"/>
      <c r="E557" s="42" t="s">
        <v>1493</v>
      </c>
      <c r="F557" s="52">
        <v>200</v>
      </c>
      <c r="G557" s="42" t="s">
        <v>1492</v>
      </c>
    </row>
    <row r="558" spans="1:8" ht="30" x14ac:dyDescent="0.25">
      <c r="A558" s="64" t="s">
        <v>214</v>
      </c>
      <c r="B558" s="37" t="s">
        <v>829</v>
      </c>
      <c r="C558" s="33"/>
      <c r="D558" s="33"/>
      <c r="E558" s="33" t="s">
        <v>1493</v>
      </c>
      <c r="F558" s="52">
        <v>200</v>
      </c>
      <c r="G558" s="33" t="s">
        <v>1492</v>
      </c>
      <c r="H558" s="41"/>
    </row>
    <row r="559" spans="1:8" ht="30" x14ac:dyDescent="0.25">
      <c r="A559" s="64" t="s">
        <v>214</v>
      </c>
      <c r="B559" s="44" t="s">
        <v>830</v>
      </c>
      <c r="C559" s="42"/>
      <c r="D559" s="42"/>
      <c r="E559" s="42" t="s">
        <v>1493</v>
      </c>
      <c r="F559" s="52">
        <v>200</v>
      </c>
      <c r="G559" s="42" t="s">
        <v>1492</v>
      </c>
    </row>
    <row r="560" spans="1:8" ht="30" x14ac:dyDescent="0.25">
      <c r="A560" s="64" t="s">
        <v>214</v>
      </c>
      <c r="B560" s="37" t="s">
        <v>831</v>
      </c>
      <c r="C560" s="33"/>
      <c r="D560" s="33"/>
      <c r="E560" s="33" t="s">
        <v>1493</v>
      </c>
      <c r="F560" s="52">
        <v>200</v>
      </c>
      <c r="G560" s="33" t="s">
        <v>1492</v>
      </c>
      <c r="H560" s="41"/>
    </row>
    <row r="561" spans="1:8" ht="30" x14ac:dyDescent="0.25">
      <c r="A561" s="64" t="s">
        <v>214</v>
      </c>
      <c r="B561" s="44" t="s">
        <v>832</v>
      </c>
      <c r="C561" s="42"/>
      <c r="D561" s="42"/>
      <c r="E561" s="42" t="s">
        <v>1493</v>
      </c>
      <c r="F561" s="52">
        <v>200</v>
      </c>
      <c r="G561" s="42" t="s">
        <v>1492</v>
      </c>
    </row>
    <row r="562" spans="1:8" ht="30" x14ac:dyDescent="0.25">
      <c r="A562" s="64" t="s">
        <v>214</v>
      </c>
      <c r="B562" s="37" t="s">
        <v>833</v>
      </c>
      <c r="C562" s="33"/>
      <c r="D562" s="33"/>
      <c r="E562" s="33" t="s">
        <v>1493</v>
      </c>
      <c r="F562" s="52">
        <v>200</v>
      </c>
      <c r="G562" s="33" t="s">
        <v>1492</v>
      </c>
      <c r="H562" s="41"/>
    </row>
    <row r="563" spans="1:8" ht="30" x14ac:dyDescent="0.25">
      <c r="A563" s="64" t="s">
        <v>214</v>
      </c>
      <c r="B563" s="44" t="s">
        <v>834</v>
      </c>
      <c r="C563" s="42"/>
      <c r="D563" s="42"/>
      <c r="E563" s="42" t="s">
        <v>1493</v>
      </c>
      <c r="F563" s="52">
        <v>200</v>
      </c>
      <c r="G563" s="42" t="s">
        <v>1492</v>
      </c>
    </row>
    <row r="564" spans="1:8" ht="30" x14ac:dyDescent="0.25">
      <c r="A564" s="64" t="s">
        <v>214</v>
      </c>
      <c r="B564" s="37" t="s">
        <v>835</v>
      </c>
      <c r="C564" s="33"/>
      <c r="D564" s="33"/>
      <c r="E564" s="33" t="s">
        <v>1493</v>
      </c>
      <c r="F564" s="52">
        <v>200</v>
      </c>
      <c r="G564" s="33" t="s">
        <v>1492</v>
      </c>
      <c r="H564" s="41"/>
    </row>
    <row r="565" spans="1:8" ht="30" x14ac:dyDescent="0.25">
      <c r="A565" s="64" t="s">
        <v>214</v>
      </c>
      <c r="B565" s="44" t="s">
        <v>836</v>
      </c>
      <c r="C565" s="42"/>
      <c r="D565" s="42"/>
      <c r="E565" s="42" t="s">
        <v>1493</v>
      </c>
      <c r="F565" s="52">
        <v>200</v>
      </c>
      <c r="G565" s="42" t="s">
        <v>1492</v>
      </c>
    </row>
    <row r="566" spans="1:8" ht="30" x14ac:dyDescent="0.25">
      <c r="A566" s="64" t="s">
        <v>214</v>
      </c>
      <c r="B566" s="37" t="s">
        <v>837</v>
      </c>
      <c r="C566" s="33"/>
      <c r="D566" s="33"/>
      <c r="E566" s="33" t="s">
        <v>1493</v>
      </c>
      <c r="F566" s="52">
        <v>200</v>
      </c>
      <c r="G566" s="33" t="s">
        <v>1492</v>
      </c>
      <c r="H566" s="41"/>
    </row>
    <row r="567" spans="1:8" ht="30" x14ac:dyDescent="0.25">
      <c r="A567" s="64" t="s">
        <v>214</v>
      </c>
      <c r="B567" s="44" t="s">
        <v>838</v>
      </c>
      <c r="C567" s="42"/>
      <c r="D567" s="42"/>
      <c r="E567" s="42" t="s">
        <v>1493</v>
      </c>
      <c r="F567" s="52">
        <v>200</v>
      </c>
      <c r="G567" s="42" t="s">
        <v>1492</v>
      </c>
    </row>
    <row r="568" spans="1:8" ht="30" x14ac:dyDescent="0.25">
      <c r="A568" s="64" t="s">
        <v>214</v>
      </c>
      <c r="B568" s="37" t="s">
        <v>839</v>
      </c>
      <c r="C568" s="33"/>
      <c r="D568" s="33"/>
      <c r="E568" s="33" t="s">
        <v>1493</v>
      </c>
      <c r="F568" s="52">
        <v>200</v>
      </c>
      <c r="G568" s="33" t="s">
        <v>1492</v>
      </c>
      <c r="H568" s="41"/>
    </row>
    <row r="569" spans="1:8" ht="30" x14ac:dyDescent="0.25">
      <c r="A569" s="64" t="s">
        <v>214</v>
      </c>
      <c r="B569" s="44" t="s">
        <v>840</v>
      </c>
      <c r="C569" s="42"/>
      <c r="D569" s="42"/>
      <c r="E569" s="42" t="s">
        <v>1493</v>
      </c>
      <c r="F569" s="52">
        <v>200</v>
      </c>
      <c r="G569" s="42" t="s">
        <v>1492</v>
      </c>
    </row>
    <row r="570" spans="1:8" ht="30" x14ac:dyDescent="0.25">
      <c r="A570" s="64" t="s">
        <v>214</v>
      </c>
      <c r="B570" s="37" t="s">
        <v>841</v>
      </c>
      <c r="C570" s="33"/>
      <c r="D570" s="33"/>
      <c r="E570" s="33" t="s">
        <v>1493</v>
      </c>
      <c r="F570" s="52">
        <v>200</v>
      </c>
      <c r="G570" s="33" t="s">
        <v>1492</v>
      </c>
      <c r="H570" s="41"/>
    </row>
    <row r="571" spans="1:8" ht="30" x14ac:dyDescent="0.25">
      <c r="A571" s="64" t="s">
        <v>214</v>
      </c>
      <c r="B571" s="44" t="s">
        <v>842</v>
      </c>
      <c r="C571" s="42"/>
      <c r="D571" s="42"/>
      <c r="E571" s="42" t="s">
        <v>1493</v>
      </c>
      <c r="F571" s="52">
        <v>200</v>
      </c>
      <c r="G571" s="42" t="s">
        <v>1492</v>
      </c>
    </row>
    <row r="572" spans="1:8" ht="30" x14ac:dyDescent="0.25">
      <c r="A572" s="64" t="s">
        <v>214</v>
      </c>
      <c r="B572" s="37" t="s">
        <v>843</v>
      </c>
      <c r="C572" s="33"/>
      <c r="D572" s="33"/>
      <c r="E572" s="33" t="s">
        <v>1493</v>
      </c>
      <c r="F572" s="52">
        <v>200</v>
      </c>
      <c r="G572" s="33" t="s">
        <v>1492</v>
      </c>
      <c r="H572" s="41"/>
    </row>
    <row r="573" spans="1:8" ht="30" x14ac:dyDescent="0.25">
      <c r="A573" s="64" t="s">
        <v>214</v>
      </c>
      <c r="B573" s="44" t="s">
        <v>844</v>
      </c>
      <c r="C573" s="42"/>
      <c r="D573" s="42"/>
      <c r="E573" s="42" t="s">
        <v>1493</v>
      </c>
      <c r="F573" s="52">
        <v>200</v>
      </c>
      <c r="G573" s="42" t="s">
        <v>1492</v>
      </c>
    </row>
    <row r="574" spans="1:8" ht="30" x14ac:dyDescent="0.25">
      <c r="A574" s="64" t="s">
        <v>214</v>
      </c>
      <c r="B574" s="37" t="s">
        <v>845</v>
      </c>
      <c r="C574" s="33"/>
      <c r="D574" s="33"/>
      <c r="E574" s="33" t="s">
        <v>1493</v>
      </c>
      <c r="F574" s="52">
        <v>200</v>
      </c>
      <c r="G574" s="33" t="s">
        <v>1492</v>
      </c>
      <c r="H574" s="41"/>
    </row>
    <row r="575" spans="1:8" ht="30" x14ac:dyDescent="0.25">
      <c r="A575" s="64" t="s">
        <v>214</v>
      </c>
      <c r="B575" s="44" t="s">
        <v>846</v>
      </c>
      <c r="C575" s="42"/>
      <c r="D575" s="42"/>
      <c r="E575" s="42" t="s">
        <v>1493</v>
      </c>
      <c r="F575" s="52">
        <v>200</v>
      </c>
      <c r="G575" s="42" t="s">
        <v>1492</v>
      </c>
    </row>
    <row r="576" spans="1:8" ht="30" x14ac:dyDescent="0.25">
      <c r="A576" s="64" t="s">
        <v>214</v>
      </c>
      <c r="B576" s="37" t="s">
        <v>847</v>
      </c>
      <c r="C576" s="33"/>
      <c r="D576" s="33"/>
      <c r="E576" s="33" t="s">
        <v>1493</v>
      </c>
      <c r="F576" s="52">
        <v>200</v>
      </c>
      <c r="G576" s="33" t="s">
        <v>1492</v>
      </c>
      <c r="H576" s="41"/>
    </row>
    <row r="577" spans="1:8" ht="30" x14ac:dyDescent="0.25">
      <c r="A577" s="64" t="s">
        <v>214</v>
      </c>
      <c r="B577" s="44" t="s">
        <v>848</v>
      </c>
      <c r="C577" s="42"/>
      <c r="D577" s="42"/>
      <c r="E577" s="42" t="s">
        <v>1493</v>
      </c>
      <c r="F577" s="52">
        <v>200</v>
      </c>
      <c r="G577" s="42" t="s">
        <v>1492</v>
      </c>
    </row>
    <row r="578" spans="1:8" ht="30" x14ac:dyDescent="0.25">
      <c r="A578" s="64" t="s">
        <v>214</v>
      </c>
      <c r="B578" s="37" t="s">
        <v>849</v>
      </c>
      <c r="C578" s="33"/>
      <c r="D578" s="33"/>
      <c r="E578" s="33" t="s">
        <v>1493</v>
      </c>
      <c r="F578" s="52">
        <v>200</v>
      </c>
      <c r="G578" s="33" t="s">
        <v>1492</v>
      </c>
      <c r="H578" s="41"/>
    </row>
    <row r="579" spans="1:8" ht="30" x14ac:dyDescent="0.25">
      <c r="A579" s="64" t="s">
        <v>214</v>
      </c>
      <c r="B579" s="44" t="s">
        <v>850</v>
      </c>
      <c r="C579" s="42"/>
      <c r="D579" s="42"/>
      <c r="E579" s="42" t="s">
        <v>1493</v>
      </c>
      <c r="F579" s="52">
        <v>200</v>
      </c>
      <c r="G579" s="42" t="s">
        <v>1492</v>
      </c>
    </row>
    <row r="580" spans="1:8" ht="30" x14ac:dyDescent="0.25">
      <c r="A580" s="64" t="s">
        <v>214</v>
      </c>
      <c r="B580" s="37" t="s">
        <v>851</v>
      </c>
      <c r="C580" s="33"/>
      <c r="D580" s="33"/>
      <c r="E580" s="33" t="s">
        <v>1493</v>
      </c>
      <c r="F580" s="52">
        <v>200</v>
      </c>
      <c r="G580" s="33" t="s">
        <v>1492</v>
      </c>
      <c r="H580" s="41"/>
    </row>
    <row r="581" spans="1:8" ht="30" x14ac:dyDescent="0.25">
      <c r="A581" s="64" t="s">
        <v>214</v>
      </c>
      <c r="B581" s="44" t="s">
        <v>852</v>
      </c>
      <c r="C581" s="42"/>
      <c r="D581" s="42"/>
      <c r="E581" s="42" t="s">
        <v>1493</v>
      </c>
      <c r="F581" s="52">
        <v>200</v>
      </c>
      <c r="G581" s="42" t="s">
        <v>1492</v>
      </c>
    </row>
    <row r="582" spans="1:8" ht="30" x14ac:dyDescent="0.25">
      <c r="A582" s="64" t="s">
        <v>214</v>
      </c>
      <c r="B582" s="37" t="s">
        <v>853</v>
      </c>
      <c r="C582" s="33"/>
      <c r="D582" s="33"/>
      <c r="E582" s="33" t="s">
        <v>1493</v>
      </c>
      <c r="F582" s="52">
        <v>200</v>
      </c>
      <c r="G582" s="33" t="s">
        <v>1492</v>
      </c>
      <c r="H582" s="41"/>
    </row>
    <row r="583" spans="1:8" ht="30" x14ac:dyDescent="0.25">
      <c r="A583" s="64" t="s">
        <v>214</v>
      </c>
      <c r="B583" s="44" t="s">
        <v>854</v>
      </c>
      <c r="C583" s="42"/>
      <c r="D583" s="42"/>
      <c r="E583" s="42" t="s">
        <v>1493</v>
      </c>
      <c r="F583" s="52">
        <v>200</v>
      </c>
      <c r="G583" s="42" t="s">
        <v>1492</v>
      </c>
    </row>
    <row r="584" spans="1:8" ht="30" x14ac:dyDescent="0.25">
      <c r="A584" s="64" t="s">
        <v>214</v>
      </c>
      <c r="B584" s="37" t="s">
        <v>855</v>
      </c>
      <c r="C584" s="33"/>
      <c r="D584" s="33"/>
      <c r="E584" s="33" t="s">
        <v>1493</v>
      </c>
      <c r="F584" s="52">
        <v>200</v>
      </c>
      <c r="G584" s="33" t="s">
        <v>1492</v>
      </c>
      <c r="H584" s="41"/>
    </row>
    <row r="585" spans="1:8" ht="30" x14ac:dyDescent="0.25">
      <c r="A585" s="64" t="s">
        <v>214</v>
      </c>
      <c r="B585" s="44" t="s">
        <v>856</v>
      </c>
      <c r="C585" s="42"/>
      <c r="D585" s="42"/>
      <c r="E585" s="42" t="s">
        <v>1493</v>
      </c>
      <c r="F585" s="52">
        <v>200</v>
      </c>
      <c r="G585" s="42" t="s">
        <v>1492</v>
      </c>
    </row>
    <row r="586" spans="1:8" ht="30" x14ac:dyDescent="0.25">
      <c r="A586" s="64" t="s">
        <v>214</v>
      </c>
      <c r="B586" s="37" t="s">
        <v>857</v>
      </c>
      <c r="C586" s="33"/>
      <c r="D586" s="33"/>
      <c r="E586" s="33" t="s">
        <v>1493</v>
      </c>
      <c r="F586" s="52">
        <v>200</v>
      </c>
      <c r="G586" s="33" t="s">
        <v>1492</v>
      </c>
      <c r="H586" s="41"/>
    </row>
    <row r="587" spans="1:8" ht="30" x14ac:dyDescent="0.25">
      <c r="A587" s="64" t="s">
        <v>214</v>
      </c>
      <c r="B587" s="44" t="s">
        <v>858</v>
      </c>
      <c r="C587" s="42"/>
      <c r="D587" s="42"/>
      <c r="E587" s="42" t="s">
        <v>1493</v>
      </c>
      <c r="F587" s="52">
        <v>200</v>
      </c>
      <c r="G587" s="42" t="s">
        <v>1492</v>
      </c>
    </row>
    <row r="588" spans="1:8" ht="30" x14ac:dyDescent="0.25">
      <c r="A588" s="64" t="s">
        <v>214</v>
      </c>
      <c r="B588" s="37" t="s">
        <v>859</v>
      </c>
      <c r="C588" s="33"/>
      <c r="D588" s="33"/>
      <c r="E588" s="33" t="s">
        <v>1493</v>
      </c>
      <c r="F588" s="52">
        <v>200</v>
      </c>
      <c r="G588" s="33" t="s">
        <v>1492</v>
      </c>
      <c r="H588" s="41"/>
    </row>
    <row r="589" spans="1:8" ht="30" x14ac:dyDescent="0.25">
      <c r="A589" s="64" t="s">
        <v>214</v>
      </c>
      <c r="B589" s="44" t="s">
        <v>860</v>
      </c>
      <c r="C589" s="42"/>
      <c r="D589" s="42"/>
      <c r="E589" s="42" t="s">
        <v>1493</v>
      </c>
      <c r="F589" s="52">
        <v>200</v>
      </c>
      <c r="G589" s="42" t="s">
        <v>1492</v>
      </c>
    </row>
    <row r="590" spans="1:8" ht="30" x14ac:dyDescent="0.25">
      <c r="A590" s="64" t="s">
        <v>214</v>
      </c>
      <c r="B590" s="37" t="s">
        <v>861</v>
      </c>
      <c r="C590" s="33"/>
      <c r="D590" s="33"/>
      <c r="E590" s="33" t="s">
        <v>1493</v>
      </c>
      <c r="F590" s="52">
        <v>200</v>
      </c>
      <c r="G590" s="33" t="s">
        <v>1492</v>
      </c>
      <c r="H590" s="41"/>
    </row>
    <row r="591" spans="1:8" ht="30" x14ac:dyDescent="0.25">
      <c r="A591" s="64" t="s">
        <v>214</v>
      </c>
      <c r="B591" s="44" t="s">
        <v>862</v>
      </c>
      <c r="C591" s="42"/>
      <c r="D591" s="42"/>
      <c r="E591" s="42" t="s">
        <v>1493</v>
      </c>
      <c r="F591" s="52">
        <v>200</v>
      </c>
      <c r="G591" s="42" t="s">
        <v>1492</v>
      </c>
    </row>
    <row r="592" spans="1:8" ht="30" x14ac:dyDescent="0.25">
      <c r="A592" s="64" t="s">
        <v>214</v>
      </c>
      <c r="B592" s="37" t="s">
        <v>863</v>
      </c>
      <c r="C592" s="33"/>
      <c r="D592" s="33"/>
      <c r="E592" s="33" t="s">
        <v>1493</v>
      </c>
      <c r="F592" s="52">
        <v>200</v>
      </c>
      <c r="G592" s="33" t="s">
        <v>1492</v>
      </c>
      <c r="H592" s="41"/>
    </row>
    <row r="593" spans="1:8" ht="30" x14ac:dyDescent="0.25">
      <c r="A593" s="64" t="s">
        <v>214</v>
      </c>
      <c r="B593" s="44" t="s">
        <v>864</v>
      </c>
      <c r="C593" s="42"/>
      <c r="D593" s="42"/>
      <c r="E593" s="42" t="s">
        <v>1493</v>
      </c>
      <c r="F593" s="52">
        <v>200</v>
      </c>
      <c r="G593" s="42" t="s">
        <v>1492</v>
      </c>
    </row>
    <row r="594" spans="1:8" ht="30" x14ac:dyDescent="0.25">
      <c r="A594" s="64" t="s">
        <v>214</v>
      </c>
      <c r="B594" s="37" t="s">
        <v>865</v>
      </c>
      <c r="C594" s="33"/>
      <c r="D594" s="33"/>
      <c r="E594" s="33" t="s">
        <v>1493</v>
      </c>
      <c r="F594" s="52">
        <v>200</v>
      </c>
      <c r="G594" s="33" t="s">
        <v>1492</v>
      </c>
      <c r="H594" s="41"/>
    </row>
    <row r="595" spans="1:8" ht="30" x14ac:dyDescent="0.25">
      <c r="A595" s="64" t="s">
        <v>214</v>
      </c>
      <c r="B595" s="44" t="s">
        <v>866</v>
      </c>
      <c r="C595" s="42"/>
      <c r="D595" s="42"/>
      <c r="E595" s="42" t="s">
        <v>1493</v>
      </c>
      <c r="F595" s="52">
        <v>200</v>
      </c>
      <c r="G595" s="42" t="s">
        <v>1492</v>
      </c>
    </row>
    <row r="596" spans="1:8" ht="30" x14ac:dyDescent="0.25">
      <c r="A596" s="64" t="s">
        <v>214</v>
      </c>
      <c r="B596" s="37" t="s">
        <v>867</v>
      </c>
      <c r="C596" s="33"/>
      <c r="D596" s="33"/>
      <c r="E596" s="33" t="s">
        <v>1493</v>
      </c>
      <c r="F596" s="52">
        <v>200</v>
      </c>
      <c r="G596" s="33" t="s">
        <v>1492</v>
      </c>
      <c r="H596" s="41"/>
    </row>
    <row r="597" spans="1:8" ht="30" x14ac:dyDescent="0.25">
      <c r="A597" s="64" t="s">
        <v>214</v>
      </c>
      <c r="B597" s="44" t="s">
        <v>868</v>
      </c>
      <c r="C597" s="42"/>
      <c r="D597" s="42"/>
      <c r="E597" s="42" t="s">
        <v>1493</v>
      </c>
      <c r="F597" s="52">
        <v>200</v>
      </c>
      <c r="G597" s="42" t="s">
        <v>1492</v>
      </c>
    </row>
    <row r="598" spans="1:8" ht="30" x14ac:dyDescent="0.25">
      <c r="A598" s="64" t="s">
        <v>214</v>
      </c>
      <c r="B598" s="37" t="s">
        <v>869</v>
      </c>
      <c r="C598" s="33"/>
      <c r="D598" s="33"/>
      <c r="E598" s="33" t="s">
        <v>1493</v>
      </c>
      <c r="F598" s="52">
        <v>200</v>
      </c>
      <c r="G598" s="33" t="s">
        <v>1492</v>
      </c>
      <c r="H598" s="41"/>
    </row>
    <row r="599" spans="1:8" ht="30" x14ac:dyDescent="0.25">
      <c r="A599" s="64" t="s">
        <v>214</v>
      </c>
      <c r="B599" s="44" t="s">
        <v>870</v>
      </c>
      <c r="C599" s="42"/>
      <c r="D599" s="42"/>
      <c r="E599" s="42" t="s">
        <v>1493</v>
      </c>
      <c r="F599" s="52">
        <v>200</v>
      </c>
      <c r="G599" s="42" t="s">
        <v>1492</v>
      </c>
    </row>
    <row r="600" spans="1:8" ht="30" x14ac:dyDescent="0.25">
      <c r="A600" s="64" t="s">
        <v>214</v>
      </c>
      <c r="B600" s="37" t="s">
        <v>871</v>
      </c>
      <c r="C600" s="33"/>
      <c r="D600" s="33"/>
      <c r="E600" s="33" t="s">
        <v>1493</v>
      </c>
      <c r="F600" s="52">
        <v>200</v>
      </c>
      <c r="G600" s="33" t="s">
        <v>1492</v>
      </c>
      <c r="H600" s="41"/>
    </row>
    <row r="601" spans="1:8" ht="30" x14ac:dyDescent="0.25">
      <c r="A601" s="64" t="s">
        <v>214</v>
      </c>
      <c r="B601" s="44" t="s">
        <v>872</v>
      </c>
      <c r="C601" s="42"/>
      <c r="D601" s="42"/>
      <c r="E601" s="42" t="s">
        <v>1493</v>
      </c>
      <c r="F601" s="52">
        <v>200</v>
      </c>
      <c r="G601" s="42" t="s">
        <v>1492</v>
      </c>
    </row>
    <row r="602" spans="1:8" ht="30" x14ac:dyDescent="0.25">
      <c r="A602" s="64" t="s">
        <v>214</v>
      </c>
      <c r="B602" s="37" t="s">
        <v>873</v>
      </c>
      <c r="C602" s="33"/>
      <c r="D602" s="33"/>
      <c r="E602" s="33" t="s">
        <v>1493</v>
      </c>
      <c r="F602" s="52">
        <v>200</v>
      </c>
      <c r="G602" s="33" t="s">
        <v>1492</v>
      </c>
      <c r="H602" s="41"/>
    </row>
    <row r="603" spans="1:8" ht="30" x14ac:dyDescent="0.25">
      <c r="A603" s="64" t="s">
        <v>214</v>
      </c>
      <c r="B603" s="44" t="s">
        <v>874</v>
      </c>
      <c r="C603" s="42"/>
      <c r="D603" s="42"/>
      <c r="E603" s="42" t="s">
        <v>1493</v>
      </c>
      <c r="F603" s="52">
        <v>200</v>
      </c>
      <c r="G603" s="42" t="s">
        <v>1492</v>
      </c>
    </row>
    <row r="604" spans="1:8" ht="30" x14ac:dyDescent="0.25">
      <c r="A604" s="64" t="s">
        <v>214</v>
      </c>
      <c r="B604" s="37" t="s">
        <v>875</v>
      </c>
      <c r="C604" s="33"/>
      <c r="D604" s="33"/>
      <c r="E604" s="33" t="s">
        <v>1493</v>
      </c>
      <c r="F604" s="52">
        <v>200</v>
      </c>
      <c r="G604" s="33" t="s">
        <v>1492</v>
      </c>
      <c r="H604" s="41"/>
    </row>
    <row r="605" spans="1:8" ht="30" x14ac:dyDescent="0.25">
      <c r="A605" s="64" t="s">
        <v>214</v>
      </c>
      <c r="B605" s="44" t="s">
        <v>876</v>
      </c>
      <c r="C605" s="42"/>
      <c r="D605" s="42"/>
      <c r="E605" s="42" t="s">
        <v>1493</v>
      </c>
      <c r="F605" s="52">
        <v>200</v>
      </c>
      <c r="G605" s="42" t="s">
        <v>1492</v>
      </c>
    </row>
    <row r="606" spans="1:8" ht="30" x14ac:dyDescent="0.25">
      <c r="A606" s="64" t="s">
        <v>214</v>
      </c>
      <c r="B606" s="37" t="s">
        <v>877</v>
      </c>
      <c r="C606" s="33"/>
      <c r="D606" s="33"/>
      <c r="E606" s="33" t="s">
        <v>1493</v>
      </c>
      <c r="F606" s="52">
        <v>200</v>
      </c>
      <c r="G606" s="33" t="s">
        <v>1492</v>
      </c>
      <c r="H606" s="41"/>
    </row>
    <row r="607" spans="1:8" ht="30" x14ac:dyDescent="0.25">
      <c r="A607" s="64" t="s">
        <v>214</v>
      </c>
      <c r="B607" s="44" t="s">
        <v>878</v>
      </c>
      <c r="C607" s="42"/>
      <c r="D607" s="42"/>
      <c r="E607" s="42" t="s">
        <v>1493</v>
      </c>
      <c r="F607" s="52">
        <v>200</v>
      </c>
      <c r="G607" s="42" t="s">
        <v>1492</v>
      </c>
    </row>
    <row r="608" spans="1:8" ht="30" x14ac:dyDescent="0.25">
      <c r="A608" s="64" t="s">
        <v>214</v>
      </c>
      <c r="B608" s="37" t="s">
        <v>879</v>
      </c>
      <c r="C608" s="33"/>
      <c r="D608" s="33"/>
      <c r="E608" s="33" t="s">
        <v>1493</v>
      </c>
      <c r="F608" s="52">
        <v>200</v>
      </c>
      <c r="G608" s="33" t="s">
        <v>1492</v>
      </c>
      <c r="H608" s="41"/>
    </row>
    <row r="609" spans="1:8" ht="30" x14ac:dyDescent="0.25">
      <c r="A609" s="64" t="s">
        <v>214</v>
      </c>
      <c r="B609" s="44" t="s">
        <v>880</v>
      </c>
      <c r="C609" s="42"/>
      <c r="D609" s="42"/>
      <c r="E609" s="42" t="s">
        <v>1493</v>
      </c>
      <c r="F609" s="52">
        <v>200</v>
      </c>
      <c r="G609" s="42" t="s">
        <v>1492</v>
      </c>
    </row>
    <row r="610" spans="1:8" ht="30" x14ac:dyDescent="0.25">
      <c r="A610" s="64" t="s">
        <v>214</v>
      </c>
      <c r="B610" s="37" t="s">
        <v>881</v>
      </c>
      <c r="C610" s="33"/>
      <c r="D610" s="33"/>
      <c r="E610" s="33" t="s">
        <v>1493</v>
      </c>
      <c r="F610" s="52">
        <v>200</v>
      </c>
      <c r="G610" s="33" t="s">
        <v>1492</v>
      </c>
      <c r="H610" s="41"/>
    </row>
    <row r="611" spans="1:8" ht="30" x14ac:dyDescent="0.25">
      <c r="A611" s="64" t="s">
        <v>214</v>
      </c>
      <c r="B611" s="44" t="s">
        <v>882</v>
      </c>
      <c r="C611" s="42"/>
      <c r="D611" s="42"/>
      <c r="E611" s="42" t="s">
        <v>1493</v>
      </c>
      <c r="F611" s="52">
        <v>200</v>
      </c>
      <c r="G611" s="42" t="s">
        <v>1492</v>
      </c>
    </row>
    <row r="612" spans="1:8" ht="30" x14ac:dyDescent="0.25">
      <c r="A612" s="64" t="s">
        <v>214</v>
      </c>
      <c r="B612" s="37" t="s">
        <v>883</v>
      </c>
      <c r="C612" s="33"/>
      <c r="D612" s="33"/>
      <c r="E612" s="33" t="s">
        <v>1493</v>
      </c>
      <c r="F612" s="52">
        <v>200</v>
      </c>
      <c r="G612" s="33" t="s">
        <v>1492</v>
      </c>
      <c r="H612" s="41"/>
    </row>
    <row r="613" spans="1:8" ht="30" x14ac:dyDescent="0.25">
      <c r="A613" s="64" t="s">
        <v>214</v>
      </c>
      <c r="B613" s="44" t="s">
        <v>884</v>
      </c>
      <c r="C613" s="42"/>
      <c r="D613" s="42"/>
      <c r="E613" s="42" t="s">
        <v>1493</v>
      </c>
      <c r="F613" s="52">
        <v>200</v>
      </c>
      <c r="G613" s="42" t="s">
        <v>1492</v>
      </c>
    </row>
    <row r="614" spans="1:8" ht="30" x14ac:dyDescent="0.25">
      <c r="A614" s="64" t="s">
        <v>214</v>
      </c>
      <c r="B614" s="37" t="s">
        <v>885</v>
      </c>
      <c r="C614" s="33"/>
      <c r="D614" s="33"/>
      <c r="E614" s="33" t="s">
        <v>1493</v>
      </c>
      <c r="F614" s="52">
        <v>200</v>
      </c>
      <c r="G614" s="33" t="s">
        <v>1492</v>
      </c>
      <c r="H614" s="41"/>
    </row>
    <row r="615" spans="1:8" ht="30" x14ac:dyDescent="0.25">
      <c r="A615" s="64" t="s">
        <v>214</v>
      </c>
      <c r="B615" s="44" t="s">
        <v>886</v>
      </c>
      <c r="C615" s="42"/>
      <c r="D615" s="42"/>
      <c r="E615" s="42" t="s">
        <v>1493</v>
      </c>
      <c r="F615" s="52">
        <v>200</v>
      </c>
      <c r="G615" s="42" t="s">
        <v>1492</v>
      </c>
    </row>
    <row r="616" spans="1:8" ht="30" x14ac:dyDescent="0.25">
      <c r="A616" s="64" t="s">
        <v>214</v>
      </c>
      <c r="B616" s="37" t="s">
        <v>887</v>
      </c>
      <c r="C616" s="33"/>
      <c r="D616" s="33"/>
      <c r="E616" s="33" t="s">
        <v>1493</v>
      </c>
      <c r="F616" s="52">
        <v>200</v>
      </c>
      <c r="G616" s="33" t="s">
        <v>1492</v>
      </c>
      <c r="H616" s="41"/>
    </row>
    <row r="617" spans="1:8" ht="30" x14ac:dyDescent="0.25">
      <c r="A617" s="64" t="s">
        <v>214</v>
      </c>
      <c r="B617" s="44" t="s">
        <v>888</v>
      </c>
      <c r="C617" s="42"/>
      <c r="D617" s="42"/>
      <c r="E617" s="42" t="s">
        <v>1493</v>
      </c>
      <c r="F617" s="52">
        <v>200</v>
      </c>
      <c r="G617" s="42" t="s">
        <v>1492</v>
      </c>
    </row>
    <row r="618" spans="1:8" ht="30" x14ac:dyDescent="0.25">
      <c r="A618" s="64" t="s">
        <v>214</v>
      </c>
      <c r="B618" s="37" t="s">
        <v>889</v>
      </c>
      <c r="C618" s="33"/>
      <c r="D618" s="33"/>
      <c r="E618" s="33" t="s">
        <v>1493</v>
      </c>
      <c r="F618" s="52">
        <v>200</v>
      </c>
      <c r="G618" s="33" t="s">
        <v>1492</v>
      </c>
      <c r="H618" s="41"/>
    </row>
    <row r="619" spans="1:8" ht="30" x14ac:dyDescent="0.25">
      <c r="A619" s="64" t="s">
        <v>214</v>
      </c>
      <c r="B619" s="44" t="s">
        <v>890</v>
      </c>
      <c r="C619" s="42"/>
      <c r="D619" s="42"/>
      <c r="E619" s="42" t="s">
        <v>1493</v>
      </c>
      <c r="F619" s="52">
        <v>200</v>
      </c>
      <c r="G619" s="42" t="s">
        <v>1492</v>
      </c>
    </row>
    <row r="620" spans="1:8" ht="30" x14ac:dyDescent="0.25">
      <c r="A620" s="64" t="s">
        <v>214</v>
      </c>
      <c r="B620" s="37" t="s">
        <v>891</v>
      </c>
      <c r="C620" s="33"/>
      <c r="D620" s="33"/>
      <c r="E620" s="33" t="s">
        <v>1493</v>
      </c>
      <c r="F620" s="52">
        <v>200</v>
      </c>
      <c r="G620" s="33" t="s">
        <v>1492</v>
      </c>
      <c r="H620" s="41"/>
    </row>
    <row r="621" spans="1:8" ht="30" x14ac:dyDescent="0.25">
      <c r="A621" s="64" t="s">
        <v>214</v>
      </c>
      <c r="B621" s="44" t="s">
        <v>892</v>
      </c>
      <c r="C621" s="42"/>
      <c r="D621" s="42"/>
      <c r="E621" s="42" t="s">
        <v>1493</v>
      </c>
      <c r="F621" s="52">
        <v>200</v>
      </c>
      <c r="G621" s="42" t="s">
        <v>1492</v>
      </c>
    </row>
    <row r="622" spans="1:8" ht="30" x14ac:dyDescent="0.25">
      <c r="A622" s="64" t="s">
        <v>214</v>
      </c>
      <c r="B622" s="37" t="s">
        <v>893</v>
      </c>
      <c r="C622" s="33"/>
      <c r="D622" s="33"/>
      <c r="E622" s="33" t="s">
        <v>1493</v>
      </c>
      <c r="F622" s="52">
        <v>200</v>
      </c>
      <c r="G622" s="33" t="s">
        <v>1492</v>
      </c>
      <c r="H622" s="41"/>
    </row>
    <row r="623" spans="1:8" ht="30" x14ac:dyDescent="0.25">
      <c r="A623" s="64" t="s">
        <v>214</v>
      </c>
      <c r="B623" s="44" t="s">
        <v>894</v>
      </c>
      <c r="C623" s="42"/>
      <c r="D623" s="42"/>
      <c r="E623" s="42" t="s">
        <v>1493</v>
      </c>
      <c r="F623" s="52">
        <v>200</v>
      </c>
      <c r="G623" s="42" t="s">
        <v>1492</v>
      </c>
    </row>
    <row r="624" spans="1:8" ht="30" x14ac:dyDescent="0.25">
      <c r="A624" s="64" t="s">
        <v>214</v>
      </c>
      <c r="B624" s="37" t="s">
        <v>895</v>
      </c>
      <c r="C624" s="33"/>
      <c r="D624" s="33"/>
      <c r="E624" s="33" t="s">
        <v>1493</v>
      </c>
      <c r="F624" s="52">
        <v>200</v>
      </c>
      <c r="G624" s="33" t="s">
        <v>1492</v>
      </c>
      <c r="H624" s="41"/>
    </row>
    <row r="625" spans="1:8" ht="30" x14ac:dyDescent="0.25">
      <c r="A625" s="64" t="s">
        <v>214</v>
      </c>
      <c r="B625" s="44" t="s">
        <v>896</v>
      </c>
      <c r="C625" s="42"/>
      <c r="D625" s="42"/>
      <c r="E625" s="42" t="s">
        <v>1493</v>
      </c>
      <c r="F625" s="52">
        <v>200</v>
      </c>
      <c r="G625" s="42" t="s">
        <v>1492</v>
      </c>
    </row>
    <row r="626" spans="1:8" ht="30" x14ac:dyDescent="0.25">
      <c r="A626" s="64" t="s">
        <v>214</v>
      </c>
      <c r="B626" s="37" t="s">
        <v>897</v>
      </c>
      <c r="C626" s="33"/>
      <c r="D626" s="33"/>
      <c r="E626" s="33" t="s">
        <v>1493</v>
      </c>
      <c r="F626" s="52">
        <v>200</v>
      </c>
      <c r="G626" s="33" t="s">
        <v>1492</v>
      </c>
      <c r="H626" s="41"/>
    </row>
    <row r="627" spans="1:8" ht="30" x14ac:dyDescent="0.25">
      <c r="A627" s="64" t="s">
        <v>214</v>
      </c>
      <c r="B627" s="44" t="s">
        <v>898</v>
      </c>
      <c r="C627" s="42"/>
      <c r="D627" s="42"/>
      <c r="E627" s="42" t="s">
        <v>1493</v>
      </c>
      <c r="F627" s="52">
        <v>200</v>
      </c>
      <c r="G627" s="42" t="s">
        <v>1492</v>
      </c>
    </row>
    <row r="628" spans="1:8" ht="30" x14ac:dyDescent="0.25">
      <c r="A628" s="64" t="s">
        <v>214</v>
      </c>
      <c r="B628" s="37" t="s">
        <v>899</v>
      </c>
      <c r="C628" s="33"/>
      <c r="D628" s="33"/>
      <c r="E628" s="33" t="s">
        <v>1493</v>
      </c>
      <c r="F628" s="52">
        <v>200</v>
      </c>
      <c r="G628" s="33" t="s">
        <v>1492</v>
      </c>
      <c r="H628" s="41"/>
    </row>
    <row r="629" spans="1:8" ht="30" x14ac:dyDescent="0.25">
      <c r="A629" s="64" t="s">
        <v>214</v>
      </c>
      <c r="B629" s="44" t="s">
        <v>900</v>
      </c>
      <c r="C629" s="42"/>
      <c r="D629" s="42"/>
      <c r="E629" s="42" t="s">
        <v>1493</v>
      </c>
      <c r="F629" s="52">
        <v>200</v>
      </c>
      <c r="G629" s="42" t="s">
        <v>1492</v>
      </c>
    </row>
    <row r="630" spans="1:8" ht="30" x14ac:dyDescent="0.25">
      <c r="A630" s="64" t="s">
        <v>214</v>
      </c>
      <c r="B630" s="37" t="s">
        <v>901</v>
      </c>
      <c r="C630" s="33"/>
      <c r="D630" s="33"/>
      <c r="E630" s="33" t="s">
        <v>1493</v>
      </c>
      <c r="F630" s="52">
        <v>200</v>
      </c>
      <c r="G630" s="33" t="s">
        <v>1492</v>
      </c>
      <c r="H630" s="41"/>
    </row>
    <row r="631" spans="1:8" ht="30" x14ac:dyDescent="0.25">
      <c r="A631" s="64" t="s">
        <v>214</v>
      </c>
      <c r="B631" s="44" t="s">
        <v>902</v>
      </c>
      <c r="C631" s="42"/>
      <c r="D631" s="42"/>
      <c r="E631" s="42" t="s">
        <v>1493</v>
      </c>
      <c r="F631" s="52">
        <v>200</v>
      </c>
      <c r="G631" s="42" t="s">
        <v>1492</v>
      </c>
    </row>
    <row r="632" spans="1:8" ht="30" x14ac:dyDescent="0.25">
      <c r="A632" s="64" t="s">
        <v>214</v>
      </c>
      <c r="B632" s="37" t="s">
        <v>903</v>
      </c>
      <c r="C632" s="33"/>
      <c r="D632" s="33"/>
      <c r="E632" s="33" t="s">
        <v>1493</v>
      </c>
      <c r="F632" s="52">
        <v>200</v>
      </c>
      <c r="G632" s="33" t="s">
        <v>1492</v>
      </c>
      <c r="H632" s="41"/>
    </row>
    <row r="633" spans="1:8" ht="30" x14ac:dyDescent="0.25">
      <c r="A633" s="64" t="s">
        <v>214</v>
      </c>
      <c r="B633" s="44" t="s">
        <v>904</v>
      </c>
      <c r="C633" s="42"/>
      <c r="D633" s="42"/>
      <c r="E633" s="42" t="s">
        <v>1493</v>
      </c>
      <c r="F633" s="52">
        <v>200</v>
      </c>
      <c r="G633" s="42" t="s">
        <v>1492</v>
      </c>
    </row>
    <row r="634" spans="1:8" ht="30" x14ac:dyDescent="0.25">
      <c r="A634" s="64" t="s">
        <v>214</v>
      </c>
      <c r="B634" s="37" t="s">
        <v>905</v>
      </c>
      <c r="C634" s="33"/>
      <c r="D634" s="33"/>
      <c r="E634" s="33" t="s">
        <v>1493</v>
      </c>
      <c r="F634" s="52">
        <v>200</v>
      </c>
      <c r="G634" s="33" t="s">
        <v>1492</v>
      </c>
      <c r="H634" s="41"/>
    </row>
    <row r="635" spans="1:8" ht="30" x14ac:dyDescent="0.25">
      <c r="A635" s="64" t="s">
        <v>214</v>
      </c>
      <c r="B635" s="44" t="s">
        <v>906</v>
      </c>
      <c r="C635" s="42"/>
      <c r="D635" s="42"/>
      <c r="E635" s="42" t="s">
        <v>1493</v>
      </c>
      <c r="F635" s="52">
        <v>200</v>
      </c>
      <c r="G635" s="42" t="s">
        <v>1492</v>
      </c>
    </row>
    <row r="636" spans="1:8" ht="30" x14ac:dyDescent="0.25">
      <c r="A636" s="64" t="s">
        <v>214</v>
      </c>
      <c r="B636" s="37" t="s">
        <v>907</v>
      </c>
      <c r="C636" s="33"/>
      <c r="D636" s="33"/>
      <c r="E636" s="33" t="s">
        <v>1493</v>
      </c>
      <c r="F636" s="52">
        <v>200</v>
      </c>
      <c r="G636" s="33" t="s">
        <v>1492</v>
      </c>
      <c r="H636" s="41"/>
    </row>
    <row r="637" spans="1:8" ht="30" x14ac:dyDescent="0.25">
      <c r="A637" s="64" t="s">
        <v>214</v>
      </c>
      <c r="B637" s="44" t="s">
        <v>908</v>
      </c>
      <c r="C637" s="42"/>
      <c r="D637" s="42"/>
      <c r="E637" s="42" t="s">
        <v>1493</v>
      </c>
      <c r="F637" s="52">
        <v>200</v>
      </c>
      <c r="G637" s="42" t="s">
        <v>1492</v>
      </c>
    </row>
    <row r="638" spans="1:8" ht="30" x14ac:dyDescent="0.25">
      <c r="A638" s="64" t="s">
        <v>214</v>
      </c>
      <c r="B638" s="37" t="s">
        <v>909</v>
      </c>
      <c r="C638" s="33"/>
      <c r="D638" s="33"/>
      <c r="E638" s="33" t="s">
        <v>1493</v>
      </c>
      <c r="F638" s="52">
        <v>200</v>
      </c>
      <c r="G638" s="33" t="s">
        <v>1492</v>
      </c>
      <c r="H638" s="41"/>
    </row>
    <row r="639" spans="1:8" ht="30" x14ac:dyDescent="0.25">
      <c r="A639" s="64" t="s">
        <v>214</v>
      </c>
      <c r="B639" s="44" t="s">
        <v>910</v>
      </c>
      <c r="C639" s="42"/>
      <c r="D639" s="42"/>
      <c r="E639" s="42" t="s">
        <v>1493</v>
      </c>
      <c r="F639" s="52">
        <v>200</v>
      </c>
      <c r="G639" s="42" t="s">
        <v>1492</v>
      </c>
    </row>
    <row r="640" spans="1:8" ht="30" x14ac:dyDescent="0.25">
      <c r="A640" s="64" t="s">
        <v>214</v>
      </c>
      <c r="B640" s="37" t="s">
        <v>765</v>
      </c>
      <c r="C640" s="33"/>
      <c r="D640" s="33"/>
      <c r="E640" s="33" t="s">
        <v>1493</v>
      </c>
      <c r="F640" s="52">
        <v>200</v>
      </c>
      <c r="G640" s="33" t="s">
        <v>1492</v>
      </c>
      <c r="H640" s="41"/>
    </row>
    <row r="641" spans="1:8" ht="30" x14ac:dyDescent="0.25">
      <c r="A641" s="64" t="s">
        <v>214</v>
      </c>
      <c r="B641" s="44" t="s">
        <v>911</v>
      </c>
      <c r="C641" s="42"/>
      <c r="D641" s="42"/>
      <c r="E641" s="42" t="s">
        <v>1493</v>
      </c>
      <c r="F641" s="52">
        <v>200</v>
      </c>
      <c r="G641" s="42" t="s">
        <v>1492</v>
      </c>
    </row>
    <row r="642" spans="1:8" ht="30" x14ac:dyDescent="0.25">
      <c r="A642" s="64" t="s">
        <v>214</v>
      </c>
      <c r="B642" s="37" t="s">
        <v>912</v>
      </c>
      <c r="C642" s="33"/>
      <c r="D642" s="33"/>
      <c r="E642" s="33" t="s">
        <v>1493</v>
      </c>
      <c r="F642" s="52">
        <v>200</v>
      </c>
      <c r="G642" s="33" t="s">
        <v>1492</v>
      </c>
      <c r="H642" s="41"/>
    </row>
    <row r="643" spans="1:8" ht="30" x14ac:dyDescent="0.25">
      <c r="A643" s="64" t="s">
        <v>214</v>
      </c>
      <c r="B643" s="44" t="s">
        <v>913</v>
      </c>
      <c r="C643" s="42"/>
      <c r="D643" s="42"/>
      <c r="E643" s="42" t="s">
        <v>1493</v>
      </c>
      <c r="F643" s="52">
        <v>200</v>
      </c>
      <c r="G643" s="42" t="s">
        <v>1492</v>
      </c>
    </row>
    <row r="644" spans="1:8" ht="30" x14ac:dyDescent="0.25">
      <c r="A644" s="64" t="s">
        <v>214</v>
      </c>
      <c r="B644" s="37" t="s">
        <v>914</v>
      </c>
      <c r="C644" s="33"/>
      <c r="D644" s="33"/>
      <c r="E644" s="33" t="s">
        <v>1493</v>
      </c>
      <c r="F644" s="52">
        <v>200</v>
      </c>
      <c r="G644" s="33" t="s">
        <v>1492</v>
      </c>
      <c r="H644" s="41"/>
    </row>
    <row r="645" spans="1:8" ht="30" x14ac:dyDescent="0.25">
      <c r="A645" s="64" t="s">
        <v>214</v>
      </c>
      <c r="B645" s="44" t="s">
        <v>915</v>
      </c>
      <c r="C645" s="42"/>
      <c r="D645" s="42"/>
      <c r="E645" s="42" t="s">
        <v>1493</v>
      </c>
      <c r="F645" s="52">
        <v>200</v>
      </c>
      <c r="G645" s="42" t="s">
        <v>1492</v>
      </c>
    </row>
    <row r="646" spans="1:8" ht="30" x14ac:dyDescent="0.25">
      <c r="A646" s="64" t="s">
        <v>214</v>
      </c>
      <c r="B646" s="37" t="s">
        <v>916</v>
      </c>
      <c r="C646" s="33"/>
      <c r="D646" s="33"/>
      <c r="E646" s="33" t="s">
        <v>1493</v>
      </c>
      <c r="F646" s="52">
        <v>200</v>
      </c>
      <c r="G646" s="33" t="s">
        <v>1492</v>
      </c>
      <c r="H646" s="41"/>
    </row>
    <row r="647" spans="1:8" ht="30" x14ac:dyDescent="0.25">
      <c r="A647" s="64" t="s">
        <v>214</v>
      </c>
      <c r="B647" s="44" t="s">
        <v>917</v>
      </c>
      <c r="C647" s="42"/>
      <c r="D647" s="42"/>
      <c r="E647" s="42" t="s">
        <v>1493</v>
      </c>
      <c r="F647" s="52">
        <v>200</v>
      </c>
      <c r="G647" s="42" t="s">
        <v>1492</v>
      </c>
    </row>
    <row r="648" spans="1:8" ht="30" x14ac:dyDescent="0.25">
      <c r="A648" s="64" t="s">
        <v>214</v>
      </c>
      <c r="B648" s="37" t="s">
        <v>918</v>
      </c>
      <c r="C648" s="33"/>
      <c r="D648" s="33"/>
      <c r="E648" s="33" t="s">
        <v>1493</v>
      </c>
      <c r="F648" s="52">
        <v>200</v>
      </c>
      <c r="G648" s="33" t="s">
        <v>1492</v>
      </c>
      <c r="H648" s="41"/>
    </row>
    <row r="649" spans="1:8" ht="30" x14ac:dyDescent="0.25">
      <c r="A649" s="64" t="s">
        <v>214</v>
      </c>
      <c r="B649" s="44" t="s">
        <v>919</v>
      </c>
      <c r="C649" s="42"/>
      <c r="D649" s="42"/>
      <c r="E649" s="42" t="s">
        <v>1493</v>
      </c>
      <c r="F649" s="52">
        <v>200</v>
      </c>
      <c r="G649" s="42" t="s">
        <v>1492</v>
      </c>
    </row>
    <row r="650" spans="1:8" ht="30" x14ac:dyDescent="0.25">
      <c r="A650" s="64" t="s">
        <v>214</v>
      </c>
      <c r="B650" s="37" t="s">
        <v>920</v>
      </c>
      <c r="C650" s="33"/>
      <c r="D650" s="33"/>
      <c r="E650" s="33" t="s">
        <v>1493</v>
      </c>
      <c r="F650" s="52">
        <v>200</v>
      </c>
      <c r="G650" s="33" t="s">
        <v>1492</v>
      </c>
      <c r="H650" s="41"/>
    </row>
    <row r="651" spans="1:8" ht="30" x14ac:dyDescent="0.25">
      <c r="A651" s="64" t="s">
        <v>214</v>
      </c>
      <c r="B651" s="44" t="s">
        <v>921</v>
      </c>
      <c r="C651" s="42"/>
      <c r="D651" s="42"/>
      <c r="E651" s="42" t="s">
        <v>1493</v>
      </c>
      <c r="F651" s="52">
        <v>200</v>
      </c>
      <c r="G651" s="42" t="s">
        <v>1492</v>
      </c>
    </row>
    <row r="652" spans="1:8" ht="30" x14ac:dyDescent="0.25">
      <c r="A652" s="64" t="s">
        <v>214</v>
      </c>
      <c r="B652" s="37" t="s">
        <v>922</v>
      </c>
      <c r="C652" s="33"/>
      <c r="D652" s="33"/>
      <c r="E652" s="33" t="s">
        <v>1493</v>
      </c>
      <c r="F652" s="52">
        <v>200</v>
      </c>
      <c r="G652" s="33" t="s">
        <v>1492</v>
      </c>
      <c r="H652" s="41"/>
    </row>
    <row r="653" spans="1:8" ht="30" x14ac:dyDescent="0.25">
      <c r="A653" s="64" t="s">
        <v>214</v>
      </c>
      <c r="B653" s="44" t="s">
        <v>923</v>
      </c>
      <c r="C653" s="42"/>
      <c r="D653" s="42"/>
      <c r="E653" s="42" t="s">
        <v>1493</v>
      </c>
      <c r="F653" s="52">
        <v>200</v>
      </c>
      <c r="G653" s="42" t="s">
        <v>1492</v>
      </c>
    </row>
    <row r="654" spans="1:8" ht="30" x14ac:dyDescent="0.25">
      <c r="A654" s="64" t="s">
        <v>214</v>
      </c>
      <c r="B654" s="37" t="s">
        <v>924</v>
      </c>
      <c r="C654" s="33"/>
      <c r="D654" s="33"/>
      <c r="E654" s="33" t="s">
        <v>1493</v>
      </c>
      <c r="F654" s="52">
        <v>200</v>
      </c>
      <c r="G654" s="33" t="s">
        <v>1492</v>
      </c>
      <c r="H654" s="41"/>
    </row>
    <row r="655" spans="1:8" ht="30" x14ac:dyDescent="0.25">
      <c r="A655" s="64" t="s">
        <v>214</v>
      </c>
      <c r="B655" s="44" t="s">
        <v>925</v>
      </c>
      <c r="C655" s="42"/>
      <c r="D655" s="42"/>
      <c r="E655" s="42" t="s">
        <v>1493</v>
      </c>
      <c r="F655" s="52">
        <v>200</v>
      </c>
      <c r="G655" s="42" t="s">
        <v>1492</v>
      </c>
    </row>
    <row r="656" spans="1:8" ht="30" x14ac:dyDescent="0.25">
      <c r="A656" s="64" t="s">
        <v>214</v>
      </c>
      <c r="B656" s="37" t="s">
        <v>926</v>
      </c>
      <c r="C656" s="33"/>
      <c r="D656" s="33"/>
      <c r="E656" s="33" t="s">
        <v>1493</v>
      </c>
      <c r="F656" s="52">
        <v>200</v>
      </c>
      <c r="G656" s="33" t="s">
        <v>1492</v>
      </c>
      <c r="H656" s="41"/>
    </row>
    <row r="657" spans="1:8" ht="30" x14ac:dyDescent="0.25">
      <c r="A657" s="64" t="s">
        <v>214</v>
      </c>
      <c r="B657" s="44" t="s">
        <v>927</v>
      </c>
      <c r="C657" s="42"/>
      <c r="D657" s="42"/>
      <c r="E657" s="42" t="s">
        <v>1493</v>
      </c>
      <c r="F657" s="52">
        <v>200</v>
      </c>
      <c r="G657" s="42" t="s">
        <v>1492</v>
      </c>
    </row>
    <row r="658" spans="1:8" ht="30" x14ac:dyDescent="0.25">
      <c r="A658" s="64" t="s">
        <v>214</v>
      </c>
      <c r="B658" s="37" t="s">
        <v>928</v>
      </c>
      <c r="C658" s="33"/>
      <c r="D658" s="33"/>
      <c r="E658" s="33" t="s">
        <v>1493</v>
      </c>
      <c r="F658" s="52">
        <v>200</v>
      </c>
      <c r="G658" s="33" t="s">
        <v>1492</v>
      </c>
      <c r="H658" s="41"/>
    </row>
    <row r="659" spans="1:8" ht="30" x14ac:dyDescent="0.25">
      <c r="A659" s="64" t="s">
        <v>214</v>
      </c>
      <c r="B659" s="44" t="s">
        <v>929</v>
      </c>
      <c r="C659" s="42"/>
      <c r="D659" s="42"/>
      <c r="E659" s="42" t="s">
        <v>1493</v>
      </c>
      <c r="F659" s="52">
        <v>200</v>
      </c>
      <c r="G659" s="42" t="s">
        <v>1492</v>
      </c>
    </row>
    <row r="660" spans="1:8" ht="30" x14ac:dyDescent="0.25">
      <c r="A660" s="64" t="s">
        <v>214</v>
      </c>
      <c r="B660" s="37" t="s">
        <v>930</v>
      </c>
      <c r="C660" s="33"/>
      <c r="D660" s="33"/>
      <c r="E660" s="33" t="s">
        <v>1493</v>
      </c>
      <c r="F660" s="52">
        <v>200</v>
      </c>
      <c r="G660" s="33" t="s">
        <v>1492</v>
      </c>
      <c r="H660" s="41"/>
    </row>
    <row r="661" spans="1:8" ht="30" x14ac:dyDescent="0.25">
      <c r="A661" s="64" t="s">
        <v>214</v>
      </c>
      <c r="B661" s="44" t="s">
        <v>931</v>
      </c>
      <c r="C661" s="42"/>
      <c r="D661" s="42"/>
      <c r="E661" s="42" t="s">
        <v>1493</v>
      </c>
      <c r="F661" s="52">
        <v>200</v>
      </c>
      <c r="G661" s="42" t="s">
        <v>1492</v>
      </c>
    </row>
    <row r="662" spans="1:8" ht="30" x14ac:dyDescent="0.25">
      <c r="A662" s="64" t="s">
        <v>214</v>
      </c>
      <c r="B662" s="37" t="s">
        <v>932</v>
      </c>
      <c r="C662" s="33"/>
      <c r="D662" s="33"/>
      <c r="E662" s="33" t="s">
        <v>1493</v>
      </c>
      <c r="F662" s="52">
        <v>200</v>
      </c>
      <c r="G662" s="33" t="s">
        <v>1492</v>
      </c>
      <c r="H662" s="41"/>
    </row>
    <row r="663" spans="1:8" ht="30" x14ac:dyDescent="0.25">
      <c r="A663" s="64" t="s">
        <v>214</v>
      </c>
      <c r="B663" s="44" t="s">
        <v>933</v>
      </c>
      <c r="C663" s="42"/>
      <c r="D663" s="42"/>
      <c r="E663" s="42" t="s">
        <v>1493</v>
      </c>
      <c r="F663" s="52">
        <v>200</v>
      </c>
      <c r="G663" s="42" t="s">
        <v>1492</v>
      </c>
    </row>
    <row r="664" spans="1:8" ht="30" x14ac:dyDescent="0.25">
      <c r="A664" s="64" t="s">
        <v>214</v>
      </c>
      <c r="B664" s="37" t="s">
        <v>934</v>
      </c>
      <c r="C664" s="33"/>
      <c r="D664" s="33"/>
      <c r="E664" s="33" t="s">
        <v>1493</v>
      </c>
      <c r="F664" s="52">
        <v>200</v>
      </c>
      <c r="G664" s="33" t="s">
        <v>1492</v>
      </c>
      <c r="H664" s="41"/>
    </row>
    <row r="665" spans="1:8" ht="30" x14ac:dyDescent="0.25">
      <c r="A665" s="64" t="s">
        <v>214</v>
      </c>
      <c r="B665" s="44" t="s">
        <v>935</v>
      </c>
      <c r="C665" s="42"/>
      <c r="D665" s="42"/>
      <c r="E665" s="42" t="s">
        <v>1493</v>
      </c>
      <c r="F665" s="52">
        <v>200</v>
      </c>
      <c r="G665" s="42" t="s">
        <v>1492</v>
      </c>
    </row>
    <row r="666" spans="1:8" ht="30" x14ac:dyDescent="0.25">
      <c r="A666" s="64" t="s">
        <v>214</v>
      </c>
      <c r="B666" s="37" t="s">
        <v>936</v>
      </c>
      <c r="C666" s="33"/>
      <c r="D666" s="33"/>
      <c r="E666" s="33" t="s">
        <v>1493</v>
      </c>
      <c r="F666" s="52">
        <v>200</v>
      </c>
      <c r="G666" s="33" t="s">
        <v>1492</v>
      </c>
      <c r="H666" s="41"/>
    </row>
    <row r="667" spans="1:8" ht="30" x14ac:dyDescent="0.25">
      <c r="A667" s="64" t="s">
        <v>214</v>
      </c>
      <c r="B667" s="44" t="s">
        <v>937</v>
      </c>
      <c r="C667" s="42"/>
      <c r="D667" s="42"/>
      <c r="E667" s="42" t="s">
        <v>1493</v>
      </c>
      <c r="F667" s="52">
        <v>200</v>
      </c>
      <c r="G667" s="42" t="s">
        <v>1492</v>
      </c>
    </row>
    <row r="668" spans="1:8" ht="30" x14ac:dyDescent="0.25">
      <c r="A668" s="64" t="s">
        <v>214</v>
      </c>
      <c r="B668" s="37" t="s">
        <v>938</v>
      </c>
      <c r="C668" s="33"/>
      <c r="D668" s="33"/>
      <c r="E668" s="33" t="s">
        <v>1493</v>
      </c>
      <c r="F668" s="52">
        <v>200</v>
      </c>
      <c r="G668" s="33" t="s">
        <v>1492</v>
      </c>
      <c r="H668" s="41"/>
    </row>
    <row r="669" spans="1:8" ht="30" x14ac:dyDescent="0.25">
      <c r="A669" s="64" t="s">
        <v>214</v>
      </c>
      <c r="B669" s="44" t="s">
        <v>939</v>
      </c>
      <c r="C669" s="42"/>
      <c r="D669" s="42"/>
      <c r="E669" s="42" t="s">
        <v>1493</v>
      </c>
      <c r="F669" s="52">
        <v>200</v>
      </c>
      <c r="G669" s="42" t="s">
        <v>1492</v>
      </c>
    </row>
    <row r="670" spans="1:8" ht="30" x14ac:dyDescent="0.25">
      <c r="A670" s="64" t="s">
        <v>214</v>
      </c>
      <c r="B670" s="37" t="s">
        <v>940</v>
      </c>
      <c r="C670" s="33"/>
      <c r="D670" s="33"/>
      <c r="E670" s="33" t="s">
        <v>1493</v>
      </c>
      <c r="F670" s="52">
        <v>200</v>
      </c>
      <c r="G670" s="33" t="s">
        <v>1492</v>
      </c>
      <c r="H670" s="41"/>
    </row>
    <row r="671" spans="1:8" ht="30" x14ac:dyDescent="0.25">
      <c r="A671" s="64" t="s">
        <v>214</v>
      </c>
      <c r="B671" s="44" t="s">
        <v>941</v>
      </c>
      <c r="C671" s="42"/>
      <c r="D671" s="42"/>
      <c r="E671" s="42" t="s">
        <v>1493</v>
      </c>
      <c r="F671" s="52">
        <v>200</v>
      </c>
      <c r="G671" s="42" t="s">
        <v>1492</v>
      </c>
    </row>
    <row r="672" spans="1:8" ht="30" x14ac:dyDescent="0.25">
      <c r="A672" s="64" t="s">
        <v>214</v>
      </c>
      <c r="B672" s="37" t="s">
        <v>942</v>
      </c>
      <c r="C672" s="33"/>
      <c r="D672" s="33"/>
      <c r="E672" s="33" t="s">
        <v>1493</v>
      </c>
      <c r="F672" s="52">
        <v>200</v>
      </c>
      <c r="G672" s="33" t="s">
        <v>1492</v>
      </c>
      <c r="H672" s="41"/>
    </row>
    <row r="673" spans="1:8" ht="30" x14ac:dyDescent="0.25">
      <c r="A673" s="64" t="s">
        <v>214</v>
      </c>
      <c r="B673" s="44" t="s">
        <v>943</v>
      </c>
      <c r="C673" s="42"/>
      <c r="D673" s="42"/>
      <c r="E673" s="42" t="s">
        <v>1493</v>
      </c>
      <c r="F673" s="52">
        <v>200</v>
      </c>
      <c r="G673" s="42" t="s">
        <v>1492</v>
      </c>
    </row>
    <row r="674" spans="1:8" ht="30" x14ac:dyDescent="0.25">
      <c r="A674" s="64" t="s">
        <v>214</v>
      </c>
      <c r="B674" s="37" t="s">
        <v>944</v>
      </c>
      <c r="C674" s="33"/>
      <c r="D674" s="33"/>
      <c r="E674" s="33" t="s">
        <v>1493</v>
      </c>
      <c r="F674" s="52">
        <v>200</v>
      </c>
      <c r="G674" s="33" t="s">
        <v>1492</v>
      </c>
      <c r="H674" s="41"/>
    </row>
    <row r="675" spans="1:8" ht="30" x14ac:dyDescent="0.25">
      <c r="A675" s="64" t="s">
        <v>214</v>
      </c>
      <c r="B675" s="44" t="s">
        <v>945</v>
      </c>
      <c r="C675" s="42"/>
      <c r="D675" s="42"/>
      <c r="E675" s="42" t="s">
        <v>1493</v>
      </c>
      <c r="F675" s="52">
        <v>200</v>
      </c>
      <c r="G675" s="42" t="s">
        <v>1492</v>
      </c>
    </row>
    <row r="676" spans="1:8" ht="30" x14ac:dyDescent="0.25">
      <c r="A676" s="64" t="s">
        <v>214</v>
      </c>
      <c r="B676" s="37" t="s">
        <v>946</v>
      </c>
      <c r="C676" s="33"/>
      <c r="D676" s="33"/>
      <c r="E676" s="33" t="s">
        <v>1493</v>
      </c>
      <c r="F676" s="52">
        <v>200</v>
      </c>
      <c r="G676" s="33" t="s">
        <v>1492</v>
      </c>
      <c r="H676" s="41"/>
    </row>
    <row r="677" spans="1:8" ht="30" x14ac:dyDescent="0.25">
      <c r="A677" s="64" t="s">
        <v>214</v>
      </c>
      <c r="B677" s="44" t="s">
        <v>947</v>
      </c>
      <c r="C677" s="42"/>
      <c r="D677" s="42"/>
      <c r="E677" s="42" t="s">
        <v>1493</v>
      </c>
      <c r="F677" s="52">
        <v>200</v>
      </c>
      <c r="G677" s="42" t="s">
        <v>1492</v>
      </c>
    </row>
    <row r="678" spans="1:8" ht="30" x14ac:dyDescent="0.25">
      <c r="A678" s="64" t="s">
        <v>214</v>
      </c>
      <c r="B678" s="37" t="s">
        <v>948</v>
      </c>
      <c r="C678" s="33"/>
      <c r="D678" s="33"/>
      <c r="E678" s="33" t="s">
        <v>1493</v>
      </c>
      <c r="F678" s="52">
        <v>200</v>
      </c>
      <c r="G678" s="33" t="s">
        <v>1492</v>
      </c>
      <c r="H678" s="41"/>
    </row>
    <row r="679" spans="1:8" ht="30" x14ac:dyDescent="0.25">
      <c r="A679" s="64" t="s">
        <v>214</v>
      </c>
      <c r="B679" s="44" t="s">
        <v>949</v>
      </c>
      <c r="C679" s="42"/>
      <c r="D679" s="42"/>
      <c r="E679" s="42" t="s">
        <v>1493</v>
      </c>
      <c r="F679" s="52">
        <v>200</v>
      </c>
      <c r="G679" s="42" t="s">
        <v>1492</v>
      </c>
    </row>
    <row r="680" spans="1:8" ht="30" x14ac:dyDescent="0.25">
      <c r="A680" s="64" t="s">
        <v>214</v>
      </c>
      <c r="B680" s="37" t="s">
        <v>950</v>
      </c>
      <c r="C680" s="33"/>
      <c r="D680" s="33"/>
      <c r="E680" s="33" t="s">
        <v>1493</v>
      </c>
      <c r="F680" s="52">
        <v>200</v>
      </c>
      <c r="G680" s="33" t="s">
        <v>1492</v>
      </c>
      <c r="H680" s="41"/>
    </row>
    <row r="681" spans="1:8" ht="30" x14ac:dyDescent="0.25">
      <c r="A681" s="64" t="s">
        <v>214</v>
      </c>
      <c r="B681" s="44" t="s">
        <v>951</v>
      </c>
      <c r="C681" s="42"/>
      <c r="D681" s="42"/>
      <c r="E681" s="42" t="s">
        <v>1493</v>
      </c>
      <c r="F681" s="52">
        <v>200</v>
      </c>
      <c r="G681" s="42" t="s">
        <v>1492</v>
      </c>
    </row>
    <row r="682" spans="1:8" ht="30" x14ac:dyDescent="0.25">
      <c r="A682" s="64" t="s">
        <v>214</v>
      </c>
      <c r="B682" s="37" t="s">
        <v>952</v>
      </c>
      <c r="C682" s="33"/>
      <c r="D682" s="33"/>
      <c r="E682" s="33" t="s">
        <v>1493</v>
      </c>
      <c r="F682" s="52">
        <v>200</v>
      </c>
      <c r="G682" s="33" t="s">
        <v>1492</v>
      </c>
      <c r="H682" s="41"/>
    </row>
    <row r="683" spans="1:8" ht="30" x14ac:dyDescent="0.25">
      <c r="A683" s="64" t="s">
        <v>214</v>
      </c>
      <c r="B683" s="44" t="s">
        <v>953</v>
      </c>
      <c r="C683" s="42"/>
      <c r="D683" s="42"/>
      <c r="E683" s="42" t="s">
        <v>1493</v>
      </c>
      <c r="F683" s="52">
        <v>200</v>
      </c>
      <c r="G683" s="42" t="s">
        <v>1492</v>
      </c>
    </row>
    <row r="684" spans="1:8" ht="30" x14ac:dyDescent="0.25">
      <c r="A684" s="64" t="s">
        <v>214</v>
      </c>
      <c r="B684" s="37" t="s">
        <v>954</v>
      </c>
      <c r="C684" s="33"/>
      <c r="D684" s="33"/>
      <c r="E684" s="33" t="s">
        <v>1493</v>
      </c>
      <c r="F684" s="52">
        <v>200</v>
      </c>
      <c r="G684" s="33" t="s">
        <v>1492</v>
      </c>
      <c r="H684" s="41"/>
    </row>
    <row r="685" spans="1:8" ht="30" x14ac:dyDescent="0.25">
      <c r="A685" s="64" t="s">
        <v>214</v>
      </c>
      <c r="B685" s="44" t="s">
        <v>955</v>
      </c>
      <c r="C685" s="42"/>
      <c r="D685" s="42"/>
      <c r="E685" s="42" t="s">
        <v>1493</v>
      </c>
      <c r="F685" s="52">
        <v>200</v>
      </c>
      <c r="G685" s="42" t="s">
        <v>1492</v>
      </c>
    </row>
    <row r="686" spans="1:8" ht="30" x14ac:dyDescent="0.25">
      <c r="A686" s="64" t="s">
        <v>214</v>
      </c>
      <c r="B686" s="37" t="s">
        <v>956</v>
      </c>
      <c r="C686" s="33"/>
      <c r="D686" s="33"/>
      <c r="E686" s="33" t="s">
        <v>1493</v>
      </c>
      <c r="F686" s="52">
        <v>200</v>
      </c>
      <c r="G686" s="33" t="s">
        <v>1492</v>
      </c>
      <c r="H686" s="41"/>
    </row>
    <row r="687" spans="1:8" ht="30" x14ac:dyDescent="0.25">
      <c r="A687" s="64" t="s">
        <v>214</v>
      </c>
      <c r="B687" s="44" t="s">
        <v>957</v>
      </c>
      <c r="C687" s="42"/>
      <c r="D687" s="42"/>
      <c r="E687" s="42" t="s">
        <v>1493</v>
      </c>
      <c r="F687" s="52">
        <v>200</v>
      </c>
      <c r="G687" s="42" t="s">
        <v>1492</v>
      </c>
    </row>
    <row r="688" spans="1:8" ht="30" x14ac:dyDescent="0.25">
      <c r="A688" s="64" t="s">
        <v>214</v>
      </c>
      <c r="B688" s="37" t="s">
        <v>958</v>
      </c>
      <c r="C688" s="33"/>
      <c r="D688" s="33"/>
      <c r="E688" s="33" t="s">
        <v>1493</v>
      </c>
      <c r="F688" s="52">
        <v>200</v>
      </c>
      <c r="G688" s="33" t="s">
        <v>1492</v>
      </c>
      <c r="H688" s="41"/>
    </row>
    <row r="689" spans="1:8" ht="30" x14ac:dyDescent="0.25">
      <c r="A689" s="64" t="s">
        <v>214</v>
      </c>
      <c r="B689" s="44" t="s">
        <v>959</v>
      </c>
      <c r="C689" s="42"/>
      <c r="D689" s="42"/>
      <c r="E689" s="42" t="s">
        <v>1493</v>
      </c>
      <c r="F689" s="52">
        <v>200</v>
      </c>
      <c r="G689" s="42" t="s">
        <v>1492</v>
      </c>
    </row>
    <row r="690" spans="1:8" ht="30" x14ac:dyDescent="0.25">
      <c r="A690" s="64" t="s">
        <v>214</v>
      </c>
      <c r="B690" s="37" t="s">
        <v>960</v>
      </c>
      <c r="C690" s="33"/>
      <c r="D690" s="33"/>
      <c r="E690" s="33" t="s">
        <v>1493</v>
      </c>
      <c r="F690" s="52">
        <v>200</v>
      </c>
      <c r="G690" s="33" t="s">
        <v>1492</v>
      </c>
      <c r="H690" s="41"/>
    </row>
    <row r="691" spans="1:8" ht="30" x14ac:dyDescent="0.25">
      <c r="A691" s="64" t="s">
        <v>214</v>
      </c>
      <c r="B691" s="44" t="s">
        <v>961</v>
      </c>
      <c r="C691" s="42"/>
      <c r="D691" s="42"/>
      <c r="E691" s="42" t="s">
        <v>1493</v>
      </c>
      <c r="F691" s="52">
        <v>200</v>
      </c>
      <c r="G691" s="42" t="s">
        <v>1492</v>
      </c>
    </row>
    <row r="692" spans="1:8" ht="30" x14ac:dyDescent="0.25">
      <c r="A692" s="64" t="s">
        <v>214</v>
      </c>
      <c r="B692" s="37" t="s">
        <v>962</v>
      </c>
      <c r="C692" s="33"/>
      <c r="D692" s="33"/>
      <c r="E692" s="33" t="s">
        <v>1493</v>
      </c>
      <c r="F692" s="52">
        <v>200</v>
      </c>
      <c r="G692" s="33" t="s">
        <v>1492</v>
      </c>
      <c r="H692" s="41"/>
    </row>
    <row r="693" spans="1:8" ht="30" x14ac:dyDescent="0.25">
      <c r="A693" s="64" t="s">
        <v>214</v>
      </c>
      <c r="B693" s="44" t="s">
        <v>963</v>
      </c>
      <c r="C693" s="42"/>
      <c r="D693" s="42"/>
      <c r="E693" s="42" t="s">
        <v>1493</v>
      </c>
      <c r="F693" s="52">
        <v>200</v>
      </c>
      <c r="G693" s="42" t="s">
        <v>1492</v>
      </c>
    </row>
    <row r="694" spans="1:8" ht="30" x14ac:dyDescent="0.25">
      <c r="A694" s="64" t="s">
        <v>214</v>
      </c>
      <c r="B694" s="37" t="s">
        <v>964</v>
      </c>
      <c r="C694" s="33"/>
      <c r="D694" s="33"/>
      <c r="E694" s="33" t="s">
        <v>1493</v>
      </c>
      <c r="F694" s="52">
        <v>200</v>
      </c>
      <c r="G694" s="33" t="s">
        <v>1492</v>
      </c>
      <c r="H694" s="41"/>
    </row>
    <row r="695" spans="1:8" ht="30" x14ac:dyDescent="0.25">
      <c r="A695" s="64" t="s">
        <v>214</v>
      </c>
      <c r="B695" s="44" t="s">
        <v>965</v>
      </c>
      <c r="C695" s="42"/>
      <c r="D695" s="42"/>
      <c r="E695" s="42" t="s">
        <v>1493</v>
      </c>
      <c r="F695" s="52">
        <v>200</v>
      </c>
      <c r="G695" s="42" t="s">
        <v>1492</v>
      </c>
    </row>
    <row r="696" spans="1:8" ht="30" x14ac:dyDescent="0.25">
      <c r="A696" s="64" t="s">
        <v>214</v>
      </c>
      <c r="B696" s="37" t="s">
        <v>966</v>
      </c>
      <c r="C696" s="33"/>
      <c r="D696" s="33"/>
      <c r="E696" s="33" t="s">
        <v>1493</v>
      </c>
      <c r="F696" s="52">
        <v>200</v>
      </c>
      <c r="G696" s="33" t="s">
        <v>1492</v>
      </c>
      <c r="H696" s="41"/>
    </row>
    <row r="697" spans="1:8" ht="30" x14ac:dyDescent="0.25">
      <c r="A697" s="64" t="s">
        <v>214</v>
      </c>
      <c r="B697" s="44" t="s">
        <v>967</v>
      </c>
      <c r="C697" s="42"/>
      <c r="D697" s="42"/>
      <c r="E697" s="42" t="s">
        <v>1493</v>
      </c>
      <c r="F697" s="52">
        <v>200</v>
      </c>
      <c r="G697" s="42" t="s">
        <v>1492</v>
      </c>
    </row>
    <row r="698" spans="1:8" ht="30" x14ac:dyDescent="0.25">
      <c r="A698" s="64" t="s">
        <v>214</v>
      </c>
      <c r="B698" s="37" t="s">
        <v>968</v>
      </c>
      <c r="C698" s="33"/>
      <c r="D698" s="33"/>
      <c r="E698" s="33" t="s">
        <v>1493</v>
      </c>
      <c r="F698" s="52">
        <v>200</v>
      </c>
      <c r="G698" s="33" t="s">
        <v>1492</v>
      </c>
      <c r="H698" s="41"/>
    </row>
    <row r="699" spans="1:8" ht="30" x14ac:dyDescent="0.25">
      <c r="A699" s="64" t="s">
        <v>214</v>
      </c>
      <c r="B699" s="44" t="s">
        <v>969</v>
      </c>
      <c r="C699" s="42"/>
      <c r="D699" s="42"/>
      <c r="E699" s="42" t="s">
        <v>1493</v>
      </c>
      <c r="F699" s="52">
        <v>200</v>
      </c>
      <c r="G699" s="42" t="s">
        <v>1492</v>
      </c>
    </row>
    <row r="700" spans="1:8" ht="30" x14ac:dyDescent="0.25">
      <c r="A700" s="64" t="s">
        <v>214</v>
      </c>
      <c r="B700" s="37" t="s">
        <v>970</v>
      </c>
      <c r="C700" s="33"/>
      <c r="D700" s="33"/>
      <c r="E700" s="33" t="s">
        <v>1493</v>
      </c>
      <c r="F700" s="52">
        <v>200</v>
      </c>
      <c r="G700" s="33" t="s">
        <v>1492</v>
      </c>
      <c r="H700" s="41"/>
    </row>
    <row r="701" spans="1:8" ht="30" x14ac:dyDescent="0.25">
      <c r="A701" s="64" t="s">
        <v>214</v>
      </c>
      <c r="B701" s="44" t="s">
        <v>971</v>
      </c>
      <c r="C701" s="42"/>
      <c r="D701" s="42"/>
      <c r="E701" s="42" t="s">
        <v>1493</v>
      </c>
      <c r="F701" s="52">
        <v>200</v>
      </c>
      <c r="G701" s="42" t="s">
        <v>1492</v>
      </c>
    </row>
    <row r="702" spans="1:8" ht="30" x14ac:dyDescent="0.25">
      <c r="A702" s="64" t="s">
        <v>214</v>
      </c>
      <c r="B702" s="37" t="s">
        <v>972</v>
      </c>
      <c r="C702" s="33"/>
      <c r="D702" s="33"/>
      <c r="E702" s="33" t="s">
        <v>1493</v>
      </c>
      <c r="F702" s="52">
        <v>200</v>
      </c>
      <c r="G702" s="33" t="s">
        <v>1492</v>
      </c>
      <c r="H702" s="41"/>
    </row>
    <row r="703" spans="1:8" ht="30" x14ac:dyDescent="0.25">
      <c r="A703" s="64" t="s">
        <v>214</v>
      </c>
      <c r="B703" s="44" t="s">
        <v>973</v>
      </c>
      <c r="C703" s="42"/>
      <c r="D703" s="42"/>
      <c r="E703" s="42" t="s">
        <v>1493</v>
      </c>
      <c r="F703" s="52">
        <v>200</v>
      </c>
      <c r="G703" s="42" t="s">
        <v>1492</v>
      </c>
    </row>
    <row r="704" spans="1:8" ht="30" x14ac:dyDescent="0.25">
      <c r="A704" s="64" t="s">
        <v>214</v>
      </c>
      <c r="B704" s="37" t="s">
        <v>974</v>
      </c>
      <c r="C704" s="33"/>
      <c r="D704" s="33"/>
      <c r="E704" s="33" t="s">
        <v>1493</v>
      </c>
      <c r="F704" s="52">
        <v>200</v>
      </c>
      <c r="G704" s="33" t="s">
        <v>1492</v>
      </c>
      <c r="H704" s="41"/>
    </row>
    <row r="705" spans="1:8" ht="30" x14ac:dyDescent="0.25">
      <c r="A705" s="64" t="s">
        <v>214</v>
      </c>
      <c r="B705" s="44" t="s">
        <v>975</v>
      </c>
      <c r="C705" s="42"/>
      <c r="D705" s="42"/>
      <c r="E705" s="42" t="s">
        <v>1493</v>
      </c>
      <c r="F705" s="52">
        <v>200</v>
      </c>
      <c r="G705" s="42" t="s">
        <v>1492</v>
      </c>
    </row>
    <row r="706" spans="1:8" ht="30" x14ac:dyDescent="0.25">
      <c r="A706" s="64" t="s">
        <v>214</v>
      </c>
      <c r="B706" s="37" t="s">
        <v>976</v>
      </c>
      <c r="C706" s="33"/>
      <c r="D706" s="33"/>
      <c r="E706" s="33" t="s">
        <v>1493</v>
      </c>
      <c r="F706" s="52">
        <v>200</v>
      </c>
      <c r="G706" s="33" t="s">
        <v>1492</v>
      </c>
      <c r="H706" s="41"/>
    </row>
    <row r="707" spans="1:8" ht="30" x14ac:dyDescent="0.25">
      <c r="A707" s="64" t="s">
        <v>214</v>
      </c>
      <c r="B707" s="44" t="s">
        <v>977</v>
      </c>
      <c r="C707" s="42"/>
      <c r="D707" s="42"/>
      <c r="E707" s="42" t="s">
        <v>1493</v>
      </c>
      <c r="F707" s="52">
        <v>200</v>
      </c>
      <c r="G707" s="42" t="s">
        <v>1492</v>
      </c>
    </row>
    <row r="708" spans="1:8" ht="30" x14ac:dyDescent="0.25">
      <c r="A708" s="64" t="s">
        <v>214</v>
      </c>
      <c r="B708" s="37" t="s">
        <v>978</v>
      </c>
      <c r="C708" s="33"/>
      <c r="D708" s="33"/>
      <c r="E708" s="33" t="s">
        <v>1493</v>
      </c>
      <c r="F708" s="52">
        <v>200</v>
      </c>
      <c r="G708" s="33" t="s">
        <v>1492</v>
      </c>
      <c r="H708" s="41"/>
    </row>
    <row r="709" spans="1:8" ht="30" x14ac:dyDescent="0.25">
      <c r="A709" s="64" t="s">
        <v>214</v>
      </c>
      <c r="B709" s="44" t="s">
        <v>979</v>
      </c>
      <c r="C709" s="42"/>
      <c r="D709" s="42"/>
      <c r="E709" s="42" t="s">
        <v>1493</v>
      </c>
      <c r="F709" s="52">
        <v>200</v>
      </c>
      <c r="G709" s="42" t="s">
        <v>1492</v>
      </c>
    </row>
    <row r="710" spans="1:8" ht="30" x14ac:dyDescent="0.25">
      <c r="A710" s="64" t="s">
        <v>214</v>
      </c>
      <c r="B710" s="37" t="s">
        <v>980</v>
      </c>
      <c r="C710" s="33"/>
      <c r="D710" s="33"/>
      <c r="E710" s="33" t="s">
        <v>1493</v>
      </c>
      <c r="F710" s="52">
        <v>200</v>
      </c>
      <c r="G710" s="33" t="s">
        <v>1492</v>
      </c>
      <c r="H710" s="41"/>
    </row>
    <row r="711" spans="1:8" ht="30" x14ac:dyDescent="0.25">
      <c r="A711" s="64" t="s">
        <v>214</v>
      </c>
      <c r="B711" s="44" t="s">
        <v>981</v>
      </c>
      <c r="C711" s="42"/>
      <c r="D711" s="42"/>
      <c r="E711" s="42" t="s">
        <v>1493</v>
      </c>
      <c r="F711" s="52">
        <v>200</v>
      </c>
      <c r="G711" s="42" t="s">
        <v>1492</v>
      </c>
    </row>
    <row r="712" spans="1:8" ht="30" x14ac:dyDescent="0.25">
      <c r="A712" s="64" t="s">
        <v>214</v>
      </c>
      <c r="B712" s="37" t="s">
        <v>982</v>
      </c>
      <c r="C712" s="33"/>
      <c r="D712" s="33"/>
      <c r="E712" s="33" t="s">
        <v>1493</v>
      </c>
      <c r="F712" s="52">
        <v>200</v>
      </c>
      <c r="G712" s="33" t="s">
        <v>1492</v>
      </c>
      <c r="H712" s="41"/>
    </row>
    <row r="713" spans="1:8" ht="30" x14ac:dyDescent="0.25">
      <c r="A713" s="64" t="s">
        <v>214</v>
      </c>
      <c r="B713" s="44" t="s">
        <v>983</v>
      </c>
      <c r="C713" s="42"/>
      <c r="D713" s="42"/>
      <c r="E713" s="42" t="s">
        <v>1493</v>
      </c>
      <c r="F713" s="52">
        <v>200</v>
      </c>
      <c r="G713" s="42" t="s">
        <v>1492</v>
      </c>
    </row>
    <row r="714" spans="1:8" ht="30" x14ac:dyDescent="0.25">
      <c r="A714" s="64" t="s">
        <v>214</v>
      </c>
      <c r="B714" s="37" t="s">
        <v>764</v>
      </c>
      <c r="C714" s="33"/>
      <c r="D714" s="33"/>
      <c r="E714" s="33" t="s">
        <v>1493</v>
      </c>
      <c r="F714" s="52">
        <v>200</v>
      </c>
      <c r="G714" s="33" t="s">
        <v>1492</v>
      </c>
      <c r="H714" s="41"/>
    </row>
    <row r="715" spans="1:8" ht="30" x14ac:dyDescent="0.25">
      <c r="A715" s="64" t="s">
        <v>214</v>
      </c>
      <c r="B715" s="44" t="s">
        <v>984</v>
      </c>
      <c r="C715" s="42"/>
      <c r="D715" s="42"/>
      <c r="E715" s="42" t="s">
        <v>1493</v>
      </c>
      <c r="F715" s="52">
        <v>200</v>
      </c>
      <c r="G715" s="42" t="s">
        <v>1492</v>
      </c>
    </row>
    <row r="716" spans="1:8" ht="30" x14ac:dyDescent="0.25">
      <c r="A716" s="64" t="s">
        <v>214</v>
      </c>
      <c r="B716" s="37" t="s">
        <v>985</v>
      </c>
      <c r="C716" s="33"/>
      <c r="D716" s="33"/>
      <c r="E716" s="33" t="s">
        <v>1493</v>
      </c>
      <c r="F716" s="52">
        <v>200</v>
      </c>
      <c r="G716" s="33" t="s">
        <v>1492</v>
      </c>
      <c r="H716" s="41"/>
    </row>
    <row r="717" spans="1:8" ht="30" x14ac:dyDescent="0.25">
      <c r="A717" s="64" t="s">
        <v>214</v>
      </c>
      <c r="B717" s="44" t="s">
        <v>986</v>
      </c>
      <c r="C717" s="42"/>
      <c r="D717" s="42"/>
      <c r="E717" s="42" t="s">
        <v>1493</v>
      </c>
      <c r="F717" s="52">
        <v>200</v>
      </c>
      <c r="G717" s="42" t="s">
        <v>1492</v>
      </c>
    </row>
    <row r="718" spans="1:8" ht="30" x14ac:dyDescent="0.25">
      <c r="A718" s="64" t="s">
        <v>214</v>
      </c>
      <c r="B718" s="37" t="s">
        <v>987</v>
      </c>
      <c r="C718" s="33"/>
      <c r="D718" s="33"/>
      <c r="E718" s="33" t="s">
        <v>1493</v>
      </c>
      <c r="F718" s="52">
        <v>200</v>
      </c>
      <c r="G718" s="33" t="s">
        <v>1492</v>
      </c>
      <c r="H718" s="41"/>
    </row>
    <row r="719" spans="1:8" ht="30" x14ac:dyDescent="0.25">
      <c r="A719" s="64" t="s">
        <v>214</v>
      </c>
      <c r="B719" s="44" t="s">
        <v>988</v>
      </c>
      <c r="C719" s="42"/>
      <c r="D719" s="42"/>
      <c r="E719" s="42" t="s">
        <v>1493</v>
      </c>
      <c r="F719" s="52">
        <v>200</v>
      </c>
      <c r="G719" s="42" t="s">
        <v>1492</v>
      </c>
    </row>
    <row r="720" spans="1:8" ht="30" x14ac:dyDescent="0.25">
      <c r="A720" s="64" t="s">
        <v>214</v>
      </c>
      <c r="B720" s="37" t="s">
        <v>989</v>
      </c>
      <c r="C720" s="33"/>
      <c r="D720" s="33"/>
      <c r="E720" s="33" t="s">
        <v>1493</v>
      </c>
      <c r="F720" s="52">
        <v>200</v>
      </c>
      <c r="G720" s="33" t="s">
        <v>1492</v>
      </c>
      <c r="H720" s="41"/>
    </row>
    <row r="721" spans="1:8" ht="30" x14ac:dyDescent="0.25">
      <c r="A721" s="64" t="s">
        <v>214</v>
      </c>
      <c r="B721" s="44" t="s">
        <v>990</v>
      </c>
      <c r="C721" s="42"/>
      <c r="D721" s="42"/>
      <c r="E721" s="42" t="s">
        <v>1493</v>
      </c>
      <c r="F721" s="52">
        <v>200</v>
      </c>
      <c r="G721" s="42" t="s">
        <v>1492</v>
      </c>
    </row>
    <row r="722" spans="1:8" ht="30" x14ac:dyDescent="0.25">
      <c r="A722" s="64" t="s">
        <v>214</v>
      </c>
      <c r="B722" s="37" t="s">
        <v>991</v>
      </c>
      <c r="C722" s="33"/>
      <c r="D722" s="33"/>
      <c r="E722" s="33" t="s">
        <v>1493</v>
      </c>
      <c r="F722" s="52">
        <v>200</v>
      </c>
      <c r="G722" s="33" t="s">
        <v>1492</v>
      </c>
      <c r="H722" s="41"/>
    </row>
    <row r="723" spans="1:8" ht="30" x14ac:dyDescent="0.25">
      <c r="A723" s="64" t="s">
        <v>214</v>
      </c>
      <c r="B723" s="44" t="s">
        <v>992</v>
      </c>
      <c r="C723" s="42"/>
      <c r="D723" s="42"/>
      <c r="E723" s="42" t="s">
        <v>1493</v>
      </c>
      <c r="F723" s="52">
        <v>200</v>
      </c>
      <c r="G723" s="42" t="s">
        <v>1492</v>
      </c>
    </row>
    <row r="724" spans="1:8" ht="30" x14ac:dyDescent="0.25">
      <c r="A724" s="64" t="s">
        <v>214</v>
      </c>
      <c r="B724" s="37" t="s">
        <v>993</v>
      </c>
      <c r="C724" s="33"/>
      <c r="D724" s="33"/>
      <c r="E724" s="33" t="s">
        <v>1493</v>
      </c>
      <c r="F724" s="52">
        <v>200</v>
      </c>
      <c r="G724" s="33" t="s">
        <v>1492</v>
      </c>
      <c r="H724" s="41"/>
    </row>
    <row r="725" spans="1:8" ht="30" x14ac:dyDescent="0.25">
      <c r="A725" s="64" t="s">
        <v>214</v>
      </c>
      <c r="B725" s="44" t="s">
        <v>994</v>
      </c>
      <c r="C725" s="42"/>
      <c r="D725" s="42"/>
      <c r="E725" s="42" t="s">
        <v>1493</v>
      </c>
      <c r="F725" s="52">
        <v>200</v>
      </c>
      <c r="G725" s="42" t="s">
        <v>1492</v>
      </c>
    </row>
    <row r="726" spans="1:8" ht="30" x14ac:dyDescent="0.25">
      <c r="A726" s="64" t="s">
        <v>214</v>
      </c>
      <c r="B726" s="37" t="s">
        <v>995</v>
      </c>
      <c r="C726" s="33"/>
      <c r="D726" s="33"/>
      <c r="E726" s="33" t="s">
        <v>1493</v>
      </c>
      <c r="F726" s="52">
        <v>200</v>
      </c>
      <c r="G726" s="33" t="s">
        <v>1492</v>
      </c>
      <c r="H726" s="41"/>
    </row>
    <row r="727" spans="1:8" ht="30" x14ac:dyDescent="0.25">
      <c r="A727" s="64" t="s">
        <v>214</v>
      </c>
      <c r="B727" s="44" t="s">
        <v>996</v>
      </c>
      <c r="C727" s="42"/>
      <c r="D727" s="42"/>
      <c r="E727" s="42" t="s">
        <v>1493</v>
      </c>
      <c r="F727" s="52">
        <v>200</v>
      </c>
      <c r="G727" s="42" t="s">
        <v>1492</v>
      </c>
    </row>
    <row r="728" spans="1:8" ht="30" x14ac:dyDescent="0.25">
      <c r="A728" s="64" t="s">
        <v>214</v>
      </c>
      <c r="B728" s="37" t="s">
        <v>997</v>
      </c>
      <c r="C728" s="33"/>
      <c r="D728" s="33"/>
      <c r="E728" s="33" t="s">
        <v>1493</v>
      </c>
      <c r="F728" s="52">
        <v>200</v>
      </c>
      <c r="G728" s="33" t="s">
        <v>1492</v>
      </c>
      <c r="H728" s="41"/>
    </row>
    <row r="729" spans="1:8" ht="30" x14ac:dyDescent="0.25">
      <c r="A729" s="64" t="s">
        <v>214</v>
      </c>
      <c r="B729" s="44" t="s">
        <v>998</v>
      </c>
      <c r="C729" s="42"/>
      <c r="D729" s="42"/>
      <c r="E729" s="42" t="s">
        <v>1493</v>
      </c>
      <c r="F729" s="52">
        <v>200</v>
      </c>
      <c r="G729" s="42" t="s">
        <v>1492</v>
      </c>
    </row>
    <row r="730" spans="1:8" ht="30" x14ac:dyDescent="0.25">
      <c r="A730" s="64" t="s">
        <v>214</v>
      </c>
      <c r="B730" s="37" t="s">
        <v>999</v>
      </c>
      <c r="C730" s="33"/>
      <c r="D730" s="33"/>
      <c r="E730" s="33" t="s">
        <v>1493</v>
      </c>
      <c r="F730" s="52">
        <v>200</v>
      </c>
      <c r="G730" s="33" t="s">
        <v>1492</v>
      </c>
      <c r="H730" s="41"/>
    </row>
    <row r="731" spans="1:8" ht="30" x14ac:dyDescent="0.25">
      <c r="A731" s="64" t="s">
        <v>214</v>
      </c>
      <c r="B731" s="44" t="s">
        <v>1000</v>
      </c>
      <c r="C731" s="42"/>
      <c r="D731" s="42"/>
      <c r="E731" s="42" t="s">
        <v>1493</v>
      </c>
      <c r="F731" s="52">
        <v>200</v>
      </c>
      <c r="G731" s="42" t="s">
        <v>1492</v>
      </c>
    </row>
    <row r="732" spans="1:8" ht="30" x14ac:dyDescent="0.25">
      <c r="A732" s="64" t="s">
        <v>214</v>
      </c>
      <c r="B732" s="37" t="s">
        <v>1001</v>
      </c>
      <c r="C732" s="33"/>
      <c r="D732" s="33"/>
      <c r="E732" s="33" t="s">
        <v>1493</v>
      </c>
      <c r="F732" s="52">
        <v>200</v>
      </c>
      <c r="G732" s="33" t="s">
        <v>1492</v>
      </c>
      <c r="H732" s="41"/>
    </row>
    <row r="733" spans="1:8" ht="30" x14ac:dyDescent="0.25">
      <c r="A733" s="64" t="s">
        <v>214</v>
      </c>
      <c r="B733" s="44" t="s">
        <v>1002</v>
      </c>
      <c r="C733" s="42"/>
      <c r="D733" s="42"/>
      <c r="E733" s="42" t="s">
        <v>1493</v>
      </c>
      <c r="F733" s="52">
        <v>200</v>
      </c>
      <c r="G733" s="42" t="s">
        <v>1492</v>
      </c>
    </row>
    <row r="734" spans="1:8" ht="30" x14ac:dyDescent="0.25">
      <c r="A734" s="64" t="s">
        <v>214</v>
      </c>
      <c r="B734" s="37" t="s">
        <v>1003</v>
      </c>
      <c r="C734" s="33"/>
      <c r="D734" s="33"/>
      <c r="E734" s="33" t="s">
        <v>1493</v>
      </c>
      <c r="F734" s="52">
        <v>200</v>
      </c>
      <c r="G734" s="33" t="s">
        <v>1492</v>
      </c>
      <c r="H734" s="41"/>
    </row>
    <row r="735" spans="1:8" ht="30" x14ac:dyDescent="0.25">
      <c r="A735" s="64" t="s">
        <v>214</v>
      </c>
      <c r="B735" s="44" t="s">
        <v>1004</v>
      </c>
      <c r="C735" s="42"/>
      <c r="D735" s="42"/>
      <c r="E735" s="42" t="s">
        <v>1493</v>
      </c>
      <c r="F735" s="52">
        <v>200</v>
      </c>
      <c r="G735" s="42" t="s">
        <v>1492</v>
      </c>
    </row>
    <row r="736" spans="1:8" ht="30" x14ac:dyDescent="0.25">
      <c r="A736" s="64" t="s">
        <v>214</v>
      </c>
      <c r="B736" s="37" t="s">
        <v>1005</v>
      </c>
      <c r="C736" s="33"/>
      <c r="D736" s="33"/>
      <c r="E736" s="33" t="s">
        <v>1493</v>
      </c>
      <c r="F736" s="52">
        <v>200</v>
      </c>
      <c r="G736" s="33" t="s">
        <v>1492</v>
      </c>
      <c r="H736" s="41"/>
    </row>
    <row r="737" spans="1:8" ht="30" x14ac:dyDescent="0.25">
      <c r="A737" s="64" t="s">
        <v>214</v>
      </c>
      <c r="B737" s="44" t="s">
        <v>1006</v>
      </c>
      <c r="C737" s="42"/>
      <c r="D737" s="42"/>
      <c r="E737" s="42" t="s">
        <v>1493</v>
      </c>
      <c r="F737" s="52">
        <v>200</v>
      </c>
      <c r="G737" s="42" t="s">
        <v>1492</v>
      </c>
    </row>
    <row r="738" spans="1:8" ht="30" x14ac:dyDescent="0.25">
      <c r="A738" s="64" t="s">
        <v>214</v>
      </c>
      <c r="B738" s="37" t="s">
        <v>763</v>
      </c>
      <c r="C738" s="33"/>
      <c r="D738" s="33"/>
      <c r="E738" s="33" t="s">
        <v>1493</v>
      </c>
      <c r="F738" s="52">
        <v>200</v>
      </c>
      <c r="G738" s="33" t="s">
        <v>1492</v>
      </c>
      <c r="H738" s="41"/>
    </row>
    <row r="739" spans="1:8" ht="30" x14ac:dyDescent="0.25">
      <c r="A739" s="64" t="s">
        <v>214</v>
      </c>
      <c r="B739" s="44" t="s">
        <v>1007</v>
      </c>
      <c r="C739" s="42"/>
      <c r="D739" s="42"/>
      <c r="E739" s="42" t="s">
        <v>1493</v>
      </c>
      <c r="F739" s="52">
        <v>200</v>
      </c>
      <c r="G739" s="42" t="s">
        <v>1492</v>
      </c>
    </row>
    <row r="740" spans="1:8" ht="30" x14ac:dyDescent="0.25">
      <c r="A740" s="64" t="s">
        <v>214</v>
      </c>
      <c r="B740" s="37" t="s">
        <v>1008</v>
      </c>
      <c r="C740" s="33"/>
      <c r="D740" s="33"/>
      <c r="E740" s="33" t="s">
        <v>1493</v>
      </c>
      <c r="F740" s="52">
        <v>200</v>
      </c>
      <c r="G740" s="33" t="s">
        <v>1492</v>
      </c>
      <c r="H740" s="41"/>
    </row>
    <row r="741" spans="1:8" ht="30" x14ac:dyDescent="0.25">
      <c r="A741" s="64" t="s">
        <v>214</v>
      </c>
      <c r="B741" s="44" t="s">
        <v>1009</v>
      </c>
      <c r="C741" s="42"/>
      <c r="D741" s="42"/>
      <c r="E741" s="42" t="s">
        <v>1493</v>
      </c>
      <c r="F741" s="52">
        <v>200</v>
      </c>
      <c r="G741" s="42" t="s">
        <v>1492</v>
      </c>
    </row>
    <row r="742" spans="1:8" ht="30" x14ac:dyDescent="0.25">
      <c r="A742" s="64" t="s">
        <v>214</v>
      </c>
      <c r="B742" s="37" t="s">
        <v>1010</v>
      </c>
      <c r="C742" s="33"/>
      <c r="D742" s="33"/>
      <c r="E742" s="33" t="s">
        <v>1493</v>
      </c>
      <c r="F742" s="52">
        <v>200</v>
      </c>
      <c r="G742" s="33" t="s">
        <v>1492</v>
      </c>
      <c r="H742" s="41"/>
    </row>
    <row r="743" spans="1:8" ht="30" x14ac:dyDescent="0.25">
      <c r="A743" s="64" t="s">
        <v>214</v>
      </c>
      <c r="B743" s="44" t="s">
        <v>1011</v>
      </c>
      <c r="C743" s="42"/>
      <c r="D743" s="42"/>
      <c r="E743" s="42" t="s">
        <v>1493</v>
      </c>
      <c r="F743" s="52">
        <v>200</v>
      </c>
      <c r="G743" s="42" t="s">
        <v>1492</v>
      </c>
    </row>
    <row r="744" spans="1:8" ht="30" x14ac:dyDescent="0.25">
      <c r="A744" s="64" t="s">
        <v>214</v>
      </c>
      <c r="B744" s="37" t="s">
        <v>1012</v>
      </c>
      <c r="C744" s="33"/>
      <c r="D744" s="33"/>
      <c r="E744" s="33" t="s">
        <v>1493</v>
      </c>
      <c r="F744" s="52">
        <v>200</v>
      </c>
      <c r="G744" s="33" t="s">
        <v>1492</v>
      </c>
      <c r="H744" s="41"/>
    </row>
    <row r="745" spans="1:8" ht="30" x14ac:dyDescent="0.25">
      <c r="A745" s="64" t="s">
        <v>214</v>
      </c>
      <c r="B745" s="44" t="s">
        <v>1013</v>
      </c>
      <c r="C745" s="42"/>
      <c r="D745" s="42"/>
      <c r="E745" s="42" t="s">
        <v>1493</v>
      </c>
      <c r="F745" s="52">
        <v>200</v>
      </c>
      <c r="G745" s="42" t="s">
        <v>1492</v>
      </c>
    </row>
    <row r="746" spans="1:8" ht="30" x14ac:dyDescent="0.25">
      <c r="A746" s="64" t="s">
        <v>214</v>
      </c>
      <c r="B746" s="37" t="s">
        <v>1014</v>
      </c>
      <c r="C746" s="33"/>
      <c r="D746" s="33"/>
      <c r="E746" s="33" t="s">
        <v>1493</v>
      </c>
      <c r="F746" s="52">
        <v>200</v>
      </c>
      <c r="G746" s="33" t="s">
        <v>1492</v>
      </c>
      <c r="H746" s="41"/>
    </row>
    <row r="747" spans="1:8" ht="30" x14ac:dyDescent="0.25">
      <c r="A747" s="64" t="s">
        <v>214</v>
      </c>
      <c r="B747" s="44" t="s">
        <v>1015</v>
      </c>
      <c r="C747" s="42"/>
      <c r="D747" s="42"/>
      <c r="E747" s="42" t="s">
        <v>1493</v>
      </c>
      <c r="F747" s="52">
        <v>200</v>
      </c>
      <c r="G747" s="42" t="s">
        <v>1492</v>
      </c>
    </row>
    <row r="748" spans="1:8" ht="30" x14ac:dyDescent="0.25">
      <c r="A748" s="64" t="s">
        <v>214</v>
      </c>
      <c r="B748" s="37" t="s">
        <v>762</v>
      </c>
      <c r="C748" s="33"/>
      <c r="D748" s="33"/>
      <c r="E748" s="33" t="s">
        <v>1493</v>
      </c>
      <c r="F748" s="52">
        <v>200</v>
      </c>
      <c r="G748" s="33" t="s">
        <v>1492</v>
      </c>
      <c r="H748" s="41"/>
    </row>
    <row r="749" spans="1:8" ht="30" x14ac:dyDescent="0.25">
      <c r="A749" s="64" t="s">
        <v>214</v>
      </c>
      <c r="B749" s="44" t="s">
        <v>1016</v>
      </c>
      <c r="C749" s="42"/>
      <c r="D749" s="42"/>
      <c r="E749" s="42" t="s">
        <v>1493</v>
      </c>
      <c r="F749" s="52">
        <v>200</v>
      </c>
      <c r="G749" s="42" t="s">
        <v>1492</v>
      </c>
    </row>
    <row r="750" spans="1:8" ht="30" x14ac:dyDescent="0.25">
      <c r="A750" s="64" t="s">
        <v>214</v>
      </c>
      <c r="B750" s="37" t="s">
        <v>1017</v>
      </c>
      <c r="C750" s="33"/>
      <c r="D750" s="33"/>
      <c r="E750" s="33" t="s">
        <v>1493</v>
      </c>
      <c r="F750" s="52">
        <v>200</v>
      </c>
      <c r="G750" s="33" t="s">
        <v>1492</v>
      </c>
      <c r="H750" s="41"/>
    </row>
    <row r="751" spans="1:8" ht="30" x14ac:dyDescent="0.25">
      <c r="A751" s="64" t="s">
        <v>214</v>
      </c>
      <c r="B751" s="44" t="s">
        <v>1018</v>
      </c>
      <c r="C751" s="42"/>
      <c r="D751" s="42"/>
      <c r="E751" s="42" t="s">
        <v>1493</v>
      </c>
      <c r="F751" s="52">
        <v>200</v>
      </c>
      <c r="G751" s="42" t="s">
        <v>1492</v>
      </c>
    </row>
    <row r="752" spans="1:8" ht="30" x14ac:dyDescent="0.25">
      <c r="A752" s="64" t="s">
        <v>214</v>
      </c>
      <c r="B752" s="37" t="s">
        <v>1019</v>
      </c>
      <c r="C752" s="33"/>
      <c r="D752" s="33"/>
      <c r="E752" s="33" t="s">
        <v>1493</v>
      </c>
      <c r="F752" s="52">
        <v>200</v>
      </c>
      <c r="G752" s="33" t="s">
        <v>1492</v>
      </c>
      <c r="H752" s="41"/>
    </row>
    <row r="753" spans="1:8" ht="30" x14ac:dyDescent="0.25">
      <c r="A753" s="64" t="s">
        <v>214</v>
      </c>
      <c r="B753" s="44" t="s">
        <v>1020</v>
      </c>
      <c r="C753" s="42"/>
      <c r="D753" s="42"/>
      <c r="E753" s="42" t="s">
        <v>1493</v>
      </c>
      <c r="F753" s="52">
        <v>200</v>
      </c>
      <c r="G753" s="42" t="s">
        <v>1492</v>
      </c>
    </row>
    <row r="754" spans="1:8" ht="30" x14ac:dyDescent="0.25">
      <c r="A754" s="64" t="s">
        <v>214</v>
      </c>
      <c r="B754" s="37" t="s">
        <v>1021</v>
      </c>
      <c r="C754" s="33"/>
      <c r="D754" s="33"/>
      <c r="E754" s="33" t="s">
        <v>1493</v>
      </c>
      <c r="F754" s="52">
        <v>200</v>
      </c>
      <c r="G754" s="33" t="s">
        <v>1492</v>
      </c>
      <c r="H754" s="41"/>
    </row>
    <row r="755" spans="1:8" ht="30" x14ac:dyDescent="0.25">
      <c r="A755" s="64" t="s">
        <v>214</v>
      </c>
      <c r="B755" s="44" t="s">
        <v>1022</v>
      </c>
      <c r="C755" s="42"/>
      <c r="D755" s="42"/>
      <c r="E755" s="42" t="s">
        <v>1493</v>
      </c>
      <c r="F755" s="52">
        <v>200</v>
      </c>
      <c r="G755" s="42" t="s">
        <v>1492</v>
      </c>
    </row>
    <row r="756" spans="1:8" ht="30" x14ac:dyDescent="0.25">
      <c r="A756" s="64" t="s">
        <v>214</v>
      </c>
      <c r="B756" s="37" t="s">
        <v>1023</v>
      </c>
      <c r="C756" s="33"/>
      <c r="D756" s="33"/>
      <c r="E756" s="33" t="s">
        <v>1493</v>
      </c>
      <c r="F756" s="52">
        <v>200</v>
      </c>
      <c r="G756" s="33" t="s">
        <v>1492</v>
      </c>
      <c r="H756" s="41"/>
    </row>
    <row r="757" spans="1:8" ht="30" x14ac:dyDescent="0.25">
      <c r="A757" s="64" t="s">
        <v>214</v>
      </c>
      <c r="B757" s="44" t="s">
        <v>1024</v>
      </c>
      <c r="C757" s="42"/>
      <c r="D757" s="42"/>
      <c r="E757" s="42" t="s">
        <v>1493</v>
      </c>
      <c r="F757" s="52">
        <v>200</v>
      </c>
      <c r="G757" s="42" t="s">
        <v>1492</v>
      </c>
    </row>
    <row r="758" spans="1:8" ht="30" x14ac:dyDescent="0.25">
      <c r="A758" s="64" t="s">
        <v>214</v>
      </c>
      <c r="B758" s="37" t="s">
        <v>761</v>
      </c>
      <c r="C758" s="33"/>
      <c r="D758" s="33"/>
      <c r="E758" s="33" t="s">
        <v>1493</v>
      </c>
      <c r="F758" s="52">
        <v>200</v>
      </c>
      <c r="G758" s="33" t="s">
        <v>1492</v>
      </c>
      <c r="H758" s="41"/>
    </row>
    <row r="759" spans="1:8" ht="30" x14ac:dyDescent="0.25">
      <c r="A759" s="64" t="s">
        <v>214</v>
      </c>
      <c r="B759" s="44" t="s">
        <v>1025</v>
      </c>
      <c r="C759" s="42"/>
      <c r="D759" s="42"/>
      <c r="E759" s="42" t="s">
        <v>1493</v>
      </c>
      <c r="F759" s="52">
        <v>200</v>
      </c>
      <c r="G759" s="42" t="s">
        <v>1492</v>
      </c>
    </row>
    <row r="760" spans="1:8" ht="30" x14ac:dyDescent="0.25">
      <c r="A760" s="64" t="s">
        <v>214</v>
      </c>
      <c r="B760" s="37" t="s">
        <v>1026</v>
      </c>
      <c r="C760" s="33"/>
      <c r="D760" s="33"/>
      <c r="E760" s="33" t="s">
        <v>1493</v>
      </c>
      <c r="F760" s="52">
        <v>200</v>
      </c>
      <c r="G760" s="33" t="s">
        <v>1492</v>
      </c>
      <c r="H760" s="41"/>
    </row>
    <row r="761" spans="1:8" ht="30" x14ac:dyDescent="0.25">
      <c r="A761" s="64" t="s">
        <v>214</v>
      </c>
      <c r="B761" s="44" t="s">
        <v>1027</v>
      </c>
      <c r="C761" s="42"/>
      <c r="D761" s="42"/>
      <c r="E761" s="42" t="s">
        <v>1493</v>
      </c>
      <c r="F761" s="52">
        <v>200</v>
      </c>
      <c r="G761" s="42" t="s">
        <v>1492</v>
      </c>
    </row>
    <row r="762" spans="1:8" ht="30" x14ac:dyDescent="0.25">
      <c r="A762" s="64" t="s">
        <v>214</v>
      </c>
      <c r="B762" s="37" t="s">
        <v>1028</v>
      </c>
      <c r="C762" s="33"/>
      <c r="D762" s="33"/>
      <c r="E762" s="33" t="s">
        <v>1493</v>
      </c>
      <c r="F762" s="52">
        <v>200</v>
      </c>
      <c r="G762" s="33" t="s">
        <v>1492</v>
      </c>
      <c r="H762" s="41"/>
    </row>
    <row r="763" spans="1:8" ht="30" x14ac:dyDescent="0.25">
      <c r="A763" s="64" t="s">
        <v>214</v>
      </c>
      <c r="B763" s="44" t="s">
        <v>1029</v>
      </c>
      <c r="C763" s="42"/>
      <c r="D763" s="42"/>
      <c r="E763" s="42" t="s">
        <v>1493</v>
      </c>
      <c r="F763" s="52">
        <v>200</v>
      </c>
      <c r="G763" s="42" t="s">
        <v>1492</v>
      </c>
    </row>
    <row r="764" spans="1:8" ht="30" x14ac:dyDescent="0.25">
      <c r="A764" s="64" t="s">
        <v>214</v>
      </c>
      <c r="B764" s="37" t="s">
        <v>1030</v>
      </c>
      <c r="C764" s="33"/>
      <c r="D764" s="33"/>
      <c r="E764" s="33" t="s">
        <v>1493</v>
      </c>
      <c r="F764" s="52">
        <v>200</v>
      </c>
      <c r="G764" s="33" t="s">
        <v>1492</v>
      </c>
      <c r="H764" s="41"/>
    </row>
    <row r="765" spans="1:8" ht="30" x14ac:dyDescent="0.25">
      <c r="A765" s="64" t="s">
        <v>214</v>
      </c>
      <c r="B765" s="44" t="s">
        <v>1031</v>
      </c>
      <c r="C765" s="42"/>
      <c r="D765" s="42"/>
      <c r="E765" s="42" t="s">
        <v>1493</v>
      </c>
      <c r="F765" s="52">
        <v>200</v>
      </c>
      <c r="G765" s="42" t="s">
        <v>1492</v>
      </c>
    </row>
    <row r="766" spans="1:8" ht="30" x14ac:dyDescent="0.25">
      <c r="A766" s="64" t="s">
        <v>214</v>
      </c>
      <c r="B766" s="37" t="s">
        <v>1032</v>
      </c>
      <c r="C766" s="33"/>
      <c r="D766" s="33"/>
      <c r="E766" s="33" t="s">
        <v>1493</v>
      </c>
      <c r="F766" s="52">
        <v>200</v>
      </c>
      <c r="G766" s="33" t="s">
        <v>1492</v>
      </c>
      <c r="H766" s="41"/>
    </row>
    <row r="767" spans="1:8" ht="30" x14ac:dyDescent="0.25">
      <c r="A767" s="64" t="s">
        <v>214</v>
      </c>
      <c r="B767" s="44" t="s">
        <v>1033</v>
      </c>
      <c r="C767" s="42"/>
      <c r="D767" s="42"/>
      <c r="E767" s="42" t="s">
        <v>1493</v>
      </c>
      <c r="F767" s="52">
        <v>200</v>
      </c>
      <c r="G767" s="42" t="s">
        <v>1492</v>
      </c>
    </row>
    <row r="768" spans="1:8" ht="30" x14ac:dyDescent="0.25">
      <c r="A768" s="64" t="s">
        <v>214</v>
      </c>
      <c r="B768" s="37" t="s">
        <v>1034</v>
      </c>
      <c r="C768" s="33"/>
      <c r="D768" s="33"/>
      <c r="E768" s="33" t="s">
        <v>1493</v>
      </c>
      <c r="F768" s="52">
        <v>200</v>
      </c>
      <c r="G768" s="33" t="s">
        <v>1492</v>
      </c>
      <c r="H768" s="41"/>
    </row>
    <row r="769" spans="1:8" ht="30" x14ac:dyDescent="0.25">
      <c r="A769" s="64" t="s">
        <v>214</v>
      </c>
      <c r="B769" s="44" t="s">
        <v>1035</v>
      </c>
      <c r="C769" s="42"/>
      <c r="D769" s="42"/>
      <c r="E769" s="42" t="s">
        <v>1493</v>
      </c>
      <c r="F769" s="52">
        <v>200</v>
      </c>
      <c r="G769" s="42" t="s">
        <v>1492</v>
      </c>
    </row>
    <row r="770" spans="1:8" ht="30" x14ac:dyDescent="0.25">
      <c r="A770" s="64" t="s">
        <v>214</v>
      </c>
      <c r="B770" s="37" t="s">
        <v>1036</v>
      </c>
      <c r="C770" s="33"/>
      <c r="D770" s="33"/>
      <c r="E770" s="33" t="s">
        <v>1493</v>
      </c>
      <c r="F770" s="52">
        <v>200</v>
      </c>
      <c r="G770" s="33" t="s">
        <v>1492</v>
      </c>
      <c r="H770" s="41"/>
    </row>
    <row r="771" spans="1:8" ht="30" x14ac:dyDescent="0.25">
      <c r="A771" s="64" t="s">
        <v>214</v>
      </c>
      <c r="B771" s="44" t="s">
        <v>1037</v>
      </c>
      <c r="C771" s="42"/>
      <c r="D771" s="42"/>
      <c r="E771" s="42" t="s">
        <v>1493</v>
      </c>
      <c r="F771" s="52">
        <v>200</v>
      </c>
      <c r="G771" s="42" t="s">
        <v>1492</v>
      </c>
    </row>
    <row r="772" spans="1:8" ht="30" x14ac:dyDescent="0.25">
      <c r="A772" s="64" t="s">
        <v>214</v>
      </c>
      <c r="B772" s="37" t="s">
        <v>1038</v>
      </c>
      <c r="C772" s="33"/>
      <c r="D772" s="33"/>
      <c r="E772" s="33" t="s">
        <v>1493</v>
      </c>
      <c r="F772" s="52">
        <v>200</v>
      </c>
      <c r="G772" s="33" t="s">
        <v>1492</v>
      </c>
      <c r="H772" s="41"/>
    </row>
    <row r="773" spans="1:8" ht="30" x14ac:dyDescent="0.25">
      <c r="A773" s="64" t="s">
        <v>214</v>
      </c>
      <c r="B773" s="44" t="s">
        <v>1039</v>
      </c>
      <c r="C773" s="42"/>
      <c r="D773" s="42"/>
      <c r="E773" s="42" t="s">
        <v>1493</v>
      </c>
      <c r="F773" s="52">
        <v>200</v>
      </c>
      <c r="G773" s="42" t="s">
        <v>1492</v>
      </c>
    </row>
    <row r="774" spans="1:8" ht="30" x14ac:dyDescent="0.25">
      <c r="A774" s="64" t="s">
        <v>214</v>
      </c>
      <c r="B774" s="37" t="s">
        <v>1040</v>
      </c>
      <c r="C774" s="33"/>
      <c r="D774" s="33"/>
      <c r="E774" s="33" t="s">
        <v>1493</v>
      </c>
      <c r="F774" s="52">
        <v>200</v>
      </c>
      <c r="G774" s="33" t="s">
        <v>1492</v>
      </c>
      <c r="H774" s="41"/>
    </row>
    <row r="775" spans="1:8" ht="30" x14ac:dyDescent="0.25">
      <c r="A775" s="64" t="s">
        <v>214</v>
      </c>
      <c r="B775" s="44" t="s">
        <v>1041</v>
      </c>
      <c r="C775" s="42"/>
      <c r="D775" s="42"/>
      <c r="E775" s="42" t="s">
        <v>1493</v>
      </c>
      <c r="F775" s="52">
        <v>200</v>
      </c>
      <c r="G775" s="42" t="s">
        <v>1492</v>
      </c>
    </row>
    <row r="776" spans="1:8" ht="30" x14ac:dyDescent="0.25">
      <c r="A776" s="64" t="s">
        <v>214</v>
      </c>
      <c r="B776" s="37" t="s">
        <v>1042</v>
      </c>
      <c r="C776" s="33"/>
      <c r="D776" s="33"/>
      <c r="E776" s="33" t="s">
        <v>1493</v>
      </c>
      <c r="F776" s="52">
        <v>200</v>
      </c>
      <c r="G776" s="33" t="s">
        <v>1492</v>
      </c>
      <c r="H776" s="41"/>
    </row>
    <row r="777" spans="1:8" ht="30" x14ac:dyDescent="0.25">
      <c r="A777" s="64" t="s">
        <v>214</v>
      </c>
      <c r="B777" s="44" t="s">
        <v>1043</v>
      </c>
      <c r="C777" s="42"/>
      <c r="D777" s="42"/>
      <c r="E777" s="42" t="s">
        <v>1493</v>
      </c>
      <c r="F777" s="52">
        <v>200</v>
      </c>
      <c r="G777" s="42" t="s">
        <v>1492</v>
      </c>
    </row>
    <row r="778" spans="1:8" ht="30" x14ac:dyDescent="0.25">
      <c r="A778" s="64" t="s">
        <v>214</v>
      </c>
      <c r="B778" s="37" t="s">
        <v>1044</v>
      </c>
      <c r="C778" s="33"/>
      <c r="D778" s="33"/>
      <c r="E778" s="33" t="s">
        <v>1493</v>
      </c>
      <c r="F778" s="52">
        <v>200</v>
      </c>
      <c r="G778" s="33" t="s">
        <v>1492</v>
      </c>
      <c r="H778" s="41"/>
    </row>
    <row r="779" spans="1:8" ht="30" x14ac:dyDescent="0.25">
      <c r="A779" s="64" t="s">
        <v>214</v>
      </c>
      <c r="B779" s="44" t="s">
        <v>1045</v>
      </c>
      <c r="C779" s="42"/>
      <c r="D779" s="42"/>
      <c r="E779" s="42" t="s">
        <v>1493</v>
      </c>
      <c r="F779" s="52">
        <v>200</v>
      </c>
      <c r="G779" s="42" t="s">
        <v>1492</v>
      </c>
    </row>
    <row r="780" spans="1:8" ht="30" x14ac:dyDescent="0.25">
      <c r="A780" s="64" t="s">
        <v>214</v>
      </c>
      <c r="B780" s="37" t="s">
        <v>1046</v>
      </c>
      <c r="C780" s="33"/>
      <c r="D780" s="33"/>
      <c r="E780" s="33" t="s">
        <v>1493</v>
      </c>
      <c r="F780" s="52">
        <v>200</v>
      </c>
      <c r="G780" s="33" t="s">
        <v>1492</v>
      </c>
      <c r="H780" s="41"/>
    </row>
    <row r="781" spans="1:8" ht="30" x14ac:dyDescent="0.25">
      <c r="A781" s="64" t="s">
        <v>214</v>
      </c>
      <c r="B781" s="44" t="s">
        <v>1047</v>
      </c>
      <c r="C781" s="42"/>
      <c r="D781" s="42"/>
      <c r="E781" s="42" t="s">
        <v>1493</v>
      </c>
      <c r="F781" s="52">
        <v>200</v>
      </c>
      <c r="G781" s="42" t="s">
        <v>1492</v>
      </c>
    </row>
    <row r="782" spans="1:8" ht="30" x14ac:dyDescent="0.25">
      <c r="A782" s="64" t="s">
        <v>214</v>
      </c>
      <c r="B782" s="37" t="s">
        <v>1048</v>
      </c>
      <c r="C782" s="33"/>
      <c r="D782" s="33"/>
      <c r="E782" s="33" t="s">
        <v>1493</v>
      </c>
      <c r="F782" s="52">
        <v>200</v>
      </c>
      <c r="G782" s="33" t="s">
        <v>1492</v>
      </c>
      <c r="H782" s="41"/>
    </row>
    <row r="783" spans="1:8" ht="30" x14ac:dyDescent="0.25">
      <c r="A783" s="64" t="s">
        <v>214</v>
      </c>
      <c r="B783" s="44" t="s">
        <v>1049</v>
      </c>
      <c r="C783" s="42"/>
      <c r="D783" s="42"/>
      <c r="E783" s="42" t="s">
        <v>1493</v>
      </c>
      <c r="F783" s="52">
        <v>200</v>
      </c>
      <c r="G783" s="42" t="s">
        <v>1492</v>
      </c>
    </row>
    <row r="784" spans="1:8" ht="30" x14ac:dyDescent="0.25">
      <c r="A784" s="64" t="s">
        <v>214</v>
      </c>
      <c r="B784" s="37" t="s">
        <v>1050</v>
      </c>
      <c r="C784" s="33"/>
      <c r="D784" s="33"/>
      <c r="E784" s="33" t="s">
        <v>1493</v>
      </c>
      <c r="F784" s="52">
        <v>200</v>
      </c>
      <c r="G784" s="33" t="s">
        <v>1492</v>
      </c>
      <c r="H784" s="41"/>
    </row>
    <row r="785" spans="1:8" ht="30" x14ac:dyDescent="0.25">
      <c r="A785" s="64" t="s">
        <v>214</v>
      </c>
      <c r="B785" s="44" t="s">
        <v>1051</v>
      </c>
      <c r="C785" s="42"/>
      <c r="D785" s="42"/>
      <c r="E785" s="42" t="s">
        <v>1493</v>
      </c>
      <c r="F785" s="52">
        <v>200</v>
      </c>
      <c r="G785" s="42" t="s">
        <v>1492</v>
      </c>
    </row>
    <row r="786" spans="1:8" ht="30" x14ac:dyDescent="0.25">
      <c r="A786" s="64" t="s">
        <v>214</v>
      </c>
      <c r="B786" s="37" t="s">
        <v>1052</v>
      </c>
      <c r="C786" s="33"/>
      <c r="D786" s="33"/>
      <c r="E786" s="33" t="s">
        <v>1493</v>
      </c>
      <c r="F786" s="52">
        <v>200</v>
      </c>
      <c r="G786" s="33" t="s">
        <v>1492</v>
      </c>
      <c r="H786" s="41"/>
    </row>
    <row r="787" spans="1:8" ht="30" x14ac:dyDescent="0.25">
      <c r="A787" s="64" t="s">
        <v>214</v>
      </c>
      <c r="B787" s="44" t="s">
        <v>1053</v>
      </c>
      <c r="C787" s="42"/>
      <c r="D787" s="42"/>
      <c r="E787" s="42" t="s">
        <v>1493</v>
      </c>
      <c r="F787" s="52">
        <v>200</v>
      </c>
      <c r="G787" s="42" t="s">
        <v>1492</v>
      </c>
    </row>
    <row r="788" spans="1:8" ht="30" x14ac:dyDescent="0.25">
      <c r="A788" s="64" t="s">
        <v>214</v>
      </c>
      <c r="B788" s="37" t="s">
        <v>1054</v>
      </c>
      <c r="C788" s="33"/>
      <c r="D788" s="33"/>
      <c r="E788" s="33" t="s">
        <v>1493</v>
      </c>
      <c r="F788" s="52">
        <v>200</v>
      </c>
      <c r="G788" s="33" t="s">
        <v>1492</v>
      </c>
      <c r="H788" s="41"/>
    </row>
    <row r="789" spans="1:8" ht="30" x14ac:dyDescent="0.25">
      <c r="A789" s="64" t="s">
        <v>214</v>
      </c>
      <c r="B789" s="44" t="s">
        <v>1055</v>
      </c>
      <c r="C789" s="42"/>
      <c r="D789" s="42"/>
      <c r="E789" s="42" t="s">
        <v>1493</v>
      </c>
      <c r="F789" s="52">
        <v>200</v>
      </c>
      <c r="G789" s="42" t="s">
        <v>1492</v>
      </c>
    </row>
    <row r="790" spans="1:8" ht="30" x14ac:dyDescent="0.25">
      <c r="A790" s="64" t="s">
        <v>214</v>
      </c>
      <c r="B790" s="37" t="s">
        <v>1056</v>
      </c>
      <c r="C790" s="33"/>
      <c r="D790" s="33"/>
      <c r="E790" s="33" t="s">
        <v>1493</v>
      </c>
      <c r="F790" s="52">
        <v>200</v>
      </c>
      <c r="G790" s="33" t="s">
        <v>1492</v>
      </c>
      <c r="H790" s="41"/>
    </row>
    <row r="791" spans="1:8" ht="30" x14ac:dyDescent="0.25">
      <c r="A791" s="64" t="s">
        <v>214</v>
      </c>
      <c r="B791" s="44" t="s">
        <v>760</v>
      </c>
      <c r="C791" s="42"/>
      <c r="D791" s="42"/>
      <c r="E791" s="42" t="s">
        <v>1493</v>
      </c>
      <c r="F791" s="52">
        <v>200</v>
      </c>
      <c r="G791" s="42" t="s">
        <v>1492</v>
      </c>
    </row>
    <row r="792" spans="1:8" ht="30" x14ac:dyDescent="0.25">
      <c r="A792" s="64" t="s">
        <v>214</v>
      </c>
      <c r="B792" s="37" t="s">
        <v>1057</v>
      </c>
      <c r="C792" s="33"/>
      <c r="D792" s="33"/>
      <c r="E792" s="33" t="s">
        <v>1493</v>
      </c>
      <c r="F792" s="52">
        <v>200</v>
      </c>
      <c r="G792" s="33" t="s">
        <v>1492</v>
      </c>
      <c r="H792" s="41"/>
    </row>
    <row r="793" spans="1:8" ht="30" x14ac:dyDescent="0.25">
      <c r="A793" s="64" t="s">
        <v>214</v>
      </c>
      <c r="B793" s="44" t="s">
        <v>1058</v>
      </c>
      <c r="C793" s="42"/>
      <c r="D793" s="42"/>
      <c r="E793" s="42" t="s">
        <v>1493</v>
      </c>
      <c r="F793" s="52">
        <v>200</v>
      </c>
      <c r="G793" s="42" t="s">
        <v>1492</v>
      </c>
    </row>
    <row r="794" spans="1:8" ht="30" x14ac:dyDescent="0.25">
      <c r="A794" s="64" t="s">
        <v>214</v>
      </c>
      <c r="B794" s="37" t="s">
        <v>1059</v>
      </c>
      <c r="C794" s="33"/>
      <c r="D794" s="33"/>
      <c r="E794" s="33" t="s">
        <v>1493</v>
      </c>
      <c r="F794" s="52">
        <v>200</v>
      </c>
      <c r="G794" s="33" t="s">
        <v>1492</v>
      </c>
      <c r="H794" s="41"/>
    </row>
    <row r="795" spans="1:8" ht="30" x14ac:dyDescent="0.25">
      <c r="A795" s="64" t="s">
        <v>214</v>
      </c>
      <c r="B795" s="44" t="s">
        <v>1060</v>
      </c>
      <c r="C795" s="42"/>
      <c r="D795" s="42"/>
      <c r="E795" s="42" t="s">
        <v>1493</v>
      </c>
      <c r="F795" s="52">
        <v>200</v>
      </c>
      <c r="G795" s="42" t="s">
        <v>1492</v>
      </c>
    </row>
    <row r="796" spans="1:8" ht="30" x14ac:dyDescent="0.25">
      <c r="A796" s="64" t="s">
        <v>214</v>
      </c>
      <c r="B796" s="37" t="s">
        <v>1061</v>
      </c>
      <c r="C796" s="33"/>
      <c r="D796" s="33"/>
      <c r="E796" s="33" t="s">
        <v>1493</v>
      </c>
      <c r="F796" s="52">
        <v>200</v>
      </c>
      <c r="G796" s="33" t="s">
        <v>1492</v>
      </c>
      <c r="H796" s="41"/>
    </row>
    <row r="797" spans="1:8" ht="30" x14ac:dyDescent="0.25">
      <c r="A797" s="64" t="s">
        <v>214</v>
      </c>
      <c r="B797" s="44" t="s">
        <v>1062</v>
      </c>
      <c r="C797" s="42"/>
      <c r="D797" s="42"/>
      <c r="E797" s="42" t="s">
        <v>1493</v>
      </c>
      <c r="F797" s="52">
        <v>200</v>
      </c>
      <c r="G797" s="42" t="s">
        <v>1492</v>
      </c>
    </row>
    <row r="798" spans="1:8" ht="30" x14ac:dyDescent="0.25">
      <c r="A798" s="64" t="s">
        <v>214</v>
      </c>
      <c r="B798" s="37" t="s">
        <v>758</v>
      </c>
      <c r="C798" s="33"/>
      <c r="D798" s="33"/>
      <c r="E798" s="33" t="s">
        <v>1493</v>
      </c>
      <c r="F798" s="52">
        <v>200</v>
      </c>
      <c r="G798" s="33" t="s">
        <v>1492</v>
      </c>
      <c r="H798" s="41"/>
    </row>
    <row r="799" spans="1:8" ht="30" x14ac:dyDescent="0.25">
      <c r="A799" s="64" t="s">
        <v>214</v>
      </c>
      <c r="B799" s="44" t="s">
        <v>759</v>
      </c>
      <c r="C799" s="42"/>
      <c r="D799" s="42"/>
      <c r="E799" s="42" t="s">
        <v>1493</v>
      </c>
      <c r="F799" s="52">
        <v>200</v>
      </c>
      <c r="G799" s="42" t="s">
        <v>1492</v>
      </c>
    </row>
    <row r="800" spans="1:8" ht="30" x14ac:dyDescent="0.25">
      <c r="A800" s="64" t="s">
        <v>214</v>
      </c>
      <c r="B800" s="37" t="s">
        <v>1063</v>
      </c>
      <c r="C800" s="33"/>
      <c r="D800" s="33"/>
      <c r="E800" s="33" t="s">
        <v>1493</v>
      </c>
      <c r="F800" s="52">
        <v>200</v>
      </c>
      <c r="G800" s="33" t="s">
        <v>1492</v>
      </c>
      <c r="H800" s="41"/>
    </row>
    <row r="801" spans="1:8" ht="30" x14ac:dyDescent="0.25">
      <c r="A801" s="64" t="s">
        <v>214</v>
      </c>
      <c r="B801" s="44" t="s">
        <v>1064</v>
      </c>
      <c r="C801" s="42"/>
      <c r="D801" s="42"/>
      <c r="E801" s="42" t="s">
        <v>1493</v>
      </c>
      <c r="F801" s="52">
        <v>200</v>
      </c>
      <c r="G801" s="42" t="s">
        <v>1492</v>
      </c>
    </row>
    <row r="802" spans="1:8" ht="30" x14ac:dyDescent="0.25">
      <c r="A802" s="64" t="s">
        <v>214</v>
      </c>
      <c r="B802" s="37" t="s">
        <v>1065</v>
      </c>
      <c r="C802" s="33"/>
      <c r="D802" s="33"/>
      <c r="E802" s="33" t="s">
        <v>1493</v>
      </c>
      <c r="F802" s="52">
        <v>200</v>
      </c>
      <c r="G802" s="33" t="s">
        <v>1492</v>
      </c>
      <c r="H802" s="41"/>
    </row>
    <row r="803" spans="1:8" ht="30" x14ac:dyDescent="0.25">
      <c r="A803" s="64" t="s">
        <v>214</v>
      </c>
      <c r="B803" s="44" t="s">
        <v>1066</v>
      </c>
      <c r="C803" s="42"/>
      <c r="D803" s="42"/>
      <c r="E803" s="42" t="s">
        <v>1493</v>
      </c>
      <c r="F803" s="52">
        <v>200</v>
      </c>
      <c r="G803" s="42" t="s">
        <v>1492</v>
      </c>
    </row>
    <row r="804" spans="1:8" ht="30" x14ac:dyDescent="0.25">
      <c r="A804" s="64" t="s">
        <v>214</v>
      </c>
      <c r="B804" s="37" t="s">
        <v>1067</v>
      </c>
      <c r="C804" s="33"/>
      <c r="D804" s="33"/>
      <c r="E804" s="33" t="s">
        <v>1493</v>
      </c>
      <c r="F804" s="52">
        <v>200</v>
      </c>
      <c r="G804" s="33" t="s">
        <v>1492</v>
      </c>
      <c r="H804" s="41"/>
    </row>
    <row r="805" spans="1:8" ht="30" x14ac:dyDescent="0.25">
      <c r="A805" s="64" t="s">
        <v>214</v>
      </c>
      <c r="B805" s="44" t="s">
        <v>1068</v>
      </c>
      <c r="C805" s="42"/>
      <c r="D805" s="42"/>
      <c r="E805" s="42" t="s">
        <v>1493</v>
      </c>
      <c r="F805" s="52">
        <v>200</v>
      </c>
      <c r="G805" s="42" t="s">
        <v>1492</v>
      </c>
    </row>
    <row r="806" spans="1:8" ht="30" x14ac:dyDescent="0.25">
      <c r="A806" s="64" t="s">
        <v>214</v>
      </c>
      <c r="B806" s="37" t="s">
        <v>1069</v>
      </c>
      <c r="C806" s="33"/>
      <c r="D806" s="33"/>
      <c r="E806" s="33" t="s">
        <v>1493</v>
      </c>
      <c r="F806" s="52">
        <v>200</v>
      </c>
      <c r="G806" s="33" t="s">
        <v>1492</v>
      </c>
      <c r="H806" s="41"/>
    </row>
    <row r="807" spans="1:8" ht="30" x14ac:dyDescent="0.25">
      <c r="A807" s="64" t="s">
        <v>214</v>
      </c>
      <c r="B807" s="44" t="s">
        <v>1070</v>
      </c>
      <c r="C807" s="42"/>
      <c r="D807" s="42"/>
      <c r="E807" s="42" t="s">
        <v>1493</v>
      </c>
      <c r="F807" s="52">
        <v>200</v>
      </c>
      <c r="G807" s="42" t="s">
        <v>1492</v>
      </c>
    </row>
    <row r="808" spans="1:8" ht="30" x14ac:dyDescent="0.25">
      <c r="A808" s="64" t="s">
        <v>214</v>
      </c>
      <c r="B808" s="37" t="s">
        <v>1071</v>
      </c>
      <c r="C808" s="33"/>
      <c r="D808" s="33"/>
      <c r="E808" s="33" t="s">
        <v>1493</v>
      </c>
      <c r="F808" s="52">
        <v>200</v>
      </c>
      <c r="G808" s="33" t="s">
        <v>1492</v>
      </c>
      <c r="H808" s="41"/>
    </row>
    <row r="809" spans="1:8" ht="30" x14ac:dyDescent="0.25">
      <c r="A809" s="64" t="s">
        <v>214</v>
      </c>
      <c r="B809" s="44" t="s">
        <v>1072</v>
      </c>
      <c r="C809" s="42"/>
      <c r="D809" s="42"/>
      <c r="E809" s="42" t="s">
        <v>1493</v>
      </c>
      <c r="F809" s="52">
        <v>200</v>
      </c>
      <c r="G809" s="42" t="s">
        <v>1492</v>
      </c>
    </row>
    <row r="810" spans="1:8" ht="30" x14ac:dyDescent="0.25">
      <c r="A810" s="64" t="s">
        <v>214</v>
      </c>
      <c r="B810" s="37" t="s">
        <v>1073</v>
      </c>
      <c r="C810" s="33"/>
      <c r="D810" s="33"/>
      <c r="E810" s="33" t="s">
        <v>1493</v>
      </c>
      <c r="F810" s="52">
        <v>200</v>
      </c>
      <c r="G810" s="33" t="s">
        <v>1492</v>
      </c>
      <c r="H810" s="41"/>
    </row>
    <row r="811" spans="1:8" ht="30" x14ac:dyDescent="0.25">
      <c r="A811" s="64" t="s">
        <v>214</v>
      </c>
      <c r="B811" s="44" t="s">
        <v>1074</v>
      </c>
      <c r="C811" s="42"/>
      <c r="D811" s="42"/>
      <c r="E811" s="42" t="s">
        <v>1493</v>
      </c>
      <c r="F811" s="52">
        <v>200</v>
      </c>
      <c r="G811" s="42" t="s">
        <v>1492</v>
      </c>
    </row>
    <row r="812" spans="1:8" ht="30" x14ac:dyDescent="0.25">
      <c r="A812" s="64" t="s">
        <v>214</v>
      </c>
      <c r="B812" s="37" t="s">
        <v>1075</v>
      </c>
      <c r="C812" s="33"/>
      <c r="D812" s="33"/>
      <c r="E812" s="33" t="s">
        <v>1493</v>
      </c>
      <c r="F812" s="52">
        <v>200</v>
      </c>
      <c r="G812" s="33" t="s">
        <v>1492</v>
      </c>
      <c r="H812" s="41"/>
    </row>
    <row r="813" spans="1:8" ht="30" x14ac:dyDescent="0.25">
      <c r="A813" s="64" t="s">
        <v>214</v>
      </c>
      <c r="B813" s="44" t="s">
        <v>1076</v>
      </c>
      <c r="C813" s="42"/>
      <c r="D813" s="42"/>
      <c r="E813" s="42" t="s">
        <v>1493</v>
      </c>
      <c r="F813" s="52">
        <v>200</v>
      </c>
      <c r="G813" s="42" t="s">
        <v>1492</v>
      </c>
    </row>
    <row r="814" spans="1:8" ht="30" x14ac:dyDescent="0.25">
      <c r="A814" s="64" t="s">
        <v>214</v>
      </c>
      <c r="B814" s="37" t="s">
        <v>1077</v>
      </c>
      <c r="C814" s="33"/>
      <c r="D814" s="33"/>
      <c r="E814" s="33" t="s">
        <v>1493</v>
      </c>
      <c r="F814" s="52">
        <v>200</v>
      </c>
      <c r="G814" s="33" t="s">
        <v>1492</v>
      </c>
      <c r="H814" s="41"/>
    </row>
    <row r="815" spans="1:8" ht="30" x14ac:dyDescent="0.25">
      <c r="A815" s="64" t="s">
        <v>214</v>
      </c>
      <c r="B815" s="44" t="s">
        <v>1078</v>
      </c>
      <c r="C815" s="42"/>
      <c r="D815" s="42"/>
      <c r="E815" s="42" t="s">
        <v>1493</v>
      </c>
      <c r="F815" s="52">
        <v>200</v>
      </c>
      <c r="G815" s="42" t="s">
        <v>1492</v>
      </c>
    </row>
    <row r="816" spans="1:8" ht="30" x14ac:dyDescent="0.25">
      <c r="A816" s="64" t="s">
        <v>214</v>
      </c>
      <c r="B816" s="37" t="s">
        <v>1079</v>
      </c>
      <c r="C816" s="33"/>
      <c r="D816" s="33"/>
      <c r="E816" s="33" t="s">
        <v>1493</v>
      </c>
      <c r="F816" s="52">
        <v>200</v>
      </c>
      <c r="G816" s="33" t="s">
        <v>1492</v>
      </c>
      <c r="H816" s="41"/>
    </row>
    <row r="817" spans="1:8" ht="30" x14ac:dyDescent="0.25">
      <c r="A817" s="64" t="s">
        <v>214</v>
      </c>
      <c r="B817" s="44" t="s">
        <v>1080</v>
      </c>
      <c r="C817" s="42"/>
      <c r="D817" s="42"/>
      <c r="E817" s="42" t="s">
        <v>1493</v>
      </c>
      <c r="F817" s="52">
        <v>200</v>
      </c>
      <c r="G817" s="42" t="s">
        <v>1492</v>
      </c>
    </row>
    <row r="818" spans="1:8" ht="30" x14ac:dyDescent="0.25">
      <c r="A818" s="64" t="s">
        <v>214</v>
      </c>
      <c r="B818" s="37" t="s">
        <v>1081</v>
      </c>
      <c r="C818" s="33"/>
      <c r="D818" s="33"/>
      <c r="E818" s="33" t="s">
        <v>1493</v>
      </c>
      <c r="F818" s="52">
        <v>200</v>
      </c>
      <c r="G818" s="33" t="s">
        <v>1492</v>
      </c>
      <c r="H818" s="41"/>
    </row>
    <row r="819" spans="1:8" ht="30" x14ac:dyDescent="0.25">
      <c r="A819" s="64" t="s">
        <v>214</v>
      </c>
      <c r="B819" s="44" t="s">
        <v>1082</v>
      </c>
      <c r="C819" s="42"/>
      <c r="D819" s="42"/>
      <c r="E819" s="42" t="s">
        <v>1493</v>
      </c>
      <c r="F819" s="52">
        <v>200</v>
      </c>
      <c r="G819" s="42" t="s">
        <v>1492</v>
      </c>
    </row>
    <row r="820" spans="1:8" ht="30" x14ac:dyDescent="0.25">
      <c r="A820" s="64" t="s">
        <v>214</v>
      </c>
      <c r="B820" s="37" t="s">
        <v>1083</v>
      </c>
      <c r="C820" s="33"/>
      <c r="D820" s="33"/>
      <c r="E820" s="33" t="s">
        <v>1493</v>
      </c>
      <c r="F820" s="52">
        <v>200</v>
      </c>
      <c r="G820" s="33" t="s">
        <v>1492</v>
      </c>
      <c r="H820" s="41"/>
    </row>
    <row r="821" spans="1:8" ht="30" x14ac:dyDescent="0.25">
      <c r="A821" s="64" t="s">
        <v>214</v>
      </c>
      <c r="B821" s="44" t="s">
        <v>1084</v>
      </c>
      <c r="C821" s="42"/>
      <c r="D821" s="42"/>
      <c r="E821" s="42" t="s">
        <v>1493</v>
      </c>
      <c r="F821" s="52">
        <v>200</v>
      </c>
      <c r="G821" s="42" t="s">
        <v>1492</v>
      </c>
    </row>
    <row r="822" spans="1:8" ht="30" x14ac:dyDescent="0.25">
      <c r="A822" s="64" t="s">
        <v>214</v>
      </c>
      <c r="B822" s="37" t="s">
        <v>1085</v>
      </c>
      <c r="C822" s="33"/>
      <c r="D822" s="33"/>
      <c r="E822" s="33" t="s">
        <v>1493</v>
      </c>
      <c r="F822" s="52">
        <v>200</v>
      </c>
      <c r="G822" s="33" t="s">
        <v>1492</v>
      </c>
      <c r="H822" s="41"/>
    </row>
    <row r="823" spans="1:8" ht="30" x14ac:dyDescent="0.25">
      <c r="A823" s="64" t="s">
        <v>214</v>
      </c>
      <c r="B823" s="44" t="s">
        <v>1086</v>
      </c>
      <c r="C823" s="42"/>
      <c r="D823" s="42"/>
      <c r="E823" s="42" t="s">
        <v>1493</v>
      </c>
      <c r="F823" s="52">
        <v>200</v>
      </c>
      <c r="G823" s="42" t="s">
        <v>1492</v>
      </c>
    </row>
    <row r="824" spans="1:8" ht="30" x14ac:dyDescent="0.25">
      <c r="A824" s="64" t="s">
        <v>214</v>
      </c>
      <c r="B824" s="37" t="s">
        <v>1087</v>
      </c>
      <c r="C824" s="33"/>
      <c r="D824" s="33"/>
      <c r="E824" s="33" t="s">
        <v>1493</v>
      </c>
      <c r="F824" s="52">
        <v>200</v>
      </c>
      <c r="G824" s="33" t="s">
        <v>1492</v>
      </c>
      <c r="H824" s="41"/>
    </row>
    <row r="825" spans="1:8" ht="30" x14ac:dyDescent="0.25">
      <c r="A825" s="64" t="s">
        <v>214</v>
      </c>
      <c r="B825" s="44" t="s">
        <v>1088</v>
      </c>
      <c r="C825" s="42"/>
      <c r="D825" s="42"/>
      <c r="E825" s="42" t="s">
        <v>1493</v>
      </c>
      <c r="F825" s="52">
        <v>200</v>
      </c>
      <c r="G825" s="42" t="s">
        <v>1492</v>
      </c>
    </row>
    <row r="826" spans="1:8" ht="30" x14ac:dyDescent="0.25">
      <c r="A826" s="64" t="s">
        <v>214</v>
      </c>
      <c r="B826" s="37" t="s">
        <v>1089</v>
      </c>
      <c r="C826" s="33"/>
      <c r="D826" s="33"/>
      <c r="E826" s="33" t="s">
        <v>1493</v>
      </c>
      <c r="F826" s="52">
        <v>200</v>
      </c>
      <c r="G826" s="33" t="s">
        <v>1492</v>
      </c>
      <c r="H826" s="41"/>
    </row>
    <row r="827" spans="1:8" ht="30" x14ac:dyDescent="0.25">
      <c r="A827" s="64" t="s">
        <v>214</v>
      </c>
      <c r="B827" s="44" t="s">
        <v>757</v>
      </c>
      <c r="C827" s="42"/>
      <c r="D827" s="42"/>
      <c r="E827" s="42" t="s">
        <v>1493</v>
      </c>
      <c r="F827" s="52">
        <v>200</v>
      </c>
      <c r="G827" s="42" t="s">
        <v>1492</v>
      </c>
    </row>
    <row r="828" spans="1:8" ht="30" x14ac:dyDescent="0.25">
      <c r="A828" s="64" t="s">
        <v>214</v>
      </c>
      <c r="B828" s="37" t="s">
        <v>1090</v>
      </c>
      <c r="C828" s="33"/>
      <c r="D828" s="33"/>
      <c r="E828" s="33" t="s">
        <v>1493</v>
      </c>
      <c r="F828" s="52">
        <v>200</v>
      </c>
      <c r="G828" s="33" t="s">
        <v>1492</v>
      </c>
      <c r="H828" s="41"/>
    </row>
    <row r="829" spans="1:8" ht="30" x14ac:dyDescent="0.25">
      <c r="A829" s="64" t="s">
        <v>214</v>
      </c>
      <c r="B829" s="44" t="s">
        <v>1091</v>
      </c>
      <c r="C829" s="42"/>
      <c r="D829" s="42"/>
      <c r="E829" s="42" t="s">
        <v>1493</v>
      </c>
      <c r="F829" s="52">
        <v>200</v>
      </c>
      <c r="G829" s="42" t="s">
        <v>1492</v>
      </c>
    </row>
    <row r="830" spans="1:8" ht="30" x14ac:dyDescent="0.25">
      <c r="A830" s="64" t="s">
        <v>214</v>
      </c>
      <c r="B830" s="37" t="s">
        <v>1092</v>
      </c>
      <c r="C830" s="33"/>
      <c r="D830" s="33"/>
      <c r="E830" s="33" t="s">
        <v>1493</v>
      </c>
      <c r="F830" s="52">
        <v>200</v>
      </c>
      <c r="G830" s="33" t="s">
        <v>1492</v>
      </c>
      <c r="H830" s="41"/>
    </row>
    <row r="831" spans="1:8" ht="30" x14ac:dyDescent="0.25">
      <c r="A831" s="64" t="s">
        <v>214</v>
      </c>
      <c r="B831" s="44" t="s">
        <v>1093</v>
      </c>
      <c r="C831" s="42"/>
      <c r="D831" s="42"/>
      <c r="E831" s="42" t="s">
        <v>1493</v>
      </c>
      <c r="F831" s="52">
        <v>200</v>
      </c>
      <c r="G831" s="42" t="s">
        <v>1492</v>
      </c>
    </row>
    <row r="832" spans="1:8" ht="30" x14ac:dyDescent="0.25">
      <c r="A832" s="64" t="s">
        <v>214</v>
      </c>
      <c r="B832" s="37" t="s">
        <v>1094</v>
      </c>
      <c r="C832" s="33"/>
      <c r="D832" s="33"/>
      <c r="E832" s="33" t="s">
        <v>1493</v>
      </c>
      <c r="F832" s="52">
        <v>200</v>
      </c>
      <c r="G832" s="33" t="s">
        <v>1492</v>
      </c>
      <c r="H832" s="41"/>
    </row>
    <row r="833" spans="1:8" ht="30" x14ac:dyDescent="0.25">
      <c r="A833" s="64" t="s">
        <v>214</v>
      </c>
      <c r="B833" s="44" t="s">
        <v>1095</v>
      </c>
      <c r="C833" s="42"/>
      <c r="D833" s="42"/>
      <c r="E833" s="42" t="s">
        <v>1493</v>
      </c>
      <c r="F833" s="52">
        <v>200</v>
      </c>
      <c r="G833" s="42" t="s">
        <v>1492</v>
      </c>
    </row>
    <row r="834" spans="1:8" ht="30" x14ac:dyDescent="0.25">
      <c r="A834" s="64" t="s">
        <v>214</v>
      </c>
      <c r="B834" s="37" t="s">
        <v>1096</v>
      </c>
      <c r="C834" s="33"/>
      <c r="D834" s="33"/>
      <c r="E834" s="33" t="s">
        <v>1493</v>
      </c>
      <c r="F834" s="52">
        <v>200</v>
      </c>
      <c r="G834" s="33" t="s">
        <v>1492</v>
      </c>
      <c r="H834" s="41"/>
    </row>
    <row r="835" spans="1:8" ht="30" x14ac:dyDescent="0.25">
      <c r="A835" s="64" t="s">
        <v>214</v>
      </c>
      <c r="B835" s="44" t="s">
        <v>1097</v>
      </c>
      <c r="C835" s="42"/>
      <c r="D835" s="42"/>
      <c r="E835" s="42" t="s">
        <v>1493</v>
      </c>
      <c r="F835" s="52">
        <v>200</v>
      </c>
      <c r="G835" s="42" t="s">
        <v>1492</v>
      </c>
    </row>
    <row r="836" spans="1:8" ht="30" x14ac:dyDescent="0.25">
      <c r="A836" s="64" t="s">
        <v>214</v>
      </c>
      <c r="B836" s="37" t="s">
        <v>1098</v>
      </c>
      <c r="C836" s="33"/>
      <c r="D836" s="33"/>
      <c r="E836" s="33" t="s">
        <v>1493</v>
      </c>
      <c r="F836" s="52">
        <v>200</v>
      </c>
      <c r="G836" s="33" t="s">
        <v>1492</v>
      </c>
      <c r="H836" s="41"/>
    </row>
    <row r="837" spans="1:8" ht="30" x14ac:dyDescent="0.25">
      <c r="A837" s="64" t="s">
        <v>214</v>
      </c>
      <c r="B837" s="44" t="s">
        <v>1099</v>
      </c>
      <c r="C837" s="42"/>
      <c r="D837" s="42"/>
      <c r="E837" s="42" t="s">
        <v>1493</v>
      </c>
      <c r="F837" s="52">
        <v>200</v>
      </c>
      <c r="G837" s="42" t="s">
        <v>1492</v>
      </c>
    </row>
    <row r="838" spans="1:8" ht="30" x14ac:dyDescent="0.25">
      <c r="A838" s="64" t="s">
        <v>214</v>
      </c>
      <c r="B838" s="37" t="s">
        <v>1100</v>
      </c>
      <c r="C838" s="33"/>
      <c r="D838" s="33"/>
      <c r="E838" s="33" t="s">
        <v>1493</v>
      </c>
      <c r="F838" s="52">
        <v>200</v>
      </c>
      <c r="G838" s="33" t="s">
        <v>1492</v>
      </c>
      <c r="H838" s="41"/>
    </row>
    <row r="839" spans="1:8" ht="30" x14ac:dyDescent="0.25">
      <c r="A839" s="64" t="s">
        <v>214</v>
      </c>
      <c r="B839" s="44" t="s">
        <v>1101</v>
      </c>
      <c r="C839" s="42"/>
      <c r="D839" s="42"/>
      <c r="E839" s="42" t="s">
        <v>1493</v>
      </c>
      <c r="F839" s="52">
        <v>200</v>
      </c>
      <c r="G839" s="42" t="s">
        <v>1492</v>
      </c>
    </row>
    <row r="840" spans="1:8" ht="30" x14ac:dyDescent="0.25">
      <c r="A840" s="64" t="s">
        <v>214</v>
      </c>
      <c r="B840" s="37" t="s">
        <v>1102</v>
      </c>
      <c r="C840" s="33"/>
      <c r="D840" s="33"/>
      <c r="E840" s="33" t="s">
        <v>1493</v>
      </c>
      <c r="F840" s="52">
        <v>200</v>
      </c>
      <c r="G840" s="33" t="s">
        <v>1492</v>
      </c>
      <c r="H840" s="41"/>
    </row>
    <row r="841" spans="1:8" ht="30" x14ac:dyDescent="0.25">
      <c r="A841" s="64" t="s">
        <v>214</v>
      </c>
      <c r="B841" s="44" t="s">
        <v>1103</v>
      </c>
      <c r="C841" s="42"/>
      <c r="D841" s="42"/>
      <c r="E841" s="42" t="s">
        <v>1493</v>
      </c>
      <c r="F841" s="52">
        <v>200</v>
      </c>
      <c r="G841" s="42" t="s">
        <v>1492</v>
      </c>
    </row>
    <row r="842" spans="1:8" ht="30" x14ac:dyDescent="0.25">
      <c r="A842" s="64" t="s">
        <v>214</v>
      </c>
      <c r="B842" s="37" t="s">
        <v>1104</v>
      </c>
      <c r="C842" s="33"/>
      <c r="D842" s="33"/>
      <c r="E842" s="33" t="s">
        <v>1493</v>
      </c>
      <c r="F842" s="52">
        <v>200</v>
      </c>
      <c r="G842" s="33" t="s">
        <v>1492</v>
      </c>
      <c r="H842" s="41"/>
    </row>
    <row r="843" spans="1:8" ht="30" x14ac:dyDescent="0.25">
      <c r="A843" s="64" t="s">
        <v>214</v>
      </c>
      <c r="B843" s="44" t="s">
        <v>756</v>
      </c>
      <c r="C843" s="42"/>
      <c r="D843" s="42"/>
      <c r="E843" s="42" t="s">
        <v>1493</v>
      </c>
      <c r="F843" s="52">
        <v>200</v>
      </c>
      <c r="G843" s="42" t="s">
        <v>1492</v>
      </c>
    </row>
    <row r="844" spans="1:8" ht="30" x14ac:dyDescent="0.25">
      <c r="A844" s="64" t="s">
        <v>214</v>
      </c>
      <c r="B844" s="37" t="s">
        <v>1105</v>
      </c>
      <c r="C844" s="33"/>
      <c r="D844" s="33"/>
      <c r="E844" s="33" t="s">
        <v>1493</v>
      </c>
      <c r="F844" s="52">
        <v>200</v>
      </c>
      <c r="G844" s="33" t="s">
        <v>1492</v>
      </c>
      <c r="H844" s="41"/>
    </row>
    <row r="845" spans="1:8" ht="30" x14ac:dyDescent="0.25">
      <c r="A845" s="64" t="s">
        <v>214</v>
      </c>
      <c r="B845" s="44" t="s">
        <v>1106</v>
      </c>
      <c r="C845" s="42"/>
      <c r="D845" s="42"/>
      <c r="E845" s="42" t="s">
        <v>1493</v>
      </c>
      <c r="F845" s="52">
        <v>200</v>
      </c>
      <c r="G845" s="42" t="s">
        <v>1492</v>
      </c>
    </row>
    <row r="846" spans="1:8" ht="30" x14ac:dyDescent="0.25">
      <c r="A846" s="64" t="s">
        <v>214</v>
      </c>
      <c r="B846" s="37" t="s">
        <v>1107</v>
      </c>
      <c r="C846" s="33"/>
      <c r="D846" s="33"/>
      <c r="E846" s="33" t="s">
        <v>1493</v>
      </c>
      <c r="F846" s="52">
        <v>200</v>
      </c>
      <c r="G846" s="33" t="s">
        <v>1492</v>
      </c>
      <c r="H846" s="41"/>
    </row>
    <row r="847" spans="1:8" ht="30" x14ac:dyDescent="0.25">
      <c r="A847" s="64" t="s">
        <v>214</v>
      </c>
      <c r="B847" s="44" t="s">
        <v>1108</v>
      </c>
      <c r="C847" s="42"/>
      <c r="D847" s="42"/>
      <c r="E847" s="42" t="s">
        <v>1493</v>
      </c>
      <c r="F847" s="52">
        <v>200</v>
      </c>
      <c r="G847" s="42" t="s">
        <v>1492</v>
      </c>
    </row>
    <row r="848" spans="1:8" ht="30" x14ac:dyDescent="0.25">
      <c r="A848" s="64" t="s">
        <v>214</v>
      </c>
      <c r="B848" s="37" t="s">
        <v>1109</v>
      </c>
      <c r="C848" s="33"/>
      <c r="D848" s="33"/>
      <c r="E848" s="33" t="s">
        <v>1493</v>
      </c>
      <c r="F848" s="52">
        <v>200</v>
      </c>
      <c r="G848" s="33" t="s">
        <v>1492</v>
      </c>
      <c r="H848" s="41"/>
    </row>
    <row r="849" spans="1:8" ht="30" x14ac:dyDescent="0.25">
      <c r="A849" s="64" t="s">
        <v>214</v>
      </c>
      <c r="B849" s="44" t="s">
        <v>1110</v>
      </c>
      <c r="C849" s="42"/>
      <c r="D849" s="42"/>
      <c r="E849" s="42" t="s">
        <v>1493</v>
      </c>
      <c r="F849" s="52">
        <v>200</v>
      </c>
      <c r="G849" s="42" t="s">
        <v>1492</v>
      </c>
    </row>
    <row r="850" spans="1:8" ht="30" x14ac:dyDescent="0.25">
      <c r="A850" s="64" t="s">
        <v>214</v>
      </c>
      <c r="B850" s="37" t="s">
        <v>1111</v>
      </c>
      <c r="C850" s="33"/>
      <c r="D850" s="33"/>
      <c r="E850" s="33" t="s">
        <v>1493</v>
      </c>
      <c r="F850" s="52">
        <v>200</v>
      </c>
      <c r="G850" s="33" t="s">
        <v>1492</v>
      </c>
      <c r="H850" s="41"/>
    </row>
    <row r="851" spans="1:8" ht="30" x14ac:dyDescent="0.25">
      <c r="A851" s="64" t="s">
        <v>214</v>
      </c>
      <c r="B851" s="44" t="s">
        <v>1112</v>
      </c>
      <c r="C851" s="42"/>
      <c r="D851" s="42"/>
      <c r="E851" s="42" t="s">
        <v>1493</v>
      </c>
      <c r="F851" s="52">
        <v>200</v>
      </c>
      <c r="G851" s="42" t="s">
        <v>1492</v>
      </c>
    </row>
    <row r="852" spans="1:8" ht="30" x14ac:dyDescent="0.25">
      <c r="A852" s="64" t="s">
        <v>214</v>
      </c>
      <c r="B852" s="37" t="s">
        <v>1113</v>
      </c>
      <c r="C852" s="33"/>
      <c r="D852" s="33"/>
      <c r="E852" s="33" t="s">
        <v>1493</v>
      </c>
      <c r="F852" s="52">
        <v>200</v>
      </c>
      <c r="G852" s="33" t="s">
        <v>1492</v>
      </c>
      <c r="H852" s="41"/>
    </row>
    <row r="853" spans="1:8" ht="30" x14ac:dyDescent="0.25">
      <c r="A853" s="64" t="s">
        <v>214</v>
      </c>
      <c r="B853" s="44" t="s">
        <v>1114</v>
      </c>
      <c r="C853" s="42"/>
      <c r="D853" s="42"/>
      <c r="E853" s="42" t="s">
        <v>1493</v>
      </c>
      <c r="F853" s="52">
        <v>200</v>
      </c>
      <c r="G853" s="42" t="s">
        <v>1492</v>
      </c>
    </row>
    <row r="854" spans="1:8" ht="30" x14ac:dyDescent="0.25">
      <c r="A854" s="64" t="s">
        <v>214</v>
      </c>
      <c r="B854" s="37" t="s">
        <v>1115</v>
      </c>
      <c r="C854" s="33"/>
      <c r="D854" s="33"/>
      <c r="E854" s="33" t="s">
        <v>1493</v>
      </c>
      <c r="F854" s="52">
        <v>200</v>
      </c>
      <c r="G854" s="33" t="s">
        <v>1492</v>
      </c>
      <c r="H854" s="41"/>
    </row>
    <row r="855" spans="1:8" ht="30" x14ac:dyDescent="0.25">
      <c r="A855" s="64" t="s">
        <v>214</v>
      </c>
      <c r="B855" s="44" t="s">
        <v>1116</v>
      </c>
      <c r="C855" s="42"/>
      <c r="D855" s="42"/>
      <c r="E855" s="42" t="s">
        <v>1493</v>
      </c>
      <c r="F855" s="52">
        <v>200</v>
      </c>
      <c r="G855" s="42" t="s">
        <v>1492</v>
      </c>
    </row>
    <row r="856" spans="1:8" ht="30" x14ac:dyDescent="0.25">
      <c r="A856" s="64" t="s">
        <v>214</v>
      </c>
      <c r="B856" s="37" t="s">
        <v>1117</v>
      </c>
      <c r="C856" s="33"/>
      <c r="D856" s="33"/>
      <c r="E856" s="33" t="s">
        <v>1493</v>
      </c>
      <c r="F856" s="52">
        <v>200</v>
      </c>
      <c r="G856" s="33" t="s">
        <v>1492</v>
      </c>
      <c r="H856" s="41"/>
    </row>
    <row r="857" spans="1:8" ht="30" x14ac:dyDescent="0.25">
      <c r="A857" s="64" t="s">
        <v>214</v>
      </c>
      <c r="B857" s="44" t="s">
        <v>1118</v>
      </c>
      <c r="C857" s="42"/>
      <c r="D857" s="42"/>
      <c r="E857" s="42" t="s">
        <v>1493</v>
      </c>
      <c r="F857" s="52">
        <v>200</v>
      </c>
      <c r="G857" s="42" t="s">
        <v>1492</v>
      </c>
    </row>
    <row r="858" spans="1:8" ht="30" x14ac:dyDescent="0.25">
      <c r="A858" s="64" t="s">
        <v>214</v>
      </c>
      <c r="B858" s="37" t="s">
        <v>1119</v>
      </c>
      <c r="C858" s="33"/>
      <c r="D858" s="33"/>
      <c r="E858" s="33" t="s">
        <v>1493</v>
      </c>
      <c r="F858" s="52">
        <v>200</v>
      </c>
      <c r="G858" s="33" t="s">
        <v>1492</v>
      </c>
      <c r="H858" s="41"/>
    </row>
    <row r="859" spans="1:8" ht="30" x14ac:dyDescent="0.25">
      <c r="A859" s="64" t="s">
        <v>214</v>
      </c>
      <c r="B859" s="44" t="s">
        <v>1120</v>
      </c>
      <c r="C859" s="42"/>
      <c r="D859" s="42"/>
      <c r="E859" s="42" t="s">
        <v>1493</v>
      </c>
      <c r="F859" s="52">
        <v>200</v>
      </c>
      <c r="G859" s="42" t="s">
        <v>1492</v>
      </c>
    </row>
    <row r="860" spans="1:8" ht="30" x14ac:dyDescent="0.25">
      <c r="A860" s="64" t="s">
        <v>214</v>
      </c>
      <c r="B860" s="37" t="s">
        <v>1121</v>
      </c>
      <c r="C860" s="33"/>
      <c r="D860" s="33"/>
      <c r="E860" s="33" t="s">
        <v>1493</v>
      </c>
      <c r="F860" s="52">
        <v>200</v>
      </c>
      <c r="G860" s="33" t="s">
        <v>1492</v>
      </c>
      <c r="H860" s="41"/>
    </row>
    <row r="861" spans="1:8" ht="30" x14ac:dyDescent="0.25">
      <c r="A861" s="64" t="s">
        <v>214</v>
      </c>
      <c r="B861" s="44" t="s">
        <v>1122</v>
      </c>
      <c r="C861" s="42"/>
      <c r="D861" s="42"/>
      <c r="E861" s="42" t="s">
        <v>1493</v>
      </c>
      <c r="F861" s="52">
        <v>200</v>
      </c>
      <c r="G861" s="42" t="s">
        <v>1492</v>
      </c>
    </row>
    <row r="862" spans="1:8" ht="30" x14ac:dyDescent="0.25">
      <c r="A862" s="64" t="s">
        <v>214</v>
      </c>
      <c r="B862" s="37" t="s">
        <v>1123</v>
      </c>
      <c r="C862" s="33"/>
      <c r="D862" s="33"/>
      <c r="E862" s="33" t="s">
        <v>1493</v>
      </c>
      <c r="F862" s="52">
        <v>200</v>
      </c>
      <c r="G862" s="33" t="s">
        <v>1492</v>
      </c>
      <c r="H862" s="41"/>
    </row>
    <row r="863" spans="1:8" ht="30" x14ac:dyDescent="0.25">
      <c r="A863" s="64" t="s">
        <v>214</v>
      </c>
      <c r="B863" s="44" t="s">
        <v>1124</v>
      </c>
      <c r="C863" s="42"/>
      <c r="D863" s="42"/>
      <c r="E863" s="42" t="s">
        <v>1493</v>
      </c>
      <c r="F863" s="52">
        <v>200</v>
      </c>
      <c r="G863" s="42" t="s">
        <v>1492</v>
      </c>
    </row>
    <row r="864" spans="1:8" ht="30" x14ac:dyDescent="0.25">
      <c r="A864" s="64" t="s">
        <v>214</v>
      </c>
      <c r="B864" s="37" t="s">
        <v>1125</v>
      </c>
      <c r="C864" s="33"/>
      <c r="D864" s="33"/>
      <c r="E864" s="33" t="s">
        <v>1493</v>
      </c>
      <c r="F864" s="52">
        <v>200</v>
      </c>
      <c r="G864" s="33" t="s">
        <v>1492</v>
      </c>
      <c r="H864" s="41"/>
    </row>
    <row r="865" spans="1:8" ht="30" x14ac:dyDescent="0.25">
      <c r="A865" s="64" t="s">
        <v>214</v>
      </c>
      <c r="B865" s="44" t="s">
        <v>1126</v>
      </c>
      <c r="C865" s="42"/>
      <c r="D865" s="42"/>
      <c r="E865" s="42" t="s">
        <v>1493</v>
      </c>
      <c r="F865" s="52">
        <v>200</v>
      </c>
      <c r="G865" s="42" t="s">
        <v>1492</v>
      </c>
    </row>
    <row r="866" spans="1:8" ht="30" x14ac:dyDescent="0.25">
      <c r="A866" s="64" t="s">
        <v>214</v>
      </c>
      <c r="B866" s="37" t="s">
        <v>1127</v>
      </c>
      <c r="C866" s="33"/>
      <c r="D866" s="33"/>
      <c r="E866" s="33" t="s">
        <v>1493</v>
      </c>
      <c r="F866" s="52">
        <v>200</v>
      </c>
      <c r="G866" s="33" t="s">
        <v>1492</v>
      </c>
      <c r="H866" s="41"/>
    </row>
    <row r="867" spans="1:8" ht="30" x14ac:dyDescent="0.25">
      <c r="A867" s="64" t="s">
        <v>214</v>
      </c>
      <c r="B867" s="44" t="s">
        <v>1128</v>
      </c>
      <c r="C867" s="42"/>
      <c r="D867" s="42"/>
      <c r="E867" s="42" t="s">
        <v>1493</v>
      </c>
      <c r="F867" s="52">
        <v>200</v>
      </c>
      <c r="G867" s="42" t="s">
        <v>1492</v>
      </c>
    </row>
    <row r="868" spans="1:8" ht="30" x14ac:dyDescent="0.25">
      <c r="A868" s="64" t="s">
        <v>214</v>
      </c>
      <c r="B868" s="37" t="s">
        <v>1129</v>
      </c>
      <c r="C868" s="33"/>
      <c r="D868" s="33"/>
      <c r="E868" s="33" t="s">
        <v>1493</v>
      </c>
      <c r="F868" s="52">
        <v>200</v>
      </c>
      <c r="G868" s="33" t="s">
        <v>1492</v>
      </c>
      <c r="H868" s="41"/>
    </row>
    <row r="869" spans="1:8" ht="30" x14ac:dyDescent="0.25">
      <c r="A869" s="64" t="s">
        <v>214</v>
      </c>
      <c r="B869" s="44" t="s">
        <v>1130</v>
      </c>
      <c r="C869" s="42"/>
      <c r="D869" s="42"/>
      <c r="E869" s="42" t="s">
        <v>1493</v>
      </c>
      <c r="F869" s="52">
        <v>200</v>
      </c>
      <c r="G869" s="42" t="s">
        <v>1492</v>
      </c>
    </row>
    <row r="870" spans="1:8" ht="30" x14ac:dyDescent="0.25">
      <c r="A870" s="64" t="s">
        <v>214</v>
      </c>
      <c r="B870" s="37" t="s">
        <v>1131</v>
      </c>
      <c r="C870" s="33"/>
      <c r="D870" s="33"/>
      <c r="E870" s="33" t="s">
        <v>1493</v>
      </c>
      <c r="F870" s="52">
        <v>200</v>
      </c>
      <c r="G870" s="33" t="s">
        <v>1492</v>
      </c>
      <c r="H870" s="41"/>
    </row>
    <row r="871" spans="1:8" ht="30" x14ac:dyDescent="0.25">
      <c r="A871" s="64" t="s">
        <v>214</v>
      </c>
      <c r="B871" s="44" t="s">
        <v>1132</v>
      </c>
      <c r="C871" s="42"/>
      <c r="D871" s="42"/>
      <c r="E871" s="42" t="s">
        <v>1493</v>
      </c>
      <c r="F871" s="52">
        <v>200</v>
      </c>
      <c r="G871" s="42" t="s">
        <v>1492</v>
      </c>
    </row>
    <row r="872" spans="1:8" ht="30" x14ac:dyDescent="0.25">
      <c r="A872" s="64" t="s">
        <v>214</v>
      </c>
      <c r="B872" s="37" t="s">
        <v>1133</v>
      </c>
      <c r="C872" s="33"/>
      <c r="D872" s="33"/>
      <c r="E872" s="33" t="s">
        <v>1493</v>
      </c>
      <c r="F872" s="52">
        <v>200</v>
      </c>
      <c r="G872" s="33" t="s">
        <v>1492</v>
      </c>
      <c r="H872" s="41"/>
    </row>
    <row r="873" spans="1:8" ht="30" x14ac:dyDescent="0.25">
      <c r="A873" s="64" t="s">
        <v>214</v>
      </c>
      <c r="B873" s="44" t="s">
        <v>1134</v>
      </c>
      <c r="C873" s="42"/>
      <c r="D873" s="42"/>
      <c r="E873" s="42" t="s">
        <v>1493</v>
      </c>
      <c r="F873" s="52">
        <v>200</v>
      </c>
      <c r="G873" s="42" t="s">
        <v>1492</v>
      </c>
    </row>
    <row r="874" spans="1:8" ht="30" x14ac:dyDescent="0.25">
      <c r="A874" s="64" t="s">
        <v>214</v>
      </c>
      <c r="B874" s="37" t="s">
        <v>1135</v>
      </c>
      <c r="C874" s="33"/>
      <c r="D874" s="33"/>
      <c r="E874" s="33" t="s">
        <v>1493</v>
      </c>
      <c r="F874" s="52">
        <v>200</v>
      </c>
      <c r="G874" s="33" t="s">
        <v>1492</v>
      </c>
      <c r="H874" s="41"/>
    </row>
    <row r="875" spans="1:8" ht="30" x14ac:dyDescent="0.25">
      <c r="A875" s="64" t="s">
        <v>214</v>
      </c>
      <c r="B875" s="44" t="s">
        <v>1136</v>
      </c>
      <c r="C875" s="42"/>
      <c r="D875" s="42"/>
      <c r="E875" s="42" t="s">
        <v>1493</v>
      </c>
      <c r="F875" s="52">
        <v>200</v>
      </c>
      <c r="G875" s="42" t="s">
        <v>1492</v>
      </c>
    </row>
    <row r="876" spans="1:8" ht="30" x14ac:dyDescent="0.25">
      <c r="A876" s="64" t="s">
        <v>214</v>
      </c>
      <c r="B876" s="37" t="s">
        <v>1137</v>
      </c>
      <c r="C876" s="33"/>
      <c r="D876" s="33"/>
      <c r="E876" s="33" t="s">
        <v>1493</v>
      </c>
      <c r="F876" s="52">
        <v>200</v>
      </c>
      <c r="G876" s="33" t="s">
        <v>1492</v>
      </c>
      <c r="H876" s="41"/>
    </row>
    <row r="877" spans="1:8" ht="30" x14ac:dyDescent="0.25">
      <c r="A877" s="64" t="s">
        <v>214</v>
      </c>
      <c r="B877" s="44" t="s">
        <v>1138</v>
      </c>
      <c r="C877" s="42"/>
      <c r="D877" s="42"/>
      <c r="E877" s="42" t="s">
        <v>1493</v>
      </c>
      <c r="F877" s="52">
        <v>200</v>
      </c>
      <c r="G877" s="42" t="s">
        <v>1492</v>
      </c>
    </row>
    <row r="878" spans="1:8" ht="30" x14ac:dyDescent="0.25">
      <c r="A878" s="64" t="s">
        <v>214</v>
      </c>
      <c r="B878" s="37" t="s">
        <v>1139</v>
      </c>
      <c r="C878" s="33"/>
      <c r="D878" s="33"/>
      <c r="E878" s="33" t="s">
        <v>1493</v>
      </c>
      <c r="F878" s="52">
        <v>200</v>
      </c>
      <c r="G878" s="33" t="s">
        <v>1492</v>
      </c>
      <c r="H878" s="41"/>
    </row>
    <row r="879" spans="1:8" ht="30" x14ac:dyDescent="0.25">
      <c r="A879" s="64" t="s">
        <v>214</v>
      </c>
      <c r="B879" s="44" t="s">
        <v>755</v>
      </c>
      <c r="C879" s="42"/>
      <c r="D879" s="42"/>
      <c r="E879" s="42" t="s">
        <v>1493</v>
      </c>
      <c r="F879" s="52">
        <v>200</v>
      </c>
      <c r="G879" s="42" t="s">
        <v>1492</v>
      </c>
    </row>
    <row r="880" spans="1:8" ht="30" x14ac:dyDescent="0.25">
      <c r="A880" s="64" t="s">
        <v>214</v>
      </c>
      <c r="B880" s="37" t="s">
        <v>1140</v>
      </c>
      <c r="C880" s="33"/>
      <c r="D880" s="33"/>
      <c r="E880" s="33" t="s">
        <v>1493</v>
      </c>
      <c r="F880" s="52">
        <v>200</v>
      </c>
      <c r="G880" s="33" t="s">
        <v>1492</v>
      </c>
      <c r="H880" s="41"/>
    </row>
    <row r="881" spans="1:8" ht="30" x14ac:dyDescent="0.25">
      <c r="A881" s="64" t="s">
        <v>214</v>
      </c>
      <c r="B881" s="44" t="s">
        <v>754</v>
      </c>
      <c r="C881" s="42"/>
      <c r="D881" s="42"/>
      <c r="E881" s="42" t="s">
        <v>1493</v>
      </c>
      <c r="F881" s="52">
        <v>200</v>
      </c>
      <c r="G881" s="42" t="s">
        <v>1492</v>
      </c>
    </row>
    <row r="882" spans="1:8" ht="30" x14ac:dyDescent="0.25">
      <c r="A882" s="64" t="s">
        <v>214</v>
      </c>
      <c r="B882" s="37" t="s">
        <v>1141</v>
      </c>
      <c r="C882" s="33"/>
      <c r="D882" s="33"/>
      <c r="E882" s="33" t="s">
        <v>1493</v>
      </c>
      <c r="F882" s="52">
        <v>200</v>
      </c>
      <c r="G882" s="33" t="s">
        <v>1492</v>
      </c>
      <c r="H882" s="41"/>
    </row>
    <row r="883" spans="1:8" ht="30" x14ac:dyDescent="0.25">
      <c r="A883" s="64" t="s">
        <v>214</v>
      </c>
      <c r="B883" s="44" t="s">
        <v>1142</v>
      </c>
      <c r="C883" s="42"/>
      <c r="D883" s="42"/>
      <c r="E883" s="42" t="s">
        <v>1493</v>
      </c>
      <c r="F883" s="52">
        <v>200</v>
      </c>
      <c r="G883" s="42" t="s">
        <v>1492</v>
      </c>
    </row>
    <row r="884" spans="1:8" ht="30" x14ac:dyDescent="0.25">
      <c r="A884" s="64" t="s">
        <v>214</v>
      </c>
      <c r="B884" s="37" t="s">
        <v>1143</v>
      </c>
      <c r="C884" s="33"/>
      <c r="D884" s="33"/>
      <c r="E884" s="33" t="s">
        <v>1493</v>
      </c>
      <c r="F884" s="52">
        <v>200</v>
      </c>
      <c r="G884" s="33" t="s">
        <v>1492</v>
      </c>
      <c r="H884" s="41"/>
    </row>
    <row r="885" spans="1:8" ht="30" x14ac:dyDescent="0.25">
      <c r="A885" s="64" t="s">
        <v>214</v>
      </c>
      <c r="B885" s="44" t="s">
        <v>1144</v>
      </c>
      <c r="C885" s="42"/>
      <c r="D885" s="42"/>
      <c r="E885" s="42" t="s">
        <v>1493</v>
      </c>
      <c r="F885" s="52">
        <v>200</v>
      </c>
      <c r="G885" s="42" t="s">
        <v>1492</v>
      </c>
    </row>
    <row r="886" spans="1:8" ht="30" x14ac:dyDescent="0.25">
      <c r="A886" s="64" t="s">
        <v>214</v>
      </c>
      <c r="B886" s="37" t="s">
        <v>1145</v>
      </c>
      <c r="C886" s="33"/>
      <c r="D886" s="33"/>
      <c r="E886" s="33" t="s">
        <v>1493</v>
      </c>
      <c r="F886" s="52">
        <v>200</v>
      </c>
      <c r="G886" s="33" t="s">
        <v>1492</v>
      </c>
      <c r="H886" s="41"/>
    </row>
    <row r="887" spans="1:8" ht="30" x14ac:dyDescent="0.25">
      <c r="A887" s="64" t="s">
        <v>214</v>
      </c>
      <c r="B887" s="44" t="s">
        <v>1146</v>
      </c>
      <c r="C887" s="42"/>
      <c r="D887" s="42"/>
      <c r="E887" s="42" t="s">
        <v>1493</v>
      </c>
      <c r="F887" s="52">
        <v>200</v>
      </c>
      <c r="G887" s="42" t="s">
        <v>1492</v>
      </c>
    </row>
    <row r="888" spans="1:8" ht="30" x14ac:dyDescent="0.25">
      <c r="A888" s="64" t="s">
        <v>214</v>
      </c>
      <c r="B888" s="37" t="s">
        <v>1147</v>
      </c>
      <c r="C888" s="33"/>
      <c r="D888" s="33"/>
      <c r="E888" s="33" t="s">
        <v>1493</v>
      </c>
      <c r="F888" s="52">
        <v>200</v>
      </c>
      <c r="G888" s="33" t="s">
        <v>1492</v>
      </c>
      <c r="H888" s="41"/>
    </row>
    <row r="889" spans="1:8" ht="30" x14ac:dyDescent="0.25">
      <c r="A889" s="64" t="s">
        <v>214</v>
      </c>
      <c r="B889" s="44" t="s">
        <v>1148</v>
      </c>
      <c r="C889" s="42"/>
      <c r="D889" s="42"/>
      <c r="E889" s="42" t="s">
        <v>1493</v>
      </c>
      <c r="F889" s="52">
        <v>200</v>
      </c>
      <c r="G889" s="42" t="s">
        <v>1492</v>
      </c>
    </row>
    <row r="890" spans="1:8" ht="30" x14ac:dyDescent="0.25">
      <c r="A890" s="64" t="s">
        <v>214</v>
      </c>
      <c r="B890" s="37" t="s">
        <v>1149</v>
      </c>
      <c r="C890" s="33"/>
      <c r="D890" s="33"/>
      <c r="E890" s="33" t="s">
        <v>1493</v>
      </c>
      <c r="F890" s="52">
        <v>200</v>
      </c>
      <c r="G890" s="33" t="s">
        <v>1492</v>
      </c>
      <c r="H890" s="41"/>
    </row>
    <row r="891" spans="1:8" ht="30" x14ac:dyDescent="0.25">
      <c r="A891" s="64" t="s">
        <v>214</v>
      </c>
      <c r="B891" s="44" t="s">
        <v>1150</v>
      </c>
      <c r="C891" s="42"/>
      <c r="D891" s="42"/>
      <c r="E891" s="42" t="s">
        <v>1493</v>
      </c>
      <c r="F891" s="52">
        <v>200</v>
      </c>
      <c r="G891" s="42" t="s">
        <v>1492</v>
      </c>
    </row>
    <row r="892" spans="1:8" ht="30" x14ac:dyDescent="0.25">
      <c r="A892" s="64" t="s">
        <v>214</v>
      </c>
      <c r="B892" s="37" t="s">
        <v>1151</v>
      </c>
      <c r="C892" s="33"/>
      <c r="D892" s="33"/>
      <c r="E892" s="33" t="s">
        <v>1493</v>
      </c>
      <c r="F892" s="52">
        <v>200</v>
      </c>
      <c r="G892" s="33" t="s">
        <v>1492</v>
      </c>
      <c r="H892" s="41"/>
    </row>
    <row r="893" spans="1:8" ht="30" x14ac:dyDescent="0.25">
      <c r="A893" s="64" t="s">
        <v>214</v>
      </c>
      <c r="B893" s="44" t="s">
        <v>1152</v>
      </c>
      <c r="C893" s="42"/>
      <c r="D893" s="42"/>
      <c r="E893" s="42" t="s">
        <v>1493</v>
      </c>
      <c r="F893" s="52">
        <v>200</v>
      </c>
      <c r="G893" s="42" t="s">
        <v>1492</v>
      </c>
    </row>
    <row r="894" spans="1:8" ht="30" x14ac:dyDescent="0.25">
      <c r="A894" s="64" t="s">
        <v>214</v>
      </c>
      <c r="B894" s="37" t="s">
        <v>1153</v>
      </c>
      <c r="C894" s="33"/>
      <c r="D894" s="33"/>
      <c r="E894" s="33" t="s">
        <v>1493</v>
      </c>
      <c r="F894" s="52">
        <v>200</v>
      </c>
      <c r="G894" s="33" t="s">
        <v>1492</v>
      </c>
      <c r="H894" s="41"/>
    </row>
    <row r="895" spans="1:8" ht="30" x14ac:dyDescent="0.25">
      <c r="A895" s="64" t="s">
        <v>214</v>
      </c>
      <c r="B895" s="44" t="s">
        <v>1154</v>
      </c>
      <c r="C895" s="42"/>
      <c r="D895" s="42"/>
      <c r="E895" s="42" t="s">
        <v>1493</v>
      </c>
      <c r="F895" s="52">
        <v>200</v>
      </c>
      <c r="G895" s="42" t="s">
        <v>1492</v>
      </c>
    </row>
    <row r="896" spans="1:8" ht="30" x14ac:dyDescent="0.25">
      <c r="A896" s="64" t="s">
        <v>214</v>
      </c>
      <c r="B896" s="37" t="s">
        <v>1155</v>
      </c>
      <c r="C896" s="33"/>
      <c r="D896" s="33"/>
      <c r="E896" s="33" t="s">
        <v>1493</v>
      </c>
      <c r="F896" s="52">
        <v>200</v>
      </c>
      <c r="G896" s="33" t="s">
        <v>1492</v>
      </c>
      <c r="H896" s="41"/>
    </row>
    <row r="897" spans="1:8" ht="30" x14ac:dyDescent="0.25">
      <c r="A897" s="64" t="s">
        <v>214</v>
      </c>
      <c r="B897" s="44" t="s">
        <v>1156</v>
      </c>
      <c r="C897" s="42"/>
      <c r="D897" s="42"/>
      <c r="E897" s="42" t="s">
        <v>1493</v>
      </c>
      <c r="F897" s="52">
        <v>200</v>
      </c>
      <c r="G897" s="42" t="s">
        <v>1492</v>
      </c>
    </row>
    <row r="898" spans="1:8" ht="30" x14ac:dyDescent="0.25">
      <c r="A898" s="64" t="s">
        <v>214</v>
      </c>
      <c r="B898" s="37" t="s">
        <v>1157</v>
      </c>
      <c r="C898" s="33"/>
      <c r="D898" s="33"/>
      <c r="E898" s="33" t="s">
        <v>1493</v>
      </c>
      <c r="F898" s="52">
        <v>200</v>
      </c>
      <c r="G898" s="33" t="s">
        <v>1492</v>
      </c>
      <c r="H898" s="41"/>
    </row>
    <row r="899" spans="1:8" ht="30" x14ac:dyDescent="0.25">
      <c r="A899" s="64" t="s">
        <v>214</v>
      </c>
      <c r="B899" s="44" t="s">
        <v>1158</v>
      </c>
      <c r="C899" s="42"/>
      <c r="D899" s="42"/>
      <c r="E899" s="42" t="s">
        <v>1493</v>
      </c>
      <c r="F899" s="52">
        <v>200</v>
      </c>
      <c r="G899" s="42" t="s">
        <v>1492</v>
      </c>
    </row>
    <row r="900" spans="1:8" ht="30" x14ac:dyDescent="0.25">
      <c r="A900" s="64" t="s">
        <v>214</v>
      </c>
      <c r="B900" s="37" t="s">
        <v>1159</v>
      </c>
      <c r="C900" s="33"/>
      <c r="D900" s="33"/>
      <c r="E900" s="33" t="s">
        <v>1493</v>
      </c>
      <c r="F900" s="52">
        <v>200</v>
      </c>
      <c r="G900" s="33" t="s">
        <v>1492</v>
      </c>
      <c r="H900" s="41"/>
    </row>
    <row r="901" spans="1:8" ht="30" x14ac:dyDescent="0.25">
      <c r="A901" s="64" t="s">
        <v>214</v>
      </c>
      <c r="B901" s="44" t="s">
        <v>1160</v>
      </c>
      <c r="C901" s="42"/>
      <c r="D901" s="42"/>
      <c r="E901" s="42" t="s">
        <v>1493</v>
      </c>
      <c r="F901" s="52">
        <v>200</v>
      </c>
      <c r="G901" s="42" t="s">
        <v>1492</v>
      </c>
    </row>
    <row r="902" spans="1:8" ht="30" x14ac:dyDescent="0.25">
      <c r="A902" s="64" t="s">
        <v>214</v>
      </c>
      <c r="B902" s="37" t="s">
        <v>1161</v>
      </c>
      <c r="C902" s="33"/>
      <c r="D902" s="33"/>
      <c r="E902" s="33" t="s">
        <v>1493</v>
      </c>
      <c r="F902" s="52">
        <v>200</v>
      </c>
      <c r="G902" s="33" t="s">
        <v>1492</v>
      </c>
      <c r="H902" s="41"/>
    </row>
    <row r="903" spans="1:8" ht="30" x14ac:dyDescent="0.25">
      <c r="A903" s="64" t="s">
        <v>214</v>
      </c>
      <c r="B903" s="44" t="s">
        <v>1162</v>
      </c>
      <c r="C903" s="42"/>
      <c r="D903" s="42"/>
      <c r="E903" s="42" t="s">
        <v>1493</v>
      </c>
      <c r="F903" s="52">
        <v>200</v>
      </c>
      <c r="G903" s="42" t="s">
        <v>1492</v>
      </c>
    </row>
    <row r="904" spans="1:8" ht="30" x14ac:dyDescent="0.25">
      <c r="A904" s="64" t="s">
        <v>214</v>
      </c>
      <c r="B904" s="37" t="s">
        <v>1163</v>
      </c>
      <c r="C904" s="33"/>
      <c r="D904" s="33"/>
      <c r="E904" s="33" t="s">
        <v>1493</v>
      </c>
      <c r="F904" s="52">
        <v>200</v>
      </c>
      <c r="G904" s="33" t="s">
        <v>1492</v>
      </c>
      <c r="H904" s="41"/>
    </row>
    <row r="905" spans="1:8" ht="30" x14ac:dyDescent="0.25">
      <c r="A905" s="64" t="s">
        <v>214</v>
      </c>
      <c r="B905" s="44" t="s">
        <v>1164</v>
      </c>
      <c r="C905" s="42"/>
      <c r="D905" s="42"/>
      <c r="E905" s="42" t="s">
        <v>1493</v>
      </c>
      <c r="F905" s="52">
        <v>200</v>
      </c>
      <c r="G905" s="42" t="s">
        <v>1492</v>
      </c>
    </row>
    <row r="906" spans="1:8" ht="30" x14ac:dyDescent="0.25">
      <c r="A906" s="64" t="s">
        <v>214</v>
      </c>
      <c r="B906" s="37" t="s">
        <v>1165</v>
      </c>
      <c r="C906" s="33"/>
      <c r="D906" s="33"/>
      <c r="E906" s="33" t="s">
        <v>1493</v>
      </c>
      <c r="F906" s="52">
        <v>200</v>
      </c>
      <c r="G906" s="33" t="s">
        <v>1492</v>
      </c>
      <c r="H906" s="41"/>
    </row>
    <row r="907" spans="1:8" ht="30" x14ac:dyDescent="0.25">
      <c r="A907" s="64" t="s">
        <v>214</v>
      </c>
      <c r="B907" s="44" t="s">
        <v>1166</v>
      </c>
      <c r="C907" s="42"/>
      <c r="D907" s="42"/>
      <c r="E907" s="42" t="s">
        <v>1493</v>
      </c>
      <c r="F907" s="52">
        <v>200</v>
      </c>
      <c r="G907" s="42" t="s">
        <v>1492</v>
      </c>
    </row>
    <row r="908" spans="1:8" ht="30" x14ac:dyDescent="0.25">
      <c r="A908" s="64" t="s">
        <v>214</v>
      </c>
      <c r="B908" s="37" t="s">
        <v>753</v>
      </c>
      <c r="C908" s="33"/>
      <c r="D908" s="33"/>
      <c r="E908" s="33" t="s">
        <v>1493</v>
      </c>
      <c r="F908" s="52">
        <v>200</v>
      </c>
      <c r="G908" s="33" t="s">
        <v>1492</v>
      </c>
      <c r="H908" s="41"/>
    </row>
    <row r="909" spans="1:8" ht="30" x14ac:dyDescent="0.25">
      <c r="A909" s="64" t="s">
        <v>214</v>
      </c>
      <c r="B909" s="44" t="s">
        <v>1167</v>
      </c>
      <c r="C909" s="42"/>
      <c r="D909" s="42"/>
      <c r="E909" s="42" t="s">
        <v>1493</v>
      </c>
      <c r="F909" s="52">
        <v>200</v>
      </c>
      <c r="G909" s="42" t="s">
        <v>1492</v>
      </c>
    </row>
    <row r="910" spans="1:8" ht="30" x14ac:dyDescent="0.25">
      <c r="A910" s="64" t="s">
        <v>214</v>
      </c>
      <c r="B910" s="37" t="s">
        <v>1168</v>
      </c>
      <c r="C910" s="33"/>
      <c r="D910" s="33"/>
      <c r="E910" s="33" t="s">
        <v>1493</v>
      </c>
      <c r="F910" s="52">
        <v>200</v>
      </c>
      <c r="G910" s="33" t="s">
        <v>1492</v>
      </c>
      <c r="H910" s="41"/>
    </row>
    <row r="911" spans="1:8" ht="30" x14ac:dyDescent="0.25">
      <c r="A911" s="64" t="s">
        <v>214</v>
      </c>
      <c r="B911" s="44" t="s">
        <v>1169</v>
      </c>
      <c r="C911" s="42"/>
      <c r="D911" s="42"/>
      <c r="E911" s="42" t="s">
        <v>1493</v>
      </c>
      <c r="F911" s="52">
        <v>200</v>
      </c>
      <c r="G911" s="42" t="s">
        <v>1492</v>
      </c>
    </row>
    <row r="912" spans="1:8" ht="30" x14ac:dyDescent="0.25">
      <c r="A912" s="64" t="s">
        <v>214</v>
      </c>
      <c r="B912" s="37" t="s">
        <v>1170</v>
      </c>
      <c r="C912" s="33"/>
      <c r="D912" s="33"/>
      <c r="E912" s="33" t="s">
        <v>1493</v>
      </c>
      <c r="F912" s="52">
        <v>200</v>
      </c>
      <c r="G912" s="33" t="s">
        <v>1492</v>
      </c>
      <c r="H912" s="41"/>
    </row>
    <row r="913" spans="1:8" ht="30" x14ac:dyDescent="0.25">
      <c r="A913" s="64" t="s">
        <v>214</v>
      </c>
      <c r="B913" s="44" t="s">
        <v>1171</v>
      </c>
      <c r="C913" s="42"/>
      <c r="D913" s="42"/>
      <c r="E913" s="42" t="s">
        <v>1493</v>
      </c>
      <c r="F913" s="52">
        <v>200</v>
      </c>
      <c r="G913" s="42" t="s">
        <v>1492</v>
      </c>
    </row>
    <row r="914" spans="1:8" ht="30" x14ac:dyDescent="0.25">
      <c r="A914" s="64" t="s">
        <v>214</v>
      </c>
      <c r="B914" s="37" t="s">
        <v>1172</v>
      </c>
      <c r="C914" s="33"/>
      <c r="D914" s="33"/>
      <c r="E914" s="33" t="s">
        <v>1493</v>
      </c>
      <c r="F914" s="52">
        <v>200</v>
      </c>
      <c r="G914" s="33" t="s">
        <v>1492</v>
      </c>
      <c r="H914" s="41"/>
    </row>
    <row r="915" spans="1:8" ht="30" x14ac:dyDescent="0.25">
      <c r="A915" s="64" t="s">
        <v>214</v>
      </c>
      <c r="B915" s="44" t="s">
        <v>1173</v>
      </c>
      <c r="C915" s="42"/>
      <c r="D915" s="42"/>
      <c r="E915" s="42" t="s">
        <v>1493</v>
      </c>
      <c r="F915" s="52">
        <v>200</v>
      </c>
      <c r="G915" s="42" t="s">
        <v>1492</v>
      </c>
    </row>
    <row r="916" spans="1:8" ht="30" x14ac:dyDescent="0.25">
      <c r="A916" s="64" t="s">
        <v>214</v>
      </c>
      <c r="B916" s="37" t="s">
        <v>1174</v>
      </c>
      <c r="C916" s="33"/>
      <c r="D916" s="33"/>
      <c r="E916" s="33" t="s">
        <v>1493</v>
      </c>
      <c r="F916" s="52">
        <v>200</v>
      </c>
      <c r="G916" s="33" t="s">
        <v>1492</v>
      </c>
      <c r="H916" s="41"/>
    </row>
    <row r="917" spans="1:8" ht="30" x14ac:dyDescent="0.25">
      <c r="A917" s="64" t="s">
        <v>214</v>
      </c>
      <c r="B917" s="44" t="s">
        <v>1175</v>
      </c>
      <c r="C917" s="42"/>
      <c r="D917" s="42"/>
      <c r="E917" s="42" t="s">
        <v>1493</v>
      </c>
      <c r="F917" s="52">
        <v>200</v>
      </c>
      <c r="G917" s="42" t="s">
        <v>1492</v>
      </c>
    </row>
    <row r="918" spans="1:8" ht="30" x14ac:dyDescent="0.25">
      <c r="A918" s="64" t="s">
        <v>214</v>
      </c>
      <c r="B918" s="37" t="s">
        <v>1176</v>
      </c>
      <c r="C918" s="33"/>
      <c r="D918" s="33"/>
      <c r="E918" s="33" t="s">
        <v>1493</v>
      </c>
      <c r="F918" s="52">
        <v>200</v>
      </c>
      <c r="G918" s="33" t="s">
        <v>1492</v>
      </c>
      <c r="H918" s="41"/>
    </row>
    <row r="919" spans="1:8" ht="30" x14ac:dyDescent="0.25">
      <c r="A919" s="64" t="s">
        <v>214</v>
      </c>
      <c r="B919" s="44" t="s">
        <v>1177</v>
      </c>
      <c r="C919" s="42"/>
      <c r="D919" s="42"/>
      <c r="E919" s="42" t="s">
        <v>1493</v>
      </c>
      <c r="F919" s="52">
        <v>200</v>
      </c>
      <c r="G919" s="42" t="s">
        <v>1492</v>
      </c>
    </row>
    <row r="920" spans="1:8" ht="30" x14ac:dyDescent="0.25">
      <c r="A920" s="64" t="s">
        <v>214</v>
      </c>
      <c r="B920" s="37" t="s">
        <v>1178</v>
      </c>
      <c r="C920" s="33"/>
      <c r="D920" s="33"/>
      <c r="E920" s="33" t="s">
        <v>1493</v>
      </c>
      <c r="F920" s="52">
        <v>200</v>
      </c>
      <c r="G920" s="33" t="s">
        <v>1492</v>
      </c>
      <c r="H920" s="41"/>
    </row>
    <row r="921" spans="1:8" ht="30" x14ac:dyDescent="0.25">
      <c r="A921" s="64" t="s">
        <v>214</v>
      </c>
      <c r="B921" s="44" t="s">
        <v>1179</v>
      </c>
      <c r="C921" s="42"/>
      <c r="D921" s="42"/>
      <c r="E921" s="42" t="s">
        <v>1493</v>
      </c>
      <c r="F921" s="52">
        <v>200</v>
      </c>
      <c r="G921" s="42" t="s">
        <v>1492</v>
      </c>
    </row>
    <row r="922" spans="1:8" ht="30" x14ac:dyDescent="0.25">
      <c r="A922" s="64" t="s">
        <v>214</v>
      </c>
      <c r="B922" s="37" t="s">
        <v>1180</v>
      </c>
      <c r="C922" s="33"/>
      <c r="D922" s="33"/>
      <c r="E922" s="33" t="s">
        <v>1493</v>
      </c>
      <c r="F922" s="52">
        <v>200</v>
      </c>
      <c r="G922" s="33" t="s">
        <v>1492</v>
      </c>
      <c r="H922" s="41"/>
    </row>
    <row r="923" spans="1:8" ht="30" x14ac:dyDescent="0.25">
      <c r="A923" s="64" t="s">
        <v>214</v>
      </c>
      <c r="B923" s="44" t="s">
        <v>1181</v>
      </c>
      <c r="C923" s="42"/>
      <c r="D923" s="42"/>
      <c r="E923" s="42" t="s">
        <v>1493</v>
      </c>
      <c r="F923" s="52">
        <v>200</v>
      </c>
      <c r="G923" s="42" t="s">
        <v>1492</v>
      </c>
    </row>
    <row r="924" spans="1:8" ht="30" x14ac:dyDescent="0.25">
      <c r="A924" s="64" t="s">
        <v>214</v>
      </c>
      <c r="B924" s="37" t="s">
        <v>1182</v>
      </c>
      <c r="C924" s="33"/>
      <c r="D924" s="33"/>
      <c r="E924" s="33" t="s">
        <v>1493</v>
      </c>
      <c r="F924" s="52">
        <v>200</v>
      </c>
      <c r="G924" s="33" t="s">
        <v>1492</v>
      </c>
      <c r="H924" s="41"/>
    </row>
    <row r="925" spans="1:8" ht="30" x14ac:dyDescent="0.25">
      <c r="A925" s="64" t="s">
        <v>214</v>
      </c>
      <c r="B925" s="44" t="s">
        <v>1183</v>
      </c>
      <c r="C925" s="42"/>
      <c r="D925" s="42"/>
      <c r="E925" s="42" t="s">
        <v>1493</v>
      </c>
      <c r="F925" s="52">
        <v>200</v>
      </c>
      <c r="G925" s="42" t="s">
        <v>1492</v>
      </c>
    </row>
    <row r="926" spans="1:8" ht="30" x14ac:dyDescent="0.25">
      <c r="A926" s="64" t="s">
        <v>214</v>
      </c>
      <c r="B926" s="37" t="s">
        <v>1184</v>
      </c>
      <c r="C926" s="33"/>
      <c r="D926" s="33"/>
      <c r="E926" s="33" t="s">
        <v>1493</v>
      </c>
      <c r="F926" s="52">
        <v>200</v>
      </c>
      <c r="G926" s="33" t="s">
        <v>1492</v>
      </c>
      <c r="H926" s="41"/>
    </row>
    <row r="927" spans="1:8" ht="30" x14ac:dyDescent="0.25">
      <c r="A927" s="64" t="s">
        <v>214</v>
      </c>
      <c r="B927" s="44" t="s">
        <v>1185</v>
      </c>
      <c r="C927" s="42"/>
      <c r="D927" s="42"/>
      <c r="E927" s="42" t="s">
        <v>1493</v>
      </c>
      <c r="F927" s="52">
        <v>200</v>
      </c>
      <c r="G927" s="42" t="s">
        <v>1492</v>
      </c>
    </row>
    <row r="928" spans="1:8" ht="30" x14ac:dyDescent="0.25">
      <c r="A928" s="64" t="s">
        <v>214</v>
      </c>
      <c r="B928" s="37" t="s">
        <v>1186</v>
      </c>
      <c r="C928" s="33"/>
      <c r="D928" s="33"/>
      <c r="E928" s="33" t="s">
        <v>1493</v>
      </c>
      <c r="F928" s="52">
        <v>200</v>
      </c>
      <c r="G928" s="33" t="s">
        <v>1492</v>
      </c>
      <c r="H928" s="41"/>
    </row>
    <row r="929" spans="1:8" ht="30" x14ac:dyDescent="0.25">
      <c r="A929" s="64" t="s">
        <v>214</v>
      </c>
      <c r="B929" s="44" t="s">
        <v>1187</v>
      </c>
      <c r="C929" s="42"/>
      <c r="D929" s="42"/>
      <c r="E929" s="42" t="s">
        <v>1493</v>
      </c>
      <c r="F929" s="52">
        <v>200</v>
      </c>
      <c r="G929" s="42" t="s">
        <v>1492</v>
      </c>
    </row>
    <row r="930" spans="1:8" ht="30" x14ac:dyDescent="0.25">
      <c r="A930" s="64" t="s">
        <v>214</v>
      </c>
      <c r="B930" s="37" t="s">
        <v>1188</v>
      </c>
      <c r="C930" s="33"/>
      <c r="D930" s="33"/>
      <c r="E930" s="33" t="s">
        <v>1493</v>
      </c>
      <c r="F930" s="52">
        <v>200</v>
      </c>
      <c r="G930" s="33" t="s">
        <v>1492</v>
      </c>
      <c r="H930" s="41"/>
    </row>
    <row r="931" spans="1:8" ht="30" x14ac:dyDescent="0.25">
      <c r="A931" s="64" t="s">
        <v>214</v>
      </c>
      <c r="B931" s="44" t="s">
        <v>1189</v>
      </c>
      <c r="C931" s="42"/>
      <c r="D931" s="42"/>
      <c r="E931" s="42" t="s">
        <v>1493</v>
      </c>
      <c r="F931" s="52">
        <v>200</v>
      </c>
      <c r="G931" s="42" t="s">
        <v>1492</v>
      </c>
    </row>
    <row r="932" spans="1:8" ht="30" x14ac:dyDescent="0.25">
      <c r="A932" s="64" t="s">
        <v>214</v>
      </c>
      <c r="B932" s="37" t="s">
        <v>1190</v>
      </c>
      <c r="C932" s="33"/>
      <c r="D932" s="33"/>
      <c r="E932" s="33" t="s">
        <v>1493</v>
      </c>
      <c r="F932" s="52">
        <v>200</v>
      </c>
      <c r="G932" s="33" t="s">
        <v>1492</v>
      </c>
      <c r="H932" s="41"/>
    </row>
    <row r="933" spans="1:8" ht="30" x14ac:dyDescent="0.25">
      <c r="A933" s="64" t="s">
        <v>214</v>
      </c>
      <c r="B933" s="44" t="s">
        <v>1191</v>
      </c>
      <c r="C933" s="42"/>
      <c r="D933" s="42"/>
      <c r="E933" s="42" t="s">
        <v>1493</v>
      </c>
      <c r="F933" s="52">
        <v>200</v>
      </c>
      <c r="G933" s="42" t="s">
        <v>1492</v>
      </c>
    </row>
    <row r="934" spans="1:8" ht="30" x14ac:dyDescent="0.25">
      <c r="A934" s="64" t="s">
        <v>214</v>
      </c>
      <c r="B934" s="37" t="s">
        <v>1192</v>
      </c>
      <c r="C934" s="33"/>
      <c r="D934" s="33"/>
      <c r="E934" s="33" t="s">
        <v>1493</v>
      </c>
      <c r="F934" s="52">
        <v>200</v>
      </c>
      <c r="G934" s="33" t="s">
        <v>1492</v>
      </c>
      <c r="H934" s="41"/>
    </row>
    <row r="935" spans="1:8" ht="30" x14ac:dyDescent="0.25">
      <c r="A935" s="64" t="s">
        <v>214</v>
      </c>
      <c r="B935" s="44" t="s">
        <v>1193</v>
      </c>
      <c r="C935" s="42"/>
      <c r="D935" s="42"/>
      <c r="E935" s="42" t="s">
        <v>1493</v>
      </c>
      <c r="F935" s="52">
        <v>200</v>
      </c>
      <c r="G935" s="42" t="s">
        <v>1492</v>
      </c>
    </row>
    <row r="936" spans="1:8" ht="30" x14ac:dyDescent="0.25">
      <c r="A936" s="64" t="s">
        <v>214</v>
      </c>
      <c r="B936" s="37" t="s">
        <v>1194</v>
      </c>
      <c r="C936" s="33"/>
      <c r="D936" s="33"/>
      <c r="E936" s="33" t="s">
        <v>1493</v>
      </c>
      <c r="F936" s="52">
        <v>200</v>
      </c>
      <c r="G936" s="33" t="s">
        <v>1492</v>
      </c>
      <c r="H936" s="41"/>
    </row>
    <row r="937" spans="1:8" ht="30" x14ac:dyDescent="0.25">
      <c r="A937" s="64" t="s">
        <v>214</v>
      </c>
      <c r="B937" s="44" t="s">
        <v>1195</v>
      </c>
      <c r="C937" s="42"/>
      <c r="D937" s="42"/>
      <c r="E937" s="42" t="s">
        <v>1493</v>
      </c>
      <c r="F937" s="52">
        <v>200</v>
      </c>
      <c r="G937" s="42" t="s">
        <v>1492</v>
      </c>
    </row>
    <row r="938" spans="1:8" ht="30" x14ac:dyDescent="0.25">
      <c r="A938" s="64" t="s">
        <v>214</v>
      </c>
      <c r="B938" s="37" t="s">
        <v>1196</v>
      </c>
      <c r="C938" s="33"/>
      <c r="D938" s="33"/>
      <c r="E938" s="33" t="s">
        <v>1493</v>
      </c>
      <c r="F938" s="52">
        <v>200</v>
      </c>
      <c r="G938" s="33" t="s">
        <v>1492</v>
      </c>
      <c r="H938" s="41"/>
    </row>
    <row r="939" spans="1:8" ht="30" x14ac:dyDescent="0.25">
      <c r="A939" s="64" t="s">
        <v>214</v>
      </c>
      <c r="B939" s="44" t="s">
        <v>1197</v>
      </c>
      <c r="C939" s="42"/>
      <c r="D939" s="42"/>
      <c r="E939" s="42" t="s">
        <v>1493</v>
      </c>
      <c r="F939" s="52">
        <v>200</v>
      </c>
      <c r="G939" s="42" t="s">
        <v>1492</v>
      </c>
    </row>
    <row r="940" spans="1:8" ht="30" x14ac:dyDescent="0.25">
      <c r="A940" s="64" t="s">
        <v>214</v>
      </c>
      <c r="B940" s="37" t="s">
        <v>1198</v>
      </c>
      <c r="C940" s="33"/>
      <c r="D940" s="33"/>
      <c r="E940" s="33" t="s">
        <v>1493</v>
      </c>
      <c r="F940" s="52">
        <v>200</v>
      </c>
      <c r="G940" s="33" t="s">
        <v>1492</v>
      </c>
      <c r="H940" s="41"/>
    </row>
    <row r="941" spans="1:8" ht="30" x14ac:dyDescent="0.25">
      <c r="A941" s="64" t="s">
        <v>214</v>
      </c>
      <c r="B941" s="44" t="s">
        <v>1199</v>
      </c>
      <c r="C941" s="42"/>
      <c r="D941" s="42"/>
      <c r="E941" s="42" t="s">
        <v>1493</v>
      </c>
      <c r="F941" s="52">
        <v>200</v>
      </c>
      <c r="G941" s="42" t="s">
        <v>1492</v>
      </c>
    </row>
    <row r="942" spans="1:8" ht="30" x14ac:dyDescent="0.25">
      <c r="A942" s="64" t="s">
        <v>214</v>
      </c>
      <c r="B942" s="37" t="s">
        <v>1200</v>
      </c>
      <c r="C942" s="33"/>
      <c r="D942" s="33"/>
      <c r="E942" s="33" t="s">
        <v>1493</v>
      </c>
      <c r="F942" s="52">
        <v>200</v>
      </c>
      <c r="G942" s="33" t="s">
        <v>1492</v>
      </c>
      <c r="H942" s="41"/>
    </row>
    <row r="943" spans="1:8" ht="30" x14ac:dyDescent="0.25">
      <c r="A943" s="64" t="s">
        <v>214</v>
      </c>
      <c r="B943" s="44" t="s">
        <v>1201</v>
      </c>
      <c r="C943" s="42"/>
      <c r="D943" s="42"/>
      <c r="E943" s="42" t="s">
        <v>1493</v>
      </c>
      <c r="F943" s="52">
        <v>200</v>
      </c>
      <c r="G943" s="42" t="s">
        <v>1492</v>
      </c>
    </row>
    <row r="944" spans="1:8" ht="30" x14ac:dyDescent="0.25">
      <c r="A944" s="64" t="s">
        <v>214</v>
      </c>
      <c r="B944" s="37" t="s">
        <v>1202</v>
      </c>
      <c r="C944" s="33"/>
      <c r="D944" s="33"/>
      <c r="E944" s="33" t="s">
        <v>1493</v>
      </c>
      <c r="F944" s="52">
        <v>200</v>
      </c>
      <c r="G944" s="33" t="s">
        <v>1492</v>
      </c>
      <c r="H944" s="41"/>
    </row>
    <row r="945" spans="1:8" ht="30" x14ac:dyDescent="0.25">
      <c r="A945" s="64" t="s">
        <v>214</v>
      </c>
      <c r="B945" s="44" t="s">
        <v>1203</v>
      </c>
      <c r="C945" s="42"/>
      <c r="D945" s="42"/>
      <c r="E945" s="42" t="s">
        <v>1493</v>
      </c>
      <c r="F945" s="52">
        <v>200</v>
      </c>
      <c r="G945" s="42" t="s">
        <v>1492</v>
      </c>
    </row>
    <row r="946" spans="1:8" ht="30" x14ac:dyDescent="0.25">
      <c r="A946" s="64" t="s">
        <v>214</v>
      </c>
      <c r="B946" s="37" t="s">
        <v>1204</v>
      </c>
      <c r="C946" s="33"/>
      <c r="D946" s="33"/>
      <c r="E946" s="33" t="s">
        <v>1493</v>
      </c>
      <c r="F946" s="52">
        <v>200</v>
      </c>
      <c r="G946" s="33" t="s">
        <v>1492</v>
      </c>
      <c r="H946" s="41"/>
    </row>
    <row r="947" spans="1:8" ht="30" x14ac:dyDescent="0.25">
      <c r="A947" s="64" t="s">
        <v>214</v>
      </c>
      <c r="B947" s="44" t="s">
        <v>1205</v>
      </c>
      <c r="C947" s="42"/>
      <c r="D947" s="42"/>
      <c r="E947" s="42" t="s">
        <v>1493</v>
      </c>
      <c r="F947" s="52">
        <v>200</v>
      </c>
      <c r="G947" s="42" t="s">
        <v>1492</v>
      </c>
    </row>
    <row r="948" spans="1:8" ht="30" x14ac:dyDescent="0.25">
      <c r="A948" s="64" t="s">
        <v>214</v>
      </c>
      <c r="B948" s="37" t="s">
        <v>1206</v>
      </c>
      <c r="C948" s="33"/>
      <c r="D948" s="33"/>
      <c r="E948" s="33" t="s">
        <v>1493</v>
      </c>
      <c r="F948" s="52">
        <v>200</v>
      </c>
      <c r="G948" s="33" t="s">
        <v>1492</v>
      </c>
      <c r="H948" s="41"/>
    </row>
    <row r="949" spans="1:8" ht="30" x14ac:dyDescent="0.25">
      <c r="A949" s="64" t="s">
        <v>214</v>
      </c>
      <c r="B949" s="44" t="s">
        <v>1207</v>
      </c>
      <c r="C949" s="42"/>
      <c r="D949" s="42"/>
      <c r="E949" s="42" t="s">
        <v>1493</v>
      </c>
      <c r="F949" s="52">
        <v>200</v>
      </c>
      <c r="G949" s="42" t="s">
        <v>1492</v>
      </c>
    </row>
    <row r="950" spans="1:8" ht="30" x14ac:dyDescent="0.25">
      <c r="A950" s="64" t="s">
        <v>214</v>
      </c>
      <c r="B950" s="37" t="s">
        <v>1208</v>
      </c>
      <c r="C950" s="33"/>
      <c r="D950" s="33"/>
      <c r="E950" s="33" t="s">
        <v>1493</v>
      </c>
      <c r="F950" s="52">
        <v>200</v>
      </c>
      <c r="G950" s="33" t="s">
        <v>1492</v>
      </c>
      <c r="H950" s="41"/>
    </row>
    <row r="951" spans="1:8" ht="30" x14ac:dyDescent="0.25">
      <c r="A951" s="64" t="s">
        <v>214</v>
      </c>
      <c r="B951" s="44" t="s">
        <v>1209</v>
      </c>
      <c r="C951" s="42"/>
      <c r="D951" s="42"/>
      <c r="E951" s="42" t="s">
        <v>1493</v>
      </c>
      <c r="F951" s="52">
        <v>200</v>
      </c>
      <c r="G951" s="42" t="s">
        <v>1492</v>
      </c>
    </row>
    <row r="952" spans="1:8" ht="30" x14ac:dyDescent="0.25">
      <c r="A952" s="64" t="s">
        <v>214</v>
      </c>
      <c r="B952" s="37" t="s">
        <v>1210</v>
      </c>
      <c r="C952" s="33"/>
      <c r="D952" s="33"/>
      <c r="E952" s="33" t="s">
        <v>1493</v>
      </c>
      <c r="F952" s="52">
        <v>200</v>
      </c>
      <c r="G952" s="33" t="s">
        <v>1492</v>
      </c>
      <c r="H952" s="41"/>
    </row>
    <row r="953" spans="1:8" ht="30" x14ac:dyDescent="0.25">
      <c r="A953" s="64" t="s">
        <v>214</v>
      </c>
      <c r="B953" s="44" t="s">
        <v>1211</v>
      </c>
      <c r="C953" s="42"/>
      <c r="D953" s="42"/>
      <c r="E953" s="42" t="s">
        <v>1493</v>
      </c>
      <c r="F953" s="52">
        <v>200</v>
      </c>
      <c r="G953" s="42" t="s">
        <v>1492</v>
      </c>
    </row>
    <row r="954" spans="1:8" ht="30" x14ac:dyDescent="0.25">
      <c r="A954" s="64" t="s">
        <v>214</v>
      </c>
      <c r="B954" s="37" t="s">
        <v>1212</v>
      </c>
      <c r="C954" s="33"/>
      <c r="D954" s="33"/>
      <c r="E954" s="33" t="s">
        <v>1493</v>
      </c>
      <c r="F954" s="52">
        <v>200</v>
      </c>
      <c r="G954" s="33" t="s">
        <v>1492</v>
      </c>
      <c r="H954" s="41"/>
    </row>
    <row r="955" spans="1:8" ht="30" x14ac:dyDescent="0.25">
      <c r="A955" s="64" t="s">
        <v>214</v>
      </c>
      <c r="B955" s="44" t="s">
        <v>1213</v>
      </c>
      <c r="C955" s="42"/>
      <c r="D955" s="42"/>
      <c r="E955" s="42" t="s">
        <v>1493</v>
      </c>
      <c r="F955" s="52">
        <v>200</v>
      </c>
      <c r="G955" s="42" t="s">
        <v>1492</v>
      </c>
    </row>
    <row r="956" spans="1:8" ht="30" x14ac:dyDescent="0.25">
      <c r="A956" s="64" t="s">
        <v>214</v>
      </c>
      <c r="B956" s="37" t="s">
        <v>1214</v>
      </c>
      <c r="C956" s="33"/>
      <c r="D956" s="33"/>
      <c r="E956" s="33" t="s">
        <v>1493</v>
      </c>
      <c r="F956" s="52">
        <v>200</v>
      </c>
      <c r="G956" s="33" t="s">
        <v>1492</v>
      </c>
      <c r="H956" s="41"/>
    </row>
    <row r="957" spans="1:8" ht="30" x14ac:dyDescent="0.25">
      <c r="A957" s="64" t="s">
        <v>214</v>
      </c>
      <c r="B957" s="44" t="s">
        <v>1215</v>
      </c>
      <c r="C957" s="42"/>
      <c r="D957" s="42"/>
      <c r="E957" s="42" t="s">
        <v>1493</v>
      </c>
      <c r="F957" s="52">
        <v>200</v>
      </c>
      <c r="G957" s="42" t="s">
        <v>1492</v>
      </c>
    </row>
    <row r="958" spans="1:8" ht="30" x14ac:dyDescent="0.25">
      <c r="A958" s="64" t="s">
        <v>214</v>
      </c>
      <c r="B958" s="37" t="s">
        <v>1216</v>
      </c>
      <c r="C958" s="33"/>
      <c r="D958" s="33"/>
      <c r="E958" s="33" t="s">
        <v>1493</v>
      </c>
      <c r="F958" s="52">
        <v>200</v>
      </c>
      <c r="G958" s="33" t="s">
        <v>1492</v>
      </c>
      <c r="H958" s="41"/>
    </row>
    <row r="959" spans="1:8" ht="30" x14ac:dyDescent="0.25">
      <c r="A959" s="64" t="s">
        <v>214</v>
      </c>
      <c r="B959" s="44" t="s">
        <v>1217</v>
      </c>
      <c r="C959" s="42"/>
      <c r="D959" s="42"/>
      <c r="E959" s="42" t="s">
        <v>1493</v>
      </c>
      <c r="F959" s="52">
        <v>200</v>
      </c>
      <c r="G959" s="42" t="s">
        <v>1492</v>
      </c>
    </row>
    <row r="960" spans="1:8" ht="30" x14ac:dyDescent="0.25">
      <c r="A960" s="64" t="s">
        <v>214</v>
      </c>
      <c r="B960" s="37" t="s">
        <v>1218</v>
      </c>
      <c r="C960" s="33"/>
      <c r="D960" s="33"/>
      <c r="E960" s="33" t="s">
        <v>1493</v>
      </c>
      <c r="F960" s="52">
        <v>200</v>
      </c>
      <c r="G960" s="33" t="s">
        <v>1492</v>
      </c>
      <c r="H960" s="41"/>
    </row>
    <row r="961" spans="1:8" ht="30" x14ac:dyDescent="0.25">
      <c r="A961" s="64" t="s">
        <v>214</v>
      </c>
      <c r="B961" s="44" t="s">
        <v>1219</v>
      </c>
      <c r="C961" s="42"/>
      <c r="D961" s="42"/>
      <c r="E961" s="42" t="s">
        <v>1493</v>
      </c>
      <c r="F961" s="52">
        <v>200</v>
      </c>
      <c r="G961" s="42" t="s">
        <v>1492</v>
      </c>
    </row>
    <row r="962" spans="1:8" ht="30" x14ac:dyDescent="0.25">
      <c r="A962" s="64" t="s">
        <v>214</v>
      </c>
      <c r="B962" s="37" t="s">
        <v>1220</v>
      </c>
      <c r="C962" s="33"/>
      <c r="D962" s="33"/>
      <c r="E962" s="33" t="s">
        <v>1493</v>
      </c>
      <c r="F962" s="52">
        <v>200</v>
      </c>
      <c r="G962" s="33" t="s">
        <v>1492</v>
      </c>
      <c r="H962" s="41"/>
    </row>
    <row r="963" spans="1:8" ht="30" x14ac:dyDescent="0.25">
      <c r="A963" s="64" t="s">
        <v>214</v>
      </c>
      <c r="B963" s="44" t="s">
        <v>1221</v>
      </c>
      <c r="C963" s="42"/>
      <c r="D963" s="42"/>
      <c r="E963" s="42" t="s">
        <v>1493</v>
      </c>
      <c r="F963" s="52">
        <v>200</v>
      </c>
      <c r="G963" s="42" t="s">
        <v>1492</v>
      </c>
    </row>
    <row r="964" spans="1:8" ht="30" x14ac:dyDescent="0.25">
      <c r="A964" s="64" t="s">
        <v>214</v>
      </c>
      <c r="B964" s="37" t="s">
        <v>1222</v>
      </c>
      <c r="C964" s="33"/>
      <c r="D964" s="33"/>
      <c r="E964" s="33" t="s">
        <v>1493</v>
      </c>
      <c r="F964" s="52">
        <v>200</v>
      </c>
      <c r="G964" s="33" t="s">
        <v>1492</v>
      </c>
      <c r="H964" s="41"/>
    </row>
    <row r="965" spans="1:8" ht="30" x14ac:dyDescent="0.25">
      <c r="A965" s="64" t="s">
        <v>214</v>
      </c>
      <c r="B965" s="44" t="s">
        <v>1223</v>
      </c>
      <c r="C965" s="42"/>
      <c r="D965" s="42"/>
      <c r="E965" s="42" t="s">
        <v>1493</v>
      </c>
      <c r="F965" s="52">
        <v>200</v>
      </c>
      <c r="G965" s="42" t="s">
        <v>1492</v>
      </c>
    </row>
    <row r="966" spans="1:8" ht="30" x14ac:dyDescent="0.25">
      <c r="A966" s="64" t="s">
        <v>214</v>
      </c>
      <c r="B966" s="37" t="s">
        <v>1224</v>
      </c>
      <c r="C966" s="33"/>
      <c r="D966" s="33"/>
      <c r="E966" s="33" t="s">
        <v>1493</v>
      </c>
      <c r="F966" s="52">
        <v>200</v>
      </c>
      <c r="G966" s="33" t="s">
        <v>1492</v>
      </c>
      <c r="H966" s="41"/>
    </row>
    <row r="967" spans="1:8" ht="30" x14ac:dyDescent="0.25">
      <c r="A967" s="64" t="s">
        <v>214</v>
      </c>
      <c r="B967" s="44" t="s">
        <v>1225</v>
      </c>
      <c r="C967" s="42"/>
      <c r="D967" s="42"/>
      <c r="E967" s="42" t="s">
        <v>1493</v>
      </c>
      <c r="F967" s="52">
        <v>200</v>
      </c>
      <c r="G967" s="42" t="s">
        <v>1492</v>
      </c>
    </row>
    <row r="968" spans="1:8" ht="30" x14ac:dyDescent="0.25">
      <c r="A968" s="64" t="s">
        <v>214</v>
      </c>
      <c r="B968" s="37" t="s">
        <v>1226</v>
      </c>
      <c r="C968" s="33"/>
      <c r="D968" s="33"/>
      <c r="E968" s="33" t="s">
        <v>1493</v>
      </c>
      <c r="F968" s="52">
        <v>200</v>
      </c>
      <c r="G968" s="33" t="s">
        <v>1492</v>
      </c>
      <c r="H968" s="41"/>
    </row>
    <row r="969" spans="1:8" ht="30" x14ac:dyDescent="0.25">
      <c r="A969" s="64" t="s">
        <v>214</v>
      </c>
      <c r="B969" s="44" t="s">
        <v>1227</v>
      </c>
      <c r="C969" s="42"/>
      <c r="D969" s="42"/>
      <c r="E969" s="42" t="s">
        <v>1493</v>
      </c>
      <c r="F969" s="52">
        <v>200</v>
      </c>
      <c r="G969" s="42" t="s">
        <v>1492</v>
      </c>
    </row>
    <row r="970" spans="1:8" ht="30" x14ac:dyDescent="0.25">
      <c r="A970" s="64" t="s">
        <v>214</v>
      </c>
      <c r="B970" s="37" t="s">
        <v>1228</v>
      </c>
      <c r="C970" s="33"/>
      <c r="D970" s="33"/>
      <c r="E970" s="33" t="s">
        <v>1493</v>
      </c>
      <c r="F970" s="52">
        <v>200</v>
      </c>
      <c r="G970" s="33" t="s">
        <v>1492</v>
      </c>
      <c r="H970" s="41"/>
    </row>
    <row r="971" spans="1:8" ht="30" x14ac:dyDescent="0.25">
      <c r="A971" s="64" t="s">
        <v>214</v>
      </c>
      <c r="B971" s="44" t="s">
        <v>1229</v>
      </c>
      <c r="C971" s="42"/>
      <c r="D971" s="42"/>
      <c r="E971" s="42" t="s">
        <v>1493</v>
      </c>
      <c r="F971" s="52">
        <v>200</v>
      </c>
      <c r="G971" s="42" t="s">
        <v>1492</v>
      </c>
    </row>
    <row r="972" spans="1:8" ht="30" x14ac:dyDescent="0.25">
      <c r="A972" s="64" t="s">
        <v>214</v>
      </c>
      <c r="B972" s="37" t="s">
        <v>1230</v>
      </c>
      <c r="C972" s="33"/>
      <c r="D972" s="33"/>
      <c r="E972" s="33" t="s">
        <v>1493</v>
      </c>
      <c r="F972" s="52">
        <v>200</v>
      </c>
      <c r="G972" s="33" t="s">
        <v>1492</v>
      </c>
      <c r="H972" s="41"/>
    </row>
    <row r="973" spans="1:8" ht="30" x14ac:dyDescent="0.25">
      <c r="A973" s="64" t="s">
        <v>214</v>
      </c>
      <c r="B973" s="44" t="s">
        <v>1231</v>
      </c>
      <c r="C973" s="42"/>
      <c r="D973" s="42"/>
      <c r="E973" s="42" t="s">
        <v>1493</v>
      </c>
      <c r="F973" s="52">
        <v>200</v>
      </c>
      <c r="G973" s="42" t="s">
        <v>1492</v>
      </c>
    </row>
    <row r="974" spans="1:8" ht="30" x14ac:dyDescent="0.25">
      <c r="A974" s="64" t="s">
        <v>214</v>
      </c>
      <c r="B974" s="37" t="s">
        <v>1232</v>
      </c>
      <c r="C974" s="33"/>
      <c r="D974" s="33"/>
      <c r="E974" s="33" t="s">
        <v>1493</v>
      </c>
      <c r="F974" s="52">
        <v>200</v>
      </c>
      <c r="G974" s="33" t="s">
        <v>1492</v>
      </c>
      <c r="H974" s="41"/>
    </row>
    <row r="975" spans="1:8" ht="30" x14ac:dyDescent="0.25">
      <c r="A975" s="64" t="s">
        <v>214</v>
      </c>
      <c r="B975" s="44" t="s">
        <v>1233</v>
      </c>
      <c r="C975" s="42"/>
      <c r="D975" s="42"/>
      <c r="E975" s="42" t="s">
        <v>1493</v>
      </c>
      <c r="F975" s="52">
        <v>200</v>
      </c>
      <c r="G975" s="42" t="s">
        <v>1492</v>
      </c>
    </row>
    <row r="976" spans="1:8" ht="30" x14ac:dyDescent="0.25">
      <c r="A976" s="64" t="s">
        <v>214</v>
      </c>
      <c r="B976" s="37" t="s">
        <v>1234</v>
      </c>
      <c r="C976" s="33"/>
      <c r="D976" s="33"/>
      <c r="E976" s="33" t="s">
        <v>1493</v>
      </c>
      <c r="F976" s="52">
        <v>200</v>
      </c>
      <c r="G976" s="33" t="s">
        <v>1492</v>
      </c>
      <c r="H976" s="41"/>
    </row>
    <row r="977" spans="1:8" ht="30" x14ac:dyDescent="0.25">
      <c r="A977" s="64" t="s">
        <v>214</v>
      </c>
      <c r="B977" s="44" t="s">
        <v>1235</v>
      </c>
      <c r="C977" s="42"/>
      <c r="D977" s="42"/>
      <c r="E977" s="42" t="s">
        <v>1493</v>
      </c>
      <c r="F977" s="52">
        <v>200</v>
      </c>
      <c r="G977" s="42" t="s">
        <v>1492</v>
      </c>
    </row>
    <row r="978" spans="1:8" ht="30" x14ac:dyDescent="0.25">
      <c r="A978" s="64" t="s">
        <v>214</v>
      </c>
      <c r="B978" s="37" t="s">
        <v>1236</v>
      </c>
      <c r="C978" s="33"/>
      <c r="D978" s="33"/>
      <c r="E978" s="33" t="s">
        <v>1493</v>
      </c>
      <c r="F978" s="52">
        <v>200</v>
      </c>
      <c r="G978" s="33" t="s">
        <v>1492</v>
      </c>
      <c r="H978" s="41"/>
    </row>
    <row r="979" spans="1:8" ht="30" x14ac:dyDescent="0.25">
      <c r="A979" s="64" t="s">
        <v>214</v>
      </c>
      <c r="B979" s="44" t="s">
        <v>1237</v>
      </c>
      <c r="C979" s="42"/>
      <c r="D979" s="42"/>
      <c r="E979" s="42" t="s">
        <v>1493</v>
      </c>
      <c r="F979" s="52">
        <v>200</v>
      </c>
      <c r="G979" s="42" t="s">
        <v>1492</v>
      </c>
    </row>
    <row r="980" spans="1:8" ht="30" x14ac:dyDescent="0.25">
      <c r="A980" s="64" t="s">
        <v>214</v>
      </c>
      <c r="B980" s="37" t="s">
        <v>1238</v>
      </c>
      <c r="C980" s="33"/>
      <c r="D980" s="33"/>
      <c r="E980" s="33" t="s">
        <v>1493</v>
      </c>
      <c r="F980" s="52">
        <v>200</v>
      </c>
      <c r="G980" s="33" t="s">
        <v>1492</v>
      </c>
      <c r="H980" s="41"/>
    </row>
    <row r="981" spans="1:8" ht="30" x14ac:dyDescent="0.25">
      <c r="A981" s="64" t="s">
        <v>214</v>
      </c>
      <c r="B981" s="44" t="s">
        <v>1239</v>
      </c>
      <c r="C981" s="42"/>
      <c r="D981" s="42"/>
      <c r="E981" s="42" t="s">
        <v>1493</v>
      </c>
      <c r="F981" s="52">
        <v>200</v>
      </c>
      <c r="G981" s="42" t="s">
        <v>1492</v>
      </c>
    </row>
    <row r="982" spans="1:8" ht="30" x14ac:dyDescent="0.25">
      <c r="A982" s="64" t="s">
        <v>214</v>
      </c>
      <c r="B982" s="37" t="s">
        <v>1240</v>
      </c>
      <c r="C982" s="33"/>
      <c r="D982" s="33"/>
      <c r="E982" s="33" t="s">
        <v>1493</v>
      </c>
      <c r="F982" s="52">
        <v>200</v>
      </c>
      <c r="G982" s="33" t="s">
        <v>1492</v>
      </c>
      <c r="H982" s="41"/>
    </row>
    <row r="983" spans="1:8" ht="30" x14ac:dyDescent="0.25">
      <c r="A983" s="64" t="s">
        <v>214</v>
      </c>
      <c r="B983" s="44" t="s">
        <v>1241</v>
      </c>
      <c r="C983" s="42"/>
      <c r="D983" s="42"/>
      <c r="E983" s="42" t="s">
        <v>1493</v>
      </c>
      <c r="F983" s="52">
        <v>200</v>
      </c>
      <c r="G983" s="42" t="s">
        <v>1492</v>
      </c>
    </row>
    <row r="984" spans="1:8" ht="30" x14ac:dyDescent="0.25">
      <c r="A984" s="64" t="s">
        <v>214</v>
      </c>
      <c r="B984" s="37" t="s">
        <v>1242</v>
      </c>
      <c r="C984" s="33"/>
      <c r="D984" s="33"/>
      <c r="E984" s="33" t="s">
        <v>1493</v>
      </c>
      <c r="F984" s="52">
        <v>200</v>
      </c>
      <c r="G984" s="33" t="s">
        <v>1492</v>
      </c>
      <c r="H984" s="41"/>
    </row>
    <row r="985" spans="1:8" ht="30" x14ac:dyDescent="0.25">
      <c r="A985" s="64" t="s">
        <v>214</v>
      </c>
      <c r="B985" s="44" t="s">
        <v>1243</v>
      </c>
      <c r="C985" s="42"/>
      <c r="D985" s="42"/>
      <c r="E985" s="42" t="s">
        <v>1493</v>
      </c>
      <c r="F985" s="52">
        <v>200</v>
      </c>
      <c r="G985" s="42" t="s">
        <v>1492</v>
      </c>
    </row>
    <row r="986" spans="1:8" ht="30" x14ac:dyDescent="0.25">
      <c r="A986" s="64" t="s">
        <v>214</v>
      </c>
      <c r="B986" s="37" t="s">
        <v>1244</v>
      </c>
      <c r="C986" s="33"/>
      <c r="D986" s="33"/>
      <c r="E986" s="33" t="s">
        <v>1493</v>
      </c>
      <c r="F986" s="52">
        <v>200</v>
      </c>
      <c r="G986" s="33" t="s">
        <v>1492</v>
      </c>
      <c r="H986" s="41"/>
    </row>
    <row r="987" spans="1:8" ht="30" x14ac:dyDescent="0.25">
      <c r="A987" s="64" t="s">
        <v>214</v>
      </c>
      <c r="B987" s="44" t="s">
        <v>1245</v>
      </c>
      <c r="C987" s="42"/>
      <c r="D987" s="42"/>
      <c r="E987" s="42" t="s">
        <v>1493</v>
      </c>
      <c r="F987" s="52">
        <v>200</v>
      </c>
      <c r="G987" s="42" t="s">
        <v>1492</v>
      </c>
    </row>
    <row r="988" spans="1:8" ht="30" x14ac:dyDescent="0.25">
      <c r="A988" s="64" t="s">
        <v>214</v>
      </c>
      <c r="B988" s="37" t="s">
        <v>1246</v>
      </c>
      <c r="C988" s="33"/>
      <c r="D988" s="33"/>
      <c r="E988" s="33" t="s">
        <v>1493</v>
      </c>
      <c r="F988" s="52">
        <v>200</v>
      </c>
      <c r="G988" s="33" t="s">
        <v>1492</v>
      </c>
      <c r="H988" s="41"/>
    </row>
    <row r="989" spans="1:8" ht="30" x14ac:dyDescent="0.25">
      <c r="A989" s="64" t="s">
        <v>214</v>
      </c>
      <c r="B989" s="44" t="s">
        <v>1247</v>
      </c>
      <c r="C989" s="42"/>
      <c r="D989" s="42"/>
      <c r="E989" s="42" t="s">
        <v>1493</v>
      </c>
      <c r="F989" s="52">
        <v>200</v>
      </c>
      <c r="G989" s="42" t="s">
        <v>1492</v>
      </c>
    </row>
    <row r="990" spans="1:8" ht="30" x14ac:dyDescent="0.25">
      <c r="A990" s="64" t="s">
        <v>214</v>
      </c>
      <c r="B990" s="37" t="s">
        <v>1248</v>
      </c>
      <c r="C990" s="33"/>
      <c r="D990" s="33"/>
      <c r="E990" s="33" t="s">
        <v>1493</v>
      </c>
      <c r="F990" s="52">
        <v>200</v>
      </c>
      <c r="G990" s="33" t="s">
        <v>1492</v>
      </c>
      <c r="H990" s="41"/>
    </row>
    <row r="991" spans="1:8" ht="30" x14ac:dyDescent="0.25">
      <c r="A991" s="64" t="s">
        <v>214</v>
      </c>
      <c r="B991" s="44" t="s">
        <v>1249</v>
      </c>
      <c r="C991" s="42"/>
      <c r="D991" s="42"/>
      <c r="E991" s="42" t="s">
        <v>1493</v>
      </c>
      <c r="F991" s="52">
        <v>200</v>
      </c>
      <c r="G991" s="42" t="s">
        <v>1492</v>
      </c>
    </row>
    <row r="992" spans="1:8" ht="30" x14ac:dyDescent="0.25">
      <c r="A992" s="64" t="s">
        <v>214</v>
      </c>
      <c r="B992" s="37" t="s">
        <v>752</v>
      </c>
      <c r="C992" s="33"/>
      <c r="D992" s="33"/>
      <c r="E992" s="33" t="s">
        <v>1493</v>
      </c>
      <c r="F992" s="52">
        <v>200</v>
      </c>
      <c r="G992" s="33" t="s">
        <v>1492</v>
      </c>
      <c r="H992" s="41"/>
    </row>
    <row r="993" spans="1:8" ht="30" x14ac:dyDescent="0.25">
      <c r="A993" s="64" t="s">
        <v>214</v>
      </c>
      <c r="B993" s="44" t="s">
        <v>1250</v>
      </c>
      <c r="C993" s="42"/>
      <c r="D993" s="42"/>
      <c r="E993" s="42" t="s">
        <v>1493</v>
      </c>
      <c r="F993" s="52">
        <v>200</v>
      </c>
      <c r="G993" s="42" t="s">
        <v>1492</v>
      </c>
    </row>
    <row r="994" spans="1:8" ht="30" x14ac:dyDescent="0.25">
      <c r="A994" s="64" t="s">
        <v>214</v>
      </c>
      <c r="B994" s="37" t="s">
        <v>1251</v>
      </c>
      <c r="C994" s="33"/>
      <c r="D994" s="33"/>
      <c r="E994" s="33" t="s">
        <v>1493</v>
      </c>
      <c r="F994" s="52">
        <v>200</v>
      </c>
      <c r="G994" s="33" t="s">
        <v>1492</v>
      </c>
      <c r="H994" s="41"/>
    </row>
    <row r="995" spans="1:8" ht="30" x14ac:dyDescent="0.25">
      <c r="A995" s="64" t="s">
        <v>214</v>
      </c>
      <c r="B995" s="44" t="s">
        <v>1252</v>
      </c>
      <c r="C995" s="42"/>
      <c r="D995" s="42"/>
      <c r="E995" s="42" t="s">
        <v>1493</v>
      </c>
      <c r="F995" s="52">
        <v>200</v>
      </c>
      <c r="G995" s="42" t="s">
        <v>1492</v>
      </c>
    </row>
    <row r="996" spans="1:8" ht="30" x14ac:dyDescent="0.25">
      <c r="A996" s="64" t="s">
        <v>214</v>
      </c>
      <c r="B996" s="37" t="s">
        <v>1253</v>
      </c>
      <c r="C996" s="33"/>
      <c r="D996" s="33"/>
      <c r="E996" s="33" t="s">
        <v>1493</v>
      </c>
      <c r="F996" s="52">
        <v>200</v>
      </c>
      <c r="G996" s="33" t="s">
        <v>1492</v>
      </c>
      <c r="H996" s="41"/>
    </row>
    <row r="997" spans="1:8" ht="30" x14ac:dyDescent="0.25">
      <c r="A997" s="64" t="s">
        <v>214</v>
      </c>
      <c r="B997" s="44" t="s">
        <v>1254</v>
      </c>
      <c r="C997" s="42"/>
      <c r="D997" s="42"/>
      <c r="E997" s="42" t="s">
        <v>1493</v>
      </c>
      <c r="F997" s="52">
        <v>200</v>
      </c>
      <c r="G997" s="42" t="s">
        <v>1492</v>
      </c>
    </row>
    <row r="998" spans="1:8" ht="30" x14ac:dyDescent="0.25">
      <c r="A998" s="64" t="s">
        <v>214</v>
      </c>
      <c r="B998" s="37" t="s">
        <v>1255</v>
      </c>
      <c r="C998" s="33"/>
      <c r="D998" s="33"/>
      <c r="E998" s="33" t="s">
        <v>1493</v>
      </c>
      <c r="F998" s="52">
        <v>200</v>
      </c>
      <c r="G998" s="33" t="s">
        <v>1492</v>
      </c>
      <c r="H998" s="41"/>
    </row>
    <row r="999" spans="1:8" ht="30" x14ac:dyDescent="0.25">
      <c r="A999" s="64" t="s">
        <v>214</v>
      </c>
      <c r="B999" s="44" t="s">
        <v>1256</v>
      </c>
      <c r="C999" s="42"/>
      <c r="D999" s="42"/>
      <c r="E999" s="42" t="s">
        <v>1493</v>
      </c>
      <c r="F999" s="52">
        <v>200</v>
      </c>
      <c r="G999" s="42" t="s">
        <v>1492</v>
      </c>
    </row>
    <row r="1000" spans="1:8" ht="30" x14ac:dyDescent="0.25">
      <c r="A1000" s="64" t="s">
        <v>214</v>
      </c>
      <c r="B1000" s="37" t="s">
        <v>1257</v>
      </c>
      <c r="C1000" s="33"/>
      <c r="D1000" s="33"/>
      <c r="E1000" s="33" t="s">
        <v>1493</v>
      </c>
      <c r="F1000" s="52">
        <v>200</v>
      </c>
      <c r="G1000" s="33" t="s">
        <v>1492</v>
      </c>
      <c r="H1000" s="41"/>
    </row>
    <row r="1001" spans="1:8" ht="30" x14ac:dyDescent="0.25">
      <c r="A1001" s="64" t="s">
        <v>214</v>
      </c>
      <c r="B1001" s="44" t="s">
        <v>1258</v>
      </c>
      <c r="C1001" s="42"/>
      <c r="D1001" s="42"/>
      <c r="E1001" s="42" t="s">
        <v>1493</v>
      </c>
      <c r="F1001" s="52">
        <v>200</v>
      </c>
      <c r="G1001" s="42" t="s">
        <v>1492</v>
      </c>
    </row>
    <row r="1002" spans="1:8" ht="30" x14ac:dyDescent="0.25">
      <c r="A1002" s="64" t="s">
        <v>214</v>
      </c>
      <c r="B1002" s="37" t="s">
        <v>1259</v>
      </c>
      <c r="C1002" s="33"/>
      <c r="D1002" s="33"/>
      <c r="E1002" s="33" t="s">
        <v>1493</v>
      </c>
      <c r="F1002" s="52">
        <v>200</v>
      </c>
      <c r="G1002" s="33" t="s">
        <v>1492</v>
      </c>
      <c r="H1002" s="41"/>
    </row>
    <row r="1003" spans="1:8" ht="30" x14ac:dyDescent="0.25">
      <c r="A1003" s="64" t="s">
        <v>214</v>
      </c>
      <c r="B1003" s="44" t="s">
        <v>1260</v>
      </c>
      <c r="C1003" s="42"/>
      <c r="D1003" s="42"/>
      <c r="E1003" s="42" t="s">
        <v>1493</v>
      </c>
      <c r="F1003" s="52">
        <v>200</v>
      </c>
      <c r="G1003" s="42" t="s">
        <v>1492</v>
      </c>
    </row>
    <row r="1004" spans="1:8" ht="30" x14ac:dyDescent="0.25">
      <c r="A1004" s="64" t="s">
        <v>214</v>
      </c>
      <c r="B1004" s="37" t="s">
        <v>1261</v>
      </c>
      <c r="C1004" s="33"/>
      <c r="D1004" s="33"/>
      <c r="E1004" s="33" t="s">
        <v>1493</v>
      </c>
      <c r="F1004" s="52">
        <v>200</v>
      </c>
      <c r="G1004" s="33" t="s">
        <v>1492</v>
      </c>
      <c r="H1004" s="41"/>
    </row>
    <row r="1005" spans="1:8" ht="30" x14ac:dyDescent="0.25">
      <c r="A1005" s="64" t="s">
        <v>214</v>
      </c>
      <c r="B1005" s="44" t="s">
        <v>1262</v>
      </c>
      <c r="C1005" s="42"/>
      <c r="D1005" s="42"/>
      <c r="E1005" s="42" t="s">
        <v>1493</v>
      </c>
      <c r="F1005" s="52">
        <v>200</v>
      </c>
      <c r="G1005" s="42" t="s">
        <v>1492</v>
      </c>
    </row>
    <row r="1006" spans="1:8" ht="30" x14ac:dyDescent="0.25">
      <c r="A1006" s="64" t="s">
        <v>214</v>
      </c>
      <c r="B1006" s="37" t="s">
        <v>751</v>
      </c>
      <c r="C1006" s="33"/>
      <c r="D1006" s="33"/>
      <c r="E1006" s="33" t="s">
        <v>1493</v>
      </c>
      <c r="F1006" s="52">
        <v>200</v>
      </c>
      <c r="G1006" s="33" t="s">
        <v>1492</v>
      </c>
      <c r="H1006" s="41"/>
    </row>
    <row r="1007" spans="1:8" ht="30" x14ac:dyDescent="0.25">
      <c r="A1007" s="64" t="s">
        <v>214</v>
      </c>
      <c r="B1007" s="44" t="s">
        <v>1263</v>
      </c>
      <c r="C1007" s="42"/>
      <c r="D1007" s="42"/>
      <c r="E1007" s="42" t="s">
        <v>1493</v>
      </c>
      <c r="F1007" s="52">
        <v>200</v>
      </c>
      <c r="G1007" s="42" t="s">
        <v>1492</v>
      </c>
    </row>
    <row r="1008" spans="1:8" ht="30" x14ac:dyDescent="0.25">
      <c r="A1008" s="64" t="s">
        <v>214</v>
      </c>
      <c r="B1008" s="37" t="s">
        <v>1264</v>
      </c>
      <c r="C1008" s="33"/>
      <c r="D1008" s="33"/>
      <c r="E1008" s="33" t="s">
        <v>1493</v>
      </c>
      <c r="F1008" s="52">
        <v>200</v>
      </c>
      <c r="G1008" s="33" t="s">
        <v>1492</v>
      </c>
      <c r="H1008" s="41"/>
    </row>
    <row r="1009" spans="1:8" ht="30" x14ac:dyDescent="0.25">
      <c r="A1009" s="64" t="s">
        <v>214</v>
      </c>
      <c r="B1009" s="44" t="s">
        <v>1265</v>
      </c>
      <c r="C1009" s="42"/>
      <c r="D1009" s="42"/>
      <c r="E1009" s="42" t="s">
        <v>1493</v>
      </c>
      <c r="F1009" s="52">
        <v>200</v>
      </c>
      <c r="G1009" s="42" t="s">
        <v>1492</v>
      </c>
    </row>
    <row r="1010" spans="1:8" ht="30" x14ac:dyDescent="0.25">
      <c r="A1010" s="64" t="s">
        <v>214</v>
      </c>
      <c r="B1010" s="37" t="s">
        <v>1266</v>
      </c>
      <c r="C1010" s="33"/>
      <c r="D1010" s="33"/>
      <c r="E1010" s="33" t="s">
        <v>1493</v>
      </c>
      <c r="F1010" s="52">
        <v>200</v>
      </c>
      <c r="G1010" s="33" t="s">
        <v>1492</v>
      </c>
      <c r="H1010" s="41"/>
    </row>
    <row r="1011" spans="1:8" ht="30" x14ac:dyDescent="0.25">
      <c r="A1011" s="64" t="s">
        <v>214</v>
      </c>
      <c r="B1011" s="44" t="s">
        <v>1267</v>
      </c>
      <c r="C1011" s="42"/>
      <c r="D1011" s="42"/>
      <c r="E1011" s="42" t="s">
        <v>1493</v>
      </c>
      <c r="F1011" s="52">
        <v>200</v>
      </c>
      <c r="G1011" s="42" t="s">
        <v>1492</v>
      </c>
    </row>
    <row r="1012" spans="1:8" ht="30" x14ac:dyDescent="0.25">
      <c r="A1012" s="64" t="s">
        <v>214</v>
      </c>
      <c r="B1012" s="37" t="s">
        <v>1268</v>
      </c>
      <c r="C1012" s="33"/>
      <c r="D1012" s="33"/>
      <c r="E1012" s="33" t="s">
        <v>1493</v>
      </c>
      <c r="F1012" s="52">
        <v>200</v>
      </c>
      <c r="G1012" s="33" t="s">
        <v>1492</v>
      </c>
      <c r="H1012" s="41"/>
    </row>
    <row r="1013" spans="1:8" ht="30" x14ac:dyDescent="0.25">
      <c r="A1013" s="64" t="s">
        <v>214</v>
      </c>
      <c r="B1013" s="44" t="s">
        <v>1269</v>
      </c>
      <c r="C1013" s="42"/>
      <c r="D1013" s="42"/>
      <c r="E1013" s="42" t="s">
        <v>1493</v>
      </c>
      <c r="F1013" s="52">
        <v>200</v>
      </c>
      <c r="G1013" s="42" t="s">
        <v>1492</v>
      </c>
    </row>
    <row r="1014" spans="1:8" ht="30" x14ac:dyDescent="0.25">
      <c r="A1014" s="64" t="s">
        <v>214</v>
      </c>
      <c r="B1014" s="37" t="s">
        <v>1270</v>
      </c>
      <c r="C1014" s="33"/>
      <c r="D1014" s="33"/>
      <c r="E1014" s="33" t="s">
        <v>1493</v>
      </c>
      <c r="F1014" s="52">
        <v>200</v>
      </c>
      <c r="G1014" s="33" t="s">
        <v>1492</v>
      </c>
      <c r="H1014" s="41"/>
    </row>
    <row r="1015" spans="1:8" ht="30" x14ac:dyDescent="0.25">
      <c r="A1015" s="64" t="s">
        <v>214</v>
      </c>
      <c r="B1015" s="44" t="s">
        <v>1271</v>
      </c>
      <c r="C1015" s="42"/>
      <c r="D1015" s="42"/>
      <c r="E1015" s="42" t="s">
        <v>1493</v>
      </c>
      <c r="F1015" s="52">
        <v>200</v>
      </c>
      <c r="G1015" s="42" t="s">
        <v>1492</v>
      </c>
    </row>
    <row r="1016" spans="1:8" ht="30" x14ac:dyDescent="0.25">
      <c r="A1016" s="64" t="s">
        <v>214</v>
      </c>
      <c r="B1016" s="37" t="s">
        <v>1272</v>
      </c>
      <c r="C1016" s="33"/>
      <c r="D1016" s="33"/>
      <c r="E1016" s="33" t="s">
        <v>1493</v>
      </c>
      <c r="F1016" s="52">
        <v>200</v>
      </c>
      <c r="G1016" s="33" t="s">
        <v>1492</v>
      </c>
      <c r="H1016" s="41"/>
    </row>
    <row r="1017" spans="1:8" ht="30" x14ac:dyDescent="0.25">
      <c r="A1017" s="64" t="s">
        <v>214</v>
      </c>
      <c r="B1017" s="44" t="s">
        <v>1273</v>
      </c>
      <c r="C1017" s="42"/>
      <c r="D1017" s="42"/>
      <c r="E1017" s="42" t="s">
        <v>1493</v>
      </c>
      <c r="F1017" s="52">
        <v>200</v>
      </c>
      <c r="G1017" s="42" t="s">
        <v>1492</v>
      </c>
    </row>
    <row r="1018" spans="1:8" ht="30" x14ac:dyDescent="0.25">
      <c r="A1018" s="64" t="s">
        <v>214</v>
      </c>
      <c r="B1018" s="37" t="s">
        <v>1274</v>
      </c>
      <c r="C1018" s="33"/>
      <c r="D1018" s="33"/>
      <c r="E1018" s="33" t="s">
        <v>1493</v>
      </c>
      <c r="F1018" s="52">
        <v>200</v>
      </c>
      <c r="G1018" s="33" t="s">
        <v>1492</v>
      </c>
      <c r="H1018" s="41"/>
    </row>
    <row r="1019" spans="1:8" ht="30" x14ac:dyDescent="0.25">
      <c r="A1019" s="64" t="s">
        <v>214</v>
      </c>
      <c r="B1019" s="44" t="s">
        <v>750</v>
      </c>
      <c r="C1019" s="42"/>
      <c r="D1019" s="42"/>
      <c r="E1019" s="42" t="s">
        <v>1493</v>
      </c>
      <c r="F1019" s="52">
        <v>200</v>
      </c>
      <c r="G1019" s="42" t="s">
        <v>1492</v>
      </c>
    </row>
    <row r="1020" spans="1:8" ht="30" x14ac:dyDescent="0.25">
      <c r="A1020" s="64" t="s">
        <v>214</v>
      </c>
      <c r="B1020" s="37" t="s">
        <v>1275</v>
      </c>
      <c r="C1020" s="33"/>
      <c r="D1020" s="33"/>
      <c r="E1020" s="33" t="s">
        <v>1493</v>
      </c>
      <c r="F1020" s="52">
        <v>200</v>
      </c>
      <c r="G1020" s="33" t="s">
        <v>1492</v>
      </c>
      <c r="H1020" s="41"/>
    </row>
    <row r="1021" spans="1:8" ht="30" x14ac:dyDescent="0.25">
      <c r="A1021" s="64" t="s">
        <v>214</v>
      </c>
      <c r="B1021" s="44" t="s">
        <v>1276</v>
      </c>
      <c r="C1021" s="42"/>
      <c r="D1021" s="42"/>
      <c r="E1021" s="42" t="s">
        <v>1493</v>
      </c>
      <c r="F1021" s="52">
        <v>200</v>
      </c>
      <c r="G1021" s="42" t="s">
        <v>1492</v>
      </c>
    </row>
    <row r="1022" spans="1:8" ht="30" x14ac:dyDescent="0.25">
      <c r="A1022" s="64" t="s">
        <v>214</v>
      </c>
      <c r="B1022" s="37" t="s">
        <v>1277</v>
      </c>
      <c r="C1022" s="33"/>
      <c r="D1022" s="33"/>
      <c r="E1022" s="33" t="s">
        <v>1493</v>
      </c>
      <c r="F1022" s="52">
        <v>200</v>
      </c>
      <c r="G1022" s="33" t="s">
        <v>1492</v>
      </c>
      <c r="H1022" s="41"/>
    </row>
    <row r="1023" spans="1:8" ht="30" x14ac:dyDescent="0.25">
      <c r="A1023" s="64" t="s">
        <v>214</v>
      </c>
      <c r="B1023" s="44" t="s">
        <v>1278</v>
      </c>
      <c r="C1023" s="42"/>
      <c r="D1023" s="42"/>
      <c r="E1023" s="42" t="s">
        <v>1493</v>
      </c>
      <c r="F1023" s="52">
        <v>200</v>
      </c>
      <c r="G1023" s="42" t="s">
        <v>1492</v>
      </c>
    </row>
    <row r="1024" spans="1:8" ht="30" x14ac:dyDescent="0.25">
      <c r="A1024" s="64" t="s">
        <v>214</v>
      </c>
      <c r="B1024" s="37" t="s">
        <v>1279</v>
      </c>
      <c r="C1024" s="33"/>
      <c r="D1024" s="33"/>
      <c r="E1024" s="33" t="s">
        <v>1493</v>
      </c>
      <c r="F1024" s="52">
        <v>200</v>
      </c>
      <c r="G1024" s="33" t="s">
        <v>1492</v>
      </c>
      <c r="H1024" s="41"/>
    </row>
    <row r="1025" spans="1:8" ht="30" x14ac:dyDescent="0.25">
      <c r="A1025" s="64" t="s">
        <v>214</v>
      </c>
      <c r="B1025" s="44" t="s">
        <v>749</v>
      </c>
      <c r="C1025" s="42"/>
      <c r="D1025" s="42"/>
      <c r="E1025" s="42" t="s">
        <v>1493</v>
      </c>
      <c r="F1025" s="52">
        <v>200</v>
      </c>
      <c r="G1025" s="42" t="s">
        <v>1492</v>
      </c>
    </row>
    <row r="1026" spans="1:8" ht="30" x14ac:dyDescent="0.25">
      <c r="A1026" s="64" t="s">
        <v>214</v>
      </c>
      <c r="B1026" s="37" t="s">
        <v>1280</v>
      </c>
      <c r="C1026" s="33"/>
      <c r="D1026" s="33"/>
      <c r="E1026" s="33" t="s">
        <v>1493</v>
      </c>
      <c r="F1026" s="52">
        <v>200</v>
      </c>
      <c r="G1026" s="33" t="s">
        <v>1492</v>
      </c>
      <c r="H1026" s="41"/>
    </row>
    <row r="1027" spans="1:8" ht="30" x14ac:dyDescent="0.25">
      <c r="A1027" s="64" t="s">
        <v>214</v>
      </c>
      <c r="B1027" s="44" t="s">
        <v>1281</v>
      </c>
      <c r="C1027" s="42"/>
      <c r="D1027" s="42"/>
      <c r="E1027" s="42" t="s">
        <v>1493</v>
      </c>
      <c r="F1027" s="52">
        <v>200</v>
      </c>
      <c r="G1027" s="42" t="s">
        <v>1492</v>
      </c>
    </row>
    <row r="1028" spans="1:8" ht="30" x14ac:dyDescent="0.25">
      <c r="A1028" s="64" t="s">
        <v>214</v>
      </c>
      <c r="B1028" s="37" t="s">
        <v>1282</v>
      </c>
      <c r="C1028" s="33"/>
      <c r="D1028" s="33"/>
      <c r="E1028" s="33" t="s">
        <v>1493</v>
      </c>
      <c r="F1028" s="52">
        <v>200</v>
      </c>
      <c r="G1028" s="33" t="s">
        <v>1492</v>
      </c>
      <c r="H1028" s="41"/>
    </row>
    <row r="1029" spans="1:8" ht="30" x14ac:dyDescent="0.25">
      <c r="A1029" s="64" t="s">
        <v>214</v>
      </c>
      <c r="B1029" s="44" t="s">
        <v>1283</v>
      </c>
      <c r="C1029" s="42"/>
      <c r="D1029" s="42"/>
      <c r="E1029" s="42" t="s">
        <v>1493</v>
      </c>
      <c r="F1029" s="52">
        <v>200</v>
      </c>
      <c r="G1029" s="42" t="s">
        <v>1492</v>
      </c>
    </row>
    <row r="1030" spans="1:8" ht="30" x14ac:dyDescent="0.25">
      <c r="A1030" s="64" t="s">
        <v>214</v>
      </c>
      <c r="B1030" s="37" t="s">
        <v>748</v>
      </c>
      <c r="C1030" s="33"/>
      <c r="D1030" s="33"/>
      <c r="E1030" s="33" t="s">
        <v>1493</v>
      </c>
      <c r="F1030" s="52">
        <v>200</v>
      </c>
      <c r="G1030" s="33" t="s">
        <v>1492</v>
      </c>
      <c r="H1030" s="41"/>
    </row>
    <row r="1031" spans="1:8" ht="30" x14ac:dyDescent="0.25">
      <c r="A1031" s="64" t="s">
        <v>214</v>
      </c>
      <c r="B1031" s="44" t="s">
        <v>1284</v>
      </c>
      <c r="C1031" s="42"/>
      <c r="D1031" s="42"/>
      <c r="E1031" s="42" t="s">
        <v>1493</v>
      </c>
      <c r="F1031" s="52">
        <v>200</v>
      </c>
      <c r="G1031" s="42" t="s">
        <v>1492</v>
      </c>
    </row>
    <row r="1032" spans="1:8" ht="30" x14ac:dyDescent="0.25">
      <c r="A1032" s="64" t="s">
        <v>214</v>
      </c>
      <c r="B1032" s="37" t="s">
        <v>1285</v>
      </c>
      <c r="C1032" s="33"/>
      <c r="D1032" s="33"/>
      <c r="E1032" s="33" t="s">
        <v>1493</v>
      </c>
      <c r="F1032" s="52">
        <v>200</v>
      </c>
      <c r="G1032" s="33" t="s">
        <v>1492</v>
      </c>
      <c r="H1032" s="41"/>
    </row>
    <row r="1033" spans="1:8" ht="30" x14ac:dyDescent="0.25">
      <c r="A1033" s="64" t="s">
        <v>214</v>
      </c>
      <c r="B1033" s="44" t="s">
        <v>1286</v>
      </c>
      <c r="C1033" s="42"/>
      <c r="D1033" s="42"/>
      <c r="E1033" s="42" t="s">
        <v>1493</v>
      </c>
      <c r="F1033" s="52">
        <v>200</v>
      </c>
      <c r="G1033" s="42" t="s">
        <v>1492</v>
      </c>
    </row>
    <row r="1034" spans="1:8" ht="30" x14ac:dyDescent="0.25">
      <c r="A1034" s="64" t="s">
        <v>214</v>
      </c>
      <c r="B1034" s="37" t="s">
        <v>1287</v>
      </c>
      <c r="C1034" s="33"/>
      <c r="D1034" s="33"/>
      <c r="E1034" s="33" t="s">
        <v>1493</v>
      </c>
      <c r="F1034" s="52">
        <v>200</v>
      </c>
      <c r="G1034" s="33" t="s">
        <v>1492</v>
      </c>
      <c r="H1034" s="41"/>
    </row>
    <row r="1035" spans="1:8" ht="30" x14ac:dyDescent="0.25">
      <c r="A1035" s="64" t="s">
        <v>214</v>
      </c>
      <c r="B1035" s="44" t="s">
        <v>1288</v>
      </c>
      <c r="C1035" s="42"/>
      <c r="D1035" s="42"/>
      <c r="E1035" s="42" t="s">
        <v>1493</v>
      </c>
      <c r="F1035" s="52">
        <v>200</v>
      </c>
      <c r="G1035" s="42" t="s">
        <v>1492</v>
      </c>
    </row>
    <row r="1036" spans="1:8" ht="30" x14ac:dyDescent="0.25">
      <c r="A1036" s="64" t="s">
        <v>214</v>
      </c>
      <c r="B1036" s="37" t="s">
        <v>747</v>
      </c>
      <c r="C1036" s="33"/>
      <c r="D1036" s="33"/>
      <c r="E1036" s="33" t="s">
        <v>1493</v>
      </c>
      <c r="F1036" s="52">
        <v>200</v>
      </c>
      <c r="G1036" s="33" t="s">
        <v>1492</v>
      </c>
      <c r="H1036" s="41"/>
    </row>
    <row r="1037" spans="1:8" ht="30" x14ac:dyDescent="0.25">
      <c r="A1037" s="64" t="s">
        <v>214</v>
      </c>
      <c r="B1037" s="44" t="s">
        <v>1289</v>
      </c>
      <c r="C1037" s="42"/>
      <c r="D1037" s="42"/>
      <c r="E1037" s="42" t="s">
        <v>1493</v>
      </c>
      <c r="F1037" s="52">
        <v>200</v>
      </c>
      <c r="G1037" s="42" t="s">
        <v>1492</v>
      </c>
    </row>
    <row r="1038" spans="1:8" ht="30" x14ac:dyDescent="0.25">
      <c r="A1038" s="64" t="s">
        <v>214</v>
      </c>
      <c r="B1038" s="37" t="s">
        <v>1290</v>
      </c>
      <c r="C1038" s="33"/>
      <c r="D1038" s="33"/>
      <c r="E1038" s="33" t="s">
        <v>1493</v>
      </c>
      <c r="F1038" s="52">
        <v>200</v>
      </c>
      <c r="G1038" s="33" t="s">
        <v>1492</v>
      </c>
      <c r="H1038" s="41"/>
    </row>
    <row r="1039" spans="1:8" ht="30" x14ac:dyDescent="0.25">
      <c r="A1039" s="64" t="s">
        <v>214</v>
      </c>
      <c r="B1039" s="44" t="s">
        <v>1291</v>
      </c>
      <c r="C1039" s="42"/>
      <c r="D1039" s="42"/>
      <c r="E1039" s="42" t="s">
        <v>1493</v>
      </c>
      <c r="F1039" s="52">
        <v>200</v>
      </c>
      <c r="G1039" s="42" t="s">
        <v>1492</v>
      </c>
    </row>
    <row r="1040" spans="1:8" ht="30" x14ac:dyDescent="0.25">
      <c r="A1040" s="64" t="s">
        <v>214</v>
      </c>
      <c r="B1040" s="37" t="s">
        <v>1292</v>
      </c>
      <c r="C1040" s="33"/>
      <c r="D1040" s="33"/>
      <c r="E1040" s="33" t="s">
        <v>1493</v>
      </c>
      <c r="F1040" s="52">
        <v>200</v>
      </c>
      <c r="G1040" s="33" t="s">
        <v>1492</v>
      </c>
      <c r="H1040" s="41"/>
    </row>
    <row r="1041" spans="1:8" ht="30" x14ac:dyDescent="0.25">
      <c r="A1041" s="64" t="s">
        <v>214</v>
      </c>
      <c r="B1041" s="44" t="s">
        <v>1293</v>
      </c>
      <c r="C1041" s="42"/>
      <c r="D1041" s="42"/>
      <c r="E1041" s="42" t="s">
        <v>1493</v>
      </c>
      <c r="F1041" s="52">
        <v>200</v>
      </c>
      <c r="G1041" s="42" t="s">
        <v>1492</v>
      </c>
    </row>
    <row r="1042" spans="1:8" ht="30" x14ac:dyDescent="0.25">
      <c r="A1042" s="64" t="s">
        <v>214</v>
      </c>
      <c r="B1042" s="37" t="s">
        <v>1294</v>
      </c>
      <c r="C1042" s="33"/>
      <c r="D1042" s="33"/>
      <c r="E1042" s="33" t="s">
        <v>1493</v>
      </c>
      <c r="F1042" s="52">
        <v>200</v>
      </c>
      <c r="G1042" s="33" t="s">
        <v>1492</v>
      </c>
      <c r="H1042" s="41"/>
    </row>
    <row r="1043" spans="1:8" ht="30" x14ac:dyDescent="0.25">
      <c r="A1043" s="64" t="s">
        <v>214</v>
      </c>
      <c r="B1043" s="44" t="s">
        <v>1295</v>
      </c>
      <c r="C1043" s="42"/>
      <c r="D1043" s="42"/>
      <c r="E1043" s="42" t="s">
        <v>1493</v>
      </c>
      <c r="F1043" s="52">
        <v>200</v>
      </c>
      <c r="G1043" s="42" t="s">
        <v>1492</v>
      </c>
    </row>
    <row r="1044" spans="1:8" ht="30" x14ac:dyDescent="0.25">
      <c r="A1044" s="64" t="s">
        <v>214</v>
      </c>
      <c r="B1044" s="37" t="s">
        <v>766</v>
      </c>
      <c r="C1044" s="33"/>
      <c r="D1044" s="33"/>
      <c r="E1044" s="33" t="s">
        <v>1493</v>
      </c>
      <c r="F1044" s="52">
        <v>200</v>
      </c>
      <c r="G1044" s="33" t="s">
        <v>1492</v>
      </c>
      <c r="H1044" s="41"/>
    </row>
    <row r="1045" spans="1:8" ht="30" x14ac:dyDescent="0.25">
      <c r="A1045" s="64" t="s">
        <v>214</v>
      </c>
      <c r="B1045" s="44" t="s">
        <v>1296</v>
      </c>
      <c r="C1045" s="42"/>
      <c r="D1045" s="42"/>
      <c r="E1045" s="42" t="s">
        <v>1493</v>
      </c>
      <c r="F1045" s="52">
        <v>200</v>
      </c>
      <c r="G1045" s="42" t="s">
        <v>1492</v>
      </c>
    </row>
    <row r="1046" spans="1:8" ht="30" x14ac:dyDescent="0.25">
      <c r="A1046" s="64" t="s">
        <v>214</v>
      </c>
      <c r="B1046" s="37" t="s">
        <v>1297</v>
      </c>
      <c r="C1046" s="33"/>
      <c r="D1046" s="33"/>
      <c r="E1046" s="33" t="s">
        <v>1493</v>
      </c>
      <c r="F1046" s="52">
        <v>200</v>
      </c>
      <c r="G1046" s="33" t="s">
        <v>1492</v>
      </c>
      <c r="H1046" s="41"/>
    </row>
    <row r="1047" spans="1:8" ht="30" x14ac:dyDescent="0.25">
      <c r="A1047" s="64" t="s">
        <v>214</v>
      </c>
      <c r="B1047" s="44" t="s">
        <v>1298</v>
      </c>
      <c r="C1047" s="42"/>
      <c r="D1047" s="42"/>
      <c r="E1047" s="42" t="s">
        <v>1493</v>
      </c>
      <c r="F1047" s="52">
        <v>200</v>
      </c>
      <c r="G1047" s="42" t="s">
        <v>1492</v>
      </c>
    </row>
    <row r="1048" spans="1:8" ht="30" x14ac:dyDescent="0.25">
      <c r="A1048" s="64" t="s">
        <v>214</v>
      </c>
      <c r="B1048" s="37" t="s">
        <v>1299</v>
      </c>
      <c r="C1048" s="33"/>
      <c r="D1048" s="33"/>
      <c r="E1048" s="33" t="s">
        <v>1493</v>
      </c>
      <c r="F1048" s="52">
        <v>200</v>
      </c>
      <c r="G1048" s="33" t="s">
        <v>1492</v>
      </c>
      <c r="H1048" s="41"/>
    </row>
    <row r="1049" spans="1:8" ht="30" x14ac:dyDescent="0.25">
      <c r="A1049" s="64" t="s">
        <v>214</v>
      </c>
      <c r="B1049" s="44" t="s">
        <v>1300</v>
      </c>
      <c r="C1049" s="42"/>
      <c r="D1049" s="42"/>
      <c r="E1049" s="42" t="s">
        <v>1493</v>
      </c>
      <c r="F1049" s="52">
        <v>200</v>
      </c>
      <c r="G1049" s="42" t="s">
        <v>1492</v>
      </c>
    </row>
    <row r="1050" spans="1:8" ht="30" x14ac:dyDescent="0.25">
      <c r="A1050" s="64" t="s">
        <v>214</v>
      </c>
      <c r="B1050" s="37" t="s">
        <v>1301</v>
      </c>
      <c r="C1050" s="33"/>
      <c r="D1050" s="33"/>
      <c r="E1050" s="33" t="s">
        <v>1493</v>
      </c>
      <c r="F1050" s="52">
        <v>200</v>
      </c>
      <c r="G1050" s="33" t="s">
        <v>1492</v>
      </c>
      <c r="H1050" s="41"/>
    </row>
    <row r="1051" spans="1:8" ht="30" x14ac:dyDescent="0.25">
      <c r="A1051" s="64" t="s">
        <v>214</v>
      </c>
      <c r="B1051" s="44" t="s">
        <v>1302</v>
      </c>
      <c r="C1051" s="42"/>
      <c r="D1051" s="42"/>
      <c r="E1051" s="42" t="s">
        <v>1493</v>
      </c>
      <c r="F1051" s="52">
        <v>200</v>
      </c>
      <c r="G1051" s="42" t="s">
        <v>1492</v>
      </c>
    </row>
    <row r="1052" spans="1:8" ht="30" x14ac:dyDescent="0.25">
      <c r="A1052" s="64" t="s">
        <v>214</v>
      </c>
      <c r="B1052" s="37" t="s">
        <v>1303</v>
      </c>
      <c r="C1052" s="33"/>
      <c r="D1052" s="33"/>
      <c r="E1052" s="33" t="s">
        <v>1493</v>
      </c>
      <c r="F1052" s="52">
        <v>200</v>
      </c>
      <c r="G1052" s="33" t="s">
        <v>1492</v>
      </c>
      <c r="H1052" s="41"/>
    </row>
    <row r="1053" spans="1:8" ht="30" x14ac:dyDescent="0.25">
      <c r="A1053" s="64" t="s">
        <v>214</v>
      </c>
      <c r="B1053" s="44" t="s">
        <v>1304</v>
      </c>
      <c r="C1053" s="42"/>
      <c r="D1053" s="42"/>
      <c r="E1053" s="42" t="s">
        <v>1493</v>
      </c>
      <c r="F1053" s="52">
        <v>200</v>
      </c>
      <c r="G1053" s="42" t="s">
        <v>1492</v>
      </c>
    </row>
    <row r="1054" spans="1:8" ht="30" x14ac:dyDescent="0.25">
      <c r="A1054" s="64" t="s">
        <v>214</v>
      </c>
      <c r="B1054" s="37" t="s">
        <v>1305</v>
      </c>
      <c r="C1054" s="33"/>
      <c r="D1054" s="33"/>
      <c r="E1054" s="33" t="s">
        <v>1493</v>
      </c>
      <c r="F1054" s="52">
        <v>200</v>
      </c>
      <c r="G1054" s="33" t="s">
        <v>1492</v>
      </c>
      <c r="H1054" s="41"/>
    </row>
    <row r="1055" spans="1:8" ht="30" x14ac:dyDescent="0.25">
      <c r="A1055" s="64" t="s">
        <v>214</v>
      </c>
      <c r="B1055" s="44" t="s">
        <v>1306</v>
      </c>
      <c r="C1055" s="42"/>
      <c r="D1055" s="42"/>
      <c r="E1055" s="42" t="s">
        <v>1493</v>
      </c>
      <c r="F1055" s="52">
        <v>200</v>
      </c>
      <c r="G1055" s="42" t="s">
        <v>1492</v>
      </c>
    </row>
    <row r="1056" spans="1:8" ht="30" x14ac:dyDescent="0.25">
      <c r="A1056" s="64" t="s">
        <v>214</v>
      </c>
      <c r="B1056" s="37" t="s">
        <v>1307</v>
      </c>
      <c r="C1056" s="33"/>
      <c r="D1056" s="33"/>
      <c r="E1056" s="33" t="s">
        <v>1493</v>
      </c>
      <c r="F1056" s="52">
        <v>200</v>
      </c>
      <c r="G1056" s="33" t="s">
        <v>1492</v>
      </c>
      <c r="H1056" s="41"/>
    </row>
    <row r="1057" spans="1:8" ht="30" x14ac:dyDescent="0.25">
      <c r="A1057" s="64" t="s">
        <v>214</v>
      </c>
      <c r="B1057" s="44" t="s">
        <v>1308</v>
      </c>
      <c r="C1057" s="42"/>
      <c r="D1057" s="42"/>
      <c r="E1057" s="42" t="s">
        <v>1493</v>
      </c>
      <c r="F1057" s="52">
        <v>200</v>
      </c>
      <c r="G1057" s="42" t="s">
        <v>1492</v>
      </c>
    </row>
    <row r="1058" spans="1:8" ht="30" x14ac:dyDescent="0.25">
      <c r="A1058" s="64" t="s">
        <v>214</v>
      </c>
      <c r="B1058" s="37" t="s">
        <v>1309</v>
      </c>
      <c r="C1058" s="33"/>
      <c r="D1058" s="33"/>
      <c r="E1058" s="33" t="s">
        <v>1493</v>
      </c>
      <c r="F1058" s="52">
        <v>200</v>
      </c>
      <c r="G1058" s="33" t="s">
        <v>1492</v>
      </c>
      <c r="H1058" s="41"/>
    </row>
    <row r="1059" spans="1:8" ht="30" x14ac:dyDescent="0.25">
      <c r="A1059" s="64" t="s">
        <v>214</v>
      </c>
      <c r="B1059" s="44" t="s">
        <v>1310</v>
      </c>
      <c r="C1059" s="42"/>
      <c r="D1059" s="42"/>
      <c r="E1059" s="42" t="s">
        <v>1493</v>
      </c>
      <c r="F1059" s="52">
        <v>200</v>
      </c>
      <c r="G1059" s="42" t="s">
        <v>1492</v>
      </c>
    </row>
    <row r="1060" spans="1:8" ht="30" x14ac:dyDescent="0.25">
      <c r="A1060" s="64" t="s">
        <v>214</v>
      </c>
      <c r="B1060" s="37" t="s">
        <v>1311</v>
      </c>
      <c r="C1060" s="33"/>
      <c r="D1060" s="33"/>
      <c r="E1060" s="33" t="s">
        <v>1493</v>
      </c>
      <c r="F1060" s="52">
        <v>200</v>
      </c>
      <c r="G1060" s="33" t="s">
        <v>1492</v>
      </c>
      <c r="H1060" s="41"/>
    </row>
    <row r="1061" spans="1:8" ht="30" x14ac:dyDescent="0.25">
      <c r="A1061" s="64" t="s">
        <v>214</v>
      </c>
      <c r="B1061" s="44" t="s">
        <v>1312</v>
      </c>
      <c r="C1061" s="42"/>
      <c r="D1061" s="42"/>
      <c r="E1061" s="42" t="s">
        <v>1493</v>
      </c>
      <c r="F1061" s="52">
        <v>200</v>
      </c>
      <c r="G1061" s="42" t="s">
        <v>1492</v>
      </c>
    </row>
    <row r="1062" spans="1:8" ht="30" x14ac:dyDescent="0.25">
      <c r="A1062" s="64" t="s">
        <v>214</v>
      </c>
      <c r="B1062" s="37" t="s">
        <v>1313</v>
      </c>
      <c r="C1062" s="33"/>
      <c r="D1062" s="33"/>
      <c r="E1062" s="33" t="s">
        <v>1493</v>
      </c>
      <c r="F1062" s="52">
        <v>200</v>
      </c>
      <c r="G1062" s="33" t="s">
        <v>1492</v>
      </c>
      <c r="H1062" s="41"/>
    </row>
    <row r="1063" spans="1:8" ht="30" x14ac:dyDescent="0.25">
      <c r="A1063" s="64" t="s">
        <v>214</v>
      </c>
      <c r="B1063" s="44" t="s">
        <v>1314</v>
      </c>
      <c r="C1063" s="42"/>
      <c r="D1063" s="42"/>
      <c r="E1063" s="42" t="s">
        <v>1493</v>
      </c>
      <c r="F1063" s="52">
        <v>200</v>
      </c>
      <c r="G1063" s="42" t="s">
        <v>1492</v>
      </c>
    </row>
    <row r="1064" spans="1:8" ht="30" x14ac:dyDescent="0.25">
      <c r="A1064" s="64" t="s">
        <v>214</v>
      </c>
      <c r="B1064" s="37" t="s">
        <v>1315</v>
      </c>
      <c r="C1064" s="33"/>
      <c r="D1064" s="33"/>
      <c r="E1064" s="33" t="s">
        <v>1493</v>
      </c>
      <c r="F1064" s="52">
        <v>200</v>
      </c>
      <c r="G1064" s="33" t="s">
        <v>1492</v>
      </c>
      <c r="H1064" s="41"/>
    </row>
    <row r="1065" spans="1:8" ht="30" x14ac:dyDescent="0.25">
      <c r="A1065" s="64" t="s">
        <v>214</v>
      </c>
      <c r="B1065" s="44" t="s">
        <v>1316</v>
      </c>
      <c r="C1065" s="42"/>
      <c r="D1065" s="42"/>
      <c r="E1065" s="42" t="s">
        <v>1493</v>
      </c>
      <c r="F1065" s="52">
        <v>200</v>
      </c>
      <c r="G1065" s="42" t="s">
        <v>1492</v>
      </c>
    </row>
    <row r="1066" spans="1:8" ht="30" x14ac:dyDescent="0.25">
      <c r="A1066" s="64" t="s">
        <v>214</v>
      </c>
      <c r="B1066" s="37" t="s">
        <v>1317</v>
      </c>
      <c r="C1066" s="33"/>
      <c r="D1066" s="33"/>
      <c r="E1066" s="33" t="s">
        <v>1493</v>
      </c>
      <c r="F1066" s="52">
        <v>200</v>
      </c>
      <c r="G1066" s="33" t="s">
        <v>1492</v>
      </c>
      <c r="H1066" s="41"/>
    </row>
    <row r="1067" spans="1:8" ht="30" x14ac:dyDescent="0.25">
      <c r="A1067" s="64" t="s">
        <v>214</v>
      </c>
      <c r="B1067" s="44" t="s">
        <v>1318</v>
      </c>
      <c r="C1067" s="42"/>
      <c r="D1067" s="42"/>
      <c r="E1067" s="42" t="s">
        <v>1493</v>
      </c>
      <c r="F1067" s="52">
        <v>200</v>
      </c>
      <c r="G1067" s="42" t="s">
        <v>1492</v>
      </c>
    </row>
    <row r="1068" spans="1:8" ht="30" x14ac:dyDescent="0.25">
      <c r="A1068" s="64" t="s">
        <v>214</v>
      </c>
      <c r="B1068" s="37" t="s">
        <v>1319</v>
      </c>
      <c r="C1068" s="33"/>
      <c r="D1068" s="33"/>
      <c r="E1068" s="33" t="s">
        <v>1493</v>
      </c>
      <c r="F1068" s="52">
        <v>200</v>
      </c>
      <c r="G1068" s="33" t="s">
        <v>1492</v>
      </c>
      <c r="H1068" s="41"/>
    </row>
    <row r="1069" spans="1:8" ht="30" x14ac:dyDescent="0.25">
      <c r="A1069" s="64" t="s">
        <v>214</v>
      </c>
      <c r="B1069" s="44" t="s">
        <v>1320</v>
      </c>
      <c r="C1069" s="42"/>
      <c r="D1069" s="42"/>
      <c r="E1069" s="42" t="s">
        <v>1493</v>
      </c>
      <c r="F1069" s="52">
        <v>200</v>
      </c>
      <c r="G1069" s="42" t="s">
        <v>1492</v>
      </c>
    </row>
    <row r="1070" spans="1:8" ht="30" x14ac:dyDescent="0.25">
      <c r="A1070" s="64" t="s">
        <v>214</v>
      </c>
      <c r="B1070" s="37" t="s">
        <v>1321</v>
      </c>
      <c r="C1070" s="33"/>
      <c r="D1070" s="33"/>
      <c r="E1070" s="33" t="s">
        <v>1493</v>
      </c>
      <c r="F1070" s="52">
        <v>200</v>
      </c>
      <c r="G1070" s="33" t="s">
        <v>1492</v>
      </c>
      <c r="H1070" s="41"/>
    </row>
    <row r="1071" spans="1:8" ht="30" x14ac:dyDescent="0.25">
      <c r="A1071" s="64" t="s">
        <v>214</v>
      </c>
      <c r="B1071" s="44" t="s">
        <v>1322</v>
      </c>
      <c r="C1071" s="42"/>
      <c r="D1071" s="42"/>
      <c r="E1071" s="42" t="s">
        <v>1493</v>
      </c>
      <c r="F1071" s="52">
        <v>200</v>
      </c>
      <c r="G1071" s="42" t="s">
        <v>1492</v>
      </c>
    </row>
    <row r="1072" spans="1:8" ht="30" x14ac:dyDescent="0.25">
      <c r="A1072" s="64" t="s">
        <v>214</v>
      </c>
      <c r="B1072" s="37" t="s">
        <v>1323</v>
      </c>
      <c r="C1072" s="33"/>
      <c r="D1072" s="33"/>
      <c r="E1072" s="33" t="s">
        <v>1493</v>
      </c>
      <c r="F1072" s="52">
        <v>200</v>
      </c>
      <c r="G1072" s="33" t="s">
        <v>1492</v>
      </c>
      <c r="H1072" s="41"/>
    </row>
    <row r="1073" spans="1:8" ht="30" x14ac:dyDescent="0.25">
      <c r="A1073" s="64" t="s">
        <v>214</v>
      </c>
      <c r="B1073" s="44" t="s">
        <v>1324</v>
      </c>
      <c r="C1073" s="42"/>
      <c r="D1073" s="42"/>
      <c r="E1073" s="42" t="s">
        <v>1493</v>
      </c>
      <c r="F1073" s="52">
        <v>200</v>
      </c>
      <c r="G1073" s="42" t="s">
        <v>1492</v>
      </c>
    </row>
    <row r="1074" spans="1:8" ht="30" x14ac:dyDescent="0.25">
      <c r="A1074" s="64" t="s">
        <v>214</v>
      </c>
      <c r="B1074" s="37" t="s">
        <v>1325</v>
      </c>
      <c r="C1074" s="33"/>
      <c r="D1074" s="33"/>
      <c r="E1074" s="33" t="s">
        <v>1493</v>
      </c>
      <c r="F1074" s="52">
        <v>200</v>
      </c>
      <c r="G1074" s="33" t="s">
        <v>1492</v>
      </c>
      <c r="H1074" s="41"/>
    </row>
    <row r="1075" spans="1:8" ht="30" x14ac:dyDescent="0.25">
      <c r="A1075" s="64" t="s">
        <v>214</v>
      </c>
      <c r="B1075" s="44" t="s">
        <v>1326</v>
      </c>
      <c r="C1075" s="42"/>
      <c r="D1075" s="42"/>
      <c r="E1075" s="42" t="s">
        <v>1493</v>
      </c>
      <c r="F1075" s="52">
        <v>200</v>
      </c>
      <c r="G1075" s="42" t="s">
        <v>1492</v>
      </c>
    </row>
    <row r="1076" spans="1:8" ht="30" x14ac:dyDescent="0.25">
      <c r="A1076" s="64" t="s">
        <v>214</v>
      </c>
      <c r="B1076" s="37" t="s">
        <v>1327</v>
      </c>
      <c r="C1076" s="33"/>
      <c r="D1076" s="33"/>
      <c r="E1076" s="33" t="s">
        <v>1493</v>
      </c>
      <c r="F1076" s="52">
        <v>200</v>
      </c>
      <c r="G1076" s="33" t="s">
        <v>1492</v>
      </c>
      <c r="H1076" s="41"/>
    </row>
    <row r="1077" spans="1:8" ht="30" x14ac:dyDescent="0.25">
      <c r="A1077" s="64" t="s">
        <v>214</v>
      </c>
      <c r="B1077" s="44" t="s">
        <v>1328</v>
      </c>
      <c r="C1077" s="42"/>
      <c r="D1077" s="42"/>
      <c r="E1077" s="42" t="s">
        <v>1493</v>
      </c>
      <c r="F1077" s="52">
        <v>200</v>
      </c>
      <c r="G1077" s="42" t="s">
        <v>1492</v>
      </c>
    </row>
    <row r="1078" spans="1:8" ht="30" x14ac:dyDescent="0.25">
      <c r="A1078" s="64" t="s">
        <v>214</v>
      </c>
      <c r="B1078" s="37" t="s">
        <v>1329</v>
      </c>
      <c r="C1078" s="33"/>
      <c r="D1078" s="33"/>
      <c r="E1078" s="33" t="s">
        <v>1493</v>
      </c>
      <c r="F1078" s="52">
        <v>200</v>
      </c>
      <c r="G1078" s="33" t="s">
        <v>1492</v>
      </c>
      <c r="H1078" s="41"/>
    </row>
    <row r="1079" spans="1:8" ht="30" x14ac:dyDescent="0.25">
      <c r="A1079" s="64" t="s">
        <v>214</v>
      </c>
      <c r="B1079" s="44" t="s">
        <v>1330</v>
      </c>
      <c r="C1079" s="42"/>
      <c r="D1079" s="42"/>
      <c r="E1079" s="42" t="s">
        <v>1493</v>
      </c>
      <c r="F1079" s="52">
        <v>200</v>
      </c>
      <c r="G1079" s="42" t="s">
        <v>1492</v>
      </c>
    </row>
    <row r="1080" spans="1:8" ht="30" x14ac:dyDescent="0.25">
      <c r="A1080" s="64" t="s">
        <v>214</v>
      </c>
      <c r="B1080" s="37" t="s">
        <v>1331</v>
      </c>
      <c r="C1080" s="33"/>
      <c r="D1080" s="33"/>
      <c r="E1080" s="33" t="s">
        <v>1493</v>
      </c>
      <c r="F1080" s="52">
        <v>200</v>
      </c>
      <c r="G1080" s="33" t="s">
        <v>1492</v>
      </c>
      <c r="H1080" s="41"/>
    </row>
    <row r="1081" spans="1:8" ht="30" x14ac:dyDescent="0.25">
      <c r="A1081" s="64" t="s">
        <v>214</v>
      </c>
      <c r="B1081" s="44" t="s">
        <v>1332</v>
      </c>
      <c r="C1081" s="42"/>
      <c r="D1081" s="42"/>
      <c r="E1081" s="42" t="s">
        <v>1493</v>
      </c>
      <c r="F1081" s="52">
        <v>200</v>
      </c>
      <c r="G1081" s="42" t="s">
        <v>1492</v>
      </c>
    </row>
    <row r="1082" spans="1:8" ht="30" x14ac:dyDescent="0.25">
      <c r="A1082" s="64" t="s">
        <v>214</v>
      </c>
      <c r="B1082" s="37" t="s">
        <v>1333</v>
      </c>
      <c r="C1082" s="33"/>
      <c r="D1082" s="33"/>
      <c r="E1082" s="33" t="s">
        <v>1493</v>
      </c>
      <c r="F1082" s="52">
        <v>200</v>
      </c>
      <c r="G1082" s="33" t="s">
        <v>1492</v>
      </c>
      <c r="H1082" s="41"/>
    </row>
    <row r="1083" spans="1:8" ht="30" x14ac:dyDescent="0.25">
      <c r="A1083" s="64" t="s">
        <v>214</v>
      </c>
      <c r="B1083" s="44" t="s">
        <v>1334</v>
      </c>
      <c r="C1083" s="42"/>
      <c r="D1083" s="42"/>
      <c r="E1083" s="42" t="s">
        <v>1493</v>
      </c>
      <c r="F1083" s="52">
        <v>200</v>
      </c>
      <c r="G1083" s="42" t="s">
        <v>1492</v>
      </c>
    </row>
    <row r="1084" spans="1:8" ht="30" x14ac:dyDescent="0.25">
      <c r="A1084" s="64" t="s">
        <v>214</v>
      </c>
      <c r="B1084" s="37" t="s">
        <v>1335</v>
      </c>
      <c r="C1084" s="33"/>
      <c r="D1084" s="33"/>
      <c r="E1084" s="33" t="s">
        <v>1493</v>
      </c>
      <c r="F1084" s="52">
        <v>200</v>
      </c>
      <c r="G1084" s="33" t="s">
        <v>1492</v>
      </c>
      <c r="H1084" s="41"/>
    </row>
    <row r="1085" spans="1:8" ht="30" x14ac:dyDescent="0.25">
      <c r="A1085" s="64" t="s">
        <v>214</v>
      </c>
      <c r="B1085" s="44" t="s">
        <v>1336</v>
      </c>
      <c r="C1085" s="42"/>
      <c r="D1085" s="42"/>
      <c r="E1085" s="42" t="s">
        <v>1493</v>
      </c>
      <c r="F1085" s="52">
        <v>200</v>
      </c>
      <c r="G1085" s="42" t="s">
        <v>1492</v>
      </c>
    </row>
    <row r="1086" spans="1:8" ht="30" x14ac:dyDescent="0.25">
      <c r="A1086" s="64" t="s">
        <v>214</v>
      </c>
      <c r="B1086" s="37" t="s">
        <v>1337</v>
      </c>
      <c r="C1086" s="33"/>
      <c r="D1086" s="33"/>
      <c r="E1086" s="33" t="s">
        <v>1493</v>
      </c>
      <c r="F1086" s="52">
        <v>200</v>
      </c>
      <c r="G1086" s="33" t="s">
        <v>1492</v>
      </c>
      <c r="H1086" s="41"/>
    </row>
    <row r="1087" spans="1:8" ht="30" x14ac:dyDescent="0.25">
      <c r="A1087" s="64" t="s">
        <v>214</v>
      </c>
      <c r="B1087" s="44" t="s">
        <v>1338</v>
      </c>
      <c r="C1087" s="42"/>
      <c r="D1087" s="42"/>
      <c r="E1087" s="42" t="s">
        <v>1493</v>
      </c>
      <c r="F1087" s="52">
        <v>200</v>
      </c>
      <c r="G1087" s="42" t="s">
        <v>1492</v>
      </c>
    </row>
    <row r="1088" spans="1:8" ht="30" x14ac:dyDescent="0.25">
      <c r="A1088" s="64" t="s">
        <v>214</v>
      </c>
      <c r="B1088" s="37" t="s">
        <v>1339</v>
      </c>
      <c r="C1088" s="33"/>
      <c r="D1088" s="33"/>
      <c r="E1088" s="33" t="s">
        <v>1493</v>
      </c>
      <c r="F1088" s="52">
        <v>200</v>
      </c>
      <c r="G1088" s="33" t="s">
        <v>1492</v>
      </c>
      <c r="H1088" s="41"/>
    </row>
    <row r="1089" spans="1:8" ht="30" x14ac:dyDescent="0.25">
      <c r="A1089" s="64" t="s">
        <v>214</v>
      </c>
      <c r="B1089" s="44" t="s">
        <v>1340</v>
      </c>
      <c r="C1089" s="42"/>
      <c r="D1089" s="42"/>
      <c r="E1089" s="42" t="s">
        <v>1493</v>
      </c>
      <c r="F1089" s="52">
        <v>200</v>
      </c>
      <c r="G1089" s="42" t="s">
        <v>1492</v>
      </c>
    </row>
    <row r="1090" spans="1:8" ht="30" x14ac:dyDescent="0.25">
      <c r="A1090" s="64" t="s">
        <v>214</v>
      </c>
      <c r="B1090" s="37" t="s">
        <v>1341</v>
      </c>
      <c r="C1090" s="33"/>
      <c r="D1090" s="33"/>
      <c r="E1090" s="33" t="s">
        <v>1493</v>
      </c>
      <c r="F1090" s="52">
        <v>200</v>
      </c>
      <c r="G1090" s="33" t="s">
        <v>1492</v>
      </c>
      <c r="H1090" s="41"/>
    </row>
    <row r="1091" spans="1:8" ht="30" x14ac:dyDescent="0.25">
      <c r="A1091" s="64" t="s">
        <v>214</v>
      </c>
      <c r="B1091" s="44" t="s">
        <v>1342</v>
      </c>
      <c r="C1091" s="42"/>
      <c r="D1091" s="42"/>
      <c r="E1091" s="42" t="s">
        <v>1493</v>
      </c>
      <c r="F1091" s="52">
        <v>200</v>
      </c>
      <c r="G1091" s="42" t="s">
        <v>1492</v>
      </c>
    </row>
    <row r="1092" spans="1:8" ht="30" x14ac:dyDescent="0.25">
      <c r="A1092" s="64" t="s">
        <v>214</v>
      </c>
      <c r="B1092" s="37" t="s">
        <v>1343</v>
      </c>
      <c r="C1092" s="33"/>
      <c r="D1092" s="33"/>
      <c r="E1092" s="33" t="s">
        <v>1493</v>
      </c>
      <c r="F1092" s="52">
        <v>200</v>
      </c>
      <c r="G1092" s="33" t="s">
        <v>1492</v>
      </c>
      <c r="H1092" s="41"/>
    </row>
    <row r="1093" spans="1:8" ht="30" x14ac:dyDescent="0.25">
      <c r="A1093" s="64" t="s">
        <v>214</v>
      </c>
      <c r="B1093" s="44" t="s">
        <v>1344</v>
      </c>
      <c r="C1093" s="42"/>
      <c r="D1093" s="42"/>
      <c r="E1093" s="42" t="s">
        <v>1493</v>
      </c>
      <c r="F1093" s="52">
        <v>200</v>
      </c>
      <c r="G1093" s="42" t="s">
        <v>1492</v>
      </c>
    </row>
    <row r="1094" spans="1:8" ht="30" x14ac:dyDescent="0.25">
      <c r="A1094" s="64" t="s">
        <v>214</v>
      </c>
      <c r="B1094" s="37" t="s">
        <v>1345</v>
      </c>
      <c r="C1094" s="33"/>
      <c r="D1094" s="33"/>
      <c r="E1094" s="33" t="s">
        <v>1493</v>
      </c>
      <c r="F1094" s="52">
        <v>200</v>
      </c>
      <c r="G1094" s="33" t="s">
        <v>1492</v>
      </c>
      <c r="H1094" s="41"/>
    </row>
    <row r="1095" spans="1:8" ht="30" x14ac:dyDescent="0.25">
      <c r="A1095" s="64" t="s">
        <v>214</v>
      </c>
      <c r="B1095" s="44" t="s">
        <v>1346</v>
      </c>
      <c r="C1095" s="42"/>
      <c r="D1095" s="42"/>
      <c r="E1095" s="42" t="s">
        <v>1493</v>
      </c>
      <c r="F1095" s="52">
        <v>200</v>
      </c>
      <c r="G1095" s="42" t="s">
        <v>1492</v>
      </c>
    </row>
    <row r="1096" spans="1:8" ht="30" x14ac:dyDescent="0.25">
      <c r="A1096" s="64" t="s">
        <v>214</v>
      </c>
      <c r="B1096" s="37" t="s">
        <v>1347</v>
      </c>
      <c r="C1096" s="33"/>
      <c r="D1096" s="33"/>
      <c r="E1096" s="33" t="s">
        <v>1493</v>
      </c>
      <c r="F1096" s="52">
        <v>200</v>
      </c>
      <c r="G1096" s="33" t="s">
        <v>1492</v>
      </c>
      <c r="H1096" s="41"/>
    </row>
    <row r="1097" spans="1:8" ht="30" x14ac:dyDescent="0.25">
      <c r="A1097" s="64" t="s">
        <v>214</v>
      </c>
      <c r="B1097" s="44" t="s">
        <v>1348</v>
      </c>
      <c r="C1097" s="42"/>
      <c r="D1097" s="42"/>
      <c r="E1097" s="42" t="s">
        <v>1493</v>
      </c>
      <c r="F1097" s="52">
        <v>200</v>
      </c>
      <c r="G1097" s="42" t="s">
        <v>1492</v>
      </c>
    </row>
    <row r="1098" spans="1:8" ht="30" x14ac:dyDescent="0.25">
      <c r="A1098" s="64" t="s">
        <v>214</v>
      </c>
      <c r="B1098" s="37" t="s">
        <v>1349</v>
      </c>
      <c r="C1098" s="33"/>
      <c r="D1098" s="33"/>
      <c r="E1098" s="33" t="s">
        <v>1493</v>
      </c>
      <c r="F1098" s="52">
        <v>200</v>
      </c>
      <c r="G1098" s="33" t="s">
        <v>1492</v>
      </c>
      <c r="H1098" s="41"/>
    </row>
    <row r="1099" spans="1:8" ht="30" x14ac:dyDescent="0.25">
      <c r="A1099" s="64" t="s">
        <v>214</v>
      </c>
      <c r="B1099" s="44" t="s">
        <v>1350</v>
      </c>
      <c r="C1099" s="42"/>
      <c r="D1099" s="42"/>
      <c r="E1099" s="42" t="s">
        <v>1493</v>
      </c>
      <c r="F1099" s="52">
        <v>200</v>
      </c>
      <c r="G1099" s="42" t="s">
        <v>1492</v>
      </c>
    </row>
    <row r="1100" spans="1:8" ht="30" x14ac:dyDescent="0.25">
      <c r="A1100" s="64" t="s">
        <v>214</v>
      </c>
      <c r="B1100" s="37" t="s">
        <v>1351</v>
      </c>
      <c r="C1100" s="33"/>
      <c r="D1100" s="33"/>
      <c r="E1100" s="33" t="s">
        <v>1493</v>
      </c>
      <c r="F1100" s="52">
        <v>200</v>
      </c>
      <c r="G1100" s="33" t="s">
        <v>1492</v>
      </c>
      <c r="H1100" s="41"/>
    </row>
    <row r="1101" spans="1:8" ht="30" x14ac:dyDescent="0.25">
      <c r="A1101" s="64" t="s">
        <v>214</v>
      </c>
      <c r="B1101" s="44" t="s">
        <v>1352</v>
      </c>
      <c r="C1101" s="42"/>
      <c r="D1101" s="42"/>
      <c r="E1101" s="42" t="s">
        <v>1493</v>
      </c>
      <c r="F1101" s="52">
        <v>200</v>
      </c>
      <c r="G1101" s="42" t="s">
        <v>1492</v>
      </c>
    </row>
    <row r="1102" spans="1:8" ht="30" x14ac:dyDescent="0.25">
      <c r="A1102" s="64" t="s">
        <v>214</v>
      </c>
      <c r="B1102" s="37" t="s">
        <v>1353</v>
      </c>
      <c r="C1102" s="33"/>
      <c r="D1102" s="33"/>
      <c r="E1102" s="33" t="s">
        <v>1493</v>
      </c>
      <c r="F1102" s="52">
        <v>200</v>
      </c>
      <c r="G1102" s="33" t="s">
        <v>1492</v>
      </c>
      <c r="H1102" s="41"/>
    </row>
    <row r="1103" spans="1:8" ht="30" x14ac:dyDescent="0.25">
      <c r="A1103" s="64" t="s">
        <v>214</v>
      </c>
      <c r="B1103" s="44" t="s">
        <v>1354</v>
      </c>
      <c r="C1103" s="42"/>
      <c r="D1103" s="42"/>
      <c r="E1103" s="42" t="s">
        <v>1493</v>
      </c>
      <c r="F1103" s="52">
        <v>200</v>
      </c>
      <c r="G1103" s="42" t="s">
        <v>1492</v>
      </c>
    </row>
    <row r="1104" spans="1:8" ht="30" x14ac:dyDescent="0.25">
      <c r="A1104" s="64" t="s">
        <v>214</v>
      </c>
      <c r="B1104" s="37" t="s">
        <v>1355</v>
      </c>
      <c r="C1104" s="33"/>
      <c r="D1104" s="33"/>
      <c r="E1104" s="33" t="s">
        <v>1493</v>
      </c>
      <c r="F1104" s="52">
        <v>200</v>
      </c>
      <c r="G1104" s="33" t="s">
        <v>1492</v>
      </c>
      <c r="H1104" s="41"/>
    </row>
    <row r="1105" spans="1:8" ht="30" x14ac:dyDescent="0.25">
      <c r="A1105" s="64" t="s">
        <v>214</v>
      </c>
      <c r="B1105" s="44" t="s">
        <v>1356</v>
      </c>
      <c r="C1105" s="42"/>
      <c r="D1105" s="42"/>
      <c r="E1105" s="42" t="s">
        <v>1493</v>
      </c>
      <c r="F1105" s="52">
        <v>200</v>
      </c>
      <c r="G1105" s="42" t="s">
        <v>1492</v>
      </c>
    </row>
    <row r="1106" spans="1:8" ht="30" x14ac:dyDescent="0.25">
      <c r="A1106" s="64" t="s">
        <v>214</v>
      </c>
      <c r="B1106" s="37" t="s">
        <v>1357</v>
      </c>
      <c r="C1106" s="33"/>
      <c r="D1106" s="33"/>
      <c r="E1106" s="33" t="s">
        <v>1493</v>
      </c>
      <c r="F1106" s="52">
        <v>200</v>
      </c>
      <c r="G1106" s="33" t="s">
        <v>1492</v>
      </c>
      <c r="H1106" s="41"/>
    </row>
    <row r="1107" spans="1:8" ht="30" x14ac:dyDescent="0.25">
      <c r="A1107" s="64" t="s">
        <v>214</v>
      </c>
      <c r="B1107" s="44" t="s">
        <v>1358</v>
      </c>
      <c r="C1107" s="42"/>
      <c r="D1107" s="42"/>
      <c r="E1107" s="42" t="s">
        <v>1493</v>
      </c>
      <c r="F1107" s="52">
        <v>200</v>
      </c>
      <c r="G1107" s="42" t="s">
        <v>1492</v>
      </c>
    </row>
    <row r="1108" spans="1:8" ht="30" x14ac:dyDescent="0.25">
      <c r="A1108" s="64" t="s">
        <v>214</v>
      </c>
      <c r="B1108" s="37" t="s">
        <v>1359</v>
      </c>
      <c r="C1108" s="33"/>
      <c r="D1108" s="33"/>
      <c r="E1108" s="33" t="s">
        <v>1493</v>
      </c>
      <c r="F1108" s="52">
        <v>200</v>
      </c>
      <c r="G1108" s="33" t="s">
        <v>1492</v>
      </c>
      <c r="H1108" s="41"/>
    </row>
    <row r="1109" spans="1:8" ht="30" x14ac:dyDescent="0.25">
      <c r="A1109" s="64" t="s">
        <v>214</v>
      </c>
      <c r="B1109" s="44" t="s">
        <v>1360</v>
      </c>
      <c r="C1109" s="42"/>
      <c r="D1109" s="42"/>
      <c r="E1109" s="42" t="s">
        <v>1493</v>
      </c>
      <c r="F1109" s="52">
        <v>200</v>
      </c>
      <c r="G1109" s="42" t="s">
        <v>1492</v>
      </c>
    </row>
    <row r="1110" spans="1:8" ht="30" x14ac:dyDescent="0.25">
      <c r="A1110" s="64" t="s">
        <v>214</v>
      </c>
      <c r="B1110" s="37" t="s">
        <v>1361</v>
      </c>
      <c r="C1110" s="33"/>
      <c r="D1110" s="33"/>
      <c r="E1110" s="33" t="s">
        <v>1493</v>
      </c>
      <c r="F1110" s="52">
        <v>200</v>
      </c>
      <c r="G1110" s="33" t="s">
        <v>1492</v>
      </c>
      <c r="H1110" s="41"/>
    </row>
    <row r="1111" spans="1:8" ht="30" x14ac:dyDescent="0.25">
      <c r="A1111" s="64" t="s">
        <v>214</v>
      </c>
      <c r="B1111" s="44" t="s">
        <v>1362</v>
      </c>
      <c r="C1111" s="42"/>
      <c r="D1111" s="42"/>
      <c r="E1111" s="42" t="s">
        <v>1493</v>
      </c>
      <c r="F1111" s="52">
        <v>200</v>
      </c>
      <c r="G1111" s="42" t="s">
        <v>1492</v>
      </c>
    </row>
    <row r="1112" spans="1:8" ht="30" x14ac:dyDescent="0.25">
      <c r="A1112" s="64" t="s">
        <v>214</v>
      </c>
      <c r="B1112" s="37" t="s">
        <v>1363</v>
      </c>
      <c r="C1112" s="33"/>
      <c r="D1112" s="33"/>
      <c r="E1112" s="33" t="s">
        <v>1493</v>
      </c>
      <c r="F1112" s="52">
        <v>200</v>
      </c>
      <c r="G1112" s="33" t="s">
        <v>1492</v>
      </c>
      <c r="H1112" s="41"/>
    </row>
    <row r="1113" spans="1:8" ht="30" x14ac:dyDescent="0.25">
      <c r="A1113" s="64" t="s">
        <v>214</v>
      </c>
      <c r="B1113" s="44" t="s">
        <v>1364</v>
      </c>
      <c r="C1113" s="42"/>
      <c r="D1113" s="42"/>
      <c r="E1113" s="42" t="s">
        <v>1493</v>
      </c>
      <c r="F1113" s="52">
        <v>200</v>
      </c>
      <c r="G1113" s="42" t="s">
        <v>1492</v>
      </c>
    </row>
    <row r="1114" spans="1:8" ht="30" x14ac:dyDescent="0.25">
      <c r="A1114" s="64" t="s">
        <v>214</v>
      </c>
      <c r="B1114" s="37" t="s">
        <v>1365</v>
      </c>
      <c r="C1114" s="33"/>
      <c r="D1114" s="33"/>
      <c r="E1114" s="33" t="s">
        <v>1493</v>
      </c>
      <c r="F1114" s="52">
        <v>200</v>
      </c>
      <c r="G1114" s="33" t="s">
        <v>1492</v>
      </c>
      <c r="H1114" s="41"/>
    </row>
    <row r="1115" spans="1:8" ht="30" x14ac:dyDescent="0.25">
      <c r="A1115" s="64" t="s">
        <v>214</v>
      </c>
      <c r="B1115" s="44" t="s">
        <v>629</v>
      </c>
      <c r="C1115" s="42" t="s">
        <v>630</v>
      </c>
      <c r="D1115" s="42"/>
      <c r="E1115" s="42" t="s">
        <v>1493</v>
      </c>
      <c r="F1115" s="52">
        <v>200</v>
      </c>
      <c r="G1115" s="42" t="s">
        <v>1492</v>
      </c>
    </row>
    <row r="1116" spans="1:8" ht="30" x14ac:dyDescent="0.25">
      <c r="A1116" s="64" t="s">
        <v>214</v>
      </c>
      <c r="B1116" s="37" t="s">
        <v>631</v>
      </c>
      <c r="C1116" s="33"/>
      <c r="D1116" s="33"/>
      <c r="E1116" s="33" t="s">
        <v>1491</v>
      </c>
      <c r="F1116" s="52">
        <v>200</v>
      </c>
      <c r="G1116" s="33" t="s">
        <v>1492</v>
      </c>
      <c r="H1116" s="41"/>
    </row>
    <row r="1117" spans="1:8" ht="30" x14ac:dyDescent="0.25">
      <c r="A1117" s="64" t="s">
        <v>214</v>
      </c>
      <c r="B1117" s="44" t="s">
        <v>632</v>
      </c>
      <c r="C1117" s="42"/>
      <c r="D1117" s="42"/>
      <c r="E1117" s="42" t="s">
        <v>1491</v>
      </c>
      <c r="F1117" s="52">
        <v>200</v>
      </c>
      <c r="G1117" s="42" t="s">
        <v>1492</v>
      </c>
    </row>
    <row r="1118" spans="1:8" ht="30" x14ac:dyDescent="0.25">
      <c r="A1118" s="64" t="s">
        <v>214</v>
      </c>
      <c r="B1118" s="37" t="s">
        <v>634</v>
      </c>
      <c r="C1118" s="33" t="s">
        <v>666</v>
      </c>
      <c r="D1118" s="33"/>
      <c r="E1118" s="33" t="s">
        <v>1493</v>
      </c>
      <c r="F1118" s="52">
        <v>200</v>
      </c>
      <c r="G1118" s="33" t="s">
        <v>1492</v>
      </c>
      <c r="H1118" s="41"/>
    </row>
    <row r="1119" spans="1:8" ht="30" x14ac:dyDescent="0.25">
      <c r="A1119" s="44" t="s">
        <v>214</v>
      </c>
      <c r="B1119" s="44" t="s">
        <v>636</v>
      </c>
      <c r="C1119" s="42" t="s">
        <v>637</v>
      </c>
      <c r="D1119" s="42"/>
      <c r="E1119" s="42" t="s">
        <v>1493</v>
      </c>
      <c r="F1119" s="34">
        <v>404</v>
      </c>
      <c r="G1119" s="42" t="s">
        <v>1492</v>
      </c>
    </row>
    <row r="1120" spans="1:8" ht="30" x14ac:dyDescent="0.25">
      <c r="A1120" s="37" t="s">
        <v>214</v>
      </c>
      <c r="B1120" s="37" t="s">
        <v>636</v>
      </c>
      <c r="C1120" s="33" t="s">
        <v>638</v>
      </c>
      <c r="D1120" s="33"/>
      <c r="E1120" s="33" t="s">
        <v>1493</v>
      </c>
      <c r="F1120" s="34">
        <v>404</v>
      </c>
      <c r="G1120" s="33" t="s">
        <v>1492</v>
      </c>
      <c r="H1120" s="41"/>
    </row>
    <row r="1121" spans="1:8" ht="30" x14ac:dyDescent="0.25">
      <c r="A1121" s="64" t="s">
        <v>215</v>
      </c>
      <c r="B1121" s="44" t="s">
        <v>176</v>
      </c>
      <c r="C1121" s="42" t="s">
        <v>781</v>
      </c>
      <c r="D1121" s="42"/>
      <c r="E1121" s="42" t="s">
        <v>1493</v>
      </c>
      <c r="F1121" s="52">
        <v>200</v>
      </c>
      <c r="G1121" s="42" t="s">
        <v>1492</v>
      </c>
    </row>
    <row r="1122" spans="1:8" ht="30" x14ac:dyDescent="0.25">
      <c r="A1122" s="64" t="s">
        <v>215</v>
      </c>
      <c r="B1122" s="37" t="s">
        <v>209</v>
      </c>
      <c r="C1122" s="33" t="s">
        <v>782</v>
      </c>
      <c r="D1122" s="33"/>
      <c r="E1122" s="33" t="s">
        <v>1493</v>
      </c>
      <c r="F1122" s="52">
        <v>200</v>
      </c>
      <c r="G1122" s="33" t="s">
        <v>1492</v>
      </c>
      <c r="H1122" s="41"/>
    </row>
    <row r="1123" spans="1:8" ht="30" x14ac:dyDescent="0.25">
      <c r="A1123" s="64" t="s">
        <v>215</v>
      </c>
      <c r="B1123" s="44" t="s">
        <v>217</v>
      </c>
      <c r="C1123" s="42" t="s">
        <v>321</v>
      </c>
      <c r="D1123" s="42"/>
      <c r="E1123" s="42" t="s">
        <v>1493</v>
      </c>
      <c r="F1123" s="52">
        <v>200</v>
      </c>
      <c r="G1123" s="42" t="s">
        <v>1492</v>
      </c>
    </row>
    <row r="1124" spans="1:8" ht="30" x14ac:dyDescent="0.25">
      <c r="A1124" s="64" t="s">
        <v>215</v>
      </c>
      <c r="B1124" s="37" t="s">
        <v>219</v>
      </c>
      <c r="C1124" s="33" t="s">
        <v>327</v>
      </c>
      <c r="D1124" s="33"/>
      <c r="E1124" s="33" t="s">
        <v>1493</v>
      </c>
      <c r="F1124" s="52">
        <v>200</v>
      </c>
      <c r="G1124" s="33" t="s">
        <v>1492</v>
      </c>
      <c r="H1124" s="41"/>
    </row>
    <row r="1125" spans="1:8" ht="30" x14ac:dyDescent="0.25">
      <c r="A1125" s="64" t="s">
        <v>215</v>
      </c>
      <c r="B1125" s="44" t="s">
        <v>210</v>
      </c>
      <c r="C1125" s="42" t="s">
        <v>292</v>
      </c>
      <c r="D1125" s="42"/>
      <c r="E1125" s="42" t="s">
        <v>1493</v>
      </c>
      <c r="F1125" s="52">
        <v>200</v>
      </c>
      <c r="G1125" s="42" t="s">
        <v>1492</v>
      </c>
    </row>
    <row r="1126" spans="1:8" ht="30" x14ac:dyDescent="0.25">
      <c r="A1126" s="64" t="s">
        <v>215</v>
      </c>
      <c r="B1126" s="37" t="s">
        <v>215</v>
      </c>
      <c r="C1126" s="33" t="s">
        <v>783</v>
      </c>
      <c r="D1126" s="33"/>
      <c r="E1126" s="33" t="s">
        <v>1493</v>
      </c>
      <c r="F1126" s="52">
        <v>200</v>
      </c>
      <c r="G1126" s="33" t="s">
        <v>1492</v>
      </c>
      <c r="H1126" s="41"/>
    </row>
    <row r="1127" spans="1:8" ht="30" x14ac:dyDescent="0.25">
      <c r="A1127" s="64" t="s">
        <v>215</v>
      </c>
      <c r="B1127" s="44" t="s">
        <v>214</v>
      </c>
      <c r="C1127" s="42" t="s">
        <v>784</v>
      </c>
      <c r="D1127" s="42"/>
      <c r="E1127" s="42" t="s">
        <v>1493</v>
      </c>
      <c r="F1127" s="52">
        <v>200</v>
      </c>
      <c r="G1127" s="42" t="s">
        <v>1492</v>
      </c>
    </row>
    <row r="1128" spans="1:8" ht="30" x14ac:dyDescent="0.25">
      <c r="A1128" s="64" t="s">
        <v>215</v>
      </c>
      <c r="B1128" s="37" t="s">
        <v>176</v>
      </c>
      <c r="C1128" s="33" t="s">
        <v>781</v>
      </c>
      <c r="D1128" s="33"/>
      <c r="E1128" s="33" t="s">
        <v>1493</v>
      </c>
      <c r="F1128" s="52">
        <v>200</v>
      </c>
      <c r="G1128" s="33" t="s">
        <v>1492</v>
      </c>
      <c r="H1128" s="41"/>
    </row>
    <row r="1129" spans="1:8" ht="30" x14ac:dyDescent="0.25">
      <c r="A1129" s="64" t="s">
        <v>215</v>
      </c>
      <c r="B1129" s="44" t="s">
        <v>209</v>
      </c>
      <c r="C1129" s="42" t="s">
        <v>782</v>
      </c>
      <c r="D1129" s="42"/>
      <c r="E1129" s="42" t="s">
        <v>1493</v>
      </c>
      <c r="F1129" s="52">
        <v>200</v>
      </c>
      <c r="G1129" s="42" t="s">
        <v>1492</v>
      </c>
    </row>
    <row r="1130" spans="1:8" ht="30" x14ac:dyDescent="0.25">
      <c r="A1130" s="64" t="s">
        <v>215</v>
      </c>
      <c r="B1130" s="37" t="s">
        <v>217</v>
      </c>
      <c r="C1130" s="33" t="s">
        <v>321</v>
      </c>
      <c r="D1130" s="33"/>
      <c r="E1130" s="33" t="s">
        <v>1493</v>
      </c>
      <c r="F1130" s="52">
        <v>200</v>
      </c>
      <c r="G1130" s="33" t="s">
        <v>1492</v>
      </c>
      <c r="H1130" s="41"/>
    </row>
    <row r="1131" spans="1:8" ht="30" x14ac:dyDescent="0.25">
      <c r="A1131" s="64" t="s">
        <v>215</v>
      </c>
      <c r="B1131" s="44" t="s">
        <v>219</v>
      </c>
      <c r="C1131" s="42" t="s">
        <v>327</v>
      </c>
      <c r="D1131" s="42"/>
      <c r="E1131" s="42" t="s">
        <v>1493</v>
      </c>
      <c r="F1131" s="52">
        <v>200</v>
      </c>
      <c r="G1131" s="42" t="s">
        <v>1492</v>
      </c>
    </row>
    <row r="1132" spans="1:8" ht="30" x14ac:dyDescent="0.25">
      <c r="A1132" s="64" t="s">
        <v>215</v>
      </c>
      <c r="B1132" s="37" t="s">
        <v>210</v>
      </c>
      <c r="C1132" s="33" t="s">
        <v>292</v>
      </c>
      <c r="D1132" s="33"/>
      <c r="E1132" s="33" t="s">
        <v>1493</v>
      </c>
      <c r="F1132" s="52">
        <v>200</v>
      </c>
      <c r="G1132" s="33" t="s">
        <v>1492</v>
      </c>
      <c r="H1132" s="41"/>
    </row>
    <row r="1133" spans="1:8" ht="30" x14ac:dyDescent="0.25">
      <c r="A1133" s="64" t="s">
        <v>215</v>
      </c>
      <c r="B1133" s="44" t="s">
        <v>215</v>
      </c>
      <c r="C1133" s="42" t="s">
        <v>783</v>
      </c>
      <c r="D1133" s="42"/>
      <c r="E1133" s="42" t="s">
        <v>1493</v>
      </c>
      <c r="F1133" s="52">
        <v>200</v>
      </c>
      <c r="G1133" s="42" t="s">
        <v>1492</v>
      </c>
    </row>
    <row r="1134" spans="1:8" ht="30" x14ac:dyDescent="0.25">
      <c r="A1134" s="64" t="s">
        <v>215</v>
      </c>
      <c r="B1134" s="37" t="s">
        <v>214</v>
      </c>
      <c r="C1134" s="33" t="s">
        <v>784</v>
      </c>
      <c r="D1134" s="33"/>
      <c r="E1134" s="33" t="s">
        <v>1493</v>
      </c>
      <c r="F1134" s="52">
        <v>200</v>
      </c>
      <c r="G1134" s="33" t="s">
        <v>1492</v>
      </c>
      <c r="H1134" s="41"/>
    </row>
    <row r="1135" spans="1:8" ht="30" x14ac:dyDescent="0.25">
      <c r="A1135" s="64" t="s">
        <v>215</v>
      </c>
      <c r="B1135" s="44" t="s">
        <v>209</v>
      </c>
      <c r="C1135" s="42" t="s">
        <v>785</v>
      </c>
      <c r="D1135" s="42"/>
      <c r="E1135" s="42" t="s">
        <v>1493</v>
      </c>
      <c r="F1135" s="52">
        <v>200</v>
      </c>
      <c r="G1135" s="42" t="s">
        <v>1492</v>
      </c>
    </row>
    <row r="1136" spans="1:8" ht="30" x14ac:dyDescent="0.25">
      <c r="A1136" s="64" t="s">
        <v>215</v>
      </c>
      <c r="B1136" s="37" t="s">
        <v>769</v>
      </c>
      <c r="C1136" s="33"/>
      <c r="D1136" s="33"/>
      <c r="E1136" s="33" t="s">
        <v>1491</v>
      </c>
      <c r="F1136" s="52">
        <v>200</v>
      </c>
      <c r="G1136" s="33" t="s">
        <v>1492</v>
      </c>
      <c r="H1136" s="41"/>
    </row>
    <row r="1137" spans="1:8" ht="30" x14ac:dyDescent="0.25">
      <c r="A1137" s="64" t="s">
        <v>215</v>
      </c>
      <c r="B1137" s="44" t="s">
        <v>770</v>
      </c>
      <c r="C1137" s="42"/>
      <c r="D1137" s="42"/>
      <c r="E1137" s="42" t="s">
        <v>1491</v>
      </c>
      <c r="F1137" s="52">
        <v>200</v>
      </c>
      <c r="G1137" s="42" t="s">
        <v>1492</v>
      </c>
    </row>
    <row r="1138" spans="1:8" ht="30" x14ac:dyDescent="0.25">
      <c r="A1138" s="64" t="s">
        <v>215</v>
      </c>
      <c r="B1138" s="37" t="s">
        <v>771</v>
      </c>
      <c r="C1138" s="33"/>
      <c r="D1138" s="33"/>
      <c r="E1138" s="33" t="s">
        <v>1491</v>
      </c>
      <c r="F1138" s="52">
        <v>200</v>
      </c>
      <c r="G1138" s="33" t="s">
        <v>1492</v>
      </c>
      <c r="H1138" s="41"/>
    </row>
    <row r="1139" spans="1:8" ht="30" x14ac:dyDescent="0.25">
      <c r="A1139" s="64" t="s">
        <v>215</v>
      </c>
      <c r="B1139" s="44" t="s">
        <v>772</v>
      </c>
      <c r="C1139" s="42"/>
      <c r="D1139" s="42"/>
      <c r="E1139" s="42" t="s">
        <v>1491</v>
      </c>
      <c r="F1139" s="52">
        <v>200</v>
      </c>
      <c r="G1139" s="42" t="s">
        <v>1492</v>
      </c>
    </row>
    <row r="1140" spans="1:8" ht="30" x14ac:dyDescent="0.25">
      <c r="A1140" s="64" t="s">
        <v>215</v>
      </c>
      <c r="B1140" s="37" t="s">
        <v>773</v>
      </c>
      <c r="C1140" s="33"/>
      <c r="D1140" s="33"/>
      <c r="E1140" s="33" t="s">
        <v>1491</v>
      </c>
      <c r="F1140" s="52">
        <v>200</v>
      </c>
      <c r="G1140" s="33" t="s">
        <v>1492</v>
      </c>
      <c r="H1140" s="41"/>
    </row>
    <row r="1141" spans="1:8" ht="30" x14ac:dyDescent="0.25">
      <c r="A1141" s="64" t="s">
        <v>215</v>
      </c>
      <c r="B1141" s="44" t="s">
        <v>774</v>
      </c>
      <c r="C1141" s="42"/>
      <c r="D1141" s="42"/>
      <c r="E1141" s="42" t="s">
        <v>1491</v>
      </c>
      <c r="F1141" s="52">
        <v>200</v>
      </c>
      <c r="G1141" s="42" t="s">
        <v>1492</v>
      </c>
    </row>
    <row r="1142" spans="1:8" ht="45" x14ac:dyDescent="0.25">
      <c r="A1142" s="64" t="s">
        <v>215</v>
      </c>
      <c r="B1142" s="37" t="s">
        <v>775</v>
      </c>
      <c r="C1142" s="33"/>
      <c r="D1142" s="33"/>
      <c r="E1142" s="33" t="s">
        <v>1491</v>
      </c>
      <c r="F1142" s="52">
        <v>200</v>
      </c>
      <c r="G1142" s="33" t="s">
        <v>1492</v>
      </c>
      <c r="H1142" s="41"/>
    </row>
    <row r="1143" spans="1:8" ht="30" x14ac:dyDescent="0.25">
      <c r="A1143" s="64" t="s">
        <v>215</v>
      </c>
      <c r="B1143" s="44" t="s">
        <v>776</v>
      </c>
      <c r="C1143" s="42"/>
      <c r="D1143" s="42"/>
      <c r="E1143" s="42" t="s">
        <v>1491</v>
      </c>
      <c r="F1143" s="52">
        <v>200</v>
      </c>
      <c r="G1143" s="42" t="s">
        <v>1492</v>
      </c>
    </row>
    <row r="1144" spans="1:8" ht="30" x14ac:dyDescent="0.25">
      <c r="A1144" s="37" t="s">
        <v>215</v>
      </c>
      <c r="B1144" s="37" t="s">
        <v>777</v>
      </c>
      <c r="C1144" s="33"/>
      <c r="D1144" s="33"/>
      <c r="E1144" s="33" t="s">
        <v>1491</v>
      </c>
      <c r="F1144" s="34">
        <v>500</v>
      </c>
      <c r="G1144" s="33" t="s">
        <v>1492</v>
      </c>
      <c r="H1144" s="41"/>
    </row>
    <row r="1145" spans="1:8" ht="30" x14ac:dyDescent="0.25">
      <c r="A1145" s="64" t="s">
        <v>215</v>
      </c>
      <c r="B1145" s="44" t="s">
        <v>778</v>
      </c>
      <c r="C1145" s="42"/>
      <c r="D1145" s="42"/>
      <c r="E1145" s="42" t="s">
        <v>1491</v>
      </c>
      <c r="F1145" s="52">
        <v>200</v>
      </c>
      <c r="G1145" s="42" t="s">
        <v>1492</v>
      </c>
    </row>
    <row r="1146" spans="1:8" ht="30" x14ac:dyDescent="0.25">
      <c r="A1146" s="64" t="s">
        <v>215</v>
      </c>
      <c r="B1146" s="37" t="s">
        <v>629</v>
      </c>
      <c r="C1146" s="33" t="s">
        <v>630</v>
      </c>
      <c r="D1146" s="33"/>
      <c r="E1146" s="33" t="s">
        <v>1493</v>
      </c>
      <c r="F1146" s="52">
        <v>200</v>
      </c>
      <c r="G1146" s="33" t="s">
        <v>1492</v>
      </c>
      <c r="H1146" s="41"/>
    </row>
    <row r="1147" spans="1:8" ht="30" x14ac:dyDescent="0.25">
      <c r="A1147" s="64" t="s">
        <v>215</v>
      </c>
      <c r="B1147" s="44" t="s">
        <v>631</v>
      </c>
      <c r="C1147" s="42"/>
      <c r="D1147" s="42"/>
      <c r="E1147" s="42" t="s">
        <v>1491</v>
      </c>
      <c r="F1147" s="52">
        <v>200</v>
      </c>
      <c r="G1147" s="42" t="s">
        <v>1492</v>
      </c>
    </row>
    <row r="1148" spans="1:8" ht="30" x14ac:dyDescent="0.25">
      <c r="A1148" s="64" t="s">
        <v>215</v>
      </c>
      <c r="B1148" s="37" t="s">
        <v>632</v>
      </c>
      <c r="C1148" s="33"/>
      <c r="D1148" s="33"/>
      <c r="E1148" s="33" t="s">
        <v>1491</v>
      </c>
      <c r="F1148" s="52">
        <v>200</v>
      </c>
      <c r="G1148" s="33" t="s">
        <v>1492</v>
      </c>
      <c r="H1148" s="41"/>
    </row>
    <row r="1149" spans="1:8" ht="30" x14ac:dyDescent="0.25">
      <c r="A1149" s="64" t="s">
        <v>215</v>
      </c>
      <c r="B1149" s="44" t="s">
        <v>634</v>
      </c>
      <c r="C1149" s="42" t="s">
        <v>666</v>
      </c>
      <c r="D1149" s="42"/>
      <c r="E1149" s="42" t="s">
        <v>1493</v>
      </c>
      <c r="F1149" s="52">
        <v>200</v>
      </c>
      <c r="G1149" s="42" t="s">
        <v>1492</v>
      </c>
    </row>
    <row r="1150" spans="1:8" ht="30" x14ac:dyDescent="0.25">
      <c r="A1150" s="37" t="s">
        <v>215</v>
      </c>
      <c r="B1150" s="37" t="s">
        <v>636</v>
      </c>
      <c r="C1150" s="33" t="s">
        <v>637</v>
      </c>
      <c r="D1150" s="33"/>
      <c r="E1150" s="33" t="s">
        <v>1493</v>
      </c>
      <c r="F1150" s="34">
        <v>404</v>
      </c>
      <c r="G1150" s="33" t="s">
        <v>1492</v>
      </c>
      <c r="H1150" s="41"/>
    </row>
    <row r="1151" spans="1:8" ht="30" x14ac:dyDescent="0.25">
      <c r="A1151" s="44" t="s">
        <v>215</v>
      </c>
      <c r="B1151" s="44" t="s">
        <v>636</v>
      </c>
      <c r="C1151" s="42" t="s">
        <v>638</v>
      </c>
      <c r="D1151" s="42"/>
      <c r="E1151" s="42" t="s">
        <v>1493</v>
      </c>
      <c r="F1151" s="34">
        <v>404</v>
      </c>
      <c r="G1151" s="42" t="s">
        <v>1492</v>
      </c>
    </row>
    <row r="1152" spans="1:8" ht="30" x14ac:dyDescent="0.25">
      <c r="A1152" s="64" t="s">
        <v>216</v>
      </c>
      <c r="B1152" s="37" t="s">
        <v>615</v>
      </c>
      <c r="C1152" s="33"/>
      <c r="D1152" s="33"/>
      <c r="E1152" s="33" t="s">
        <v>1491</v>
      </c>
      <c r="F1152" s="52">
        <v>200</v>
      </c>
      <c r="G1152" s="33" t="s">
        <v>1492</v>
      </c>
      <c r="H1152" s="41"/>
    </row>
    <row r="1153" spans="1:8" ht="30" x14ac:dyDescent="0.25">
      <c r="A1153" s="64" t="s">
        <v>216</v>
      </c>
      <c r="B1153" s="44" t="s">
        <v>617</v>
      </c>
      <c r="C1153" s="42" t="s">
        <v>618</v>
      </c>
      <c r="D1153" s="42"/>
      <c r="E1153" s="42" t="s">
        <v>1493</v>
      </c>
      <c r="F1153" s="52">
        <v>200</v>
      </c>
      <c r="G1153" s="42" t="s">
        <v>1492</v>
      </c>
    </row>
    <row r="1154" spans="1:8" ht="30" x14ac:dyDescent="0.25">
      <c r="A1154" s="64" t="s">
        <v>216</v>
      </c>
      <c r="B1154" s="37" t="s">
        <v>619</v>
      </c>
      <c r="C1154" s="33" t="s">
        <v>620</v>
      </c>
      <c r="D1154" s="33"/>
      <c r="E1154" s="33" t="s">
        <v>1493</v>
      </c>
      <c r="F1154" s="52">
        <v>200</v>
      </c>
      <c r="G1154" s="33" t="s">
        <v>1492</v>
      </c>
      <c r="H1154" s="41"/>
    </row>
    <row r="1155" spans="1:8" ht="30" x14ac:dyDescent="0.25">
      <c r="A1155" s="64" t="s">
        <v>216</v>
      </c>
      <c r="B1155" s="44" t="s">
        <v>621</v>
      </c>
      <c r="C1155" s="42" t="s">
        <v>622</v>
      </c>
      <c r="D1155" s="42"/>
      <c r="E1155" s="42" t="s">
        <v>1493</v>
      </c>
      <c r="F1155" s="52">
        <v>200</v>
      </c>
      <c r="G1155" s="42" t="s">
        <v>1492</v>
      </c>
    </row>
    <row r="1156" spans="1:8" ht="30" x14ac:dyDescent="0.25">
      <c r="A1156" s="64" t="s">
        <v>216</v>
      </c>
      <c r="B1156" s="37" t="s">
        <v>623</v>
      </c>
      <c r="C1156" s="33" t="s">
        <v>624</v>
      </c>
      <c r="D1156" s="33"/>
      <c r="E1156" s="33" t="s">
        <v>1493</v>
      </c>
      <c r="F1156" s="52">
        <v>200</v>
      </c>
      <c r="G1156" s="33" t="s">
        <v>1492</v>
      </c>
      <c r="H1156" s="41"/>
    </row>
    <row r="1157" spans="1:8" ht="30" x14ac:dyDescent="0.25">
      <c r="A1157" s="64" t="s">
        <v>216</v>
      </c>
      <c r="B1157" s="44" t="s">
        <v>625</v>
      </c>
      <c r="C1157" s="42" t="s">
        <v>626</v>
      </c>
      <c r="D1157" s="42"/>
      <c r="E1157" s="42" t="s">
        <v>1493</v>
      </c>
      <c r="F1157" s="52">
        <v>200</v>
      </c>
      <c r="G1157" s="42" t="s">
        <v>1492</v>
      </c>
    </row>
    <row r="1158" spans="1:8" ht="30" x14ac:dyDescent="0.25">
      <c r="A1158" s="64" t="s">
        <v>216</v>
      </c>
      <c r="B1158" s="37" t="s">
        <v>627</v>
      </c>
      <c r="C1158" s="33" t="s">
        <v>628</v>
      </c>
      <c r="D1158" s="33"/>
      <c r="E1158" s="33" t="s">
        <v>1493</v>
      </c>
      <c r="F1158" s="52">
        <v>200</v>
      </c>
      <c r="G1158" s="33" t="s">
        <v>1492</v>
      </c>
      <c r="H1158" s="41"/>
    </row>
    <row r="1159" spans="1:8" ht="30" x14ac:dyDescent="0.25">
      <c r="A1159" s="64" t="s">
        <v>216</v>
      </c>
      <c r="B1159" s="44" t="s">
        <v>617</v>
      </c>
      <c r="C1159" s="42" t="s">
        <v>618</v>
      </c>
      <c r="D1159" s="42"/>
      <c r="E1159" s="42" t="s">
        <v>1493</v>
      </c>
      <c r="F1159" s="52">
        <v>200</v>
      </c>
      <c r="G1159" s="42" t="s">
        <v>1492</v>
      </c>
    </row>
    <row r="1160" spans="1:8" ht="30" x14ac:dyDescent="0.25">
      <c r="A1160" s="64" t="s">
        <v>216</v>
      </c>
      <c r="B1160" s="37" t="s">
        <v>619</v>
      </c>
      <c r="C1160" s="33" t="s">
        <v>620</v>
      </c>
      <c r="D1160" s="33"/>
      <c r="E1160" s="33" t="s">
        <v>1493</v>
      </c>
      <c r="F1160" s="52">
        <v>200</v>
      </c>
      <c r="G1160" s="33" t="s">
        <v>1492</v>
      </c>
      <c r="H1160" s="41"/>
    </row>
    <row r="1161" spans="1:8" ht="30" x14ac:dyDescent="0.25">
      <c r="A1161" s="64" t="s">
        <v>216</v>
      </c>
      <c r="B1161" s="44" t="s">
        <v>621</v>
      </c>
      <c r="C1161" s="42" t="s">
        <v>622</v>
      </c>
      <c r="D1161" s="42"/>
      <c r="E1161" s="42" t="s">
        <v>1493</v>
      </c>
      <c r="F1161" s="52">
        <v>200</v>
      </c>
      <c r="G1161" s="42" t="s">
        <v>1492</v>
      </c>
    </row>
    <row r="1162" spans="1:8" ht="30" x14ac:dyDescent="0.25">
      <c r="A1162" s="64" t="s">
        <v>216</v>
      </c>
      <c r="B1162" s="37" t="s">
        <v>623</v>
      </c>
      <c r="C1162" s="33" t="s">
        <v>624</v>
      </c>
      <c r="D1162" s="33"/>
      <c r="E1162" s="33" t="s">
        <v>1493</v>
      </c>
      <c r="F1162" s="52">
        <v>200</v>
      </c>
      <c r="G1162" s="33" t="s">
        <v>1492</v>
      </c>
      <c r="H1162" s="41"/>
    </row>
    <row r="1163" spans="1:8" ht="30" x14ac:dyDescent="0.25">
      <c r="A1163" s="64" t="s">
        <v>216</v>
      </c>
      <c r="B1163" s="44" t="s">
        <v>625</v>
      </c>
      <c r="C1163" s="42" t="s">
        <v>626</v>
      </c>
      <c r="D1163" s="42"/>
      <c r="E1163" s="42" t="s">
        <v>1493</v>
      </c>
      <c r="F1163" s="52">
        <v>200</v>
      </c>
      <c r="G1163" s="42" t="s">
        <v>1492</v>
      </c>
    </row>
    <row r="1164" spans="1:8" ht="30" x14ac:dyDescent="0.25">
      <c r="A1164" s="64" t="s">
        <v>216</v>
      </c>
      <c r="B1164" s="37" t="s">
        <v>627</v>
      </c>
      <c r="C1164" s="33" t="s">
        <v>628</v>
      </c>
      <c r="D1164" s="33"/>
      <c r="E1164" s="33" t="s">
        <v>1493</v>
      </c>
      <c r="F1164" s="52">
        <v>200</v>
      </c>
      <c r="G1164" s="33" t="s">
        <v>1492</v>
      </c>
      <c r="H1164" s="41"/>
    </row>
    <row r="1165" spans="1:8" ht="30" x14ac:dyDescent="0.25">
      <c r="A1165" s="64" t="s">
        <v>216</v>
      </c>
      <c r="B1165" s="44" t="s">
        <v>1366</v>
      </c>
      <c r="C1165" s="42" t="s">
        <v>1367</v>
      </c>
      <c r="D1165" s="42"/>
      <c r="E1165" s="42" t="s">
        <v>1493</v>
      </c>
      <c r="F1165" s="52">
        <v>200</v>
      </c>
      <c r="G1165" s="42" t="s">
        <v>1492</v>
      </c>
    </row>
    <row r="1166" spans="1:8" ht="30" x14ac:dyDescent="0.25">
      <c r="A1166" s="64" t="s">
        <v>216</v>
      </c>
      <c r="B1166" s="37" t="s">
        <v>1366</v>
      </c>
      <c r="C1166" s="33" t="s">
        <v>1367</v>
      </c>
      <c r="D1166" s="33"/>
      <c r="E1166" s="33" t="s">
        <v>1493</v>
      </c>
      <c r="F1166" s="52">
        <v>200</v>
      </c>
      <c r="G1166" s="33" t="s">
        <v>1492</v>
      </c>
      <c r="H1166" s="41"/>
    </row>
    <row r="1167" spans="1:8" ht="30" x14ac:dyDescent="0.25">
      <c r="A1167" s="64" t="s">
        <v>216</v>
      </c>
      <c r="B1167" s="44" t="s">
        <v>1368</v>
      </c>
      <c r="C1167" s="42"/>
      <c r="D1167" s="42"/>
      <c r="E1167" s="42" t="s">
        <v>1491</v>
      </c>
      <c r="F1167" s="52">
        <v>200</v>
      </c>
      <c r="G1167" s="42" t="s">
        <v>1492</v>
      </c>
    </row>
    <row r="1168" spans="1:8" ht="30" x14ac:dyDescent="0.25">
      <c r="A1168" s="64" t="s">
        <v>216</v>
      </c>
      <c r="B1168" s="37" t="s">
        <v>1368</v>
      </c>
      <c r="C1168" s="33"/>
      <c r="D1168" s="33"/>
      <c r="E1168" s="33" t="s">
        <v>1491</v>
      </c>
      <c r="F1168" s="52">
        <v>200</v>
      </c>
      <c r="G1168" s="33" t="s">
        <v>1492</v>
      </c>
      <c r="H1168" s="41"/>
    </row>
    <row r="1169" spans="1:8" ht="30" x14ac:dyDescent="0.25">
      <c r="A1169" s="64" t="s">
        <v>216</v>
      </c>
      <c r="B1169" s="44" t="s">
        <v>1369</v>
      </c>
      <c r="C1169" s="42"/>
      <c r="D1169" s="42"/>
      <c r="E1169" s="42" t="s">
        <v>1491</v>
      </c>
      <c r="F1169" s="52">
        <v>200</v>
      </c>
      <c r="G1169" s="42" t="s">
        <v>1492</v>
      </c>
    </row>
    <row r="1170" spans="1:8" ht="30" x14ac:dyDescent="0.25">
      <c r="A1170" s="64" t="s">
        <v>216</v>
      </c>
      <c r="B1170" s="37" t="s">
        <v>1369</v>
      </c>
      <c r="C1170" s="33"/>
      <c r="D1170" s="33"/>
      <c r="E1170" s="33" t="s">
        <v>1491</v>
      </c>
      <c r="F1170" s="52">
        <v>200</v>
      </c>
      <c r="G1170" s="33" t="s">
        <v>1492</v>
      </c>
      <c r="H1170" s="41"/>
    </row>
    <row r="1171" spans="1:8" ht="45" x14ac:dyDescent="0.25">
      <c r="A1171" s="64" t="s">
        <v>216</v>
      </c>
      <c r="B1171" s="44" t="s">
        <v>1370</v>
      </c>
      <c r="C1171" s="42"/>
      <c r="D1171" s="42"/>
      <c r="E1171" s="42" t="s">
        <v>1491</v>
      </c>
      <c r="F1171" s="52">
        <v>200</v>
      </c>
      <c r="G1171" s="42" t="s">
        <v>1492</v>
      </c>
    </row>
    <row r="1172" spans="1:8" ht="45" x14ac:dyDescent="0.25">
      <c r="A1172" s="64" t="s">
        <v>216</v>
      </c>
      <c r="B1172" s="37" t="s">
        <v>1371</v>
      </c>
      <c r="C1172" s="33"/>
      <c r="D1172" s="33"/>
      <c r="E1172" s="33" t="s">
        <v>1493</v>
      </c>
      <c r="F1172" s="52">
        <v>200</v>
      </c>
      <c r="G1172" s="33" t="s">
        <v>1492</v>
      </c>
      <c r="H1172" s="41"/>
    </row>
    <row r="1173" spans="1:8" ht="45" x14ac:dyDescent="0.25">
      <c r="A1173" s="64" t="s">
        <v>216</v>
      </c>
      <c r="B1173" s="44" t="s">
        <v>1372</v>
      </c>
      <c r="C1173" s="42"/>
      <c r="D1173" s="42"/>
      <c r="E1173" s="42" t="s">
        <v>1493</v>
      </c>
      <c r="F1173" s="52">
        <v>200</v>
      </c>
      <c r="G1173" s="42" t="s">
        <v>1492</v>
      </c>
    </row>
    <row r="1174" spans="1:8" ht="30" x14ac:dyDescent="0.25">
      <c r="A1174" s="64" t="s">
        <v>216</v>
      </c>
      <c r="B1174" s="37" t="s">
        <v>1373</v>
      </c>
      <c r="C1174" s="33"/>
      <c r="D1174" s="33"/>
      <c r="E1174" s="33" t="s">
        <v>1493</v>
      </c>
      <c r="F1174" s="52">
        <v>200</v>
      </c>
      <c r="G1174" s="33" t="s">
        <v>1492</v>
      </c>
      <c r="H1174" s="41"/>
    </row>
    <row r="1175" spans="1:8" ht="45" x14ac:dyDescent="0.25">
      <c r="A1175" s="64" t="s">
        <v>216</v>
      </c>
      <c r="B1175" s="44" t="s">
        <v>1374</v>
      </c>
      <c r="C1175" s="42"/>
      <c r="D1175" s="42"/>
      <c r="E1175" s="42" t="s">
        <v>1493</v>
      </c>
      <c r="F1175" s="52">
        <v>200</v>
      </c>
      <c r="G1175" s="42" t="s">
        <v>1492</v>
      </c>
    </row>
    <row r="1176" spans="1:8" ht="45" x14ac:dyDescent="0.25">
      <c r="A1176" s="64" t="s">
        <v>216</v>
      </c>
      <c r="B1176" s="37" t="s">
        <v>1375</v>
      </c>
      <c r="C1176" s="33"/>
      <c r="D1176" s="33"/>
      <c r="E1176" s="33" t="s">
        <v>1493</v>
      </c>
      <c r="F1176" s="52">
        <v>200</v>
      </c>
      <c r="G1176" s="33" t="s">
        <v>1492</v>
      </c>
      <c r="H1176" s="41"/>
    </row>
    <row r="1177" spans="1:8" ht="45" x14ac:dyDescent="0.25">
      <c r="A1177" s="64" t="s">
        <v>216</v>
      </c>
      <c r="B1177" s="44" t="s">
        <v>1376</v>
      </c>
      <c r="C1177" s="42"/>
      <c r="D1177" s="42"/>
      <c r="E1177" s="42" t="s">
        <v>1493</v>
      </c>
      <c r="F1177" s="52">
        <v>200</v>
      </c>
      <c r="G1177" s="42" t="s">
        <v>1492</v>
      </c>
    </row>
    <row r="1178" spans="1:8" ht="30" x14ac:dyDescent="0.25">
      <c r="A1178" s="64" t="s">
        <v>216</v>
      </c>
      <c r="B1178" s="37" t="s">
        <v>1377</v>
      </c>
      <c r="C1178" s="33"/>
      <c r="D1178" s="33"/>
      <c r="E1178" s="33" t="s">
        <v>1493</v>
      </c>
      <c r="F1178" s="52">
        <v>200</v>
      </c>
      <c r="G1178" s="33" t="s">
        <v>1492</v>
      </c>
      <c r="H1178" s="41"/>
    </row>
    <row r="1179" spans="1:8" ht="30" x14ac:dyDescent="0.25">
      <c r="A1179" s="64" t="s">
        <v>216</v>
      </c>
      <c r="B1179" s="44" t="s">
        <v>1378</v>
      </c>
      <c r="C1179" s="42"/>
      <c r="D1179" s="42"/>
      <c r="E1179" s="42" t="s">
        <v>1491</v>
      </c>
      <c r="F1179" s="52">
        <v>200</v>
      </c>
      <c r="G1179" s="42" t="s">
        <v>1492</v>
      </c>
    </row>
    <row r="1180" spans="1:8" ht="30" x14ac:dyDescent="0.25">
      <c r="A1180" s="64" t="s">
        <v>216</v>
      </c>
      <c r="B1180" s="37" t="s">
        <v>1379</v>
      </c>
      <c r="C1180" s="33"/>
      <c r="D1180" s="33"/>
      <c r="E1180" s="33" t="s">
        <v>1491</v>
      </c>
      <c r="F1180" s="52">
        <v>200</v>
      </c>
      <c r="G1180" s="33" t="s">
        <v>1492</v>
      </c>
      <c r="H1180" s="41"/>
    </row>
    <row r="1181" spans="1:8" ht="30" x14ac:dyDescent="0.25">
      <c r="A1181" s="64" t="s">
        <v>216</v>
      </c>
      <c r="B1181" s="44" t="s">
        <v>1380</v>
      </c>
      <c r="C1181" s="42"/>
      <c r="D1181" s="42"/>
      <c r="E1181" s="42" t="s">
        <v>1491</v>
      </c>
      <c r="F1181" s="52">
        <v>200</v>
      </c>
      <c r="G1181" s="42" t="s">
        <v>1492</v>
      </c>
    </row>
    <row r="1182" spans="1:8" ht="30" x14ac:dyDescent="0.25">
      <c r="A1182" s="64" t="s">
        <v>216</v>
      </c>
      <c r="B1182" s="37" t="s">
        <v>1381</v>
      </c>
      <c r="C1182" s="33"/>
      <c r="D1182" s="33"/>
      <c r="E1182" s="33" t="s">
        <v>1491</v>
      </c>
      <c r="F1182" s="52">
        <v>200</v>
      </c>
      <c r="G1182" s="33" t="s">
        <v>1492</v>
      </c>
      <c r="H1182" s="41"/>
    </row>
    <row r="1183" spans="1:8" ht="30" x14ac:dyDescent="0.25">
      <c r="A1183" s="64" t="s">
        <v>216</v>
      </c>
      <c r="B1183" s="44" t="s">
        <v>1382</v>
      </c>
      <c r="C1183" s="42"/>
      <c r="D1183" s="42"/>
      <c r="E1183" s="42" t="s">
        <v>1491</v>
      </c>
      <c r="F1183" s="52">
        <v>200</v>
      </c>
      <c r="G1183" s="42" t="s">
        <v>1492</v>
      </c>
    </row>
    <row r="1184" spans="1:8" ht="30" x14ac:dyDescent="0.25">
      <c r="A1184" s="37" t="s">
        <v>216</v>
      </c>
      <c r="B1184" s="37" t="s">
        <v>1383</v>
      </c>
      <c r="C1184" s="33"/>
      <c r="D1184" s="33"/>
      <c r="E1184" s="33" t="s">
        <v>1491</v>
      </c>
      <c r="F1184" s="34">
        <v>403</v>
      </c>
      <c r="G1184" s="33" t="s">
        <v>1492</v>
      </c>
      <c r="H1184" s="41"/>
    </row>
    <row r="1185" spans="1:8" ht="30" x14ac:dyDescent="0.25">
      <c r="A1185" s="64" t="s">
        <v>216</v>
      </c>
      <c r="B1185" s="44" t="s">
        <v>1384</v>
      </c>
      <c r="C1185" s="42"/>
      <c r="D1185" s="42"/>
      <c r="E1185" s="42" t="s">
        <v>1491</v>
      </c>
      <c r="F1185" s="52">
        <v>200</v>
      </c>
      <c r="G1185" s="42" t="s">
        <v>1492</v>
      </c>
    </row>
    <row r="1186" spans="1:8" ht="30" x14ac:dyDescent="0.25">
      <c r="A1186" s="64" t="s">
        <v>216</v>
      </c>
      <c r="B1186" s="37" t="s">
        <v>1385</v>
      </c>
      <c r="C1186" s="33"/>
      <c r="D1186" s="33"/>
      <c r="E1186" s="33" t="s">
        <v>1491</v>
      </c>
      <c r="F1186" s="52">
        <v>200</v>
      </c>
      <c r="G1186" s="33" t="s">
        <v>1492</v>
      </c>
      <c r="H1186" s="41"/>
    </row>
    <row r="1187" spans="1:8" ht="30" x14ac:dyDescent="0.25">
      <c r="A1187" s="44" t="s">
        <v>216</v>
      </c>
      <c r="B1187" s="44" t="s">
        <v>1386</v>
      </c>
      <c r="C1187" s="42"/>
      <c r="D1187" s="42"/>
      <c r="E1187" s="42" t="s">
        <v>1491</v>
      </c>
      <c r="F1187" s="34">
        <v>403</v>
      </c>
      <c r="G1187" s="42" t="s">
        <v>1492</v>
      </c>
    </row>
    <row r="1188" spans="1:8" ht="30" x14ac:dyDescent="0.25">
      <c r="A1188" s="64" t="s">
        <v>216</v>
      </c>
      <c r="B1188" s="37" t="s">
        <v>629</v>
      </c>
      <c r="C1188" s="33" t="s">
        <v>630</v>
      </c>
      <c r="D1188" s="33"/>
      <c r="E1188" s="33" t="s">
        <v>1493</v>
      </c>
      <c r="F1188" s="52">
        <v>200</v>
      </c>
      <c r="G1188" s="33" t="s">
        <v>1492</v>
      </c>
      <c r="H1188" s="41"/>
    </row>
    <row r="1189" spans="1:8" ht="30" x14ac:dyDescent="0.25">
      <c r="A1189" s="64" t="s">
        <v>216</v>
      </c>
      <c r="B1189" s="44" t="s">
        <v>631</v>
      </c>
      <c r="C1189" s="42"/>
      <c r="D1189" s="42"/>
      <c r="E1189" s="42" t="s">
        <v>1491</v>
      </c>
      <c r="F1189" s="52">
        <v>200</v>
      </c>
      <c r="G1189" s="42" t="s">
        <v>1492</v>
      </c>
    </row>
    <row r="1190" spans="1:8" ht="30" x14ac:dyDescent="0.25">
      <c r="A1190" s="64" t="s">
        <v>216</v>
      </c>
      <c r="B1190" s="37" t="s">
        <v>632</v>
      </c>
      <c r="C1190" s="33"/>
      <c r="D1190" s="33"/>
      <c r="E1190" s="33" t="s">
        <v>1491</v>
      </c>
      <c r="F1190" s="52">
        <v>200</v>
      </c>
      <c r="G1190" s="33" t="s">
        <v>1492</v>
      </c>
      <c r="H1190" s="41"/>
    </row>
    <row r="1191" spans="1:8" ht="30" x14ac:dyDescent="0.25">
      <c r="A1191" s="44" t="s">
        <v>216</v>
      </c>
      <c r="B1191" s="44" t="s">
        <v>633</v>
      </c>
      <c r="C1191" s="42"/>
      <c r="D1191" s="42"/>
      <c r="E1191" s="42" t="s">
        <v>1491</v>
      </c>
      <c r="F1191" s="34">
        <v>403</v>
      </c>
      <c r="G1191" s="42" t="s">
        <v>1492</v>
      </c>
    </row>
    <row r="1192" spans="1:8" ht="30" x14ac:dyDescent="0.25">
      <c r="A1192" s="64" t="s">
        <v>216</v>
      </c>
      <c r="B1192" s="37" t="s">
        <v>634</v>
      </c>
      <c r="C1192" s="33" t="s">
        <v>635</v>
      </c>
      <c r="D1192" s="33"/>
      <c r="E1192" s="33" t="s">
        <v>1493</v>
      </c>
      <c r="F1192" s="52">
        <v>200</v>
      </c>
      <c r="G1192" s="33" t="s">
        <v>1492</v>
      </c>
      <c r="H1192" s="41"/>
    </row>
    <row r="1193" spans="1:8" ht="30" x14ac:dyDescent="0.25">
      <c r="A1193" s="44" t="s">
        <v>216</v>
      </c>
      <c r="B1193" s="44" t="s">
        <v>636</v>
      </c>
      <c r="C1193" s="42" t="s">
        <v>637</v>
      </c>
      <c r="D1193" s="42"/>
      <c r="E1193" s="42" t="s">
        <v>1493</v>
      </c>
      <c r="F1193" s="34">
        <v>404</v>
      </c>
      <c r="G1193" s="42" t="s">
        <v>1492</v>
      </c>
    </row>
    <row r="1194" spans="1:8" ht="30" x14ac:dyDescent="0.25">
      <c r="A1194" s="37" t="s">
        <v>216</v>
      </c>
      <c r="B1194" s="37" t="s">
        <v>636</v>
      </c>
      <c r="C1194" s="33" t="s">
        <v>638</v>
      </c>
      <c r="D1194" s="33"/>
      <c r="E1194" s="33" t="s">
        <v>1493</v>
      </c>
      <c r="F1194" s="34">
        <v>404</v>
      </c>
      <c r="G1194" s="33" t="s">
        <v>1492</v>
      </c>
      <c r="H1194" s="41"/>
    </row>
    <row r="1195" spans="1:8" ht="30" x14ac:dyDescent="0.25">
      <c r="A1195" s="64" t="s">
        <v>217</v>
      </c>
      <c r="B1195" s="44" t="s">
        <v>176</v>
      </c>
      <c r="C1195" s="42" t="s">
        <v>781</v>
      </c>
      <c r="D1195" s="42"/>
      <c r="E1195" s="42" t="s">
        <v>1493</v>
      </c>
      <c r="F1195" s="52">
        <v>200</v>
      </c>
      <c r="G1195" s="42" t="s">
        <v>1492</v>
      </c>
    </row>
    <row r="1196" spans="1:8" ht="30" x14ac:dyDescent="0.25">
      <c r="A1196" s="64" t="s">
        <v>217</v>
      </c>
      <c r="B1196" s="37" t="s">
        <v>209</v>
      </c>
      <c r="C1196" s="33" t="s">
        <v>782</v>
      </c>
      <c r="D1196" s="33"/>
      <c r="E1196" s="33" t="s">
        <v>1493</v>
      </c>
      <c r="F1196" s="52">
        <v>200</v>
      </c>
      <c r="G1196" s="33" t="s">
        <v>1492</v>
      </c>
      <c r="H1196" s="41"/>
    </row>
    <row r="1197" spans="1:8" ht="30" x14ac:dyDescent="0.25">
      <c r="A1197" s="64" t="s">
        <v>217</v>
      </c>
      <c r="B1197" s="44" t="s">
        <v>217</v>
      </c>
      <c r="C1197" s="42" t="s">
        <v>321</v>
      </c>
      <c r="D1197" s="42"/>
      <c r="E1197" s="42" t="s">
        <v>1493</v>
      </c>
      <c r="F1197" s="52">
        <v>200</v>
      </c>
      <c r="G1197" s="42" t="s">
        <v>1492</v>
      </c>
    </row>
    <row r="1198" spans="1:8" ht="30" x14ac:dyDescent="0.25">
      <c r="A1198" s="64" t="s">
        <v>217</v>
      </c>
      <c r="B1198" s="37" t="s">
        <v>219</v>
      </c>
      <c r="C1198" s="33" t="s">
        <v>327</v>
      </c>
      <c r="D1198" s="33"/>
      <c r="E1198" s="33" t="s">
        <v>1493</v>
      </c>
      <c r="F1198" s="52">
        <v>200</v>
      </c>
      <c r="G1198" s="33" t="s">
        <v>1492</v>
      </c>
      <c r="H1198" s="41"/>
    </row>
    <row r="1199" spans="1:8" ht="30" x14ac:dyDescent="0.25">
      <c r="A1199" s="64" t="s">
        <v>217</v>
      </c>
      <c r="B1199" s="44" t="s">
        <v>210</v>
      </c>
      <c r="C1199" s="42" t="s">
        <v>292</v>
      </c>
      <c r="D1199" s="42"/>
      <c r="E1199" s="42" t="s">
        <v>1493</v>
      </c>
      <c r="F1199" s="52">
        <v>200</v>
      </c>
      <c r="G1199" s="42" t="s">
        <v>1492</v>
      </c>
    </row>
    <row r="1200" spans="1:8" ht="30" x14ac:dyDescent="0.25">
      <c r="A1200" s="64" t="s">
        <v>217</v>
      </c>
      <c r="B1200" s="37" t="s">
        <v>215</v>
      </c>
      <c r="C1200" s="33" t="s">
        <v>783</v>
      </c>
      <c r="D1200" s="33"/>
      <c r="E1200" s="33" t="s">
        <v>1493</v>
      </c>
      <c r="F1200" s="52">
        <v>200</v>
      </c>
      <c r="G1200" s="33" t="s">
        <v>1492</v>
      </c>
      <c r="H1200" s="41"/>
    </row>
    <row r="1201" spans="1:8" ht="30" x14ac:dyDescent="0.25">
      <c r="A1201" s="64" t="s">
        <v>217</v>
      </c>
      <c r="B1201" s="44" t="s">
        <v>214</v>
      </c>
      <c r="C1201" s="42" t="s">
        <v>784</v>
      </c>
      <c r="D1201" s="42"/>
      <c r="E1201" s="42" t="s">
        <v>1493</v>
      </c>
      <c r="F1201" s="52">
        <v>200</v>
      </c>
      <c r="G1201" s="42" t="s">
        <v>1492</v>
      </c>
    </row>
    <row r="1202" spans="1:8" ht="30" x14ac:dyDescent="0.25">
      <c r="A1202" s="64" t="s">
        <v>217</v>
      </c>
      <c r="B1202" s="37" t="s">
        <v>176</v>
      </c>
      <c r="C1202" s="33" t="s">
        <v>781</v>
      </c>
      <c r="D1202" s="33"/>
      <c r="E1202" s="33" t="s">
        <v>1493</v>
      </c>
      <c r="F1202" s="52">
        <v>200</v>
      </c>
      <c r="G1202" s="33" t="s">
        <v>1492</v>
      </c>
      <c r="H1202" s="41"/>
    </row>
    <row r="1203" spans="1:8" ht="30" x14ac:dyDescent="0.25">
      <c r="A1203" s="64" t="s">
        <v>217</v>
      </c>
      <c r="B1203" s="44" t="s">
        <v>209</v>
      </c>
      <c r="C1203" s="42" t="s">
        <v>782</v>
      </c>
      <c r="D1203" s="42"/>
      <c r="E1203" s="42" t="s">
        <v>1493</v>
      </c>
      <c r="F1203" s="52">
        <v>200</v>
      </c>
      <c r="G1203" s="42" t="s">
        <v>1492</v>
      </c>
    </row>
    <row r="1204" spans="1:8" ht="30" x14ac:dyDescent="0.25">
      <c r="A1204" s="64" t="s">
        <v>217</v>
      </c>
      <c r="B1204" s="37" t="s">
        <v>217</v>
      </c>
      <c r="C1204" s="33" t="s">
        <v>321</v>
      </c>
      <c r="D1204" s="33"/>
      <c r="E1204" s="33" t="s">
        <v>1493</v>
      </c>
      <c r="F1204" s="52">
        <v>200</v>
      </c>
      <c r="G1204" s="33" t="s">
        <v>1492</v>
      </c>
      <c r="H1204" s="41"/>
    </row>
    <row r="1205" spans="1:8" ht="30" x14ac:dyDescent="0.25">
      <c r="A1205" s="64" t="s">
        <v>217</v>
      </c>
      <c r="B1205" s="44" t="s">
        <v>219</v>
      </c>
      <c r="C1205" s="42" t="s">
        <v>327</v>
      </c>
      <c r="D1205" s="42"/>
      <c r="E1205" s="42" t="s">
        <v>1493</v>
      </c>
      <c r="F1205" s="52">
        <v>200</v>
      </c>
      <c r="G1205" s="42" t="s">
        <v>1492</v>
      </c>
    </row>
    <row r="1206" spans="1:8" ht="30" x14ac:dyDescent="0.25">
      <c r="A1206" s="64" t="s">
        <v>217</v>
      </c>
      <c r="B1206" s="37" t="s">
        <v>210</v>
      </c>
      <c r="C1206" s="33" t="s">
        <v>292</v>
      </c>
      <c r="D1206" s="33"/>
      <c r="E1206" s="33" t="s">
        <v>1493</v>
      </c>
      <c r="F1206" s="52">
        <v>200</v>
      </c>
      <c r="G1206" s="33" t="s">
        <v>1492</v>
      </c>
      <c r="H1206" s="41"/>
    </row>
    <row r="1207" spans="1:8" ht="30" x14ac:dyDescent="0.25">
      <c r="A1207" s="64" t="s">
        <v>217</v>
      </c>
      <c r="B1207" s="44" t="s">
        <v>215</v>
      </c>
      <c r="C1207" s="42" t="s">
        <v>783</v>
      </c>
      <c r="D1207" s="42"/>
      <c r="E1207" s="42" t="s">
        <v>1493</v>
      </c>
      <c r="F1207" s="52">
        <v>200</v>
      </c>
      <c r="G1207" s="42" t="s">
        <v>1492</v>
      </c>
    </row>
    <row r="1208" spans="1:8" ht="30" x14ac:dyDescent="0.25">
      <c r="A1208" s="64" t="s">
        <v>217</v>
      </c>
      <c r="B1208" s="37" t="s">
        <v>214</v>
      </c>
      <c r="C1208" s="33" t="s">
        <v>784</v>
      </c>
      <c r="D1208" s="33"/>
      <c r="E1208" s="33" t="s">
        <v>1493</v>
      </c>
      <c r="F1208" s="52">
        <v>200</v>
      </c>
      <c r="G1208" s="33" t="s">
        <v>1492</v>
      </c>
      <c r="H1208" s="41"/>
    </row>
    <row r="1209" spans="1:8" ht="30" x14ac:dyDescent="0.25">
      <c r="A1209" s="64" t="s">
        <v>217</v>
      </c>
      <c r="B1209" s="44" t="s">
        <v>209</v>
      </c>
      <c r="C1209" s="42" t="s">
        <v>785</v>
      </c>
      <c r="D1209" s="42"/>
      <c r="E1209" s="42" t="s">
        <v>1493</v>
      </c>
      <c r="F1209" s="52">
        <v>200</v>
      </c>
      <c r="G1209" s="42" t="s">
        <v>1492</v>
      </c>
    </row>
    <row r="1210" spans="1:8" ht="45" x14ac:dyDescent="0.25">
      <c r="A1210" s="64" t="s">
        <v>217</v>
      </c>
      <c r="B1210" s="37" t="s">
        <v>1387</v>
      </c>
      <c r="C1210" s="33" t="s">
        <v>1388</v>
      </c>
      <c r="D1210" s="33"/>
      <c r="E1210" s="33" t="s">
        <v>1493</v>
      </c>
      <c r="F1210" s="52">
        <v>200</v>
      </c>
      <c r="G1210" s="33" t="s">
        <v>1492</v>
      </c>
      <c r="H1210" s="41"/>
    </row>
    <row r="1211" spans="1:8" ht="45" x14ac:dyDescent="0.25">
      <c r="A1211" s="64" t="s">
        <v>217</v>
      </c>
      <c r="B1211" s="44" t="s">
        <v>1389</v>
      </c>
      <c r="C1211" s="42" t="s">
        <v>1390</v>
      </c>
      <c r="D1211" s="42"/>
      <c r="E1211" s="42" t="s">
        <v>1493</v>
      </c>
      <c r="F1211" s="52">
        <v>200</v>
      </c>
      <c r="G1211" s="42" t="s">
        <v>1492</v>
      </c>
    </row>
    <row r="1212" spans="1:8" ht="45" x14ac:dyDescent="0.25">
      <c r="A1212" s="64" t="s">
        <v>217</v>
      </c>
      <c r="B1212" s="37" t="s">
        <v>1391</v>
      </c>
      <c r="C1212" s="33" t="s">
        <v>1392</v>
      </c>
      <c r="D1212" s="33"/>
      <c r="E1212" s="33" t="s">
        <v>1493</v>
      </c>
      <c r="F1212" s="52">
        <v>200</v>
      </c>
      <c r="G1212" s="33" t="s">
        <v>1492</v>
      </c>
      <c r="H1212" s="41"/>
    </row>
    <row r="1213" spans="1:8" ht="45" x14ac:dyDescent="0.25">
      <c r="A1213" s="64" t="s">
        <v>217</v>
      </c>
      <c r="B1213" s="44" t="s">
        <v>1393</v>
      </c>
      <c r="C1213" s="42" t="s">
        <v>1394</v>
      </c>
      <c r="D1213" s="42"/>
      <c r="E1213" s="42" t="s">
        <v>1493</v>
      </c>
      <c r="F1213" s="52">
        <v>200</v>
      </c>
      <c r="G1213" s="42" t="s">
        <v>1492</v>
      </c>
    </row>
    <row r="1214" spans="1:8" ht="45" x14ac:dyDescent="0.25">
      <c r="A1214" s="64" t="s">
        <v>217</v>
      </c>
      <c r="B1214" s="37" t="s">
        <v>1395</v>
      </c>
      <c r="C1214" s="33" t="s">
        <v>1396</v>
      </c>
      <c r="D1214" s="33"/>
      <c r="E1214" s="33" t="s">
        <v>1493</v>
      </c>
      <c r="F1214" s="52">
        <v>200</v>
      </c>
      <c r="G1214" s="33" t="s">
        <v>1492</v>
      </c>
      <c r="H1214" s="41"/>
    </row>
    <row r="1215" spans="1:8" ht="45" x14ac:dyDescent="0.25">
      <c r="A1215" s="64" t="s">
        <v>217</v>
      </c>
      <c r="B1215" s="44" t="s">
        <v>1387</v>
      </c>
      <c r="C1215" s="42" t="s">
        <v>1397</v>
      </c>
      <c r="D1215" s="42"/>
      <c r="E1215" s="42" t="s">
        <v>1493</v>
      </c>
      <c r="F1215" s="52">
        <v>200</v>
      </c>
      <c r="G1215" s="42" t="s">
        <v>1492</v>
      </c>
    </row>
    <row r="1216" spans="1:8" ht="45" x14ac:dyDescent="0.25">
      <c r="A1216" s="64" t="s">
        <v>217</v>
      </c>
      <c r="B1216" s="37" t="s">
        <v>1398</v>
      </c>
      <c r="C1216" s="33" t="s">
        <v>1399</v>
      </c>
      <c r="D1216" s="33"/>
      <c r="E1216" s="33" t="s">
        <v>1493</v>
      </c>
      <c r="F1216" s="52">
        <v>200</v>
      </c>
      <c r="G1216" s="33" t="s">
        <v>1492</v>
      </c>
      <c r="H1216" s="41"/>
    </row>
    <row r="1217" spans="1:8" ht="45" x14ac:dyDescent="0.25">
      <c r="A1217" s="64" t="s">
        <v>217</v>
      </c>
      <c r="B1217" s="44" t="s">
        <v>1400</v>
      </c>
      <c r="C1217" s="42" t="s">
        <v>1401</v>
      </c>
      <c r="D1217" s="42"/>
      <c r="E1217" s="42" t="s">
        <v>1493</v>
      </c>
      <c r="F1217" s="52">
        <v>200</v>
      </c>
      <c r="G1217" s="42" t="s">
        <v>1492</v>
      </c>
    </row>
    <row r="1218" spans="1:8" ht="45" x14ac:dyDescent="0.25">
      <c r="A1218" s="64" t="s">
        <v>217</v>
      </c>
      <c r="B1218" s="37" t="s">
        <v>1402</v>
      </c>
      <c r="C1218" s="33" t="s">
        <v>1403</v>
      </c>
      <c r="D1218" s="33"/>
      <c r="E1218" s="33" t="s">
        <v>1493</v>
      </c>
      <c r="F1218" s="52">
        <v>200</v>
      </c>
      <c r="G1218" s="33" t="s">
        <v>1492</v>
      </c>
      <c r="H1218" s="41"/>
    </row>
    <row r="1219" spans="1:8" ht="30" x14ac:dyDescent="0.25">
      <c r="A1219" s="64" t="s">
        <v>217</v>
      </c>
      <c r="B1219" s="44" t="s">
        <v>629</v>
      </c>
      <c r="C1219" s="42" t="s">
        <v>630</v>
      </c>
      <c r="D1219" s="42"/>
      <c r="E1219" s="42" t="s">
        <v>1493</v>
      </c>
      <c r="F1219" s="52">
        <v>200</v>
      </c>
      <c r="G1219" s="42" t="s">
        <v>1492</v>
      </c>
    </row>
    <row r="1220" spans="1:8" ht="30" x14ac:dyDescent="0.25">
      <c r="A1220" s="64" t="s">
        <v>217</v>
      </c>
      <c r="B1220" s="37" t="s">
        <v>631</v>
      </c>
      <c r="C1220" s="33"/>
      <c r="D1220" s="33"/>
      <c r="E1220" s="33" t="s">
        <v>1491</v>
      </c>
      <c r="F1220" s="52">
        <v>200</v>
      </c>
      <c r="G1220" s="33" t="s">
        <v>1492</v>
      </c>
      <c r="H1220" s="41"/>
    </row>
    <row r="1221" spans="1:8" ht="30" x14ac:dyDescent="0.25">
      <c r="A1221" s="64" t="s">
        <v>217</v>
      </c>
      <c r="B1221" s="44" t="s">
        <v>632</v>
      </c>
      <c r="C1221" s="42"/>
      <c r="D1221" s="42"/>
      <c r="E1221" s="42" t="s">
        <v>1491</v>
      </c>
      <c r="F1221" s="52">
        <v>200</v>
      </c>
      <c r="G1221" s="42" t="s">
        <v>1492</v>
      </c>
    </row>
    <row r="1222" spans="1:8" ht="30" x14ac:dyDescent="0.25">
      <c r="A1222" s="64" t="s">
        <v>217</v>
      </c>
      <c r="B1222" s="37" t="s">
        <v>634</v>
      </c>
      <c r="C1222" s="33" t="s">
        <v>666</v>
      </c>
      <c r="D1222" s="33"/>
      <c r="E1222" s="33" t="s">
        <v>1493</v>
      </c>
      <c r="F1222" s="52">
        <v>200</v>
      </c>
      <c r="G1222" s="33" t="s">
        <v>1492</v>
      </c>
      <c r="H1222" s="41"/>
    </row>
    <row r="1223" spans="1:8" ht="30" x14ac:dyDescent="0.25">
      <c r="A1223" s="44" t="s">
        <v>217</v>
      </c>
      <c r="B1223" s="44" t="s">
        <v>636</v>
      </c>
      <c r="C1223" s="42" t="s">
        <v>637</v>
      </c>
      <c r="D1223" s="42"/>
      <c r="E1223" s="42" t="s">
        <v>1493</v>
      </c>
      <c r="F1223" s="34">
        <v>404</v>
      </c>
      <c r="G1223" s="42" t="s">
        <v>1492</v>
      </c>
    </row>
    <row r="1224" spans="1:8" ht="30" x14ac:dyDescent="0.25">
      <c r="A1224" s="37" t="s">
        <v>217</v>
      </c>
      <c r="B1224" s="37" t="s">
        <v>636</v>
      </c>
      <c r="C1224" s="33" t="s">
        <v>638</v>
      </c>
      <c r="D1224" s="33"/>
      <c r="E1224" s="33" t="s">
        <v>1493</v>
      </c>
      <c r="F1224" s="34">
        <v>404</v>
      </c>
      <c r="G1224" s="33" t="s">
        <v>1492</v>
      </c>
      <c r="H1224" s="41"/>
    </row>
    <row r="1225" spans="1:8" ht="30" x14ac:dyDescent="0.25">
      <c r="A1225" s="64" t="s">
        <v>219</v>
      </c>
      <c r="B1225" s="44" t="s">
        <v>176</v>
      </c>
      <c r="C1225" s="42" t="s">
        <v>781</v>
      </c>
      <c r="D1225" s="42"/>
      <c r="E1225" s="42" t="s">
        <v>1493</v>
      </c>
      <c r="F1225" s="52">
        <v>200</v>
      </c>
      <c r="G1225" s="42" t="s">
        <v>1492</v>
      </c>
    </row>
    <row r="1226" spans="1:8" ht="30" x14ac:dyDescent="0.25">
      <c r="A1226" s="64" t="s">
        <v>219</v>
      </c>
      <c r="B1226" s="37" t="s">
        <v>209</v>
      </c>
      <c r="C1226" s="33" t="s">
        <v>782</v>
      </c>
      <c r="D1226" s="33"/>
      <c r="E1226" s="33" t="s">
        <v>1493</v>
      </c>
      <c r="F1226" s="52">
        <v>200</v>
      </c>
      <c r="G1226" s="33" t="s">
        <v>1492</v>
      </c>
      <c r="H1226" s="41"/>
    </row>
    <row r="1227" spans="1:8" ht="30" x14ac:dyDescent="0.25">
      <c r="A1227" s="64" t="s">
        <v>219</v>
      </c>
      <c r="B1227" s="44" t="s">
        <v>217</v>
      </c>
      <c r="C1227" s="42" t="s">
        <v>321</v>
      </c>
      <c r="D1227" s="42"/>
      <c r="E1227" s="42" t="s">
        <v>1493</v>
      </c>
      <c r="F1227" s="52">
        <v>200</v>
      </c>
      <c r="G1227" s="42" t="s">
        <v>1492</v>
      </c>
    </row>
    <row r="1228" spans="1:8" ht="30" x14ac:dyDescent="0.25">
      <c r="A1228" s="64" t="s">
        <v>219</v>
      </c>
      <c r="B1228" s="37" t="s">
        <v>219</v>
      </c>
      <c r="C1228" s="33" t="s">
        <v>327</v>
      </c>
      <c r="D1228" s="33"/>
      <c r="E1228" s="33" t="s">
        <v>1493</v>
      </c>
      <c r="F1228" s="52">
        <v>200</v>
      </c>
      <c r="G1228" s="33" t="s">
        <v>1492</v>
      </c>
      <c r="H1228" s="41"/>
    </row>
    <row r="1229" spans="1:8" ht="30" x14ac:dyDescent="0.25">
      <c r="A1229" s="64" t="s">
        <v>219</v>
      </c>
      <c r="B1229" s="44" t="s">
        <v>210</v>
      </c>
      <c r="C1229" s="42" t="s">
        <v>292</v>
      </c>
      <c r="D1229" s="42"/>
      <c r="E1229" s="42" t="s">
        <v>1493</v>
      </c>
      <c r="F1229" s="52">
        <v>200</v>
      </c>
      <c r="G1229" s="42" t="s">
        <v>1492</v>
      </c>
    </row>
    <row r="1230" spans="1:8" ht="30" x14ac:dyDescent="0.25">
      <c r="A1230" s="64" t="s">
        <v>219</v>
      </c>
      <c r="B1230" s="37" t="s">
        <v>215</v>
      </c>
      <c r="C1230" s="33" t="s">
        <v>783</v>
      </c>
      <c r="D1230" s="33"/>
      <c r="E1230" s="33" t="s">
        <v>1493</v>
      </c>
      <c r="F1230" s="52">
        <v>200</v>
      </c>
      <c r="G1230" s="33" t="s">
        <v>1492</v>
      </c>
      <c r="H1230" s="41"/>
    </row>
    <row r="1231" spans="1:8" ht="30" x14ac:dyDescent="0.25">
      <c r="A1231" s="64" t="s">
        <v>219</v>
      </c>
      <c r="B1231" s="44" t="s">
        <v>214</v>
      </c>
      <c r="C1231" s="42" t="s">
        <v>784</v>
      </c>
      <c r="D1231" s="42"/>
      <c r="E1231" s="42" t="s">
        <v>1493</v>
      </c>
      <c r="F1231" s="52">
        <v>200</v>
      </c>
      <c r="G1231" s="42" t="s">
        <v>1492</v>
      </c>
    </row>
    <row r="1232" spans="1:8" ht="30" x14ac:dyDescent="0.25">
      <c r="A1232" s="64" t="s">
        <v>219</v>
      </c>
      <c r="B1232" s="37" t="s">
        <v>176</v>
      </c>
      <c r="C1232" s="33" t="s">
        <v>781</v>
      </c>
      <c r="D1232" s="33"/>
      <c r="E1232" s="33" t="s">
        <v>1493</v>
      </c>
      <c r="F1232" s="52">
        <v>200</v>
      </c>
      <c r="G1232" s="33" t="s">
        <v>1492</v>
      </c>
      <c r="H1232" s="41"/>
    </row>
    <row r="1233" spans="1:8" ht="30" x14ac:dyDescent="0.25">
      <c r="A1233" s="64" t="s">
        <v>219</v>
      </c>
      <c r="B1233" s="44" t="s">
        <v>209</v>
      </c>
      <c r="C1233" s="42" t="s">
        <v>782</v>
      </c>
      <c r="D1233" s="42"/>
      <c r="E1233" s="42" t="s">
        <v>1493</v>
      </c>
      <c r="F1233" s="52">
        <v>200</v>
      </c>
      <c r="G1233" s="42" t="s">
        <v>1492</v>
      </c>
    </row>
    <row r="1234" spans="1:8" ht="30" x14ac:dyDescent="0.25">
      <c r="A1234" s="64" t="s">
        <v>219</v>
      </c>
      <c r="B1234" s="37" t="s">
        <v>217</v>
      </c>
      <c r="C1234" s="33" t="s">
        <v>321</v>
      </c>
      <c r="D1234" s="33"/>
      <c r="E1234" s="33" t="s">
        <v>1493</v>
      </c>
      <c r="F1234" s="52">
        <v>200</v>
      </c>
      <c r="G1234" s="33" t="s">
        <v>1492</v>
      </c>
      <c r="H1234" s="41"/>
    </row>
    <row r="1235" spans="1:8" ht="30" x14ac:dyDescent="0.25">
      <c r="A1235" s="64" t="s">
        <v>219</v>
      </c>
      <c r="B1235" s="44" t="s">
        <v>219</v>
      </c>
      <c r="C1235" s="42" t="s">
        <v>327</v>
      </c>
      <c r="D1235" s="42"/>
      <c r="E1235" s="42" t="s">
        <v>1493</v>
      </c>
      <c r="F1235" s="52">
        <v>200</v>
      </c>
      <c r="G1235" s="42" t="s">
        <v>1492</v>
      </c>
    </row>
    <row r="1236" spans="1:8" ht="30" x14ac:dyDescent="0.25">
      <c r="A1236" s="64" t="s">
        <v>219</v>
      </c>
      <c r="B1236" s="37" t="s">
        <v>210</v>
      </c>
      <c r="C1236" s="33" t="s">
        <v>292</v>
      </c>
      <c r="D1236" s="33"/>
      <c r="E1236" s="33" t="s">
        <v>1493</v>
      </c>
      <c r="F1236" s="52">
        <v>200</v>
      </c>
      <c r="G1236" s="33" t="s">
        <v>1492</v>
      </c>
      <c r="H1236" s="41"/>
    </row>
    <row r="1237" spans="1:8" ht="30" x14ac:dyDescent="0.25">
      <c r="A1237" s="64" t="s">
        <v>219</v>
      </c>
      <c r="B1237" s="44" t="s">
        <v>215</v>
      </c>
      <c r="C1237" s="42" t="s">
        <v>783</v>
      </c>
      <c r="D1237" s="42"/>
      <c r="E1237" s="42" t="s">
        <v>1493</v>
      </c>
      <c r="F1237" s="52">
        <v>200</v>
      </c>
      <c r="G1237" s="42" t="s">
        <v>1492</v>
      </c>
    </row>
    <row r="1238" spans="1:8" ht="30" x14ac:dyDescent="0.25">
      <c r="A1238" s="64" t="s">
        <v>219</v>
      </c>
      <c r="B1238" s="37" t="s">
        <v>214</v>
      </c>
      <c r="C1238" s="33" t="s">
        <v>784</v>
      </c>
      <c r="D1238" s="33"/>
      <c r="E1238" s="33" t="s">
        <v>1493</v>
      </c>
      <c r="F1238" s="52">
        <v>200</v>
      </c>
      <c r="G1238" s="33" t="s">
        <v>1492</v>
      </c>
      <c r="H1238" s="41"/>
    </row>
    <row r="1239" spans="1:8" ht="30" x14ac:dyDescent="0.25">
      <c r="A1239" s="64" t="s">
        <v>219</v>
      </c>
      <c r="B1239" s="44" t="s">
        <v>209</v>
      </c>
      <c r="C1239" s="42" t="s">
        <v>785</v>
      </c>
      <c r="D1239" s="42"/>
      <c r="E1239" s="42" t="s">
        <v>1493</v>
      </c>
      <c r="F1239" s="52">
        <v>200</v>
      </c>
      <c r="G1239" s="42" t="s">
        <v>1492</v>
      </c>
    </row>
    <row r="1240" spans="1:8" ht="30" x14ac:dyDescent="0.25">
      <c r="A1240" s="64" t="s">
        <v>219</v>
      </c>
      <c r="B1240" s="37" t="s">
        <v>629</v>
      </c>
      <c r="C1240" s="33" t="s">
        <v>630</v>
      </c>
      <c r="D1240" s="33"/>
      <c r="E1240" s="33" t="s">
        <v>1493</v>
      </c>
      <c r="F1240" s="52">
        <v>200</v>
      </c>
      <c r="G1240" s="33" t="s">
        <v>1492</v>
      </c>
      <c r="H1240" s="41"/>
    </row>
    <row r="1241" spans="1:8" ht="30" x14ac:dyDescent="0.25">
      <c r="A1241" s="64" t="s">
        <v>219</v>
      </c>
      <c r="B1241" s="44" t="s">
        <v>631</v>
      </c>
      <c r="C1241" s="42"/>
      <c r="D1241" s="42"/>
      <c r="E1241" s="42" t="s">
        <v>1491</v>
      </c>
      <c r="F1241" s="52">
        <v>200</v>
      </c>
      <c r="G1241" s="42" t="s">
        <v>1492</v>
      </c>
    </row>
    <row r="1242" spans="1:8" ht="30" x14ac:dyDescent="0.25">
      <c r="A1242" s="64" t="s">
        <v>219</v>
      </c>
      <c r="B1242" s="37" t="s">
        <v>632</v>
      </c>
      <c r="C1242" s="33"/>
      <c r="D1242" s="33"/>
      <c r="E1242" s="33" t="s">
        <v>1491</v>
      </c>
      <c r="F1242" s="52">
        <v>200</v>
      </c>
      <c r="G1242" s="33" t="s">
        <v>1492</v>
      </c>
      <c r="H1242" s="41"/>
    </row>
    <row r="1243" spans="1:8" ht="30" x14ac:dyDescent="0.25">
      <c r="A1243" s="64" t="s">
        <v>219</v>
      </c>
      <c r="B1243" s="44" t="s">
        <v>634</v>
      </c>
      <c r="C1243" s="42" t="s">
        <v>666</v>
      </c>
      <c r="D1243" s="42"/>
      <c r="E1243" s="42" t="s">
        <v>1493</v>
      </c>
      <c r="F1243" s="52">
        <v>200</v>
      </c>
      <c r="G1243" s="42" t="s">
        <v>1492</v>
      </c>
    </row>
    <row r="1244" spans="1:8" ht="30" x14ac:dyDescent="0.25">
      <c r="A1244" s="37" t="s">
        <v>219</v>
      </c>
      <c r="B1244" s="37" t="s">
        <v>636</v>
      </c>
      <c r="C1244" s="33" t="s">
        <v>637</v>
      </c>
      <c r="D1244" s="33"/>
      <c r="E1244" s="33" t="s">
        <v>1493</v>
      </c>
      <c r="F1244" s="34">
        <v>404</v>
      </c>
      <c r="G1244" s="33" t="s">
        <v>1492</v>
      </c>
      <c r="H1244" s="41"/>
    </row>
    <row r="1245" spans="1:8" ht="30" x14ac:dyDescent="0.25">
      <c r="A1245" s="44" t="s">
        <v>219</v>
      </c>
      <c r="B1245" s="44" t="s">
        <v>636</v>
      </c>
      <c r="C1245" s="42" t="s">
        <v>638</v>
      </c>
      <c r="D1245" s="42"/>
      <c r="E1245" s="42" t="s">
        <v>1493</v>
      </c>
      <c r="F1245" s="34">
        <v>404</v>
      </c>
      <c r="G1245" s="42" t="s">
        <v>1492</v>
      </c>
    </row>
    <row r="1246" spans="1:8" ht="30" x14ac:dyDescent="0.25">
      <c r="A1246" s="64" t="s">
        <v>218</v>
      </c>
      <c r="B1246" s="37" t="s">
        <v>615</v>
      </c>
      <c r="C1246" s="33"/>
      <c r="D1246" s="33"/>
      <c r="E1246" s="33" t="s">
        <v>1491</v>
      </c>
      <c r="F1246" s="52">
        <v>200</v>
      </c>
      <c r="G1246" s="33" t="s">
        <v>1492</v>
      </c>
      <c r="H1246" s="41"/>
    </row>
    <row r="1247" spans="1:8" ht="30" x14ac:dyDescent="0.25">
      <c r="A1247" s="64" t="s">
        <v>218</v>
      </c>
      <c r="B1247" s="44" t="s">
        <v>617</v>
      </c>
      <c r="C1247" s="42" t="s">
        <v>618</v>
      </c>
      <c r="D1247" s="42"/>
      <c r="E1247" s="42" t="s">
        <v>1493</v>
      </c>
      <c r="F1247" s="52">
        <v>200</v>
      </c>
      <c r="G1247" s="42" t="s">
        <v>1492</v>
      </c>
    </row>
    <row r="1248" spans="1:8" ht="30" x14ac:dyDescent="0.25">
      <c r="A1248" s="64" t="s">
        <v>218</v>
      </c>
      <c r="B1248" s="37" t="s">
        <v>619</v>
      </c>
      <c r="C1248" s="33" t="s">
        <v>620</v>
      </c>
      <c r="D1248" s="33"/>
      <c r="E1248" s="33" t="s">
        <v>1493</v>
      </c>
      <c r="F1248" s="52">
        <v>200</v>
      </c>
      <c r="G1248" s="33" t="s">
        <v>1492</v>
      </c>
      <c r="H1248" s="41"/>
    </row>
    <row r="1249" spans="1:8" ht="30" x14ac:dyDescent="0.25">
      <c r="A1249" s="64" t="s">
        <v>218</v>
      </c>
      <c r="B1249" s="44" t="s">
        <v>621</v>
      </c>
      <c r="C1249" s="42" t="s">
        <v>622</v>
      </c>
      <c r="D1249" s="42"/>
      <c r="E1249" s="42" t="s">
        <v>1493</v>
      </c>
      <c r="F1249" s="52">
        <v>200</v>
      </c>
      <c r="G1249" s="42" t="s">
        <v>1492</v>
      </c>
    </row>
    <row r="1250" spans="1:8" ht="30" x14ac:dyDescent="0.25">
      <c r="A1250" s="64" t="s">
        <v>218</v>
      </c>
      <c r="B1250" s="37" t="s">
        <v>623</v>
      </c>
      <c r="C1250" s="33" t="s">
        <v>624</v>
      </c>
      <c r="D1250" s="33"/>
      <c r="E1250" s="33" t="s">
        <v>1493</v>
      </c>
      <c r="F1250" s="52">
        <v>200</v>
      </c>
      <c r="G1250" s="33" t="s">
        <v>1492</v>
      </c>
      <c r="H1250" s="41"/>
    </row>
    <row r="1251" spans="1:8" ht="30" x14ac:dyDescent="0.25">
      <c r="A1251" s="64" t="s">
        <v>218</v>
      </c>
      <c r="B1251" s="44" t="s">
        <v>625</v>
      </c>
      <c r="C1251" s="42" t="s">
        <v>626</v>
      </c>
      <c r="D1251" s="42"/>
      <c r="E1251" s="42" t="s">
        <v>1493</v>
      </c>
      <c r="F1251" s="52">
        <v>200</v>
      </c>
      <c r="G1251" s="42" t="s">
        <v>1492</v>
      </c>
    </row>
    <row r="1252" spans="1:8" ht="30" x14ac:dyDescent="0.25">
      <c r="A1252" s="64" t="s">
        <v>218</v>
      </c>
      <c r="B1252" s="37" t="s">
        <v>627</v>
      </c>
      <c r="C1252" s="33" t="s">
        <v>628</v>
      </c>
      <c r="D1252" s="33"/>
      <c r="E1252" s="33" t="s">
        <v>1493</v>
      </c>
      <c r="F1252" s="52">
        <v>200</v>
      </c>
      <c r="G1252" s="33" t="s">
        <v>1492</v>
      </c>
      <c r="H1252" s="41"/>
    </row>
    <row r="1253" spans="1:8" ht="30" x14ac:dyDescent="0.25">
      <c r="A1253" s="64" t="s">
        <v>218</v>
      </c>
      <c r="B1253" s="44" t="s">
        <v>617</v>
      </c>
      <c r="C1253" s="42" t="s">
        <v>618</v>
      </c>
      <c r="D1253" s="42"/>
      <c r="E1253" s="42" t="s">
        <v>1493</v>
      </c>
      <c r="F1253" s="52">
        <v>200</v>
      </c>
      <c r="G1253" s="42" t="s">
        <v>1492</v>
      </c>
    </row>
    <row r="1254" spans="1:8" ht="30" x14ac:dyDescent="0.25">
      <c r="A1254" s="64" t="s">
        <v>218</v>
      </c>
      <c r="B1254" s="37" t="s">
        <v>619</v>
      </c>
      <c r="C1254" s="33" t="s">
        <v>620</v>
      </c>
      <c r="D1254" s="33"/>
      <c r="E1254" s="33" t="s">
        <v>1493</v>
      </c>
      <c r="F1254" s="52">
        <v>200</v>
      </c>
      <c r="G1254" s="33" t="s">
        <v>1492</v>
      </c>
      <c r="H1254" s="41"/>
    </row>
    <row r="1255" spans="1:8" ht="30" x14ac:dyDescent="0.25">
      <c r="A1255" s="64" t="s">
        <v>218</v>
      </c>
      <c r="B1255" s="44" t="s">
        <v>621</v>
      </c>
      <c r="C1255" s="42" t="s">
        <v>622</v>
      </c>
      <c r="D1255" s="42"/>
      <c r="E1255" s="42" t="s">
        <v>1493</v>
      </c>
      <c r="F1255" s="52">
        <v>200</v>
      </c>
      <c r="G1255" s="42" t="s">
        <v>1492</v>
      </c>
    </row>
    <row r="1256" spans="1:8" ht="30" x14ac:dyDescent="0.25">
      <c r="A1256" s="64" t="s">
        <v>218</v>
      </c>
      <c r="B1256" s="37" t="s">
        <v>623</v>
      </c>
      <c r="C1256" s="33" t="s">
        <v>624</v>
      </c>
      <c r="D1256" s="33"/>
      <c r="E1256" s="33" t="s">
        <v>1493</v>
      </c>
      <c r="F1256" s="52">
        <v>200</v>
      </c>
      <c r="G1256" s="33" t="s">
        <v>1492</v>
      </c>
      <c r="H1256" s="41"/>
    </row>
    <row r="1257" spans="1:8" ht="30" x14ac:dyDescent="0.25">
      <c r="A1257" s="64" t="s">
        <v>218</v>
      </c>
      <c r="B1257" s="44" t="s">
        <v>625</v>
      </c>
      <c r="C1257" s="42" t="s">
        <v>626</v>
      </c>
      <c r="D1257" s="42"/>
      <c r="E1257" s="42" t="s">
        <v>1493</v>
      </c>
      <c r="F1257" s="52">
        <v>200</v>
      </c>
      <c r="G1257" s="42" t="s">
        <v>1492</v>
      </c>
    </row>
    <row r="1258" spans="1:8" ht="30" x14ac:dyDescent="0.25">
      <c r="A1258" s="64" t="s">
        <v>218</v>
      </c>
      <c r="B1258" s="37" t="s">
        <v>627</v>
      </c>
      <c r="C1258" s="33" t="s">
        <v>628</v>
      </c>
      <c r="D1258" s="33"/>
      <c r="E1258" s="33" t="s">
        <v>1493</v>
      </c>
      <c r="F1258" s="52">
        <v>200</v>
      </c>
      <c r="G1258" s="33" t="s">
        <v>1492</v>
      </c>
      <c r="H1258" s="41"/>
    </row>
    <row r="1259" spans="1:8" ht="30" x14ac:dyDescent="0.25">
      <c r="A1259" s="64" t="s">
        <v>218</v>
      </c>
      <c r="B1259" s="44" t="s">
        <v>1404</v>
      </c>
      <c r="C1259" s="42"/>
      <c r="D1259" s="42"/>
      <c r="E1259" s="42" t="s">
        <v>1493</v>
      </c>
      <c r="F1259" s="52">
        <v>200</v>
      </c>
      <c r="G1259" s="42" t="s">
        <v>1492</v>
      </c>
    </row>
    <row r="1260" spans="1:8" ht="30" x14ac:dyDescent="0.25">
      <c r="A1260" s="64" t="s">
        <v>218</v>
      </c>
      <c r="B1260" s="37" t="s">
        <v>1404</v>
      </c>
      <c r="C1260" s="33" t="s">
        <v>1405</v>
      </c>
      <c r="D1260" s="33"/>
      <c r="E1260" s="33" t="s">
        <v>1493</v>
      </c>
      <c r="F1260" s="52">
        <v>200</v>
      </c>
      <c r="G1260" s="33" t="s">
        <v>1492</v>
      </c>
      <c r="H1260" s="41"/>
    </row>
    <row r="1261" spans="1:8" ht="30" x14ac:dyDescent="0.25">
      <c r="A1261" s="64" t="s">
        <v>218</v>
      </c>
      <c r="B1261" s="44" t="s">
        <v>1406</v>
      </c>
      <c r="C1261" s="42"/>
      <c r="D1261" s="42"/>
      <c r="E1261" s="42" t="s">
        <v>1493</v>
      </c>
      <c r="F1261" s="52">
        <v>200</v>
      </c>
      <c r="G1261" s="42" t="s">
        <v>1492</v>
      </c>
    </row>
    <row r="1262" spans="1:8" ht="30" x14ac:dyDescent="0.25">
      <c r="A1262" s="64" t="s">
        <v>218</v>
      </c>
      <c r="B1262" s="37" t="s">
        <v>1406</v>
      </c>
      <c r="C1262" s="33" t="s">
        <v>1407</v>
      </c>
      <c r="D1262" s="33"/>
      <c r="E1262" s="33" t="s">
        <v>1493</v>
      </c>
      <c r="F1262" s="52">
        <v>200</v>
      </c>
      <c r="G1262" s="33" t="s">
        <v>1492</v>
      </c>
      <c r="H1262" s="41"/>
    </row>
    <row r="1263" spans="1:8" ht="30" x14ac:dyDescent="0.25">
      <c r="A1263" s="64" t="s">
        <v>218</v>
      </c>
      <c r="B1263" s="44" t="s">
        <v>1408</v>
      </c>
      <c r="C1263" s="42"/>
      <c r="D1263" s="42"/>
      <c r="E1263" s="42" t="s">
        <v>1493</v>
      </c>
      <c r="F1263" s="52">
        <v>200</v>
      </c>
      <c r="G1263" s="42" t="s">
        <v>1492</v>
      </c>
    </row>
    <row r="1264" spans="1:8" ht="30" x14ac:dyDescent="0.25">
      <c r="A1264" s="64" t="s">
        <v>218</v>
      </c>
      <c r="B1264" s="37" t="s">
        <v>1408</v>
      </c>
      <c r="C1264" s="33" t="s">
        <v>1409</v>
      </c>
      <c r="D1264" s="33"/>
      <c r="E1264" s="33" t="s">
        <v>1493</v>
      </c>
      <c r="F1264" s="52">
        <v>200</v>
      </c>
      <c r="G1264" s="33" t="s">
        <v>1492</v>
      </c>
      <c r="H1264" s="41"/>
    </row>
    <row r="1265" spans="1:8" ht="30" x14ac:dyDescent="0.25">
      <c r="A1265" s="64" t="s">
        <v>218</v>
      </c>
      <c r="B1265" s="44" t="s">
        <v>1410</v>
      </c>
      <c r="C1265" s="42"/>
      <c r="D1265" s="42"/>
      <c r="E1265" s="42" t="s">
        <v>1493</v>
      </c>
      <c r="F1265" s="52">
        <v>200</v>
      </c>
      <c r="G1265" s="42" t="s">
        <v>1492</v>
      </c>
    </row>
    <row r="1266" spans="1:8" ht="30" x14ac:dyDescent="0.25">
      <c r="A1266" s="64" t="s">
        <v>218</v>
      </c>
      <c r="B1266" s="37" t="s">
        <v>1410</v>
      </c>
      <c r="C1266" s="33" t="s">
        <v>1411</v>
      </c>
      <c r="D1266" s="33"/>
      <c r="E1266" s="33" t="s">
        <v>1493</v>
      </c>
      <c r="F1266" s="52">
        <v>200</v>
      </c>
      <c r="G1266" s="33" t="s">
        <v>1492</v>
      </c>
      <c r="H1266" s="41"/>
    </row>
    <row r="1267" spans="1:8" ht="30" x14ac:dyDescent="0.25">
      <c r="A1267" s="64" t="s">
        <v>218</v>
      </c>
      <c r="B1267" s="44" t="s">
        <v>629</v>
      </c>
      <c r="C1267" s="42" t="s">
        <v>630</v>
      </c>
      <c r="D1267" s="42"/>
      <c r="E1267" s="42" t="s">
        <v>1493</v>
      </c>
      <c r="F1267" s="52">
        <v>200</v>
      </c>
      <c r="G1267" s="42" t="s">
        <v>1492</v>
      </c>
    </row>
    <row r="1268" spans="1:8" ht="30" x14ac:dyDescent="0.25">
      <c r="A1268" s="64" t="s">
        <v>218</v>
      </c>
      <c r="B1268" s="37" t="s">
        <v>631</v>
      </c>
      <c r="C1268" s="33"/>
      <c r="D1268" s="33"/>
      <c r="E1268" s="33" t="s">
        <v>1491</v>
      </c>
      <c r="F1268" s="52">
        <v>200</v>
      </c>
      <c r="G1268" s="33" t="s">
        <v>1492</v>
      </c>
      <c r="H1268" s="41"/>
    </row>
    <row r="1269" spans="1:8" ht="30" x14ac:dyDescent="0.25">
      <c r="A1269" s="64" t="s">
        <v>218</v>
      </c>
      <c r="B1269" s="44" t="s">
        <v>632</v>
      </c>
      <c r="C1269" s="42"/>
      <c r="D1269" s="42"/>
      <c r="E1269" s="42" t="s">
        <v>1491</v>
      </c>
      <c r="F1269" s="52">
        <v>200</v>
      </c>
      <c r="G1269" s="42" t="s">
        <v>1492</v>
      </c>
    </row>
    <row r="1270" spans="1:8" ht="30" x14ac:dyDescent="0.25">
      <c r="A1270" s="37" t="s">
        <v>218</v>
      </c>
      <c r="B1270" s="37" t="s">
        <v>633</v>
      </c>
      <c r="C1270" s="33"/>
      <c r="D1270" s="33"/>
      <c r="E1270" s="33" t="s">
        <v>1491</v>
      </c>
      <c r="F1270" s="34">
        <v>403</v>
      </c>
      <c r="G1270" s="33" t="s">
        <v>1492</v>
      </c>
      <c r="H1270" s="41"/>
    </row>
    <row r="1271" spans="1:8" ht="30" x14ac:dyDescent="0.25">
      <c r="A1271" s="44" t="s">
        <v>218</v>
      </c>
      <c r="B1271" s="44" t="s">
        <v>779</v>
      </c>
      <c r="C1271" s="42"/>
      <c r="D1271" s="42"/>
      <c r="E1271" s="42" t="s">
        <v>1493</v>
      </c>
      <c r="F1271" s="34">
        <v>404</v>
      </c>
      <c r="G1271" s="42" t="s">
        <v>1492</v>
      </c>
    </row>
    <row r="1272" spans="1:8" ht="30" x14ac:dyDescent="0.25">
      <c r="A1272" s="37" t="s">
        <v>218</v>
      </c>
      <c r="B1272" s="37" t="s">
        <v>779</v>
      </c>
      <c r="C1272" s="33" t="s">
        <v>780</v>
      </c>
      <c r="D1272" s="33"/>
      <c r="E1272" s="33" t="s">
        <v>1493</v>
      </c>
      <c r="F1272" s="34">
        <v>404</v>
      </c>
      <c r="G1272" s="33" t="s">
        <v>1492</v>
      </c>
      <c r="H1272" s="41"/>
    </row>
    <row r="1273" spans="1:8" ht="30" x14ac:dyDescent="0.25">
      <c r="A1273" s="64" t="s">
        <v>218</v>
      </c>
      <c r="B1273" s="44" t="s">
        <v>634</v>
      </c>
      <c r="C1273" s="42" t="s">
        <v>635</v>
      </c>
      <c r="D1273" s="42"/>
      <c r="E1273" s="42" t="s">
        <v>1493</v>
      </c>
      <c r="F1273" s="52">
        <v>200</v>
      </c>
      <c r="G1273" s="42" t="s">
        <v>1492</v>
      </c>
    </row>
    <row r="1274" spans="1:8" ht="30" x14ac:dyDescent="0.25">
      <c r="A1274" s="37" t="s">
        <v>218</v>
      </c>
      <c r="B1274" s="37" t="s">
        <v>636</v>
      </c>
      <c r="C1274" s="33" t="s">
        <v>637</v>
      </c>
      <c r="D1274" s="33"/>
      <c r="E1274" s="33" t="s">
        <v>1493</v>
      </c>
      <c r="F1274" s="34">
        <v>404</v>
      </c>
      <c r="G1274" s="33" t="s">
        <v>1492</v>
      </c>
      <c r="H1274" s="41"/>
    </row>
    <row r="1275" spans="1:8" ht="30" x14ac:dyDescent="0.25">
      <c r="A1275" s="44" t="s">
        <v>218</v>
      </c>
      <c r="B1275" s="44" t="s">
        <v>636</v>
      </c>
      <c r="C1275" s="42" t="s">
        <v>638</v>
      </c>
      <c r="D1275" s="42"/>
      <c r="E1275" s="42" t="s">
        <v>1493</v>
      </c>
      <c r="F1275" s="34">
        <v>404</v>
      </c>
      <c r="G1275" s="42" t="s">
        <v>1492</v>
      </c>
    </row>
    <row r="1276" spans="1:8" ht="30" x14ac:dyDescent="0.25">
      <c r="A1276" s="64" t="s">
        <v>189</v>
      </c>
      <c r="B1276" s="37" t="s">
        <v>615</v>
      </c>
      <c r="C1276" s="33"/>
      <c r="D1276" s="33"/>
      <c r="E1276" s="33" t="s">
        <v>1491</v>
      </c>
      <c r="F1276" s="52">
        <v>200</v>
      </c>
      <c r="G1276" s="33" t="s">
        <v>1492</v>
      </c>
      <c r="H1276" s="41"/>
    </row>
    <row r="1277" spans="1:8" ht="30" x14ac:dyDescent="0.25">
      <c r="A1277" s="64" t="s">
        <v>189</v>
      </c>
      <c r="B1277" s="44" t="s">
        <v>617</v>
      </c>
      <c r="C1277" s="42" t="s">
        <v>618</v>
      </c>
      <c r="D1277" s="42"/>
      <c r="E1277" s="42" t="s">
        <v>1493</v>
      </c>
      <c r="F1277" s="52">
        <v>200</v>
      </c>
      <c r="G1277" s="42" t="s">
        <v>1492</v>
      </c>
    </row>
    <row r="1278" spans="1:8" ht="30" x14ac:dyDescent="0.25">
      <c r="A1278" s="64" t="s">
        <v>189</v>
      </c>
      <c r="B1278" s="37" t="s">
        <v>619</v>
      </c>
      <c r="C1278" s="33" t="s">
        <v>620</v>
      </c>
      <c r="D1278" s="33"/>
      <c r="E1278" s="33" t="s">
        <v>1493</v>
      </c>
      <c r="F1278" s="52">
        <v>200</v>
      </c>
      <c r="G1278" s="33" t="s">
        <v>1492</v>
      </c>
      <c r="H1278" s="41"/>
    </row>
    <row r="1279" spans="1:8" ht="30" x14ac:dyDescent="0.25">
      <c r="A1279" s="64" t="s">
        <v>189</v>
      </c>
      <c r="B1279" s="44" t="s">
        <v>621</v>
      </c>
      <c r="C1279" s="42" t="s">
        <v>622</v>
      </c>
      <c r="D1279" s="42"/>
      <c r="E1279" s="42" t="s">
        <v>1493</v>
      </c>
      <c r="F1279" s="52">
        <v>200</v>
      </c>
      <c r="G1279" s="42" t="s">
        <v>1492</v>
      </c>
    </row>
    <row r="1280" spans="1:8" ht="30" x14ac:dyDescent="0.25">
      <c r="A1280" s="64" t="s">
        <v>189</v>
      </c>
      <c r="B1280" s="37" t="s">
        <v>623</v>
      </c>
      <c r="C1280" s="33" t="s">
        <v>624</v>
      </c>
      <c r="D1280" s="33"/>
      <c r="E1280" s="33" t="s">
        <v>1493</v>
      </c>
      <c r="F1280" s="52">
        <v>200</v>
      </c>
      <c r="G1280" s="33" t="s">
        <v>1492</v>
      </c>
      <c r="H1280" s="41"/>
    </row>
    <row r="1281" spans="1:8" ht="30" x14ac:dyDescent="0.25">
      <c r="A1281" s="64" t="s">
        <v>189</v>
      </c>
      <c r="B1281" s="44" t="s">
        <v>625</v>
      </c>
      <c r="C1281" s="42" t="s">
        <v>626</v>
      </c>
      <c r="D1281" s="42"/>
      <c r="E1281" s="42" t="s">
        <v>1493</v>
      </c>
      <c r="F1281" s="52">
        <v>200</v>
      </c>
      <c r="G1281" s="42" t="s">
        <v>1492</v>
      </c>
    </row>
    <row r="1282" spans="1:8" ht="30" x14ac:dyDescent="0.25">
      <c r="A1282" s="64" t="s">
        <v>189</v>
      </c>
      <c r="B1282" s="37" t="s">
        <v>627</v>
      </c>
      <c r="C1282" s="33" t="s">
        <v>628</v>
      </c>
      <c r="D1282" s="33"/>
      <c r="E1282" s="33" t="s">
        <v>1493</v>
      </c>
      <c r="F1282" s="52">
        <v>200</v>
      </c>
      <c r="G1282" s="33" t="s">
        <v>1492</v>
      </c>
      <c r="H1282" s="41"/>
    </row>
    <row r="1283" spans="1:8" ht="30" x14ac:dyDescent="0.25">
      <c r="A1283" s="64" t="s">
        <v>189</v>
      </c>
      <c r="B1283" s="44" t="s">
        <v>617</v>
      </c>
      <c r="C1283" s="42" t="s">
        <v>618</v>
      </c>
      <c r="D1283" s="42"/>
      <c r="E1283" s="42" t="s">
        <v>1493</v>
      </c>
      <c r="F1283" s="52">
        <v>200</v>
      </c>
      <c r="G1283" s="42" t="s">
        <v>1492</v>
      </c>
    </row>
    <row r="1284" spans="1:8" ht="30" x14ac:dyDescent="0.25">
      <c r="A1284" s="64" t="s">
        <v>189</v>
      </c>
      <c r="B1284" s="37" t="s">
        <v>619</v>
      </c>
      <c r="C1284" s="33" t="s">
        <v>620</v>
      </c>
      <c r="D1284" s="33"/>
      <c r="E1284" s="33" t="s">
        <v>1493</v>
      </c>
      <c r="F1284" s="52">
        <v>200</v>
      </c>
      <c r="G1284" s="33" t="s">
        <v>1492</v>
      </c>
      <c r="H1284" s="41"/>
    </row>
    <row r="1285" spans="1:8" ht="30" x14ac:dyDescent="0.25">
      <c r="A1285" s="64" t="s">
        <v>189</v>
      </c>
      <c r="B1285" s="44" t="s">
        <v>621</v>
      </c>
      <c r="C1285" s="42" t="s">
        <v>622</v>
      </c>
      <c r="D1285" s="42"/>
      <c r="E1285" s="42" t="s">
        <v>1493</v>
      </c>
      <c r="F1285" s="52">
        <v>200</v>
      </c>
      <c r="G1285" s="42" t="s">
        <v>1492</v>
      </c>
    </row>
    <row r="1286" spans="1:8" ht="30" x14ac:dyDescent="0.25">
      <c r="A1286" s="64" t="s">
        <v>189</v>
      </c>
      <c r="B1286" s="37" t="s">
        <v>623</v>
      </c>
      <c r="C1286" s="33" t="s">
        <v>624</v>
      </c>
      <c r="D1286" s="33"/>
      <c r="E1286" s="33" t="s">
        <v>1493</v>
      </c>
      <c r="F1286" s="52">
        <v>200</v>
      </c>
      <c r="G1286" s="33" t="s">
        <v>1492</v>
      </c>
      <c r="H1286" s="41"/>
    </row>
    <row r="1287" spans="1:8" ht="30" x14ac:dyDescent="0.25">
      <c r="A1287" s="64" t="s">
        <v>189</v>
      </c>
      <c r="B1287" s="44" t="s">
        <v>625</v>
      </c>
      <c r="C1287" s="42" t="s">
        <v>626</v>
      </c>
      <c r="D1287" s="42"/>
      <c r="E1287" s="42" t="s">
        <v>1493</v>
      </c>
      <c r="F1287" s="52">
        <v>200</v>
      </c>
      <c r="G1287" s="42" t="s">
        <v>1492</v>
      </c>
    </row>
    <row r="1288" spans="1:8" ht="30" x14ac:dyDescent="0.25">
      <c r="A1288" s="64" t="s">
        <v>189</v>
      </c>
      <c r="B1288" s="37" t="s">
        <v>627</v>
      </c>
      <c r="C1288" s="33" t="s">
        <v>628</v>
      </c>
      <c r="D1288" s="33"/>
      <c r="E1288" s="33" t="s">
        <v>1493</v>
      </c>
      <c r="F1288" s="52">
        <v>200</v>
      </c>
      <c r="G1288" s="33" t="s">
        <v>1492</v>
      </c>
      <c r="H1288" s="41"/>
    </row>
    <row r="1289" spans="1:8" ht="30" x14ac:dyDescent="0.25">
      <c r="A1289" s="64" t="s">
        <v>189</v>
      </c>
      <c r="B1289" s="44" t="s">
        <v>1412</v>
      </c>
      <c r="C1289" s="42" t="s">
        <v>1413</v>
      </c>
      <c r="D1289" s="42"/>
      <c r="E1289" s="42" t="s">
        <v>1491</v>
      </c>
      <c r="F1289" s="52">
        <v>200</v>
      </c>
      <c r="G1289" s="42" t="s">
        <v>1492</v>
      </c>
    </row>
    <row r="1290" spans="1:8" ht="30" x14ac:dyDescent="0.25">
      <c r="A1290" s="64" t="s">
        <v>189</v>
      </c>
      <c r="B1290" s="37" t="s">
        <v>1414</v>
      </c>
      <c r="C1290" s="33" t="s">
        <v>1415</v>
      </c>
      <c r="D1290" s="33"/>
      <c r="E1290" s="33" t="s">
        <v>1491</v>
      </c>
      <c r="F1290" s="52">
        <v>200</v>
      </c>
      <c r="G1290" s="33" t="s">
        <v>1492</v>
      </c>
      <c r="H1290" s="41"/>
    </row>
    <row r="1291" spans="1:8" ht="30" x14ac:dyDescent="0.25">
      <c r="A1291" s="64" t="s">
        <v>189</v>
      </c>
      <c r="B1291" s="44" t="s">
        <v>1416</v>
      </c>
      <c r="C1291" s="42" t="s">
        <v>1417</v>
      </c>
      <c r="D1291" s="42"/>
      <c r="E1291" s="42" t="s">
        <v>1491</v>
      </c>
      <c r="F1291" s="52">
        <v>200</v>
      </c>
      <c r="G1291" s="42" t="s">
        <v>1492</v>
      </c>
    </row>
    <row r="1292" spans="1:8" ht="30" x14ac:dyDescent="0.25">
      <c r="A1292" s="64" t="s">
        <v>189</v>
      </c>
      <c r="B1292" s="37" t="s">
        <v>1418</v>
      </c>
      <c r="C1292" s="33" t="s">
        <v>1419</v>
      </c>
      <c r="D1292" s="33"/>
      <c r="E1292" s="33" t="s">
        <v>1491</v>
      </c>
      <c r="F1292" s="52">
        <v>200</v>
      </c>
      <c r="G1292" s="33" t="s">
        <v>1492</v>
      </c>
      <c r="H1292" s="41"/>
    </row>
    <row r="1293" spans="1:8" ht="30" x14ac:dyDescent="0.25">
      <c r="A1293" s="44" t="s">
        <v>189</v>
      </c>
      <c r="B1293" s="44" t="s">
        <v>1420</v>
      </c>
      <c r="C1293" s="42" t="s">
        <v>1421</v>
      </c>
      <c r="D1293" s="42"/>
      <c r="E1293" s="42" t="s">
        <v>1491</v>
      </c>
      <c r="F1293" s="34">
        <v>999</v>
      </c>
      <c r="G1293" s="42" t="s">
        <v>1492</v>
      </c>
    </row>
    <row r="1294" spans="1:8" ht="30" x14ac:dyDescent="0.25">
      <c r="A1294" s="64" t="s">
        <v>189</v>
      </c>
      <c r="B1294" s="37" t="s">
        <v>1422</v>
      </c>
      <c r="C1294" s="33" t="s">
        <v>1423</v>
      </c>
      <c r="D1294" s="33"/>
      <c r="E1294" s="33" t="s">
        <v>1491</v>
      </c>
      <c r="F1294" s="52">
        <v>200</v>
      </c>
      <c r="G1294" s="33" t="s">
        <v>1492</v>
      </c>
      <c r="H1294" s="41"/>
    </row>
    <row r="1295" spans="1:8" ht="30" x14ac:dyDescent="0.25">
      <c r="A1295" s="64" t="s">
        <v>189</v>
      </c>
      <c r="B1295" s="44" t="s">
        <v>1424</v>
      </c>
      <c r="C1295" s="42" t="s">
        <v>1425</v>
      </c>
      <c r="D1295" s="42"/>
      <c r="E1295" s="42" t="s">
        <v>1491</v>
      </c>
      <c r="F1295" s="52">
        <v>200</v>
      </c>
      <c r="G1295" s="42" t="s">
        <v>1492</v>
      </c>
    </row>
    <row r="1296" spans="1:8" ht="30" x14ac:dyDescent="0.25">
      <c r="A1296" s="64" t="s">
        <v>189</v>
      </c>
      <c r="B1296" s="37" t="s">
        <v>1426</v>
      </c>
      <c r="C1296" s="33" t="s">
        <v>1427</v>
      </c>
      <c r="D1296" s="33"/>
      <c r="E1296" s="33" t="s">
        <v>1491</v>
      </c>
      <c r="F1296" s="52">
        <v>200</v>
      </c>
      <c r="G1296" s="33" t="s">
        <v>1492</v>
      </c>
      <c r="H1296" s="41"/>
    </row>
    <row r="1297" spans="1:8" ht="30" x14ac:dyDescent="0.25">
      <c r="A1297" s="64" t="s">
        <v>189</v>
      </c>
      <c r="B1297" s="44" t="s">
        <v>1428</v>
      </c>
      <c r="C1297" s="42" t="s">
        <v>1429</v>
      </c>
      <c r="D1297" s="42"/>
      <c r="E1297" s="42" t="s">
        <v>1491</v>
      </c>
      <c r="F1297" s="52">
        <v>200</v>
      </c>
      <c r="G1297" s="42" t="s">
        <v>1492</v>
      </c>
    </row>
    <row r="1298" spans="1:8" ht="30" x14ac:dyDescent="0.25">
      <c r="A1298" s="64" t="s">
        <v>189</v>
      </c>
      <c r="B1298" s="37" t="s">
        <v>1430</v>
      </c>
      <c r="C1298" s="33" t="s">
        <v>1431</v>
      </c>
      <c r="D1298" s="33"/>
      <c r="E1298" s="33" t="s">
        <v>1491</v>
      </c>
      <c r="F1298" s="52">
        <v>200</v>
      </c>
      <c r="G1298" s="33" t="s">
        <v>1492</v>
      </c>
      <c r="H1298" s="41"/>
    </row>
    <row r="1299" spans="1:8" ht="30" x14ac:dyDescent="0.25">
      <c r="A1299" s="64" t="s">
        <v>189</v>
      </c>
      <c r="B1299" s="44" t="s">
        <v>1432</v>
      </c>
      <c r="C1299" s="42" t="s">
        <v>1433</v>
      </c>
      <c r="D1299" s="42"/>
      <c r="E1299" s="42" t="s">
        <v>1491</v>
      </c>
      <c r="F1299" s="52">
        <v>200</v>
      </c>
      <c r="G1299" s="42" t="s">
        <v>1492</v>
      </c>
    </row>
    <row r="1300" spans="1:8" ht="30" x14ac:dyDescent="0.25">
      <c r="A1300" s="37" t="s">
        <v>189</v>
      </c>
      <c r="B1300" s="37" t="s">
        <v>1434</v>
      </c>
      <c r="C1300" s="33" t="s">
        <v>1419</v>
      </c>
      <c r="D1300" s="33"/>
      <c r="E1300" s="33" t="s">
        <v>1491</v>
      </c>
      <c r="F1300" s="34">
        <v>999</v>
      </c>
      <c r="G1300" s="33" t="s">
        <v>1492</v>
      </c>
      <c r="H1300" s="41"/>
    </row>
    <row r="1301" spans="1:8" ht="30" x14ac:dyDescent="0.25">
      <c r="A1301" s="64" t="s">
        <v>189</v>
      </c>
      <c r="B1301" s="44" t="s">
        <v>1435</v>
      </c>
      <c r="C1301" s="42" t="s">
        <v>1436</v>
      </c>
      <c r="D1301" s="42"/>
      <c r="E1301" s="42" t="s">
        <v>1491</v>
      </c>
      <c r="F1301" s="52">
        <v>200</v>
      </c>
      <c r="G1301" s="42" t="s">
        <v>1492</v>
      </c>
    </row>
    <row r="1302" spans="1:8" ht="30" x14ac:dyDescent="0.25">
      <c r="A1302" s="64" t="s">
        <v>189</v>
      </c>
      <c r="B1302" s="37" t="s">
        <v>1437</v>
      </c>
      <c r="C1302" s="33" t="s">
        <v>1438</v>
      </c>
      <c r="D1302" s="33"/>
      <c r="E1302" s="33" t="s">
        <v>1491</v>
      </c>
      <c r="F1302" s="52">
        <v>200</v>
      </c>
      <c r="G1302" s="33" t="s">
        <v>1492</v>
      </c>
      <c r="H1302" s="41"/>
    </row>
    <row r="1303" spans="1:8" ht="30" x14ac:dyDescent="0.25">
      <c r="A1303" s="64" t="s">
        <v>189</v>
      </c>
      <c r="B1303" s="44" t="s">
        <v>1439</v>
      </c>
      <c r="C1303" s="42" t="s">
        <v>1440</v>
      </c>
      <c r="D1303" s="42"/>
      <c r="E1303" s="42" t="s">
        <v>1491</v>
      </c>
      <c r="F1303" s="52">
        <v>200</v>
      </c>
      <c r="G1303" s="42" t="s">
        <v>1492</v>
      </c>
    </row>
    <row r="1304" spans="1:8" ht="30" x14ac:dyDescent="0.25">
      <c r="A1304" s="64" t="s">
        <v>189</v>
      </c>
      <c r="B1304" s="37" t="s">
        <v>1441</v>
      </c>
      <c r="C1304" s="33" t="s">
        <v>1442</v>
      </c>
      <c r="D1304" s="33"/>
      <c r="E1304" s="33" t="s">
        <v>1491</v>
      </c>
      <c r="F1304" s="52">
        <v>200</v>
      </c>
      <c r="G1304" s="33" t="s">
        <v>1492</v>
      </c>
      <c r="H1304" s="41"/>
    </row>
    <row r="1305" spans="1:8" ht="30" x14ac:dyDescent="0.25">
      <c r="A1305" s="64" t="s">
        <v>189</v>
      </c>
      <c r="B1305" s="44" t="s">
        <v>1443</v>
      </c>
      <c r="C1305" s="42" t="s">
        <v>1444</v>
      </c>
      <c r="D1305" s="42"/>
      <c r="E1305" s="42" t="s">
        <v>1491</v>
      </c>
      <c r="F1305" s="52">
        <v>200</v>
      </c>
      <c r="G1305" s="42" t="s">
        <v>1492</v>
      </c>
    </row>
    <row r="1306" spans="1:8" ht="30" x14ac:dyDescent="0.25">
      <c r="A1306" s="64" t="s">
        <v>189</v>
      </c>
      <c r="B1306" s="37" t="s">
        <v>1445</v>
      </c>
      <c r="C1306" s="33" t="s">
        <v>1446</v>
      </c>
      <c r="D1306" s="33"/>
      <c r="E1306" s="33" t="s">
        <v>1491</v>
      </c>
      <c r="F1306" s="52">
        <v>200</v>
      </c>
      <c r="G1306" s="33" t="s">
        <v>1492</v>
      </c>
      <c r="H1306" s="41"/>
    </row>
    <row r="1307" spans="1:8" ht="30" x14ac:dyDescent="0.25">
      <c r="A1307" s="64" t="s">
        <v>189</v>
      </c>
      <c r="B1307" s="44" t="s">
        <v>1447</v>
      </c>
      <c r="C1307" s="42" t="s">
        <v>1448</v>
      </c>
      <c r="D1307" s="42"/>
      <c r="E1307" s="42" t="s">
        <v>1491</v>
      </c>
      <c r="F1307" s="52">
        <v>200</v>
      </c>
      <c r="G1307" s="42" t="s">
        <v>1492</v>
      </c>
    </row>
    <row r="1308" spans="1:8" ht="30" x14ac:dyDescent="0.25">
      <c r="A1308" s="64" t="s">
        <v>189</v>
      </c>
      <c r="B1308" s="37" t="s">
        <v>1449</v>
      </c>
      <c r="C1308" s="33" t="s">
        <v>1450</v>
      </c>
      <c r="D1308" s="33"/>
      <c r="E1308" s="33" t="s">
        <v>1491</v>
      </c>
      <c r="F1308" s="52">
        <v>200</v>
      </c>
      <c r="G1308" s="33" t="s">
        <v>1492</v>
      </c>
      <c r="H1308" s="41"/>
    </row>
    <row r="1309" spans="1:8" ht="30" x14ac:dyDescent="0.25">
      <c r="A1309" s="64" t="s">
        <v>189</v>
      </c>
      <c r="B1309" s="44" t="s">
        <v>1445</v>
      </c>
      <c r="C1309" s="42" t="s">
        <v>1446</v>
      </c>
      <c r="D1309" s="42"/>
      <c r="E1309" s="42" t="s">
        <v>1491</v>
      </c>
      <c r="F1309" s="52">
        <v>200</v>
      </c>
      <c r="G1309" s="42" t="s">
        <v>1492</v>
      </c>
    </row>
    <row r="1310" spans="1:8" ht="30" x14ac:dyDescent="0.25">
      <c r="A1310" s="64" t="s">
        <v>189</v>
      </c>
      <c r="B1310" s="37" t="s">
        <v>1449</v>
      </c>
      <c r="C1310" s="33" t="s">
        <v>1450</v>
      </c>
      <c r="D1310" s="33"/>
      <c r="E1310" s="33" t="s">
        <v>1491</v>
      </c>
      <c r="F1310" s="52">
        <v>200</v>
      </c>
      <c r="G1310" s="33" t="s">
        <v>1492</v>
      </c>
      <c r="H1310" s="41"/>
    </row>
    <row r="1311" spans="1:8" ht="30" x14ac:dyDescent="0.25">
      <c r="A1311" s="64" t="s">
        <v>189</v>
      </c>
      <c r="B1311" s="44" t="s">
        <v>1451</v>
      </c>
      <c r="C1311" s="42" t="s">
        <v>1452</v>
      </c>
      <c r="D1311" s="42"/>
      <c r="E1311" s="42" t="s">
        <v>1491</v>
      </c>
      <c r="F1311" s="52">
        <v>200</v>
      </c>
      <c r="G1311" s="42" t="s">
        <v>1492</v>
      </c>
    </row>
    <row r="1312" spans="1:8" ht="30" x14ac:dyDescent="0.25">
      <c r="A1312" s="64" t="s">
        <v>189</v>
      </c>
      <c r="B1312" s="37" t="s">
        <v>1447</v>
      </c>
      <c r="C1312" s="33" t="s">
        <v>1453</v>
      </c>
      <c r="D1312" s="33"/>
      <c r="E1312" s="33" t="s">
        <v>1491</v>
      </c>
      <c r="F1312" s="52">
        <v>200</v>
      </c>
      <c r="G1312" s="33" t="s">
        <v>1492</v>
      </c>
      <c r="H1312" s="41"/>
    </row>
    <row r="1313" spans="1:8" ht="30" x14ac:dyDescent="0.25">
      <c r="A1313" s="64" t="s">
        <v>189</v>
      </c>
      <c r="B1313" s="44" t="s">
        <v>1416</v>
      </c>
      <c r="C1313" s="42" t="s">
        <v>1417</v>
      </c>
      <c r="D1313" s="42"/>
      <c r="E1313" s="42" t="s">
        <v>1491</v>
      </c>
      <c r="F1313" s="52">
        <v>200</v>
      </c>
      <c r="G1313" s="42" t="s">
        <v>1492</v>
      </c>
    </row>
    <row r="1314" spans="1:8" ht="30" x14ac:dyDescent="0.25">
      <c r="A1314" s="37" t="s">
        <v>189</v>
      </c>
      <c r="B1314" s="37" t="s">
        <v>1434</v>
      </c>
      <c r="C1314" s="33" t="s">
        <v>1419</v>
      </c>
      <c r="D1314" s="33"/>
      <c r="E1314" s="33" t="s">
        <v>1491</v>
      </c>
      <c r="F1314" s="34">
        <v>999</v>
      </c>
      <c r="G1314" s="33" t="s">
        <v>1492</v>
      </c>
      <c r="H1314" s="41"/>
    </row>
    <row r="1315" spans="1:8" ht="30" x14ac:dyDescent="0.25">
      <c r="A1315" s="44" t="s">
        <v>189</v>
      </c>
      <c r="B1315" s="44" t="s">
        <v>1420</v>
      </c>
      <c r="C1315" s="42" t="s">
        <v>1421</v>
      </c>
      <c r="D1315" s="42"/>
      <c r="E1315" s="42" t="s">
        <v>1491</v>
      </c>
      <c r="F1315" s="34">
        <v>999</v>
      </c>
      <c r="G1315" s="42" t="s">
        <v>1492</v>
      </c>
    </row>
    <row r="1316" spans="1:8" ht="30" x14ac:dyDescent="0.25">
      <c r="A1316" s="64" t="s">
        <v>189</v>
      </c>
      <c r="B1316" s="37" t="s">
        <v>1422</v>
      </c>
      <c r="C1316" s="33" t="s">
        <v>1423</v>
      </c>
      <c r="D1316" s="33"/>
      <c r="E1316" s="33" t="s">
        <v>1491</v>
      </c>
      <c r="F1316" s="52">
        <v>200</v>
      </c>
      <c r="G1316" s="33" t="s">
        <v>1492</v>
      </c>
      <c r="H1316" s="41"/>
    </row>
    <row r="1317" spans="1:8" ht="30" x14ac:dyDescent="0.25">
      <c r="A1317" s="64" t="s">
        <v>189</v>
      </c>
      <c r="B1317" s="44" t="s">
        <v>1432</v>
      </c>
      <c r="C1317" s="42" t="s">
        <v>1433</v>
      </c>
      <c r="D1317" s="42"/>
      <c r="E1317" s="42" t="s">
        <v>1491</v>
      </c>
      <c r="F1317" s="52">
        <v>200</v>
      </c>
      <c r="G1317" s="42" t="s">
        <v>1492</v>
      </c>
    </row>
    <row r="1318" spans="1:8" ht="30" x14ac:dyDescent="0.25">
      <c r="A1318" s="37" t="s">
        <v>189</v>
      </c>
      <c r="B1318" s="37" t="s">
        <v>1434</v>
      </c>
      <c r="C1318" s="33" t="s">
        <v>1419</v>
      </c>
      <c r="D1318" s="33"/>
      <c r="E1318" s="33" t="s">
        <v>1491</v>
      </c>
      <c r="F1318" s="34">
        <v>999</v>
      </c>
      <c r="G1318" s="33" t="s">
        <v>1492</v>
      </c>
      <c r="H1318" s="41"/>
    </row>
    <row r="1319" spans="1:8" ht="30" x14ac:dyDescent="0.25">
      <c r="A1319" s="64" t="s">
        <v>189</v>
      </c>
      <c r="B1319" s="44" t="s">
        <v>1454</v>
      </c>
      <c r="C1319" s="42" t="s">
        <v>1436</v>
      </c>
      <c r="D1319" s="42"/>
      <c r="E1319" s="42" t="s">
        <v>1491</v>
      </c>
      <c r="F1319" s="52">
        <v>200</v>
      </c>
      <c r="G1319" s="42" t="s">
        <v>1492</v>
      </c>
    </row>
    <row r="1320" spans="1:8" ht="30" x14ac:dyDescent="0.25">
      <c r="A1320" s="64" t="s">
        <v>189</v>
      </c>
      <c r="B1320" s="37" t="s">
        <v>1455</v>
      </c>
      <c r="C1320" s="33" t="s">
        <v>1456</v>
      </c>
      <c r="D1320" s="33"/>
      <c r="E1320" s="33" t="s">
        <v>1491</v>
      </c>
      <c r="F1320" s="52">
        <v>200</v>
      </c>
      <c r="G1320" s="33" t="s">
        <v>1492</v>
      </c>
      <c r="H1320" s="41"/>
    </row>
    <row r="1321" spans="1:8" ht="30" x14ac:dyDescent="0.25">
      <c r="A1321" s="64" t="s">
        <v>189</v>
      </c>
      <c r="B1321" s="44" t="s">
        <v>1457</v>
      </c>
      <c r="C1321" s="42" t="s">
        <v>1458</v>
      </c>
      <c r="D1321" s="42"/>
      <c r="E1321" s="42" t="s">
        <v>1491</v>
      </c>
      <c r="F1321" s="52">
        <v>200</v>
      </c>
      <c r="G1321" s="42" t="s">
        <v>1492</v>
      </c>
    </row>
    <row r="1322" spans="1:8" ht="30" x14ac:dyDescent="0.25">
      <c r="A1322" s="64" t="s">
        <v>189</v>
      </c>
      <c r="B1322" s="37" t="s">
        <v>1459</v>
      </c>
      <c r="C1322" s="33" t="s">
        <v>1460</v>
      </c>
      <c r="D1322" s="33"/>
      <c r="E1322" s="33" t="s">
        <v>1491</v>
      </c>
      <c r="F1322" s="52">
        <v>200</v>
      </c>
      <c r="G1322" s="33" t="s">
        <v>1492</v>
      </c>
      <c r="H1322" s="41"/>
    </row>
    <row r="1323" spans="1:8" ht="30" x14ac:dyDescent="0.25">
      <c r="A1323" s="64" t="s">
        <v>189</v>
      </c>
      <c r="B1323" s="44" t="s">
        <v>1461</v>
      </c>
      <c r="C1323" s="42" t="s">
        <v>1462</v>
      </c>
      <c r="D1323" s="42"/>
      <c r="E1323" s="42" t="s">
        <v>1491</v>
      </c>
      <c r="F1323" s="52">
        <v>200</v>
      </c>
      <c r="G1323" s="42" t="s">
        <v>1492</v>
      </c>
    </row>
    <row r="1324" spans="1:8" ht="30" x14ac:dyDescent="0.25">
      <c r="A1324" s="64" t="s">
        <v>189</v>
      </c>
      <c r="B1324" s="37" t="s">
        <v>1463</v>
      </c>
      <c r="C1324" s="33" t="s">
        <v>1464</v>
      </c>
      <c r="D1324" s="33"/>
      <c r="E1324" s="33" t="s">
        <v>1491</v>
      </c>
      <c r="F1324" s="52">
        <v>200</v>
      </c>
      <c r="G1324" s="33" t="s">
        <v>1492</v>
      </c>
      <c r="H1324" s="41"/>
    </row>
    <row r="1325" spans="1:8" ht="30" x14ac:dyDescent="0.25">
      <c r="A1325" s="64" t="s">
        <v>189</v>
      </c>
      <c r="B1325" s="44" t="s">
        <v>1465</v>
      </c>
      <c r="C1325" s="42" t="s">
        <v>1466</v>
      </c>
      <c r="D1325" s="42"/>
      <c r="E1325" s="42" t="s">
        <v>1491</v>
      </c>
      <c r="F1325" s="52">
        <v>200</v>
      </c>
      <c r="G1325" s="42" t="s">
        <v>1492</v>
      </c>
    </row>
    <row r="1326" spans="1:8" ht="30" x14ac:dyDescent="0.25">
      <c r="A1326" s="64" t="s">
        <v>189</v>
      </c>
      <c r="B1326" s="37" t="s">
        <v>1467</v>
      </c>
      <c r="C1326" s="33" t="s">
        <v>1468</v>
      </c>
      <c r="D1326" s="33"/>
      <c r="E1326" s="33" t="s">
        <v>1491</v>
      </c>
      <c r="F1326" s="52">
        <v>200</v>
      </c>
      <c r="G1326" s="33" t="s">
        <v>1492</v>
      </c>
      <c r="H1326" s="41"/>
    </row>
    <row r="1327" spans="1:8" ht="30" x14ac:dyDescent="0.25">
      <c r="A1327" s="64" t="s">
        <v>189</v>
      </c>
      <c r="B1327" s="44" t="s">
        <v>1469</v>
      </c>
      <c r="C1327" s="42" t="s">
        <v>1470</v>
      </c>
      <c r="D1327" s="42"/>
      <c r="E1327" s="42" t="s">
        <v>1491</v>
      </c>
      <c r="F1327" s="52">
        <v>200</v>
      </c>
      <c r="G1327" s="42" t="s">
        <v>1492</v>
      </c>
    </row>
    <row r="1328" spans="1:8" ht="30" x14ac:dyDescent="0.25">
      <c r="A1328" s="64" t="s">
        <v>189</v>
      </c>
      <c r="B1328" s="37" t="s">
        <v>1471</v>
      </c>
      <c r="C1328" s="33" t="s">
        <v>1472</v>
      </c>
      <c r="D1328" s="33"/>
      <c r="E1328" s="33" t="s">
        <v>1491</v>
      </c>
      <c r="F1328" s="52">
        <v>200</v>
      </c>
      <c r="G1328" s="33" t="s">
        <v>1492</v>
      </c>
      <c r="H1328" s="41"/>
    </row>
    <row r="1329" spans="1:8" ht="45" x14ac:dyDescent="0.25">
      <c r="A1329" s="64" t="s">
        <v>189</v>
      </c>
      <c r="B1329" s="44" t="s">
        <v>1473</v>
      </c>
      <c r="C1329" s="42" t="s">
        <v>1474</v>
      </c>
      <c r="D1329" s="42"/>
      <c r="E1329" s="42" t="s">
        <v>1491</v>
      </c>
      <c r="F1329" s="52">
        <v>200</v>
      </c>
      <c r="G1329" s="42" t="s">
        <v>1492</v>
      </c>
    </row>
    <row r="1330" spans="1:8" ht="30" x14ac:dyDescent="0.25">
      <c r="A1330" s="64" t="s">
        <v>189</v>
      </c>
      <c r="B1330" s="37" t="s">
        <v>1475</v>
      </c>
      <c r="C1330" s="33" t="s">
        <v>1476</v>
      </c>
      <c r="D1330" s="33"/>
      <c r="E1330" s="33" t="s">
        <v>1491</v>
      </c>
      <c r="F1330" s="52">
        <v>200</v>
      </c>
      <c r="G1330" s="33" t="s">
        <v>1492</v>
      </c>
      <c r="H1330" s="41"/>
    </row>
    <row r="1331" spans="1:8" ht="30" x14ac:dyDescent="0.25">
      <c r="A1331" s="64" t="s">
        <v>189</v>
      </c>
      <c r="B1331" s="44" t="s">
        <v>1469</v>
      </c>
      <c r="C1331" s="42" t="s">
        <v>1470</v>
      </c>
      <c r="D1331" s="42"/>
      <c r="E1331" s="42" t="s">
        <v>1491</v>
      </c>
      <c r="F1331" s="52">
        <v>200</v>
      </c>
      <c r="G1331" s="42" t="s">
        <v>1492</v>
      </c>
    </row>
    <row r="1332" spans="1:8" ht="30" x14ac:dyDescent="0.25">
      <c r="A1332" s="37" t="s">
        <v>189</v>
      </c>
      <c r="B1332" s="37" t="s">
        <v>1477</v>
      </c>
      <c r="C1332" s="33" t="s">
        <v>1478</v>
      </c>
      <c r="D1332" s="33"/>
      <c r="E1332" s="33" t="s">
        <v>1491</v>
      </c>
      <c r="F1332" s="34">
        <v>405</v>
      </c>
      <c r="G1332" s="33" t="s">
        <v>1492</v>
      </c>
      <c r="H1332" s="41"/>
    </row>
    <row r="1333" spans="1:8" ht="30" x14ac:dyDescent="0.25">
      <c r="A1333" s="64" t="s">
        <v>189</v>
      </c>
      <c r="B1333" s="44" t="s">
        <v>1479</v>
      </c>
      <c r="C1333" s="42" t="s">
        <v>1480</v>
      </c>
      <c r="D1333" s="42"/>
      <c r="E1333" s="42" t="s">
        <v>1491</v>
      </c>
      <c r="F1333" s="52">
        <v>200</v>
      </c>
      <c r="G1333" s="42" t="s">
        <v>1492</v>
      </c>
    </row>
    <row r="1334" spans="1:8" ht="30" x14ac:dyDescent="0.25">
      <c r="A1334" s="64" t="s">
        <v>189</v>
      </c>
      <c r="B1334" s="37" t="s">
        <v>629</v>
      </c>
      <c r="C1334" s="33" t="s">
        <v>630</v>
      </c>
      <c r="D1334" s="33"/>
      <c r="E1334" s="33" t="s">
        <v>1493</v>
      </c>
      <c r="F1334" s="52">
        <v>200</v>
      </c>
      <c r="G1334" s="33" t="s">
        <v>1492</v>
      </c>
      <c r="H1334" s="41"/>
    </row>
    <row r="1335" spans="1:8" ht="30" x14ac:dyDescent="0.25">
      <c r="A1335" s="64" t="s">
        <v>189</v>
      </c>
      <c r="B1335" s="44" t="s">
        <v>631</v>
      </c>
      <c r="C1335" s="42"/>
      <c r="D1335" s="42"/>
      <c r="E1335" s="42" t="s">
        <v>1491</v>
      </c>
      <c r="F1335" s="52">
        <v>200</v>
      </c>
      <c r="G1335" s="42" t="s">
        <v>1492</v>
      </c>
    </row>
    <row r="1336" spans="1:8" ht="30" x14ac:dyDescent="0.25">
      <c r="A1336" s="64" t="s">
        <v>189</v>
      </c>
      <c r="B1336" s="37" t="s">
        <v>632</v>
      </c>
      <c r="C1336" s="33"/>
      <c r="D1336" s="33"/>
      <c r="E1336" s="33" t="s">
        <v>1491</v>
      </c>
      <c r="F1336" s="52">
        <v>200</v>
      </c>
      <c r="G1336" s="33" t="s">
        <v>1492</v>
      </c>
      <c r="H1336" s="41"/>
    </row>
    <row r="1337" spans="1:8" ht="30" x14ac:dyDescent="0.25">
      <c r="A1337" s="44" t="s">
        <v>189</v>
      </c>
      <c r="B1337" s="44" t="s">
        <v>633</v>
      </c>
      <c r="C1337" s="42"/>
      <c r="D1337" s="42"/>
      <c r="E1337" s="42" t="s">
        <v>1491</v>
      </c>
      <c r="F1337" s="34">
        <v>403</v>
      </c>
      <c r="G1337" s="42" t="s">
        <v>1492</v>
      </c>
    </row>
    <row r="1338" spans="1:8" ht="30" x14ac:dyDescent="0.25">
      <c r="A1338" s="64" t="s">
        <v>189</v>
      </c>
      <c r="B1338" s="37" t="s">
        <v>634</v>
      </c>
      <c r="C1338" s="33" t="s">
        <v>635</v>
      </c>
      <c r="D1338" s="33"/>
      <c r="E1338" s="33" t="s">
        <v>1493</v>
      </c>
      <c r="F1338" s="52">
        <v>200</v>
      </c>
      <c r="G1338" s="33" t="s">
        <v>1492</v>
      </c>
      <c r="H1338" s="41"/>
    </row>
    <row r="1339" spans="1:8" ht="30" x14ac:dyDescent="0.25">
      <c r="A1339" s="44" t="s">
        <v>189</v>
      </c>
      <c r="B1339" s="44" t="s">
        <v>636</v>
      </c>
      <c r="C1339" s="42" t="s">
        <v>637</v>
      </c>
      <c r="D1339" s="42"/>
      <c r="E1339" s="42" t="s">
        <v>1493</v>
      </c>
      <c r="F1339" s="34">
        <v>404</v>
      </c>
      <c r="G1339" s="42" t="s">
        <v>1492</v>
      </c>
    </row>
    <row r="1340" spans="1:8" ht="30" x14ac:dyDescent="0.25">
      <c r="A1340" s="37" t="s">
        <v>189</v>
      </c>
      <c r="B1340" s="37" t="s">
        <v>636</v>
      </c>
      <c r="C1340" s="33" t="s">
        <v>638</v>
      </c>
      <c r="D1340" s="33"/>
      <c r="E1340" s="33" t="s">
        <v>1493</v>
      </c>
      <c r="F1340" s="34">
        <v>404</v>
      </c>
      <c r="G1340" s="33" t="s">
        <v>1492</v>
      </c>
      <c r="H1340" s="41"/>
    </row>
  </sheetData>
  <autoFilter ref="A1:H1340" xr:uid="{00000000-0009-0000-0000-000009000000}"/>
  <conditionalFormatting sqref="E2:E1340">
    <cfRule type="expression" dxfId="35" priority="4" stopIfTrue="1">
      <formula>OR(NOT(ISERROR(SEARCH("Critical",E2))),NOT(ISERROR(SEARCH("Non-Pass",E2))),NOT(ISERROR(SEARCH("Error",E2))))</formula>
    </cfRule>
    <cfRule type="expression" dxfId="34" priority="5" stopIfTrue="1">
      <formula>OR(NOT(ISERROR(SEARCH("Warning",E2))),NOT(ISERROR(SEARCH("Needs Work",E2))))</formula>
    </cfRule>
  </conditionalFormatting>
  <conditionalFormatting sqref="F2:F1340">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G2:G1340">
    <cfRule type="expression" dxfId="30" priority="6" stopIfTrue="1">
      <formula>OR(NOT(ISERROR(SEARCH("Critical",G2))),NOT(ISERROR(SEARCH("Non-Pass",G2))),NOT(ISERROR(SEARCH("Error",G2))))</formula>
    </cfRule>
    <cfRule type="expression" dxfId="29" priority="7" stopIfTrue="1">
      <formula>OR(NOT(ISERROR(SEARCH("Warning",G2))),NOT(ISERROR(SEARCH("Needs Work",G2))))</formula>
    </cfRule>
  </conditionalFormatting>
  <hyperlinks>
    <hyperlink ref="H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29"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31" t="s">
        <v>78</v>
      </c>
      <c r="B1" s="31" t="s">
        <v>1495</v>
      </c>
      <c r="C1" s="31" t="s">
        <v>1496</v>
      </c>
      <c r="D1" s="31" t="s">
        <v>346</v>
      </c>
      <c r="E1" s="31" t="s">
        <v>1497</v>
      </c>
      <c r="F1" s="31" t="s">
        <v>347</v>
      </c>
      <c r="G1" s="31" t="s">
        <v>1498</v>
      </c>
      <c r="H1" s="31" t="s">
        <v>1499</v>
      </c>
      <c r="I1" s="31" t="s">
        <v>47</v>
      </c>
      <c r="J1" s="31" t="s">
        <v>351</v>
      </c>
      <c r="K1" s="31" t="s">
        <v>93</v>
      </c>
      <c r="L1" s="32" t="s">
        <v>95</v>
      </c>
    </row>
    <row r="2" spans="1:12" x14ac:dyDescent="0.25">
      <c r="A2" s="37"/>
      <c r="B2" s="33" t="s">
        <v>1500</v>
      </c>
      <c r="C2" s="33" t="s">
        <v>1501</v>
      </c>
      <c r="D2" s="33" t="s">
        <v>1502</v>
      </c>
      <c r="E2" s="33">
        <v>100</v>
      </c>
      <c r="F2" s="37">
        <v>1</v>
      </c>
      <c r="G2" s="37"/>
      <c r="H2" s="33" t="s">
        <v>1503</v>
      </c>
      <c r="I2" s="47" t="s">
        <v>51</v>
      </c>
      <c r="J2" s="33" t="s">
        <v>1504</v>
      </c>
      <c r="K2" s="41" t="str">
        <f>IFERROR(HYPERLINK("#'Main'!B"&amp;MATCH(TRIM(A2),Main!B:B,0),"Open"),HYPERLINK("#'Main'!B1","Open"))</f>
        <v>Open</v>
      </c>
      <c r="L2" s="41"/>
    </row>
    <row r="3" spans="1:12" x14ac:dyDescent="0.25">
      <c r="A3" s="44"/>
      <c r="B3" s="42" t="s">
        <v>1500</v>
      </c>
      <c r="C3" s="42" t="s">
        <v>1505</v>
      </c>
      <c r="D3" s="42" t="s">
        <v>1502</v>
      </c>
      <c r="E3" s="42">
        <v>100</v>
      </c>
      <c r="F3" s="44">
        <v>1</v>
      </c>
      <c r="G3" s="44"/>
      <c r="H3" s="42" t="s">
        <v>1503</v>
      </c>
      <c r="I3" s="47" t="s">
        <v>51</v>
      </c>
      <c r="J3" s="42" t="s">
        <v>1504</v>
      </c>
      <c r="K3" t="str">
        <f>IFERROR(HYPERLINK("#'Main'!B"&amp;MATCH(TRIM(A3),Main!B:B,0),"Open"),HYPERLINK("#'Main'!B1","Open"))</f>
        <v>Open</v>
      </c>
    </row>
    <row r="4" spans="1:12" x14ac:dyDescent="0.25">
      <c r="A4" s="37"/>
      <c r="B4" s="33" t="s">
        <v>1500</v>
      </c>
      <c r="C4" s="33" t="s">
        <v>1506</v>
      </c>
      <c r="D4" s="33" t="s">
        <v>1502</v>
      </c>
      <c r="E4" s="33">
        <v>100</v>
      </c>
      <c r="F4" s="37">
        <v>1</v>
      </c>
      <c r="G4" s="37"/>
      <c r="H4" s="33" t="s">
        <v>1503</v>
      </c>
      <c r="I4" s="47" t="s">
        <v>51</v>
      </c>
      <c r="J4" s="33" t="s">
        <v>1504</v>
      </c>
      <c r="K4" s="41" t="str">
        <f>IFERROR(HYPERLINK("#'Main'!B"&amp;MATCH(TRIM(A4),Main!B:B,0),"Open"),HYPERLINK("#'Main'!B1","Open"))</f>
        <v>Open</v>
      </c>
      <c r="L4" s="41"/>
    </row>
  </sheetData>
  <conditionalFormatting sqref="B2:B4">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A00-000000000000}"/>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5"/>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31" t="s">
        <v>1</v>
      </c>
      <c r="B1" s="31" t="s">
        <v>1507</v>
      </c>
      <c r="C1" s="31" t="s">
        <v>1508</v>
      </c>
      <c r="D1" s="31" t="s">
        <v>1509</v>
      </c>
      <c r="E1" s="32" t="s">
        <v>95</v>
      </c>
    </row>
    <row r="2" spans="1:5" x14ac:dyDescent="0.25">
      <c r="A2" s="52" t="s">
        <v>1510</v>
      </c>
      <c r="B2" s="33"/>
      <c r="C2" s="33"/>
      <c r="D2" s="33"/>
      <c r="E2" s="41"/>
    </row>
    <row r="3" spans="1:5" x14ac:dyDescent="0.25">
      <c r="A3" s="52"/>
      <c r="B3" s="42" t="s">
        <v>1511</v>
      </c>
      <c r="C3" s="42" t="s">
        <v>1512</v>
      </c>
      <c r="D3" s="42" t="s">
        <v>1513</v>
      </c>
    </row>
    <row r="4" spans="1:5" x14ac:dyDescent="0.25">
      <c r="A4" s="52"/>
      <c r="B4" s="33" t="s">
        <v>1514</v>
      </c>
      <c r="C4" s="33" t="s">
        <v>1515</v>
      </c>
      <c r="D4" s="33" t="s">
        <v>1516</v>
      </c>
      <c r="E4" s="41"/>
    </row>
    <row r="5" spans="1:5" x14ac:dyDescent="0.25">
      <c r="A5" s="52"/>
      <c r="B5" s="42" t="s">
        <v>1517</v>
      </c>
      <c r="C5" s="42" t="s">
        <v>1518</v>
      </c>
      <c r="D5" s="42" t="s">
        <v>1519</v>
      </c>
    </row>
    <row r="6" spans="1:5" x14ac:dyDescent="0.25">
      <c r="A6" s="52"/>
      <c r="B6" s="33"/>
      <c r="C6" s="33"/>
      <c r="D6" s="33"/>
      <c r="E6" s="41"/>
    </row>
    <row r="7" spans="1:5" x14ac:dyDescent="0.25">
      <c r="A7" s="52" t="s">
        <v>1520</v>
      </c>
      <c r="B7" s="42"/>
      <c r="C7" s="42"/>
      <c r="D7" s="42"/>
    </row>
    <row r="8" spans="1:5" x14ac:dyDescent="0.25">
      <c r="A8" s="52"/>
      <c r="B8" s="33" t="s">
        <v>1521</v>
      </c>
      <c r="C8" s="33" t="s">
        <v>1522</v>
      </c>
      <c r="D8" s="33" t="s">
        <v>1523</v>
      </c>
      <c r="E8" s="41"/>
    </row>
    <row r="9" spans="1:5" x14ac:dyDescent="0.25">
      <c r="A9" s="52"/>
      <c r="B9" s="42" t="s">
        <v>1524</v>
      </c>
      <c r="C9" s="42" t="s">
        <v>1525</v>
      </c>
      <c r="D9" s="42" t="s">
        <v>1526</v>
      </c>
    </row>
    <row r="10" spans="1:5" x14ac:dyDescent="0.25">
      <c r="A10" s="52"/>
      <c r="B10" s="33" t="s">
        <v>1527</v>
      </c>
      <c r="C10" s="33" t="s">
        <v>1528</v>
      </c>
      <c r="D10" s="33" t="s">
        <v>1529</v>
      </c>
      <c r="E10" s="41"/>
    </row>
    <row r="11" spans="1:5" x14ac:dyDescent="0.25">
      <c r="A11" s="52"/>
      <c r="B11" s="42" t="s">
        <v>1530</v>
      </c>
      <c r="C11" s="42" t="s">
        <v>1531</v>
      </c>
      <c r="D11" s="42" t="s">
        <v>1532</v>
      </c>
    </row>
    <row r="12" spans="1:5" x14ac:dyDescent="0.25">
      <c r="A12" s="52"/>
      <c r="B12" s="33"/>
      <c r="C12" s="33"/>
      <c r="D12" s="33"/>
      <c r="E12" s="41"/>
    </row>
    <row r="13" spans="1:5" x14ac:dyDescent="0.25">
      <c r="A13" s="52" t="s">
        <v>1533</v>
      </c>
      <c r="B13" s="42"/>
      <c r="C13" s="42"/>
      <c r="D13" s="42"/>
    </row>
    <row r="14" spans="1:5" x14ac:dyDescent="0.25">
      <c r="A14" s="52"/>
      <c r="B14" s="33" t="s">
        <v>1534</v>
      </c>
      <c r="C14" s="33" t="s">
        <v>1535</v>
      </c>
      <c r="D14" s="33" t="s">
        <v>1536</v>
      </c>
      <c r="E14" s="41"/>
    </row>
    <row r="15" spans="1:5" x14ac:dyDescent="0.25">
      <c r="A15" s="52"/>
      <c r="B15" s="42" t="s">
        <v>1537</v>
      </c>
      <c r="C15" s="42" t="s">
        <v>1538</v>
      </c>
      <c r="D15" s="42" t="s">
        <v>1539</v>
      </c>
    </row>
    <row r="16" spans="1:5" x14ac:dyDescent="0.25">
      <c r="A16" s="52"/>
      <c r="B16" s="33" t="s">
        <v>1540</v>
      </c>
      <c r="C16" s="33" t="s">
        <v>1541</v>
      </c>
      <c r="D16" s="33" t="s">
        <v>1542</v>
      </c>
      <c r="E16" s="41"/>
    </row>
    <row r="17" spans="1:5" x14ac:dyDescent="0.25">
      <c r="A17" s="52"/>
      <c r="B17" s="42"/>
      <c r="C17" s="42"/>
      <c r="D17" s="42"/>
    </row>
    <row r="18" spans="1:5" x14ac:dyDescent="0.25">
      <c r="A18" s="52" t="s">
        <v>1543</v>
      </c>
      <c r="B18" s="33"/>
      <c r="C18" s="33"/>
      <c r="D18" s="33"/>
      <c r="E18" s="41"/>
    </row>
    <row r="19" spans="1:5" x14ac:dyDescent="0.25">
      <c r="A19" s="52"/>
      <c r="B19" s="42" t="s">
        <v>1544</v>
      </c>
      <c r="C19" s="42" t="s">
        <v>1545</v>
      </c>
      <c r="D19" s="42" t="s">
        <v>1546</v>
      </c>
    </row>
    <row r="20" spans="1:5" x14ac:dyDescent="0.25">
      <c r="A20" s="52"/>
      <c r="B20" s="33" t="s">
        <v>1547</v>
      </c>
      <c r="C20" s="33" t="s">
        <v>1548</v>
      </c>
      <c r="D20" s="33" t="s">
        <v>1549</v>
      </c>
      <c r="E20" s="41"/>
    </row>
    <row r="21" spans="1:5" x14ac:dyDescent="0.25">
      <c r="A21" s="52"/>
      <c r="B21" s="42" t="s">
        <v>1550</v>
      </c>
      <c r="C21" s="42" t="s">
        <v>1551</v>
      </c>
      <c r="D21" s="42" t="s">
        <v>1552</v>
      </c>
    </row>
    <row r="22" spans="1:5" x14ac:dyDescent="0.25">
      <c r="A22" s="52"/>
      <c r="B22" s="33" t="s">
        <v>1553</v>
      </c>
      <c r="C22" s="33" t="s">
        <v>1554</v>
      </c>
      <c r="D22" s="33" t="s">
        <v>1555</v>
      </c>
      <c r="E22" s="41"/>
    </row>
    <row r="23" spans="1:5" x14ac:dyDescent="0.25">
      <c r="A23" s="52"/>
      <c r="B23" s="42"/>
      <c r="C23" s="42"/>
      <c r="D23" s="42"/>
    </row>
    <row r="24" spans="1:5" x14ac:dyDescent="0.25">
      <c r="A24" s="52" t="s">
        <v>1556</v>
      </c>
      <c r="B24" s="33"/>
      <c r="C24" s="33"/>
      <c r="D24" s="33"/>
      <c r="E24" s="41"/>
    </row>
    <row r="25" spans="1:5" x14ac:dyDescent="0.25">
      <c r="A25" s="52"/>
      <c r="B25" s="42" t="s">
        <v>1557</v>
      </c>
      <c r="C25" s="42" t="s">
        <v>1558</v>
      </c>
      <c r="D25" s="42" t="s">
        <v>1559</v>
      </c>
    </row>
    <row r="26" spans="1:5" x14ac:dyDescent="0.25">
      <c r="A26" s="52"/>
      <c r="B26" s="33" t="s">
        <v>1560</v>
      </c>
      <c r="C26" s="33" t="s">
        <v>1561</v>
      </c>
      <c r="D26" s="33" t="s">
        <v>1562</v>
      </c>
      <c r="E26" s="41"/>
    </row>
    <row r="27" spans="1:5" x14ac:dyDescent="0.25">
      <c r="A27" s="52"/>
      <c r="B27" s="42"/>
      <c r="C27" s="42"/>
      <c r="D27" s="42"/>
    </row>
    <row r="28" spans="1:5" x14ac:dyDescent="0.25">
      <c r="A28" s="52" t="s">
        <v>1563</v>
      </c>
      <c r="B28" s="33"/>
      <c r="C28" s="33"/>
      <c r="D28" s="33"/>
      <c r="E28" s="41"/>
    </row>
    <row r="29" spans="1:5" x14ac:dyDescent="0.25">
      <c r="A29" s="52" t="s">
        <v>1564</v>
      </c>
      <c r="B29" s="42" t="s">
        <v>1565</v>
      </c>
      <c r="C29" s="42" t="s">
        <v>1566</v>
      </c>
      <c r="D29" s="42" t="s">
        <v>1567</v>
      </c>
    </row>
    <row r="30" spans="1:5" x14ac:dyDescent="0.25">
      <c r="A30" s="52" t="s">
        <v>1564</v>
      </c>
      <c r="B30" s="33" t="s">
        <v>1568</v>
      </c>
      <c r="C30" s="33" t="s">
        <v>1569</v>
      </c>
      <c r="D30" s="33" t="s">
        <v>1570</v>
      </c>
      <c r="E30" s="41"/>
    </row>
    <row r="31" spans="1:5" x14ac:dyDescent="0.25">
      <c r="A31" s="52" t="s">
        <v>1564</v>
      </c>
      <c r="B31" s="42" t="s">
        <v>1571</v>
      </c>
      <c r="C31" s="42" t="s">
        <v>1572</v>
      </c>
      <c r="D31" s="42" t="s">
        <v>1573</v>
      </c>
    </row>
    <row r="32" spans="1:5" x14ac:dyDescent="0.25">
      <c r="A32" s="52" t="s">
        <v>1574</v>
      </c>
      <c r="B32" s="33" t="s">
        <v>1575</v>
      </c>
      <c r="C32" s="33" t="s">
        <v>1576</v>
      </c>
      <c r="D32" s="33" t="s">
        <v>1577</v>
      </c>
      <c r="E32" s="41"/>
    </row>
    <row r="33" spans="1:5" x14ac:dyDescent="0.25">
      <c r="A33" s="52" t="s">
        <v>1578</v>
      </c>
      <c r="B33" s="42" t="s">
        <v>1579</v>
      </c>
      <c r="C33" s="42" t="s">
        <v>1580</v>
      </c>
      <c r="D33" s="42" t="s">
        <v>1581</v>
      </c>
    </row>
    <row r="34" spans="1:5" x14ac:dyDescent="0.25">
      <c r="A34" s="52" t="s">
        <v>1578</v>
      </c>
      <c r="B34" s="33" t="s">
        <v>1582</v>
      </c>
      <c r="C34" s="33" t="s">
        <v>1583</v>
      </c>
      <c r="D34" s="33" t="s">
        <v>1584</v>
      </c>
      <c r="E34" s="41"/>
    </row>
    <row r="35" spans="1:5" x14ac:dyDescent="0.25">
      <c r="A35" s="52" t="s">
        <v>1578</v>
      </c>
      <c r="B35" s="42" t="s">
        <v>1585</v>
      </c>
      <c r="C35" s="42" t="s">
        <v>1586</v>
      </c>
      <c r="D35" s="42" t="s">
        <v>1587</v>
      </c>
    </row>
  </sheetData>
  <autoFilter ref="A1:E35" xr:uid="{00000000-0009-0000-0000-00000B000000}"/>
  <hyperlinks>
    <hyperlink ref="E1" location="'Dashboard'!A1" display="BACK TO DASHBOARD" xr:uid="{00000000-0004-0000-0B00-000000000000}"/>
  </hyperlink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65"/>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31" t="s">
        <v>78</v>
      </c>
      <c r="B1" s="31" t="s">
        <v>1588</v>
      </c>
      <c r="C1" s="31" t="s">
        <v>1589</v>
      </c>
      <c r="D1" s="31" t="s">
        <v>1590</v>
      </c>
      <c r="E1" s="31" t="s">
        <v>47</v>
      </c>
      <c r="F1" s="31" t="s">
        <v>346</v>
      </c>
      <c r="G1" s="31" t="s">
        <v>74</v>
      </c>
      <c r="H1" s="31" t="s">
        <v>1591</v>
      </c>
      <c r="I1" s="31" t="s">
        <v>1592</v>
      </c>
      <c r="J1" s="31" t="s">
        <v>1593</v>
      </c>
      <c r="K1" s="31" t="s">
        <v>1594</v>
      </c>
      <c r="L1" s="31" t="s">
        <v>1595</v>
      </c>
      <c r="M1" s="31" t="s">
        <v>89</v>
      </c>
      <c r="N1" s="31" t="s">
        <v>67</v>
      </c>
      <c r="O1" s="31" t="s">
        <v>25</v>
      </c>
      <c r="P1" s="31" t="s">
        <v>83</v>
      </c>
      <c r="Q1" s="31" t="s">
        <v>349</v>
      </c>
      <c r="R1" s="31" t="s">
        <v>1509</v>
      </c>
      <c r="S1" s="31" t="s">
        <v>93</v>
      </c>
      <c r="T1" s="31" t="s">
        <v>202</v>
      </c>
      <c r="U1" s="32" t="s">
        <v>95</v>
      </c>
    </row>
    <row r="2" spans="1:21" ht="30" customHeight="1" x14ac:dyDescent="0.25">
      <c r="A2" s="50" t="s">
        <v>157</v>
      </c>
      <c r="B2" s="33">
        <v>13164</v>
      </c>
      <c r="C2" s="65" t="s">
        <v>1596</v>
      </c>
      <c r="D2" s="33" t="s">
        <v>1597</v>
      </c>
      <c r="E2" s="47" t="s">
        <v>51</v>
      </c>
      <c r="F2" s="33" t="s">
        <v>1598</v>
      </c>
      <c r="G2" s="36">
        <v>67</v>
      </c>
      <c r="H2" s="33" t="s">
        <v>1599</v>
      </c>
      <c r="I2" s="33" t="s">
        <v>1600</v>
      </c>
      <c r="J2" s="33" t="s">
        <v>1601</v>
      </c>
      <c r="K2" s="38" t="s">
        <v>1602</v>
      </c>
      <c r="L2" s="33" t="s">
        <v>1514</v>
      </c>
      <c r="M2" s="33" t="s">
        <v>105</v>
      </c>
      <c r="N2" s="33" t="s">
        <v>111</v>
      </c>
      <c r="O2" s="34" t="s">
        <v>2</v>
      </c>
      <c r="P2" s="33">
        <v>4</v>
      </c>
      <c r="Q2" s="33" t="s">
        <v>1603</v>
      </c>
      <c r="R2" s="33" t="s">
        <v>1604</v>
      </c>
      <c r="S2" s="41" t="str">
        <f>IFERROR(HYPERLINK("#'Main'!B"&amp;MATCH(TRIM(A2),Main!B:B,0),"Open"),HYPERLINK("#'Main'!B1","Open"))</f>
        <v>Open</v>
      </c>
      <c r="T2" s="41" t="str">
        <f>IFERROR(HYPERLINK("#'Technical Diagnostics'!A"&amp;MATCH(A2,'Technical Diagnostics'!A:A,0),"Open"),HYPERLINK("#'Technical Diagnostics'!A1","Open"))</f>
        <v>Open</v>
      </c>
      <c r="U2" s="41"/>
    </row>
    <row r="3" spans="1:21" ht="30" customHeight="1" x14ac:dyDescent="0.25">
      <c r="A3" s="51" t="s">
        <v>176</v>
      </c>
      <c r="B3" s="42">
        <v>8</v>
      </c>
      <c r="C3" s="66" t="s">
        <v>1605</v>
      </c>
      <c r="D3" s="42" t="s">
        <v>1606</v>
      </c>
      <c r="E3" s="47" t="s">
        <v>51</v>
      </c>
      <c r="F3" s="42" t="s">
        <v>1607</v>
      </c>
      <c r="G3" s="43">
        <v>67</v>
      </c>
      <c r="H3" s="42">
        <v>31</v>
      </c>
      <c r="I3" s="42" t="s">
        <v>1608</v>
      </c>
      <c r="J3" s="42" t="s">
        <v>1609</v>
      </c>
      <c r="K3" s="42" t="s">
        <v>137</v>
      </c>
      <c r="L3" s="42" t="s">
        <v>566</v>
      </c>
      <c r="M3" s="42" t="s">
        <v>105</v>
      </c>
      <c r="N3" s="42" t="s">
        <v>111</v>
      </c>
      <c r="O3" s="34" t="s">
        <v>2</v>
      </c>
      <c r="P3" s="42">
        <v>4</v>
      </c>
      <c r="Q3" s="42" t="s">
        <v>1610</v>
      </c>
      <c r="R3" s="42" t="s">
        <v>1611</v>
      </c>
      <c r="S3" t="str">
        <f>IFERROR(HYPERLINK("#'Main'!B"&amp;MATCH(TRIM(A3),Main!B:B,0),"Open"),HYPERLINK("#'Main'!B1","Open"))</f>
        <v>Open</v>
      </c>
      <c r="T3" t="str">
        <f>IFERROR(HYPERLINK("#'Technical Diagnostics'!A"&amp;MATCH(A3,'Technical Diagnostics'!A:A,0),"Open"),HYPERLINK("#'Technical Diagnostics'!A1","Open"))</f>
        <v>Open</v>
      </c>
    </row>
    <row r="4" spans="1:21" ht="30" customHeight="1" x14ac:dyDescent="0.25">
      <c r="A4" s="50" t="s">
        <v>178</v>
      </c>
      <c r="B4" s="33">
        <v>84</v>
      </c>
      <c r="C4" s="65" t="s">
        <v>1612</v>
      </c>
      <c r="D4" s="33" t="s">
        <v>1606</v>
      </c>
      <c r="E4" s="47" t="s">
        <v>51</v>
      </c>
      <c r="F4" s="33" t="s">
        <v>1607</v>
      </c>
      <c r="G4" s="36">
        <v>67</v>
      </c>
      <c r="H4" s="33">
        <v>15</v>
      </c>
      <c r="I4" s="33" t="s">
        <v>1608</v>
      </c>
      <c r="J4" s="33" t="s">
        <v>1609</v>
      </c>
      <c r="K4" s="33" t="s">
        <v>137</v>
      </c>
      <c r="L4" s="33" t="s">
        <v>566</v>
      </c>
      <c r="M4" s="33" t="s">
        <v>105</v>
      </c>
      <c r="N4" s="33" t="s">
        <v>111</v>
      </c>
      <c r="O4" s="34" t="s">
        <v>2</v>
      </c>
      <c r="P4" s="33">
        <v>4</v>
      </c>
      <c r="Q4" s="33" t="s">
        <v>1613</v>
      </c>
      <c r="R4" s="33" t="s">
        <v>1611</v>
      </c>
      <c r="S4" s="41" t="str">
        <f>IFERROR(HYPERLINK("#'Main'!B"&amp;MATCH(TRIM(A4),Main!B:B,0),"Open"),HYPERLINK("#'Main'!B1","Open"))</f>
        <v>Open</v>
      </c>
      <c r="T4" s="41" t="str">
        <f>IFERROR(HYPERLINK("#'Technical Diagnostics'!A"&amp;MATCH(A4,'Technical Diagnostics'!A:A,0),"Open"),HYPERLINK("#'Technical Diagnostics'!A1","Open"))</f>
        <v>Open</v>
      </c>
      <c r="U4" s="41"/>
    </row>
    <row r="5" spans="1:21" ht="30" customHeight="1" x14ac:dyDescent="0.25">
      <c r="A5" s="51" t="s">
        <v>208</v>
      </c>
      <c r="B5" s="42">
        <v>28165</v>
      </c>
      <c r="C5" s="66" t="s">
        <v>1614</v>
      </c>
      <c r="D5" s="42" t="s">
        <v>1606</v>
      </c>
      <c r="E5" s="47" t="s">
        <v>51</v>
      </c>
      <c r="F5" s="42" t="s">
        <v>1607</v>
      </c>
      <c r="G5" s="43">
        <v>67</v>
      </c>
      <c r="H5" s="42">
        <v>15</v>
      </c>
      <c r="I5" s="42" t="s">
        <v>1608</v>
      </c>
      <c r="J5" s="42" t="s">
        <v>1609</v>
      </c>
      <c r="K5" s="42" t="s">
        <v>137</v>
      </c>
      <c r="L5" s="42" t="s">
        <v>566</v>
      </c>
      <c r="M5" s="42" t="s">
        <v>105</v>
      </c>
      <c r="N5" s="42" t="s">
        <v>111</v>
      </c>
      <c r="O5" s="34" t="s">
        <v>2</v>
      </c>
      <c r="P5" s="42">
        <v>4</v>
      </c>
      <c r="Q5" s="42" t="s">
        <v>1615</v>
      </c>
      <c r="R5" s="42" t="s">
        <v>1611</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50" t="s">
        <v>146</v>
      </c>
      <c r="B6" s="33">
        <v>16125</v>
      </c>
      <c r="C6" s="65" t="s">
        <v>1616</v>
      </c>
      <c r="D6" s="33" t="s">
        <v>1606</v>
      </c>
      <c r="E6" s="47" t="s">
        <v>51</v>
      </c>
      <c r="F6" s="33" t="s">
        <v>1607</v>
      </c>
      <c r="G6" s="36">
        <v>67</v>
      </c>
      <c r="H6" s="33">
        <v>15</v>
      </c>
      <c r="I6" s="33" t="s">
        <v>1608</v>
      </c>
      <c r="J6" s="33" t="s">
        <v>1609</v>
      </c>
      <c r="K6" s="33" t="s">
        <v>137</v>
      </c>
      <c r="L6" s="33" t="s">
        <v>566</v>
      </c>
      <c r="M6" s="33" t="s">
        <v>105</v>
      </c>
      <c r="N6" s="33" t="s">
        <v>111</v>
      </c>
      <c r="O6" s="34" t="s">
        <v>2</v>
      </c>
      <c r="P6" s="33">
        <v>4</v>
      </c>
      <c r="Q6" s="33" t="s">
        <v>1617</v>
      </c>
      <c r="R6" s="33" t="s">
        <v>1611</v>
      </c>
      <c r="S6" s="41" t="str">
        <f>IFERROR(HYPERLINK("#'Main'!B"&amp;MATCH(TRIM(A6),Main!B:B,0),"Open"),HYPERLINK("#'Main'!B1","Open"))</f>
        <v>Open</v>
      </c>
      <c r="T6" s="41" t="str">
        <f>IFERROR(HYPERLINK("#'Technical Diagnostics'!A"&amp;MATCH(A6,'Technical Diagnostics'!A:A,0),"Open"),HYPERLINK("#'Technical Diagnostics'!A1","Open"))</f>
        <v>Open</v>
      </c>
      <c r="U6" s="41"/>
    </row>
    <row r="7" spans="1:21" ht="30" customHeight="1" x14ac:dyDescent="0.25">
      <c r="A7" s="51" t="s">
        <v>207</v>
      </c>
      <c r="B7" s="42">
        <v>4494</v>
      </c>
      <c r="C7" s="66" t="s">
        <v>1618</v>
      </c>
      <c r="D7" s="42" t="s">
        <v>1606</v>
      </c>
      <c r="E7" s="47" t="s">
        <v>51</v>
      </c>
      <c r="F7" s="42" t="s">
        <v>1607</v>
      </c>
      <c r="G7" s="43">
        <v>67</v>
      </c>
      <c r="H7" s="42">
        <v>32</v>
      </c>
      <c r="I7" s="42" t="s">
        <v>1608</v>
      </c>
      <c r="J7" s="42" t="s">
        <v>1609</v>
      </c>
      <c r="K7" s="42" t="s">
        <v>137</v>
      </c>
      <c r="L7" s="42" t="s">
        <v>566</v>
      </c>
      <c r="M7" s="42" t="s">
        <v>105</v>
      </c>
      <c r="N7" s="42" t="s">
        <v>111</v>
      </c>
      <c r="O7" s="34" t="s">
        <v>2</v>
      </c>
      <c r="P7" s="42">
        <v>4</v>
      </c>
      <c r="Q7" s="42" t="s">
        <v>1619</v>
      </c>
      <c r="R7" s="42" t="s">
        <v>1611</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50" t="s">
        <v>155</v>
      </c>
      <c r="B8" s="33">
        <v>5619</v>
      </c>
      <c r="C8" s="65" t="s">
        <v>1620</v>
      </c>
      <c r="D8" s="33" t="s">
        <v>1606</v>
      </c>
      <c r="E8" s="47" t="s">
        <v>51</v>
      </c>
      <c r="F8" s="33" t="s">
        <v>1607</v>
      </c>
      <c r="G8" s="36">
        <v>67</v>
      </c>
      <c r="H8" s="33">
        <v>15</v>
      </c>
      <c r="I8" s="33" t="s">
        <v>1608</v>
      </c>
      <c r="J8" s="33" t="s">
        <v>1609</v>
      </c>
      <c r="K8" s="33" t="s">
        <v>137</v>
      </c>
      <c r="L8" s="33" t="s">
        <v>566</v>
      </c>
      <c r="M8" s="33" t="s">
        <v>105</v>
      </c>
      <c r="N8" s="33" t="s">
        <v>111</v>
      </c>
      <c r="O8" s="34" t="s">
        <v>2</v>
      </c>
      <c r="P8" s="33">
        <v>4</v>
      </c>
      <c r="Q8" s="33" t="s">
        <v>1621</v>
      </c>
      <c r="R8" s="33" t="s">
        <v>1611</v>
      </c>
      <c r="S8" s="41" t="str">
        <f>IFERROR(HYPERLINK("#'Main'!B"&amp;MATCH(TRIM(A8),Main!B:B,0),"Open"),HYPERLINK("#'Main'!B1","Open"))</f>
        <v>Open</v>
      </c>
      <c r="T8" s="41" t="str">
        <f>IFERROR(HYPERLINK("#'Technical Diagnostics'!A"&amp;MATCH(A8,'Technical Diagnostics'!A:A,0),"Open"),HYPERLINK("#'Technical Diagnostics'!A1","Open"))</f>
        <v>Open</v>
      </c>
      <c r="U8" s="41"/>
    </row>
    <row r="9" spans="1:21" ht="30" customHeight="1" x14ac:dyDescent="0.25">
      <c r="A9" s="51" t="s">
        <v>206</v>
      </c>
      <c r="B9" s="42">
        <v>4941</v>
      </c>
      <c r="C9" s="66" t="s">
        <v>1622</v>
      </c>
      <c r="D9" s="42" t="s">
        <v>1606</v>
      </c>
      <c r="E9" s="47" t="s">
        <v>51</v>
      </c>
      <c r="F9" s="42" t="s">
        <v>1607</v>
      </c>
      <c r="G9" s="43">
        <v>67</v>
      </c>
      <c r="H9" s="42">
        <v>15</v>
      </c>
      <c r="I9" s="42" t="s">
        <v>1608</v>
      </c>
      <c r="J9" s="42" t="s">
        <v>1609</v>
      </c>
      <c r="K9" s="42" t="s">
        <v>137</v>
      </c>
      <c r="L9" s="42" t="s">
        <v>566</v>
      </c>
      <c r="M9" s="42" t="s">
        <v>105</v>
      </c>
      <c r="N9" s="42" t="s">
        <v>111</v>
      </c>
      <c r="O9" s="34" t="s">
        <v>2</v>
      </c>
      <c r="P9" s="42">
        <v>4</v>
      </c>
      <c r="Q9" s="42" t="s">
        <v>1623</v>
      </c>
      <c r="R9" s="42" t="s">
        <v>1611</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50" t="s">
        <v>209</v>
      </c>
      <c r="B10" s="33">
        <v>12371</v>
      </c>
      <c r="C10" s="65" t="s">
        <v>1624</v>
      </c>
      <c r="D10" s="33" t="s">
        <v>1606</v>
      </c>
      <c r="E10" s="47" t="s">
        <v>51</v>
      </c>
      <c r="F10" s="33" t="s">
        <v>1607</v>
      </c>
      <c r="G10" s="36">
        <v>67</v>
      </c>
      <c r="H10" s="33">
        <v>15</v>
      </c>
      <c r="I10" s="33" t="s">
        <v>1608</v>
      </c>
      <c r="J10" s="33" t="s">
        <v>1609</v>
      </c>
      <c r="K10" s="33" t="s">
        <v>137</v>
      </c>
      <c r="L10" s="33" t="s">
        <v>566</v>
      </c>
      <c r="M10" s="33" t="s">
        <v>105</v>
      </c>
      <c r="N10" s="33" t="s">
        <v>111</v>
      </c>
      <c r="O10" s="34" t="s">
        <v>2</v>
      </c>
      <c r="P10" s="33">
        <v>4</v>
      </c>
      <c r="Q10" s="33" t="s">
        <v>1625</v>
      </c>
      <c r="R10" s="33" t="s">
        <v>1611</v>
      </c>
      <c r="S10" s="41" t="str">
        <f>IFERROR(HYPERLINK("#'Main'!B"&amp;MATCH(TRIM(A10),Main!B:B,0),"Open"),HYPERLINK("#'Main'!B1","Open"))</f>
        <v>Open</v>
      </c>
      <c r="T10" s="41" t="str">
        <f>IFERROR(HYPERLINK("#'Technical Diagnostics'!A"&amp;MATCH(A10,'Technical Diagnostics'!A:A,0),"Open"),HYPERLINK("#'Technical Diagnostics'!A1","Open"))</f>
        <v>Open</v>
      </c>
      <c r="U10" s="41"/>
    </row>
    <row r="11" spans="1:21" ht="30" customHeight="1" x14ac:dyDescent="0.25">
      <c r="A11" s="51" t="s">
        <v>210</v>
      </c>
      <c r="B11" s="42">
        <v>12954</v>
      </c>
      <c r="C11" s="66" t="s">
        <v>1626</v>
      </c>
      <c r="D11" s="42" t="s">
        <v>1606</v>
      </c>
      <c r="E11" s="47" t="s">
        <v>51</v>
      </c>
      <c r="F11" s="42" t="s">
        <v>1607</v>
      </c>
      <c r="G11" s="43">
        <v>67</v>
      </c>
      <c r="H11" s="42">
        <v>15</v>
      </c>
      <c r="I11" s="42" t="s">
        <v>1608</v>
      </c>
      <c r="J11" s="42" t="s">
        <v>1609</v>
      </c>
      <c r="K11" s="42" t="s">
        <v>137</v>
      </c>
      <c r="L11" s="42" t="s">
        <v>566</v>
      </c>
      <c r="M11" s="42" t="s">
        <v>105</v>
      </c>
      <c r="N11" s="42" t="s">
        <v>111</v>
      </c>
      <c r="O11" s="34" t="s">
        <v>2</v>
      </c>
      <c r="P11" s="42">
        <v>4</v>
      </c>
      <c r="Q11" s="42" t="s">
        <v>1627</v>
      </c>
      <c r="R11" s="42" t="s">
        <v>1611</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25">
      <c r="A12" s="50" t="s">
        <v>157</v>
      </c>
      <c r="B12" s="33">
        <v>13164</v>
      </c>
      <c r="C12" s="65" t="s">
        <v>1596</v>
      </c>
      <c r="D12" s="33" t="s">
        <v>1606</v>
      </c>
      <c r="E12" s="47" t="s">
        <v>51</v>
      </c>
      <c r="F12" s="33" t="s">
        <v>1607</v>
      </c>
      <c r="G12" s="36">
        <v>67</v>
      </c>
      <c r="H12" s="33">
        <v>17</v>
      </c>
      <c r="I12" s="33" t="s">
        <v>1608</v>
      </c>
      <c r="J12" s="33" t="s">
        <v>1609</v>
      </c>
      <c r="K12" s="33" t="s">
        <v>137</v>
      </c>
      <c r="L12" s="33" t="s">
        <v>566</v>
      </c>
      <c r="M12" s="33" t="s">
        <v>105</v>
      </c>
      <c r="N12" s="33" t="s">
        <v>111</v>
      </c>
      <c r="O12" s="34" t="s">
        <v>2</v>
      </c>
      <c r="P12" s="33">
        <v>4</v>
      </c>
      <c r="Q12" s="33" t="s">
        <v>1628</v>
      </c>
      <c r="R12" s="33" t="s">
        <v>1611</v>
      </c>
      <c r="S12" s="41" t="str">
        <f>IFERROR(HYPERLINK("#'Main'!B"&amp;MATCH(TRIM(A12),Main!B:B,0),"Open"),HYPERLINK("#'Main'!B1","Open"))</f>
        <v>Open</v>
      </c>
      <c r="T12" s="41" t="str">
        <f>IFERROR(HYPERLINK("#'Technical Diagnostics'!A"&amp;MATCH(A12,'Technical Diagnostics'!A:A,0),"Open"),HYPERLINK("#'Technical Diagnostics'!A1","Open"))</f>
        <v>Open</v>
      </c>
      <c r="U12" s="41"/>
    </row>
    <row r="13" spans="1:21" ht="30" customHeight="1" x14ac:dyDescent="0.25">
      <c r="A13" s="51" t="s">
        <v>212</v>
      </c>
      <c r="B13" s="42">
        <v>12407</v>
      </c>
      <c r="C13" s="66" t="s">
        <v>1629</v>
      </c>
      <c r="D13" s="42" t="s">
        <v>1606</v>
      </c>
      <c r="E13" s="47" t="s">
        <v>51</v>
      </c>
      <c r="F13" s="42" t="s">
        <v>1607</v>
      </c>
      <c r="G13" s="43">
        <v>67</v>
      </c>
      <c r="H13" s="42">
        <v>15</v>
      </c>
      <c r="I13" s="42" t="s">
        <v>1608</v>
      </c>
      <c r="J13" s="42" t="s">
        <v>1609</v>
      </c>
      <c r="K13" s="42" t="s">
        <v>137</v>
      </c>
      <c r="L13" s="42" t="s">
        <v>566</v>
      </c>
      <c r="M13" s="42" t="s">
        <v>105</v>
      </c>
      <c r="N13" s="42" t="s">
        <v>111</v>
      </c>
      <c r="O13" s="34" t="s">
        <v>2</v>
      </c>
      <c r="P13" s="42">
        <v>4</v>
      </c>
      <c r="Q13" s="42" t="s">
        <v>1630</v>
      </c>
      <c r="R13" s="42" t="s">
        <v>1611</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50" t="s">
        <v>211</v>
      </c>
      <c r="B14" s="33">
        <v>12497</v>
      </c>
      <c r="C14" s="65" t="s">
        <v>1631</v>
      </c>
      <c r="D14" s="33" t="s">
        <v>1606</v>
      </c>
      <c r="E14" s="47" t="s">
        <v>51</v>
      </c>
      <c r="F14" s="33" t="s">
        <v>1607</v>
      </c>
      <c r="G14" s="36">
        <v>67</v>
      </c>
      <c r="H14" s="33">
        <v>15</v>
      </c>
      <c r="I14" s="33" t="s">
        <v>1608</v>
      </c>
      <c r="J14" s="33" t="s">
        <v>1609</v>
      </c>
      <c r="K14" s="33" t="s">
        <v>137</v>
      </c>
      <c r="L14" s="33" t="s">
        <v>566</v>
      </c>
      <c r="M14" s="33" t="s">
        <v>105</v>
      </c>
      <c r="N14" s="33" t="s">
        <v>111</v>
      </c>
      <c r="O14" s="34" t="s">
        <v>2</v>
      </c>
      <c r="P14" s="33">
        <v>4</v>
      </c>
      <c r="Q14" s="33" t="s">
        <v>1632</v>
      </c>
      <c r="R14" s="33" t="s">
        <v>1611</v>
      </c>
      <c r="S14" s="41" t="str">
        <f>IFERROR(HYPERLINK("#'Main'!B"&amp;MATCH(TRIM(A14),Main!B:B,0),"Open"),HYPERLINK("#'Main'!B1","Open"))</f>
        <v>Open</v>
      </c>
      <c r="T14" s="41" t="str">
        <f>IFERROR(HYPERLINK("#'Technical Diagnostics'!A"&amp;MATCH(A14,'Technical Diagnostics'!A:A,0),"Open"),HYPERLINK("#'Technical Diagnostics'!A1","Open"))</f>
        <v>Open</v>
      </c>
      <c r="U14" s="41"/>
    </row>
    <row r="15" spans="1:21" ht="30" customHeight="1" x14ac:dyDescent="0.25">
      <c r="A15" s="51" t="s">
        <v>213</v>
      </c>
      <c r="B15" s="42">
        <v>13098</v>
      </c>
      <c r="C15" s="66" t="s">
        <v>1633</v>
      </c>
      <c r="D15" s="42" t="s">
        <v>1606</v>
      </c>
      <c r="E15" s="47" t="s">
        <v>51</v>
      </c>
      <c r="F15" s="42" t="s">
        <v>1607</v>
      </c>
      <c r="G15" s="43">
        <v>67</v>
      </c>
      <c r="H15" s="42">
        <v>15</v>
      </c>
      <c r="I15" s="42" t="s">
        <v>1608</v>
      </c>
      <c r="J15" s="42" t="s">
        <v>1609</v>
      </c>
      <c r="K15" s="42" t="s">
        <v>137</v>
      </c>
      <c r="L15" s="42" t="s">
        <v>566</v>
      </c>
      <c r="M15" s="42" t="s">
        <v>105</v>
      </c>
      <c r="N15" s="42" t="s">
        <v>111</v>
      </c>
      <c r="O15" s="34" t="s">
        <v>2</v>
      </c>
      <c r="P15" s="42">
        <v>4</v>
      </c>
      <c r="Q15" s="42" t="s">
        <v>1634</v>
      </c>
      <c r="R15" s="42" t="s">
        <v>1611</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50" t="s">
        <v>214</v>
      </c>
      <c r="B16" s="33">
        <v>13549</v>
      </c>
      <c r="C16" s="65" t="s">
        <v>1635</v>
      </c>
      <c r="D16" s="33" t="s">
        <v>1606</v>
      </c>
      <c r="E16" s="47" t="s">
        <v>51</v>
      </c>
      <c r="F16" s="33" t="s">
        <v>1607</v>
      </c>
      <c r="G16" s="36">
        <v>67</v>
      </c>
      <c r="H16" s="33">
        <v>15</v>
      </c>
      <c r="I16" s="33" t="s">
        <v>1608</v>
      </c>
      <c r="J16" s="33" t="s">
        <v>1609</v>
      </c>
      <c r="K16" s="33" t="s">
        <v>137</v>
      </c>
      <c r="L16" s="33" t="s">
        <v>566</v>
      </c>
      <c r="M16" s="33" t="s">
        <v>105</v>
      </c>
      <c r="N16" s="33" t="s">
        <v>111</v>
      </c>
      <c r="O16" s="34" t="s">
        <v>2</v>
      </c>
      <c r="P16" s="33">
        <v>4</v>
      </c>
      <c r="Q16" s="33" t="s">
        <v>1636</v>
      </c>
      <c r="R16" s="33" t="s">
        <v>1611</v>
      </c>
      <c r="S16" s="41" t="str">
        <f>IFERROR(HYPERLINK("#'Main'!B"&amp;MATCH(TRIM(A16),Main!B:B,0),"Open"),HYPERLINK("#'Main'!B1","Open"))</f>
        <v>Open</v>
      </c>
      <c r="T16" s="41" t="str">
        <f>IFERROR(HYPERLINK("#'Technical Diagnostics'!A"&amp;MATCH(A16,'Technical Diagnostics'!A:A,0),"Open"),HYPERLINK("#'Technical Diagnostics'!A1","Open"))</f>
        <v>Open</v>
      </c>
      <c r="U16" s="41"/>
    </row>
    <row r="17" spans="1:21" ht="30" customHeight="1" x14ac:dyDescent="0.25">
      <c r="A17" s="51" t="s">
        <v>215</v>
      </c>
      <c r="B17" s="42">
        <v>13282</v>
      </c>
      <c r="C17" s="66" t="s">
        <v>1637</v>
      </c>
      <c r="D17" s="42" t="s">
        <v>1606</v>
      </c>
      <c r="E17" s="47" t="s">
        <v>51</v>
      </c>
      <c r="F17" s="42" t="s">
        <v>1607</v>
      </c>
      <c r="G17" s="43">
        <v>67</v>
      </c>
      <c r="H17" s="42">
        <v>15</v>
      </c>
      <c r="I17" s="42" t="s">
        <v>1608</v>
      </c>
      <c r="J17" s="42" t="s">
        <v>1609</v>
      </c>
      <c r="K17" s="42" t="s">
        <v>137</v>
      </c>
      <c r="L17" s="42" t="s">
        <v>566</v>
      </c>
      <c r="M17" s="42" t="s">
        <v>105</v>
      </c>
      <c r="N17" s="42" t="s">
        <v>111</v>
      </c>
      <c r="O17" s="34" t="s">
        <v>2</v>
      </c>
      <c r="P17" s="42">
        <v>4</v>
      </c>
      <c r="Q17" s="42" t="s">
        <v>1638</v>
      </c>
      <c r="R17" s="42" t="s">
        <v>1611</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50" t="s">
        <v>217</v>
      </c>
      <c r="B18" s="33">
        <v>12945</v>
      </c>
      <c r="C18" s="65" t="s">
        <v>1639</v>
      </c>
      <c r="D18" s="33" t="s">
        <v>1606</v>
      </c>
      <c r="E18" s="47" t="s">
        <v>51</v>
      </c>
      <c r="F18" s="33" t="s">
        <v>1607</v>
      </c>
      <c r="G18" s="36">
        <v>67</v>
      </c>
      <c r="H18" s="33">
        <v>15</v>
      </c>
      <c r="I18" s="33" t="s">
        <v>1608</v>
      </c>
      <c r="J18" s="33" t="s">
        <v>1609</v>
      </c>
      <c r="K18" s="33" t="s">
        <v>137</v>
      </c>
      <c r="L18" s="33" t="s">
        <v>566</v>
      </c>
      <c r="M18" s="33" t="s">
        <v>105</v>
      </c>
      <c r="N18" s="33" t="s">
        <v>111</v>
      </c>
      <c r="O18" s="34" t="s">
        <v>2</v>
      </c>
      <c r="P18" s="33">
        <v>4</v>
      </c>
      <c r="Q18" s="33" t="s">
        <v>1640</v>
      </c>
      <c r="R18" s="33" t="s">
        <v>1611</v>
      </c>
      <c r="S18" s="41" t="str">
        <f>IFERROR(HYPERLINK("#'Main'!B"&amp;MATCH(TRIM(A18),Main!B:B,0),"Open"),HYPERLINK("#'Main'!B1","Open"))</f>
        <v>Open</v>
      </c>
      <c r="T18" s="41" t="str">
        <f>IFERROR(HYPERLINK("#'Technical Diagnostics'!A"&amp;MATCH(A18,'Technical Diagnostics'!A:A,0),"Open"),HYPERLINK("#'Technical Diagnostics'!A1","Open"))</f>
        <v>Open</v>
      </c>
      <c r="U18" s="41"/>
    </row>
    <row r="19" spans="1:21" ht="30" customHeight="1" x14ac:dyDescent="0.25">
      <c r="A19" s="51" t="s">
        <v>219</v>
      </c>
      <c r="B19" s="42">
        <v>13179</v>
      </c>
      <c r="C19" s="66" t="s">
        <v>1641</v>
      </c>
      <c r="D19" s="42" t="s">
        <v>1606</v>
      </c>
      <c r="E19" s="47" t="s">
        <v>51</v>
      </c>
      <c r="F19" s="42" t="s">
        <v>1607</v>
      </c>
      <c r="G19" s="43">
        <v>67</v>
      </c>
      <c r="H19" s="42">
        <v>15</v>
      </c>
      <c r="I19" s="42" t="s">
        <v>1608</v>
      </c>
      <c r="J19" s="42" t="s">
        <v>1609</v>
      </c>
      <c r="K19" s="42" t="s">
        <v>137</v>
      </c>
      <c r="L19" s="42" t="s">
        <v>566</v>
      </c>
      <c r="M19" s="42" t="s">
        <v>105</v>
      </c>
      <c r="N19" s="42" t="s">
        <v>111</v>
      </c>
      <c r="O19" s="34" t="s">
        <v>2</v>
      </c>
      <c r="P19" s="42">
        <v>4</v>
      </c>
      <c r="Q19" s="42" t="s">
        <v>1642</v>
      </c>
      <c r="R19" s="42" t="s">
        <v>1611</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50" t="s">
        <v>216</v>
      </c>
      <c r="B20" s="33">
        <v>22401</v>
      </c>
      <c r="C20" s="65" t="s">
        <v>1643</v>
      </c>
      <c r="D20" s="33" t="s">
        <v>1606</v>
      </c>
      <c r="E20" s="47" t="s">
        <v>51</v>
      </c>
      <c r="F20" s="33" t="s">
        <v>1607</v>
      </c>
      <c r="G20" s="36">
        <v>67</v>
      </c>
      <c r="H20" s="33">
        <v>15</v>
      </c>
      <c r="I20" s="33" t="s">
        <v>1608</v>
      </c>
      <c r="J20" s="33" t="s">
        <v>1609</v>
      </c>
      <c r="K20" s="33" t="s">
        <v>137</v>
      </c>
      <c r="L20" s="33" t="s">
        <v>566</v>
      </c>
      <c r="M20" s="33" t="s">
        <v>105</v>
      </c>
      <c r="N20" s="33" t="s">
        <v>111</v>
      </c>
      <c r="O20" s="34" t="s">
        <v>2</v>
      </c>
      <c r="P20" s="33">
        <v>4</v>
      </c>
      <c r="Q20" s="33" t="s">
        <v>1644</v>
      </c>
      <c r="R20" s="33" t="s">
        <v>1611</v>
      </c>
      <c r="S20" s="41" t="str">
        <f>IFERROR(HYPERLINK("#'Main'!B"&amp;MATCH(TRIM(A20),Main!B:B,0),"Open"),HYPERLINK("#'Main'!B1","Open"))</f>
        <v>Open</v>
      </c>
      <c r="T20" s="41" t="str">
        <f>IFERROR(HYPERLINK("#'Technical Diagnostics'!A"&amp;MATCH(A20,'Technical Diagnostics'!A:A,0),"Open"),HYPERLINK("#'Technical Diagnostics'!A1","Open"))</f>
        <v>Open</v>
      </c>
      <c r="U20" s="41"/>
    </row>
    <row r="21" spans="1:21" ht="30" customHeight="1" x14ac:dyDescent="0.25">
      <c r="A21" s="51" t="s">
        <v>218</v>
      </c>
      <c r="B21" s="42">
        <v>18318</v>
      </c>
      <c r="C21" s="66" t="s">
        <v>1645</v>
      </c>
      <c r="D21" s="42" t="s">
        <v>1606</v>
      </c>
      <c r="E21" s="47" t="s">
        <v>51</v>
      </c>
      <c r="F21" s="42" t="s">
        <v>1607</v>
      </c>
      <c r="G21" s="43">
        <v>67</v>
      </c>
      <c r="H21" s="42">
        <v>15</v>
      </c>
      <c r="I21" s="42" t="s">
        <v>1608</v>
      </c>
      <c r="J21" s="42" t="s">
        <v>1609</v>
      </c>
      <c r="K21" s="42" t="s">
        <v>137</v>
      </c>
      <c r="L21" s="42" t="s">
        <v>566</v>
      </c>
      <c r="M21" s="42" t="s">
        <v>105</v>
      </c>
      <c r="N21" s="42" t="s">
        <v>111</v>
      </c>
      <c r="O21" s="34" t="s">
        <v>2</v>
      </c>
      <c r="P21" s="42">
        <v>4</v>
      </c>
      <c r="Q21" s="42" t="s">
        <v>1646</v>
      </c>
      <c r="R21" s="42" t="s">
        <v>1611</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50" t="s">
        <v>189</v>
      </c>
      <c r="B22" s="33">
        <v>30257</v>
      </c>
      <c r="C22" s="65" t="s">
        <v>1647</v>
      </c>
      <c r="D22" s="33" t="s">
        <v>1606</v>
      </c>
      <c r="E22" s="47" t="s">
        <v>51</v>
      </c>
      <c r="F22" s="33" t="s">
        <v>1607</v>
      </c>
      <c r="G22" s="36">
        <v>67</v>
      </c>
      <c r="H22" s="33">
        <v>15</v>
      </c>
      <c r="I22" s="33" t="s">
        <v>1608</v>
      </c>
      <c r="J22" s="33" t="s">
        <v>1609</v>
      </c>
      <c r="K22" s="33" t="s">
        <v>137</v>
      </c>
      <c r="L22" s="33" t="s">
        <v>566</v>
      </c>
      <c r="M22" s="33" t="s">
        <v>105</v>
      </c>
      <c r="N22" s="33" t="s">
        <v>111</v>
      </c>
      <c r="O22" s="34" t="s">
        <v>2</v>
      </c>
      <c r="P22" s="33">
        <v>4</v>
      </c>
      <c r="Q22" s="33" t="s">
        <v>1648</v>
      </c>
      <c r="R22" s="33" t="s">
        <v>1611</v>
      </c>
      <c r="S22" s="41" t="str">
        <f>IFERROR(HYPERLINK("#'Main'!B"&amp;MATCH(TRIM(A22),Main!B:B,0),"Open"),HYPERLINK("#'Main'!B1","Open"))</f>
        <v>Open</v>
      </c>
      <c r="T22" s="41" t="str">
        <f>IFERROR(HYPERLINK("#'Technical Diagnostics'!A"&amp;MATCH(A22,'Technical Diagnostics'!A:A,0),"Open"),HYPERLINK("#'Technical Diagnostics'!A1","Open"))</f>
        <v>Open</v>
      </c>
      <c r="U22" s="41"/>
    </row>
    <row r="23" spans="1:21" ht="30" customHeight="1" x14ac:dyDescent="0.25">
      <c r="A23" s="51" t="s">
        <v>176</v>
      </c>
      <c r="B23" s="42">
        <v>8</v>
      </c>
      <c r="C23" s="66" t="s">
        <v>1605</v>
      </c>
      <c r="D23" s="42" t="s">
        <v>1649</v>
      </c>
      <c r="E23" s="47" t="s">
        <v>51</v>
      </c>
      <c r="F23" s="42" t="s">
        <v>1650</v>
      </c>
      <c r="G23" s="43">
        <v>67</v>
      </c>
      <c r="H23" s="42">
        <v>79.37</v>
      </c>
      <c r="I23" s="42" t="s">
        <v>1651</v>
      </c>
      <c r="J23" s="42" t="s">
        <v>1652</v>
      </c>
      <c r="K23" s="42" t="s">
        <v>1653</v>
      </c>
      <c r="L23" s="42" t="s">
        <v>576</v>
      </c>
      <c r="M23" s="42" t="s">
        <v>105</v>
      </c>
      <c r="N23" s="42" t="s">
        <v>111</v>
      </c>
      <c r="O23" s="34" t="s">
        <v>2</v>
      </c>
      <c r="P23" s="42">
        <v>4</v>
      </c>
      <c r="Q23" s="42" t="s">
        <v>1654</v>
      </c>
      <c r="R23" s="42" t="s">
        <v>1655</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25">
      <c r="A24" s="50" t="s">
        <v>176</v>
      </c>
      <c r="B24" s="33">
        <v>8</v>
      </c>
      <c r="C24" s="65" t="s">
        <v>1605</v>
      </c>
      <c r="D24" s="33" t="s">
        <v>1649</v>
      </c>
      <c r="E24" s="47" t="s">
        <v>51</v>
      </c>
      <c r="F24" s="33" t="s">
        <v>1656</v>
      </c>
      <c r="G24" s="36">
        <v>67</v>
      </c>
      <c r="H24" s="33">
        <v>37</v>
      </c>
      <c r="I24" s="33" t="s">
        <v>1657</v>
      </c>
      <c r="J24" s="33" t="s">
        <v>1658</v>
      </c>
      <c r="K24" s="33" t="s">
        <v>1606</v>
      </c>
      <c r="L24" s="33" t="s">
        <v>559</v>
      </c>
      <c r="M24" s="33" t="s">
        <v>105</v>
      </c>
      <c r="N24" s="33" t="s">
        <v>111</v>
      </c>
      <c r="O24" s="34" t="s">
        <v>2</v>
      </c>
      <c r="P24" s="33">
        <v>4</v>
      </c>
      <c r="Q24" s="33" t="s">
        <v>1659</v>
      </c>
      <c r="R24" s="33" t="s">
        <v>1660</v>
      </c>
      <c r="S24" s="41" t="str">
        <f>IFERROR(HYPERLINK("#'Main'!B"&amp;MATCH(TRIM(A24),Main!B:B,0),"Open"),HYPERLINK("#'Main'!B1","Open"))</f>
        <v>Open</v>
      </c>
      <c r="T24" s="41" t="str">
        <f>IFERROR(HYPERLINK("#'Technical Diagnostics'!A"&amp;MATCH(A24,'Technical Diagnostics'!A:A,0),"Open"),HYPERLINK("#'Technical Diagnostics'!A1","Open"))</f>
        <v>Open</v>
      </c>
      <c r="U24" s="41"/>
    </row>
    <row r="25" spans="1:21" ht="30" customHeight="1" x14ac:dyDescent="0.25">
      <c r="A25" s="51" t="s">
        <v>178</v>
      </c>
      <c r="B25" s="42">
        <v>84</v>
      </c>
      <c r="C25" s="66" t="s">
        <v>1612</v>
      </c>
      <c r="D25" s="42" t="s">
        <v>1649</v>
      </c>
      <c r="E25" s="47" t="s">
        <v>51</v>
      </c>
      <c r="F25" s="42" t="s">
        <v>1650</v>
      </c>
      <c r="G25" s="43">
        <v>67</v>
      </c>
      <c r="H25" s="42">
        <v>72.73</v>
      </c>
      <c r="I25" s="42" t="s">
        <v>1651</v>
      </c>
      <c r="J25" s="42" t="s">
        <v>1652</v>
      </c>
      <c r="K25" s="42" t="s">
        <v>1653</v>
      </c>
      <c r="L25" s="42" t="s">
        <v>576</v>
      </c>
      <c r="M25" s="42" t="s">
        <v>105</v>
      </c>
      <c r="N25" s="42" t="s">
        <v>111</v>
      </c>
      <c r="O25" s="34" t="s">
        <v>2</v>
      </c>
      <c r="P25" s="42">
        <v>4</v>
      </c>
      <c r="Q25" s="42" t="s">
        <v>1661</v>
      </c>
      <c r="R25" s="42" t="s">
        <v>1655</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25">
      <c r="A26" s="50" t="s">
        <v>178</v>
      </c>
      <c r="B26" s="33">
        <v>84</v>
      </c>
      <c r="C26" s="65" t="s">
        <v>1612</v>
      </c>
      <c r="D26" s="33" t="s">
        <v>1649</v>
      </c>
      <c r="E26" s="47" t="s">
        <v>51</v>
      </c>
      <c r="F26" s="33" t="s">
        <v>1656</v>
      </c>
      <c r="G26" s="36">
        <v>67</v>
      </c>
      <c r="H26" s="33">
        <v>235</v>
      </c>
      <c r="I26" s="33" t="s">
        <v>1657</v>
      </c>
      <c r="J26" s="33" t="s">
        <v>1658</v>
      </c>
      <c r="K26" s="33" t="s">
        <v>1606</v>
      </c>
      <c r="L26" s="33" t="s">
        <v>559</v>
      </c>
      <c r="M26" s="33" t="s">
        <v>105</v>
      </c>
      <c r="N26" s="33" t="s">
        <v>111</v>
      </c>
      <c r="O26" s="34" t="s">
        <v>2</v>
      </c>
      <c r="P26" s="33">
        <v>4</v>
      </c>
      <c r="Q26" s="33" t="s">
        <v>1662</v>
      </c>
      <c r="R26" s="33" t="s">
        <v>1660</v>
      </c>
      <c r="S26" s="41" t="str">
        <f>IFERROR(HYPERLINK("#'Main'!B"&amp;MATCH(TRIM(A26),Main!B:B,0),"Open"),HYPERLINK("#'Main'!B1","Open"))</f>
        <v>Open</v>
      </c>
      <c r="T26" s="41" t="str">
        <f>IFERROR(HYPERLINK("#'Technical Diagnostics'!A"&amp;MATCH(A26,'Technical Diagnostics'!A:A,0),"Open"),HYPERLINK("#'Technical Diagnostics'!A1","Open"))</f>
        <v>Open</v>
      </c>
      <c r="U26" s="41"/>
    </row>
    <row r="27" spans="1:21" ht="30" customHeight="1" x14ac:dyDescent="0.25">
      <c r="A27" s="51" t="s">
        <v>146</v>
      </c>
      <c r="B27" s="42">
        <v>16125</v>
      </c>
      <c r="C27" s="66" t="s">
        <v>1616</v>
      </c>
      <c r="D27" s="42" t="s">
        <v>1649</v>
      </c>
      <c r="E27" s="47" t="s">
        <v>51</v>
      </c>
      <c r="F27" s="42" t="s">
        <v>1650</v>
      </c>
      <c r="G27" s="43">
        <v>67</v>
      </c>
      <c r="H27" s="42">
        <v>73.12</v>
      </c>
      <c r="I27" s="42" t="s">
        <v>1651</v>
      </c>
      <c r="J27" s="42" t="s">
        <v>1652</v>
      </c>
      <c r="K27" s="42" t="s">
        <v>1653</v>
      </c>
      <c r="L27" s="42" t="s">
        <v>576</v>
      </c>
      <c r="M27" s="42" t="s">
        <v>105</v>
      </c>
      <c r="N27" s="42" t="s">
        <v>111</v>
      </c>
      <c r="O27" s="34" t="s">
        <v>2</v>
      </c>
      <c r="P27" s="42">
        <v>4</v>
      </c>
      <c r="Q27" s="42" t="s">
        <v>1663</v>
      </c>
      <c r="R27" s="42" t="s">
        <v>1655</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25">
      <c r="A28" s="50" t="s">
        <v>207</v>
      </c>
      <c r="B28" s="33">
        <v>4494</v>
      </c>
      <c r="C28" s="65" t="s">
        <v>1618</v>
      </c>
      <c r="D28" s="33" t="s">
        <v>1649</v>
      </c>
      <c r="E28" s="47" t="s">
        <v>51</v>
      </c>
      <c r="F28" s="33" t="s">
        <v>1650</v>
      </c>
      <c r="G28" s="36">
        <v>67</v>
      </c>
      <c r="H28" s="33">
        <v>53.57</v>
      </c>
      <c r="I28" s="33" t="s">
        <v>1651</v>
      </c>
      <c r="J28" s="33" t="s">
        <v>1652</v>
      </c>
      <c r="K28" s="33" t="s">
        <v>1653</v>
      </c>
      <c r="L28" s="33" t="s">
        <v>576</v>
      </c>
      <c r="M28" s="33" t="s">
        <v>105</v>
      </c>
      <c r="N28" s="33" t="s">
        <v>111</v>
      </c>
      <c r="O28" s="34" t="s">
        <v>2</v>
      </c>
      <c r="P28" s="33">
        <v>4</v>
      </c>
      <c r="Q28" s="33" t="s">
        <v>1664</v>
      </c>
      <c r="R28" s="33" t="s">
        <v>1655</v>
      </c>
      <c r="S28" s="41" t="str">
        <f>IFERROR(HYPERLINK("#'Main'!B"&amp;MATCH(TRIM(A28),Main!B:B,0),"Open"),HYPERLINK("#'Main'!B1","Open"))</f>
        <v>Open</v>
      </c>
      <c r="T28" s="41" t="str">
        <f>IFERROR(HYPERLINK("#'Technical Diagnostics'!A"&amp;MATCH(A28,'Technical Diagnostics'!A:A,0),"Open"),HYPERLINK("#'Technical Diagnostics'!A1","Open"))</f>
        <v>Open</v>
      </c>
      <c r="U28" s="41"/>
    </row>
    <row r="29" spans="1:21" ht="30" customHeight="1" x14ac:dyDescent="0.25">
      <c r="A29" s="51" t="s">
        <v>207</v>
      </c>
      <c r="B29" s="42">
        <v>4494</v>
      </c>
      <c r="C29" s="66" t="s">
        <v>1618</v>
      </c>
      <c r="D29" s="42" t="s">
        <v>1649</v>
      </c>
      <c r="E29" s="47" t="s">
        <v>51</v>
      </c>
      <c r="F29" s="42" t="s">
        <v>1665</v>
      </c>
      <c r="G29" s="43">
        <v>67</v>
      </c>
      <c r="H29" s="42">
        <v>0</v>
      </c>
      <c r="I29" s="42" t="s">
        <v>1666</v>
      </c>
      <c r="J29" s="42" t="s">
        <v>1667</v>
      </c>
      <c r="K29" s="42" t="s">
        <v>1606</v>
      </c>
      <c r="L29" s="42" t="s">
        <v>564</v>
      </c>
      <c r="M29" s="42" t="s">
        <v>105</v>
      </c>
      <c r="N29" s="42" t="s">
        <v>111</v>
      </c>
      <c r="O29" s="34" t="s">
        <v>2</v>
      </c>
      <c r="P29" s="42">
        <v>4</v>
      </c>
      <c r="Q29" s="42" t="s">
        <v>1668</v>
      </c>
      <c r="R29" s="42" t="s">
        <v>1669</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25">
      <c r="A30" s="50" t="s">
        <v>207</v>
      </c>
      <c r="B30" s="33">
        <v>4494</v>
      </c>
      <c r="C30" s="65" t="s">
        <v>1618</v>
      </c>
      <c r="D30" s="33" t="s">
        <v>1649</v>
      </c>
      <c r="E30" s="47" t="s">
        <v>51</v>
      </c>
      <c r="F30" s="33" t="s">
        <v>1656</v>
      </c>
      <c r="G30" s="36">
        <v>67</v>
      </c>
      <c r="H30" s="33">
        <v>32</v>
      </c>
      <c r="I30" s="33" t="s">
        <v>1657</v>
      </c>
      <c r="J30" s="33" t="s">
        <v>1658</v>
      </c>
      <c r="K30" s="33" t="s">
        <v>1606</v>
      </c>
      <c r="L30" s="33" t="s">
        <v>559</v>
      </c>
      <c r="M30" s="33" t="s">
        <v>105</v>
      </c>
      <c r="N30" s="33" t="s">
        <v>111</v>
      </c>
      <c r="O30" s="34" t="s">
        <v>2</v>
      </c>
      <c r="P30" s="33">
        <v>4</v>
      </c>
      <c r="Q30" s="33" t="s">
        <v>1670</v>
      </c>
      <c r="R30" s="33" t="s">
        <v>1660</v>
      </c>
      <c r="S30" s="41" t="str">
        <f>IFERROR(HYPERLINK("#'Main'!B"&amp;MATCH(TRIM(A30),Main!B:B,0),"Open"),HYPERLINK("#'Main'!B1","Open"))</f>
        <v>Open</v>
      </c>
      <c r="T30" s="41" t="str">
        <f>IFERROR(HYPERLINK("#'Technical Diagnostics'!A"&amp;MATCH(A30,'Technical Diagnostics'!A:A,0),"Open"),HYPERLINK("#'Technical Diagnostics'!A1","Open"))</f>
        <v>Open</v>
      </c>
      <c r="U30" s="41"/>
    </row>
    <row r="31" spans="1:21" ht="30" customHeight="1" x14ac:dyDescent="0.25">
      <c r="A31" s="51" t="s">
        <v>155</v>
      </c>
      <c r="B31" s="42">
        <v>5619</v>
      </c>
      <c r="C31" s="66" t="s">
        <v>1620</v>
      </c>
      <c r="D31" s="42" t="s">
        <v>1649</v>
      </c>
      <c r="E31" s="47" t="s">
        <v>51</v>
      </c>
      <c r="F31" s="42" t="s">
        <v>1650</v>
      </c>
      <c r="G31" s="43">
        <v>67</v>
      </c>
      <c r="H31" s="42">
        <v>65.22</v>
      </c>
      <c r="I31" s="42" t="s">
        <v>1651</v>
      </c>
      <c r="J31" s="42" t="s">
        <v>1652</v>
      </c>
      <c r="K31" s="42" t="s">
        <v>1653</v>
      </c>
      <c r="L31" s="42" t="s">
        <v>576</v>
      </c>
      <c r="M31" s="42" t="s">
        <v>105</v>
      </c>
      <c r="N31" s="42" t="s">
        <v>111</v>
      </c>
      <c r="O31" s="34" t="s">
        <v>2</v>
      </c>
      <c r="P31" s="42">
        <v>4</v>
      </c>
      <c r="Q31" s="42" t="s">
        <v>1671</v>
      </c>
      <c r="R31" s="42" t="s">
        <v>1655</v>
      </c>
      <c r="S31" t="str">
        <f>IFERROR(HYPERLINK("#'Main'!B"&amp;MATCH(TRIM(A31),Main!B:B,0),"Open"),HYPERLINK("#'Main'!B1","Open"))</f>
        <v>Open</v>
      </c>
      <c r="T31" t="str">
        <f>IFERROR(HYPERLINK("#'Technical Diagnostics'!A"&amp;MATCH(A31,'Technical Diagnostics'!A:A,0),"Open"),HYPERLINK("#'Technical Diagnostics'!A1","Open"))</f>
        <v>Open</v>
      </c>
    </row>
    <row r="32" spans="1:21" ht="30" customHeight="1" x14ac:dyDescent="0.25">
      <c r="A32" s="50" t="s">
        <v>155</v>
      </c>
      <c r="B32" s="33">
        <v>5619</v>
      </c>
      <c r="C32" s="65" t="s">
        <v>1620</v>
      </c>
      <c r="D32" s="33" t="s">
        <v>1649</v>
      </c>
      <c r="E32" s="47" t="s">
        <v>51</v>
      </c>
      <c r="F32" s="33" t="s">
        <v>1665</v>
      </c>
      <c r="G32" s="36">
        <v>67</v>
      </c>
      <c r="H32" s="33">
        <v>0</v>
      </c>
      <c r="I32" s="33" t="s">
        <v>1666</v>
      </c>
      <c r="J32" s="33" t="s">
        <v>1667</v>
      </c>
      <c r="K32" s="33" t="s">
        <v>1606</v>
      </c>
      <c r="L32" s="33" t="s">
        <v>564</v>
      </c>
      <c r="M32" s="33" t="s">
        <v>105</v>
      </c>
      <c r="N32" s="33" t="s">
        <v>111</v>
      </c>
      <c r="O32" s="34" t="s">
        <v>2</v>
      </c>
      <c r="P32" s="33">
        <v>4</v>
      </c>
      <c r="Q32" s="33" t="s">
        <v>1672</v>
      </c>
      <c r="R32" s="33" t="s">
        <v>1669</v>
      </c>
      <c r="S32" s="41" t="str">
        <f>IFERROR(HYPERLINK("#'Main'!B"&amp;MATCH(TRIM(A32),Main!B:B,0),"Open"),HYPERLINK("#'Main'!B1","Open"))</f>
        <v>Open</v>
      </c>
      <c r="T32" s="41" t="str">
        <f>IFERROR(HYPERLINK("#'Technical Diagnostics'!A"&amp;MATCH(A32,'Technical Diagnostics'!A:A,0),"Open"),HYPERLINK("#'Technical Diagnostics'!A1","Open"))</f>
        <v>Open</v>
      </c>
      <c r="U32" s="41"/>
    </row>
    <row r="33" spans="1:21" ht="30" customHeight="1" x14ac:dyDescent="0.25">
      <c r="A33" s="51" t="s">
        <v>155</v>
      </c>
      <c r="B33" s="42">
        <v>5619</v>
      </c>
      <c r="C33" s="66" t="s">
        <v>1620</v>
      </c>
      <c r="D33" s="42" t="s">
        <v>1649</v>
      </c>
      <c r="E33" s="47" t="s">
        <v>51</v>
      </c>
      <c r="F33" s="42" t="s">
        <v>1656</v>
      </c>
      <c r="G33" s="43">
        <v>67</v>
      </c>
      <c r="H33" s="42">
        <v>120</v>
      </c>
      <c r="I33" s="42" t="s">
        <v>1657</v>
      </c>
      <c r="J33" s="42" t="s">
        <v>1658</v>
      </c>
      <c r="K33" s="42" t="s">
        <v>1606</v>
      </c>
      <c r="L33" s="42" t="s">
        <v>559</v>
      </c>
      <c r="M33" s="42" t="s">
        <v>105</v>
      </c>
      <c r="N33" s="42" t="s">
        <v>111</v>
      </c>
      <c r="O33" s="34" t="s">
        <v>2</v>
      </c>
      <c r="P33" s="42">
        <v>4</v>
      </c>
      <c r="Q33" s="42" t="s">
        <v>1673</v>
      </c>
      <c r="R33" s="42" t="s">
        <v>1660</v>
      </c>
      <c r="S33" t="str">
        <f>IFERROR(HYPERLINK("#'Main'!B"&amp;MATCH(TRIM(A33),Main!B:B,0),"Open"),HYPERLINK("#'Main'!B1","Open"))</f>
        <v>Open</v>
      </c>
      <c r="T33" t="str">
        <f>IFERROR(HYPERLINK("#'Technical Diagnostics'!A"&amp;MATCH(A33,'Technical Diagnostics'!A:A,0),"Open"),HYPERLINK("#'Technical Diagnostics'!A1","Open"))</f>
        <v>Open</v>
      </c>
    </row>
    <row r="34" spans="1:21" ht="30" customHeight="1" x14ac:dyDescent="0.25">
      <c r="A34" s="50" t="s">
        <v>206</v>
      </c>
      <c r="B34" s="33">
        <v>4941</v>
      </c>
      <c r="C34" s="65" t="s">
        <v>1622</v>
      </c>
      <c r="D34" s="33" t="s">
        <v>1649</v>
      </c>
      <c r="E34" s="47" t="s">
        <v>51</v>
      </c>
      <c r="F34" s="33" t="s">
        <v>1650</v>
      </c>
      <c r="G34" s="36">
        <v>67</v>
      </c>
      <c r="H34" s="33">
        <v>50</v>
      </c>
      <c r="I34" s="33" t="s">
        <v>1651</v>
      </c>
      <c r="J34" s="33" t="s">
        <v>1652</v>
      </c>
      <c r="K34" s="33" t="s">
        <v>1653</v>
      </c>
      <c r="L34" s="33" t="s">
        <v>576</v>
      </c>
      <c r="M34" s="33" t="s">
        <v>105</v>
      </c>
      <c r="N34" s="33" t="s">
        <v>111</v>
      </c>
      <c r="O34" s="34" t="s">
        <v>2</v>
      </c>
      <c r="P34" s="33">
        <v>4</v>
      </c>
      <c r="Q34" s="33" t="s">
        <v>1674</v>
      </c>
      <c r="R34" s="33" t="s">
        <v>1655</v>
      </c>
      <c r="S34" s="41" t="str">
        <f>IFERROR(HYPERLINK("#'Main'!B"&amp;MATCH(TRIM(A34),Main!B:B,0),"Open"),HYPERLINK("#'Main'!B1","Open"))</f>
        <v>Open</v>
      </c>
      <c r="T34" s="41" t="str">
        <f>IFERROR(HYPERLINK("#'Technical Diagnostics'!A"&amp;MATCH(A34,'Technical Diagnostics'!A:A,0),"Open"),HYPERLINK("#'Technical Diagnostics'!A1","Open"))</f>
        <v>Open</v>
      </c>
      <c r="U34" s="41"/>
    </row>
    <row r="35" spans="1:21" ht="30" customHeight="1" x14ac:dyDescent="0.25">
      <c r="A35" s="51" t="s">
        <v>206</v>
      </c>
      <c r="B35" s="42">
        <v>4941</v>
      </c>
      <c r="C35" s="66" t="s">
        <v>1622</v>
      </c>
      <c r="D35" s="42" t="s">
        <v>1649</v>
      </c>
      <c r="E35" s="47" t="s">
        <v>51</v>
      </c>
      <c r="F35" s="42" t="s">
        <v>1665</v>
      </c>
      <c r="G35" s="43">
        <v>67</v>
      </c>
      <c r="H35" s="42">
        <v>0</v>
      </c>
      <c r="I35" s="42" t="s">
        <v>1666</v>
      </c>
      <c r="J35" s="42" t="s">
        <v>1667</v>
      </c>
      <c r="K35" s="42" t="s">
        <v>1606</v>
      </c>
      <c r="L35" s="42" t="s">
        <v>564</v>
      </c>
      <c r="M35" s="42" t="s">
        <v>105</v>
      </c>
      <c r="N35" s="42" t="s">
        <v>111</v>
      </c>
      <c r="O35" s="34" t="s">
        <v>2</v>
      </c>
      <c r="P35" s="42">
        <v>4</v>
      </c>
      <c r="Q35" s="42" t="s">
        <v>1675</v>
      </c>
      <c r="R35" s="42" t="s">
        <v>1669</v>
      </c>
      <c r="S35" t="str">
        <f>IFERROR(HYPERLINK("#'Main'!B"&amp;MATCH(TRIM(A35),Main!B:B,0),"Open"),HYPERLINK("#'Main'!B1","Open"))</f>
        <v>Open</v>
      </c>
      <c r="T35" t="str">
        <f>IFERROR(HYPERLINK("#'Technical Diagnostics'!A"&amp;MATCH(A35,'Technical Diagnostics'!A:A,0),"Open"),HYPERLINK("#'Technical Diagnostics'!A1","Open"))</f>
        <v>Open</v>
      </c>
    </row>
    <row r="36" spans="1:21" ht="30" customHeight="1" x14ac:dyDescent="0.25">
      <c r="A36" s="50" t="s">
        <v>209</v>
      </c>
      <c r="B36" s="33">
        <v>12371</v>
      </c>
      <c r="C36" s="65" t="s">
        <v>1624</v>
      </c>
      <c r="D36" s="33" t="s">
        <v>1649</v>
      </c>
      <c r="E36" s="47" t="s">
        <v>51</v>
      </c>
      <c r="F36" s="33" t="s">
        <v>1650</v>
      </c>
      <c r="G36" s="36">
        <v>67</v>
      </c>
      <c r="H36" s="33">
        <v>33.93</v>
      </c>
      <c r="I36" s="33" t="s">
        <v>1651</v>
      </c>
      <c r="J36" s="33" t="s">
        <v>1652</v>
      </c>
      <c r="K36" s="33" t="s">
        <v>1653</v>
      </c>
      <c r="L36" s="33" t="s">
        <v>576</v>
      </c>
      <c r="M36" s="33" t="s">
        <v>105</v>
      </c>
      <c r="N36" s="33" t="s">
        <v>111</v>
      </c>
      <c r="O36" s="34" t="s">
        <v>2</v>
      </c>
      <c r="P36" s="33">
        <v>4</v>
      </c>
      <c r="Q36" s="33" t="s">
        <v>1676</v>
      </c>
      <c r="R36" s="33" t="s">
        <v>1655</v>
      </c>
      <c r="S36" s="41" t="str">
        <f>IFERROR(HYPERLINK("#'Main'!B"&amp;MATCH(TRIM(A36),Main!B:B,0),"Open"),HYPERLINK("#'Main'!B1","Open"))</f>
        <v>Open</v>
      </c>
      <c r="T36" s="41" t="str">
        <f>IFERROR(HYPERLINK("#'Technical Diagnostics'!A"&amp;MATCH(A36,'Technical Diagnostics'!A:A,0),"Open"),HYPERLINK("#'Technical Diagnostics'!A1","Open"))</f>
        <v>Open</v>
      </c>
      <c r="U36" s="41"/>
    </row>
    <row r="37" spans="1:21" ht="30" customHeight="1" x14ac:dyDescent="0.25">
      <c r="A37" s="51" t="s">
        <v>210</v>
      </c>
      <c r="B37" s="42">
        <v>12954</v>
      </c>
      <c r="C37" s="66" t="s">
        <v>1626</v>
      </c>
      <c r="D37" s="42" t="s">
        <v>1649</v>
      </c>
      <c r="E37" s="47" t="s">
        <v>51</v>
      </c>
      <c r="F37" s="42" t="s">
        <v>1650</v>
      </c>
      <c r="G37" s="43">
        <v>67</v>
      </c>
      <c r="H37" s="42">
        <v>72</v>
      </c>
      <c r="I37" s="42" t="s">
        <v>1651</v>
      </c>
      <c r="J37" s="42" t="s">
        <v>1652</v>
      </c>
      <c r="K37" s="42" t="s">
        <v>1653</v>
      </c>
      <c r="L37" s="42" t="s">
        <v>576</v>
      </c>
      <c r="M37" s="42" t="s">
        <v>105</v>
      </c>
      <c r="N37" s="42" t="s">
        <v>111</v>
      </c>
      <c r="O37" s="34" t="s">
        <v>2</v>
      </c>
      <c r="P37" s="42">
        <v>4</v>
      </c>
      <c r="Q37" s="42" t="s">
        <v>1677</v>
      </c>
      <c r="R37" s="42" t="s">
        <v>1655</v>
      </c>
      <c r="S37" t="str">
        <f>IFERROR(HYPERLINK("#'Main'!B"&amp;MATCH(TRIM(A37),Main!B:B,0),"Open"),HYPERLINK("#'Main'!B1","Open"))</f>
        <v>Open</v>
      </c>
      <c r="T37" t="str">
        <f>IFERROR(HYPERLINK("#'Technical Diagnostics'!A"&amp;MATCH(A37,'Technical Diagnostics'!A:A,0),"Open"),HYPERLINK("#'Technical Diagnostics'!A1","Open"))</f>
        <v>Open</v>
      </c>
    </row>
    <row r="38" spans="1:21" ht="30" customHeight="1" x14ac:dyDescent="0.25">
      <c r="A38" s="50" t="s">
        <v>157</v>
      </c>
      <c r="B38" s="33">
        <v>13164</v>
      </c>
      <c r="C38" s="65" t="s">
        <v>1596</v>
      </c>
      <c r="D38" s="33" t="s">
        <v>1649</v>
      </c>
      <c r="E38" s="47" t="s">
        <v>51</v>
      </c>
      <c r="F38" s="33" t="s">
        <v>1650</v>
      </c>
      <c r="G38" s="36">
        <v>67</v>
      </c>
      <c r="H38" s="33">
        <v>75</v>
      </c>
      <c r="I38" s="33" t="s">
        <v>1651</v>
      </c>
      <c r="J38" s="33" t="s">
        <v>1652</v>
      </c>
      <c r="K38" s="33" t="s">
        <v>1653</v>
      </c>
      <c r="L38" s="33" t="s">
        <v>576</v>
      </c>
      <c r="M38" s="33" t="s">
        <v>105</v>
      </c>
      <c r="N38" s="33" t="s">
        <v>111</v>
      </c>
      <c r="O38" s="34" t="s">
        <v>2</v>
      </c>
      <c r="P38" s="33">
        <v>4</v>
      </c>
      <c r="Q38" s="33" t="s">
        <v>1678</v>
      </c>
      <c r="R38" s="33" t="s">
        <v>1655</v>
      </c>
      <c r="S38" s="41" t="str">
        <f>IFERROR(HYPERLINK("#'Main'!B"&amp;MATCH(TRIM(A38),Main!B:B,0),"Open"),HYPERLINK("#'Main'!B1","Open"))</f>
        <v>Open</v>
      </c>
      <c r="T38" s="41" t="str">
        <f>IFERROR(HYPERLINK("#'Technical Diagnostics'!A"&amp;MATCH(A38,'Technical Diagnostics'!A:A,0),"Open"),HYPERLINK("#'Technical Diagnostics'!A1","Open"))</f>
        <v>Open</v>
      </c>
      <c r="U38" s="41"/>
    </row>
    <row r="39" spans="1:21" ht="30" customHeight="1" x14ac:dyDescent="0.25">
      <c r="A39" s="51" t="s">
        <v>157</v>
      </c>
      <c r="B39" s="42">
        <v>13164</v>
      </c>
      <c r="C39" s="66" t="s">
        <v>1596</v>
      </c>
      <c r="D39" s="42" t="s">
        <v>1649</v>
      </c>
      <c r="E39" s="47" t="s">
        <v>51</v>
      </c>
      <c r="F39" s="42" t="s">
        <v>1665</v>
      </c>
      <c r="G39" s="43">
        <v>67</v>
      </c>
      <c r="H39" s="42">
        <v>0</v>
      </c>
      <c r="I39" s="42" t="s">
        <v>1666</v>
      </c>
      <c r="J39" s="42" t="s">
        <v>1667</v>
      </c>
      <c r="K39" s="42" t="s">
        <v>1606</v>
      </c>
      <c r="L39" s="42" t="s">
        <v>564</v>
      </c>
      <c r="M39" s="42" t="s">
        <v>105</v>
      </c>
      <c r="N39" s="42" t="s">
        <v>111</v>
      </c>
      <c r="O39" s="34" t="s">
        <v>2</v>
      </c>
      <c r="P39" s="42">
        <v>4</v>
      </c>
      <c r="Q39" s="42" t="s">
        <v>1679</v>
      </c>
      <c r="R39" s="42" t="s">
        <v>1669</v>
      </c>
      <c r="S39" t="str">
        <f>IFERROR(HYPERLINK("#'Main'!B"&amp;MATCH(TRIM(A39),Main!B:B,0),"Open"),HYPERLINK("#'Main'!B1","Open"))</f>
        <v>Open</v>
      </c>
      <c r="T39" t="str">
        <f>IFERROR(HYPERLINK("#'Technical Diagnostics'!A"&amp;MATCH(A39,'Technical Diagnostics'!A:A,0),"Open"),HYPERLINK("#'Technical Diagnostics'!A1","Open"))</f>
        <v>Open</v>
      </c>
    </row>
    <row r="40" spans="1:21" ht="30" customHeight="1" x14ac:dyDescent="0.25">
      <c r="A40" s="50" t="s">
        <v>157</v>
      </c>
      <c r="B40" s="33">
        <v>13164</v>
      </c>
      <c r="C40" s="65" t="s">
        <v>1596</v>
      </c>
      <c r="D40" s="33" t="s">
        <v>1649</v>
      </c>
      <c r="E40" s="47" t="s">
        <v>51</v>
      </c>
      <c r="F40" s="33" t="s">
        <v>1656</v>
      </c>
      <c r="G40" s="36">
        <v>67</v>
      </c>
      <c r="H40" s="33">
        <v>31</v>
      </c>
      <c r="I40" s="33" t="s">
        <v>1657</v>
      </c>
      <c r="J40" s="33" t="s">
        <v>1658</v>
      </c>
      <c r="K40" s="33" t="s">
        <v>1606</v>
      </c>
      <c r="L40" s="33" t="s">
        <v>559</v>
      </c>
      <c r="M40" s="33" t="s">
        <v>105</v>
      </c>
      <c r="N40" s="33" t="s">
        <v>111</v>
      </c>
      <c r="O40" s="34" t="s">
        <v>2</v>
      </c>
      <c r="P40" s="33">
        <v>4</v>
      </c>
      <c r="Q40" s="33" t="s">
        <v>1680</v>
      </c>
      <c r="R40" s="33" t="s">
        <v>1660</v>
      </c>
      <c r="S40" s="41" t="str">
        <f>IFERROR(HYPERLINK("#'Main'!B"&amp;MATCH(TRIM(A40),Main!B:B,0),"Open"),HYPERLINK("#'Main'!B1","Open"))</f>
        <v>Open</v>
      </c>
      <c r="T40" s="41" t="str">
        <f>IFERROR(HYPERLINK("#'Technical Diagnostics'!A"&amp;MATCH(A40,'Technical Diagnostics'!A:A,0),"Open"),HYPERLINK("#'Technical Diagnostics'!A1","Open"))</f>
        <v>Open</v>
      </c>
      <c r="U40" s="41"/>
    </row>
    <row r="41" spans="1:21" ht="30" customHeight="1" x14ac:dyDescent="0.25">
      <c r="A41" s="51" t="s">
        <v>212</v>
      </c>
      <c r="B41" s="42">
        <v>12407</v>
      </c>
      <c r="C41" s="66" t="s">
        <v>1629</v>
      </c>
      <c r="D41" s="42" t="s">
        <v>1649</v>
      </c>
      <c r="E41" s="47" t="s">
        <v>51</v>
      </c>
      <c r="F41" s="42" t="s">
        <v>1650</v>
      </c>
      <c r="G41" s="43">
        <v>67</v>
      </c>
      <c r="H41" s="42">
        <v>75</v>
      </c>
      <c r="I41" s="42" t="s">
        <v>1651</v>
      </c>
      <c r="J41" s="42" t="s">
        <v>1652</v>
      </c>
      <c r="K41" s="42" t="s">
        <v>1653</v>
      </c>
      <c r="L41" s="42" t="s">
        <v>576</v>
      </c>
      <c r="M41" s="42" t="s">
        <v>105</v>
      </c>
      <c r="N41" s="42" t="s">
        <v>111</v>
      </c>
      <c r="O41" s="34" t="s">
        <v>2</v>
      </c>
      <c r="P41" s="42">
        <v>4</v>
      </c>
      <c r="Q41" s="42" t="s">
        <v>1681</v>
      </c>
      <c r="R41" s="42" t="s">
        <v>1655</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50" t="s">
        <v>212</v>
      </c>
      <c r="B42" s="33">
        <v>12407</v>
      </c>
      <c r="C42" s="65" t="s">
        <v>1629</v>
      </c>
      <c r="D42" s="33" t="s">
        <v>1649</v>
      </c>
      <c r="E42" s="47" t="s">
        <v>51</v>
      </c>
      <c r="F42" s="33" t="s">
        <v>1656</v>
      </c>
      <c r="G42" s="36">
        <v>67</v>
      </c>
      <c r="H42" s="33">
        <v>195</v>
      </c>
      <c r="I42" s="33" t="s">
        <v>1657</v>
      </c>
      <c r="J42" s="33" t="s">
        <v>1658</v>
      </c>
      <c r="K42" s="33" t="s">
        <v>1606</v>
      </c>
      <c r="L42" s="33" t="s">
        <v>559</v>
      </c>
      <c r="M42" s="33" t="s">
        <v>105</v>
      </c>
      <c r="N42" s="33" t="s">
        <v>111</v>
      </c>
      <c r="O42" s="34" t="s">
        <v>2</v>
      </c>
      <c r="P42" s="33">
        <v>4</v>
      </c>
      <c r="Q42" s="33" t="s">
        <v>1682</v>
      </c>
      <c r="R42" s="33" t="s">
        <v>1660</v>
      </c>
      <c r="S42" s="41" t="str">
        <f>IFERROR(HYPERLINK("#'Main'!B"&amp;MATCH(TRIM(A42),Main!B:B,0),"Open"),HYPERLINK("#'Main'!B1","Open"))</f>
        <v>Open</v>
      </c>
      <c r="T42" s="41" t="str">
        <f>IFERROR(HYPERLINK("#'Technical Diagnostics'!A"&amp;MATCH(A42,'Technical Diagnostics'!A:A,0),"Open"),HYPERLINK("#'Technical Diagnostics'!A1","Open"))</f>
        <v>Open</v>
      </c>
      <c r="U42" s="41"/>
    </row>
    <row r="43" spans="1:21" ht="30" customHeight="1" x14ac:dyDescent="0.25">
      <c r="A43" s="51" t="s">
        <v>211</v>
      </c>
      <c r="B43" s="42">
        <v>12497</v>
      </c>
      <c r="C43" s="66" t="s">
        <v>1631</v>
      </c>
      <c r="D43" s="42" t="s">
        <v>1649</v>
      </c>
      <c r="E43" s="47" t="s">
        <v>51</v>
      </c>
      <c r="F43" s="42" t="s">
        <v>1665</v>
      </c>
      <c r="G43" s="43">
        <v>67</v>
      </c>
      <c r="H43" s="42">
        <v>0</v>
      </c>
      <c r="I43" s="42" t="s">
        <v>1666</v>
      </c>
      <c r="J43" s="42" t="s">
        <v>1667</v>
      </c>
      <c r="K43" s="42" t="s">
        <v>1606</v>
      </c>
      <c r="L43" s="42" t="s">
        <v>564</v>
      </c>
      <c r="M43" s="42" t="s">
        <v>105</v>
      </c>
      <c r="N43" s="42" t="s">
        <v>111</v>
      </c>
      <c r="O43" s="34" t="s">
        <v>2</v>
      </c>
      <c r="P43" s="42">
        <v>4</v>
      </c>
      <c r="Q43" s="42" t="s">
        <v>1683</v>
      </c>
      <c r="R43" s="42" t="s">
        <v>1669</v>
      </c>
      <c r="S43" t="str">
        <f>IFERROR(HYPERLINK("#'Main'!B"&amp;MATCH(TRIM(A43),Main!B:B,0),"Open"),HYPERLINK("#'Main'!B1","Open"))</f>
        <v>Open</v>
      </c>
      <c r="T43" t="str">
        <f>IFERROR(HYPERLINK("#'Technical Diagnostics'!A"&amp;MATCH(A43,'Technical Diagnostics'!A:A,0),"Open"),HYPERLINK("#'Technical Diagnostics'!A1","Open"))</f>
        <v>Open</v>
      </c>
    </row>
    <row r="44" spans="1:21" ht="30" customHeight="1" x14ac:dyDescent="0.25">
      <c r="A44" s="50" t="s">
        <v>211</v>
      </c>
      <c r="B44" s="33">
        <v>12497</v>
      </c>
      <c r="C44" s="65" t="s">
        <v>1631</v>
      </c>
      <c r="D44" s="33" t="s">
        <v>1649</v>
      </c>
      <c r="E44" s="47" t="s">
        <v>51</v>
      </c>
      <c r="F44" s="33" t="s">
        <v>1656</v>
      </c>
      <c r="G44" s="36">
        <v>67</v>
      </c>
      <c r="H44" s="33">
        <v>97</v>
      </c>
      <c r="I44" s="33" t="s">
        <v>1657</v>
      </c>
      <c r="J44" s="33" t="s">
        <v>1658</v>
      </c>
      <c r="K44" s="33" t="s">
        <v>1606</v>
      </c>
      <c r="L44" s="33" t="s">
        <v>559</v>
      </c>
      <c r="M44" s="33" t="s">
        <v>105</v>
      </c>
      <c r="N44" s="33" t="s">
        <v>111</v>
      </c>
      <c r="O44" s="34" t="s">
        <v>2</v>
      </c>
      <c r="P44" s="33">
        <v>4</v>
      </c>
      <c r="Q44" s="33" t="s">
        <v>1684</v>
      </c>
      <c r="R44" s="33" t="s">
        <v>1660</v>
      </c>
      <c r="S44" s="41" t="str">
        <f>IFERROR(HYPERLINK("#'Main'!B"&amp;MATCH(TRIM(A44),Main!B:B,0),"Open"),HYPERLINK("#'Main'!B1","Open"))</f>
        <v>Open</v>
      </c>
      <c r="T44" s="41" t="str">
        <f>IFERROR(HYPERLINK("#'Technical Diagnostics'!A"&amp;MATCH(A44,'Technical Diagnostics'!A:A,0),"Open"),HYPERLINK("#'Technical Diagnostics'!A1","Open"))</f>
        <v>Open</v>
      </c>
      <c r="U44" s="41"/>
    </row>
    <row r="45" spans="1:21" ht="30" customHeight="1" x14ac:dyDescent="0.25">
      <c r="A45" s="51" t="s">
        <v>213</v>
      </c>
      <c r="B45" s="42">
        <v>13098</v>
      </c>
      <c r="C45" s="66" t="s">
        <v>1633</v>
      </c>
      <c r="D45" s="42" t="s">
        <v>1649</v>
      </c>
      <c r="E45" s="47" t="s">
        <v>51</v>
      </c>
      <c r="F45" s="42" t="s">
        <v>1650</v>
      </c>
      <c r="G45" s="43">
        <v>67</v>
      </c>
      <c r="H45" s="42">
        <v>72.73</v>
      </c>
      <c r="I45" s="42" t="s">
        <v>1651</v>
      </c>
      <c r="J45" s="42" t="s">
        <v>1652</v>
      </c>
      <c r="K45" s="42" t="s">
        <v>1653</v>
      </c>
      <c r="L45" s="42" t="s">
        <v>576</v>
      </c>
      <c r="M45" s="42" t="s">
        <v>105</v>
      </c>
      <c r="N45" s="42" t="s">
        <v>111</v>
      </c>
      <c r="O45" s="34" t="s">
        <v>2</v>
      </c>
      <c r="P45" s="42">
        <v>4</v>
      </c>
      <c r="Q45" s="42" t="s">
        <v>1685</v>
      </c>
      <c r="R45" s="42" t="s">
        <v>1655</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50" t="s">
        <v>213</v>
      </c>
      <c r="B46" s="33">
        <v>13098</v>
      </c>
      <c r="C46" s="65" t="s">
        <v>1633</v>
      </c>
      <c r="D46" s="33" t="s">
        <v>1649</v>
      </c>
      <c r="E46" s="47" t="s">
        <v>51</v>
      </c>
      <c r="F46" s="33" t="s">
        <v>1656</v>
      </c>
      <c r="G46" s="36">
        <v>67</v>
      </c>
      <c r="H46" s="33">
        <v>111</v>
      </c>
      <c r="I46" s="33" t="s">
        <v>1657</v>
      </c>
      <c r="J46" s="33" t="s">
        <v>1658</v>
      </c>
      <c r="K46" s="33" t="s">
        <v>1606</v>
      </c>
      <c r="L46" s="33" t="s">
        <v>559</v>
      </c>
      <c r="M46" s="33" t="s">
        <v>105</v>
      </c>
      <c r="N46" s="33" t="s">
        <v>111</v>
      </c>
      <c r="O46" s="34" t="s">
        <v>2</v>
      </c>
      <c r="P46" s="33">
        <v>4</v>
      </c>
      <c r="Q46" s="33" t="s">
        <v>1686</v>
      </c>
      <c r="R46" s="33" t="s">
        <v>1660</v>
      </c>
      <c r="S46" s="41" t="str">
        <f>IFERROR(HYPERLINK("#'Main'!B"&amp;MATCH(TRIM(A46),Main!B:B,0),"Open"),HYPERLINK("#'Main'!B1","Open"))</f>
        <v>Open</v>
      </c>
      <c r="T46" s="41" t="str">
        <f>IFERROR(HYPERLINK("#'Technical Diagnostics'!A"&amp;MATCH(A46,'Technical Diagnostics'!A:A,0),"Open"),HYPERLINK("#'Technical Diagnostics'!A1","Open"))</f>
        <v>Open</v>
      </c>
      <c r="U46" s="41"/>
    </row>
    <row r="47" spans="1:21" ht="30" customHeight="1" x14ac:dyDescent="0.25">
      <c r="A47" s="51" t="s">
        <v>214</v>
      </c>
      <c r="B47" s="42">
        <v>13549</v>
      </c>
      <c r="C47" s="66" t="s">
        <v>1635</v>
      </c>
      <c r="D47" s="42" t="s">
        <v>1649</v>
      </c>
      <c r="E47" s="47" t="s">
        <v>51</v>
      </c>
      <c r="F47" s="42" t="s">
        <v>1650</v>
      </c>
      <c r="G47" s="43">
        <v>67</v>
      </c>
      <c r="H47" s="42">
        <v>75</v>
      </c>
      <c r="I47" s="42" t="s">
        <v>1651</v>
      </c>
      <c r="J47" s="42" t="s">
        <v>1652</v>
      </c>
      <c r="K47" s="42" t="s">
        <v>1653</v>
      </c>
      <c r="L47" s="42" t="s">
        <v>576</v>
      </c>
      <c r="M47" s="42" t="s">
        <v>105</v>
      </c>
      <c r="N47" s="42" t="s">
        <v>111</v>
      </c>
      <c r="O47" s="34" t="s">
        <v>2</v>
      </c>
      <c r="P47" s="42">
        <v>4</v>
      </c>
      <c r="Q47" s="42" t="s">
        <v>1687</v>
      </c>
      <c r="R47" s="42" t="s">
        <v>1655</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50" t="s">
        <v>214</v>
      </c>
      <c r="B48" s="33">
        <v>13549</v>
      </c>
      <c r="C48" s="65" t="s">
        <v>1635</v>
      </c>
      <c r="D48" s="33" t="s">
        <v>1649</v>
      </c>
      <c r="E48" s="47" t="s">
        <v>51</v>
      </c>
      <c r="F48" s="33" t="s">
        <v>1656</v>
      </c>
      <c r="G48" s="36">
        <v>67</v>
      </c>
      <c r="H48" s="33">
        <v>46</v>
      </c>
      <c r="I48" s="33" t="s">
        <v>1657</v>
      </c>
      <c r="J48" s="33" t="s">
        <v>1658</v>
      </c>
      <c r="K48" s="33" t="s">
        <v>1606</v>
      </c>
      <c r="L48" s="33" t="s">
        <v>559</v>
      </c>
      <c r="M48" s="33" t="s">
        <v>105</v>
      </c>
      <c r="N48" s="33" t="s">
        <v>111</v>
      </c>
      <c r="O48" s="34" t="s">
        <v>2</v>
      </c>
      <c r="P48" s="33">
        <v>4</v>
      </c>
      <c r="Q48" s="33" t="s">
        <v>1688</v>
      </c>
      <c r="R48" s="33" t="s">
        <v>1660</v>
      </c>
      <c r="S48" s="41" t="str">
        <f>IFERROR(HYPERLINK("#'Main'!B"&amp;MATCH(TRIM(A48),Main!B:B,0),"Open"),HYPERLINK("#'Main'!B1","Open"))</f>
        <v>Open</v>
      </c>
      <c r="T48" s="41" t="str">
        <f>IFERROR(HYPERLINK("#'Technical Diagnostics'!A"&amp;MATCH(A48,'Technical Diagnostics'!A:A,0),"Open"),HYPERLINK("#'Technical Diagnostics'!A1","Open"))</f>
        <v>Open</v>
      </c>
      <c r="U48" s="41"/>
    </row>
    <row r="49" spans="1:21" ht="30" customHeight="1" x14ac:dyDescent="0.25">
      <c r="A49" s="51" t="s">
        <v>215</v>
      </c>
      <c r="B49" s="42">
        <v>13282</v>
      </c>
      <c r="C49" s="66" t="s">
        <v>1637</v>
      </c>
      <c r="D49" s="42" t="s">
        <v>1649</v>
      </c>
      <c r="E49" s="47" t="s">
        <v>51</v>
      </c>
      <c r="F49" s="42" t="s">
        <v>1650</v>
      </c>
      <c r="G49" s="43">
        <v>67</v>
      </c>
      <c r="H49" s="42">
        <v>65.91</v>
      </c>
      <c r="I49" s="42" t="s">
        <v>1651</v>
      </c>
      <c r="J49" s="42" t="s">
        <v>1652</v>
      </c>
      <c r="K49" s="42" t="s">
        <v>1653</v>
      </c>
      <c r="L49" s="42" t="s">
        <v>576</v>
      </c>
      <c r="M49" s="42" t="s">
        <v>105</v>
      </c>
      <c r="N49" s="42" t="s">
        <v>111</v>
      </c>
      <c r="O49" s="34" t="s">
        <v>2</v>
      </c>
      <c r="P49" s="42">
        <v>4</v>
      </c>
      <c r="Q49" s="42" t="s">
        <v>1689</v>
      </c>
      <c r="R49" s="42" t="s">
        <v>1655</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50" t="s">
        <v>215</v>
      </c>
      <c r="B50" s="33">
        <v>13282</v>
      </c>
      <c r="C50" s="65" t="s">
        <v>1637</v>
      </c>
      <c r="D50" s="33" t="s">
        <v>1649</v>
      </c>
      <c r="E50" s="47" t="s">
        <v>51</v>
      </c>
      <c r="F50" s="33" t="s">
        <v>1656</v>
      </c>
      <c r="G50" s="36">
        <v>67</v>
      </c>
      <c r="H50" s="33">
        <v>36</v>
      </c>
      <c r="I50" s="33" t="s">
        <v>1657</v>
      </c>
      <c r="J50" s="33" t="s">
        <v>1658</v>
      </c>
      <c r="K50" s="33" t="s">
        <v>1606</v>
      </c>
      <c r="L50" s="33" t="s">
        <v>559</v>
      </c>
      <c r="M50" s="33" t="s">
        <v>105</v>
      </c>
      <c r="N50" s="33" t="s">
        <v>111</v>
      </c>
      <c r="O50" s="34" t="s">
        <v>2</v>
      </c>
      <c r="P50" s="33">
        <v>4</v>
      </c>
      <c r="Q50" s="33" t="s">
        <v>1690</v>
      </c>
      <c r="R50" s="33" t="s">
        <v>1660</v>
      </c>
      <c r="S50" s="41" t="str">
        <f>IFERROR(HYPERLINK("#'Main'!B"&amp;MATCH(TRIM(A50),Main!B:B,0),"Open"),HYPERLINK("#'Main'!B1","Open"))</f>
        <v>Open</v>
      </c>
      <c r="T50" s="41" t="str">
        <f>IFERROR(HYPERLINK("#'Technical Diagnostics'!A"&amp;MATCH(A50,'Technical Diagnostics'!A:A,0),"Open"),HYPERLINK("#'Technical Diagnostics'!A1","Open"))</f>
        <v>Open</v>
      </c>
      <c r="U50" s="41"/>
    </row>
    <row r="51" spans="1:21" ht="30" customHeight="1" x14ac:dyDescent="0.25">
      <c r="A51" s="51" t="s">
        <v>217</v>
      </c>
      <c r="B51" s="42">
        <v>12945</v>
      </c>
      <c r="C51" s="66" t="s">
        <v>1639</v>
      </c>
      <c r="D51" s="42" t="s">
        <v>1649</v>
      </c>
      <c r="E51" s="47" t="s">
        <v>51</v>
      </c>
      <c r="F51" s="42" t="s">
        <v>1650</v>
      </c>
      <c r="G51" s="43">
        <v>67</v>
      </c>
      <c r="H51" s="42">
        <v>75</v>
      </c>
      <c r="I51" s="42" t="s">
        <v>1651</v>
      </c>
      <c r="J51" s="42" t="s">
        <v>1652</v>
      </c>
      <c r="K51" s="42" t="s">
        <v>1653</v>
      </c>
      <c r="L51" s="42" t="s">
        <v>576</v>
      </c>
      <c r="M51" s="42" t="s">
        <v>105</v>
      </c>
      <c r="N51" s="42" t="s">
        <v>111</v>
      </c>
      <c r="O51" s="34" t="s">
        <v>2</v>
      </c>
      <c r="P51" s="42">
        <v>4</v>
      </c>
      <c r="Q51" s="42" t="s">
        <v>1691</v>
      </c>
      <c r="R51" s="42" t="s">
        <v>1655</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25">
      <c r="A52" s="50" t="s">
        <v>219</v>
      </c>
      <c r="B52" s="33">
        <v>13179</v>
      </c>
      <c r="C52" s="65" t="s">
        <v>1641</v>
      </c>
      <c r="D52" s="33" t="s">
        <v>1649</v>
      </c>
      <c r="E52" s="47" t="s">
        <v>51</v>
      </c>
      <c r="F52" s="33" t="s">
        <v>1656</v>
      </c>
      <c r="G52" s="36">
        <v>67</v>
      </c>
      <c r="H52" s="33">
        <v>193</v>
      </c>
      <c r="I52" s="33" t="s">
        <v>1657</v>
      </c>
      <c r="J52" s="33" t="s">
        <v>1658</v>
      </c>
      <c r="K52" s="33" t="s">
        <v>1606</v>
      </c>
      <c r="L52" s="33" t="s">
        <v>559</v>
      </c>
      <c r="M52" s="33" t="s">
        <v>105</v>
      </c>
      <c r="N52" s="33" t="s">
        <v>111</v>
      </c>
      <c r="O52" s="34" t="s">
        <v>2</v>
      </c>
      <c r="P52" s="33">
        <v>4</v>
      </c>
      <c r="Q52" s="33" t="s">
        <v>1692</v>
      </c>
      <c r="R52" s="33" t="s">
        <v>1660</v>
      </c>
      <c r="S52" s="41" t="str">
        <f>IFERROR(HYPERLINK("#'Main'!B"&amp;MATCH(TRIM(A52),Main!B:B,0),"Open"),HYPERLINK("#'Main'!B1","Open"))</f>
        <v>Open</v>
      </c>
      <c r="T52" s="41" t="str">
        <f>IFERROR(HYPERLINK("#'Technical Diagnostics'!A"&amp;MATCH(A52,'Technical Diagnostics'!A:A,0),"Open"),HYPERLINK("#'Technical Diagnostics'!A1","Open"))</f>
        <v>Open</v>
      </c>
      <c r="U52" s="41"/>
    </row>
    <row r="53" spans="1:21" ht="30" customHeight="1" x14ac:dyDescent="0.25">
      <c r="A53" s="51" t="s">
        <v>218</v>
      </c>
      <c r="B53" s="42">
        <v>18318</v>
      </c>
      <c r="C53" s="66" t="s">
        <v>1645</v>
      </c>
      <c r="D53" s="42" t="s">
        <v>1649</v>
      </c>
      <c r="E53" s="47" t="s">
        <v>51</v>
      </c>
      <c r="F53" s="42" t="s">
        <v>1650</v>
      </c>
      <c r="G53" s="43">
        <v>67</v>
      </c>
      <c r="H53" s="42">
        <v>79.59</v>
      </c>
      <c r="I53" s="42" t="s">
        <v>1651</v>
      </c>
      <c r="J53" s="42" t="s">
        <v>1652</v>
      </c>
      <c r="K53" s="42" t="s">
        <v>1653</v>
      </c>
      <c r="L53" s="42" t="s">
        <v>576</v>
      </c>
      <c r="M53" s="42" t="s">
        <v>105</v>
      </c>
      <c r="N53" s="42" t="s">
        <v>111</v>
      </c>
      <c r="O53" s="34" t="s">
        <v>2</v>
      </c>
      <c r="P53" s="42">
        <v>4</v>
      </c>
      <c r="Q53" s="42" t="s">
        <v>1693</v>
      </c>
      <c r="R53" s="42" t="s">
        <v>1655</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50" t="s">
        <v>218</v>
      </c>
      <c r="B54" s="33">
        <v>18318</v>
      </c>
      <c r="C54" s="65" t="s">
        <v>1645</v>
      </c>
      <c r="D54" s="33" t="s">
        <v>1649</v>
      </c>
      <c r="E54" s="47" t="s">
        <v>51</v>
      </c>
      <c r="F54" s="33" t="s">
        <v>1656</v>
      </c>
      <c r="G54" s="36">
        <v>67</v>
      </c>
      <c r="H54" s="33">
        <v>126</v>
      </c>
      <c r="I54" s="33" t="s">
        <v>1657</v>
      </c>
      <c r="J54" s="33" t="s">
        <v>1658</v>
      </c>
      <c r="K54" s="33" t="s">
        <v>1606</v>
      </c>
      <c r="L54" s="33" t="s">
        <v>559</v>
      </c>
      <c r="M54" s="33" t="s">
        <v>105</v>
      </c>
      <c r="N54" s="33" t="s">
        <v>111</v>
      </c>
      <c r="O54" s="34" t="s">
        <v>2</v>
      </c>
      <c r="P54" s="33">
        <v>4</v>
      </c>
      <c r="Q54" s="33" t="s">
        <v>1694</v>
      </c>
      <c r="R54" s="33" t="s">
        <v>1660</v>
      </c>
      <c r="S54" s="41" t="str">
        <f>IFERROR(HYPERLINK("#'Main'!B"&amp;MATCH(TRIM(A54),Main!B:B,0),"Open"),HYPERLINK("#'Main'!B1","Open"))</f>
        <v>Open</v>
      </c>
      <c r="T54" s="41" t="str">
        <f>IFERROR(HYPERLINK("#'Technical Diagnostics'!A"&amp;MATCH(A54,'Technical Diagnostics'!A:A,0),"Open"),HYPERLINK("#'Technical Diagnostics'!A1","Open"))</f>
        <v>Open</v>
      </c>
      <c r="U54" s="41"/>
    </row>
    <row r="55" spans="1:21" ht="30" customHeight="1" x14ac:dyDescent="0.25">
      <c r="A55" s="51" t="s">
        <v>189</v>
      </c>
      <c r="B55" s="42">
        <v>30257</v>
      </c>
      <c r="C55" s="66" t="s">
        <v>1647</v>
      </c>
      <c r="D55" s="42" t="s">
        <v>1649</v>
      </c>
      <c r="E55" s="47" t="s">
        <v>51</v>
      </c>
      <c r="F55" s="42" t="s">
        <v>1650</v>
      </c>
      <c r="G55" s="43">
        <v>67</v>
      </c>
      <c r="H55" s="42">
        <v>13.76</v>
      </c>
      <c r="I55" s="42" t="s">
        <v>1651</v>
      </c>
      <c r="J55" s="42" t="s">
        <v>1652</v>
      </c>
      <c r="K55" s="42" t="s">
        <v>1653</v>
      </c>
      <c r="L55" s="42" t="s">
        <v>576</v>
      </c>
      <c r="M55" s="42" t="s">
        <v>105</v>
      </c>
      <c r="N55" s="42" t="s">
        <v>111</v>
      </c>
      <c r="O55" s="34" t="s">
        <v>2</v>
      </c>
      <c r="P55" s="42">
        <v>4</v>
      </c>
      <c r="Q55" s="42" t="s">
        <v>1695</v>
      </c>
      <c r="R55" s="42" t="s">
        <v>1655</v>
      </c>
      <c r="S55" t="str">
        <f>IFERROR(HYPERLINK("#'Main'!B"&amp;MATCH(TRIM(A55),Main!B:B,0),"Open"),HYPERLINK("#'Main'!B1","Open"))</f>
        <v>Open</v>
      </c>
      <c r="T55" t="str">
        <f>IFERROR(HYPERLINK("#'Technical Diagnostics'!A"&amp;MATCH(A55,'Technical Diagnostics'!A:A,0),"Open"),HYPERLINK("#'Technical Diagnostics'!A1","Open"))</f>
        <v>Open</v>
      </c>
    </row>
    <row r="56" spans="1:21" ht="45" customHeight="1" x14ac:dyDescent="0.25">
      <c r="A56" s="50" t="s">
        <v>176</v>
      </c>
      <c r="B56" s="33">
        <v>8</v>
      </c>
      <c r="C56" s="65" t="s">
        <v>1605</v>
      </c>
      <c r="D56" s="33" t="s">
        <v>1696</v>
      </c>
      <c r="E56" s="47" t="s">
        <v>51</v>
      </c>
      <c r="F56" s="33" t="s">
        <v>1697</v>
      </c>
      <c r="G56" s="36">
        <v>67</v>
      </c>
      <c r="H56" s="33">
        <v>0</v>
      </c>
      <c r="I56" s="33" t="s">
        <v>1698</v>
      </c>
      <c r="J56" s="33" t="s">
        <v>1699</v>
      </c>
      <c r="K56" s="33" t="s">
        <v>1700</v>
      </c>
      <c r="L56" s="33" t="s">
        <v>568</v>
      </c>
      <c r="M56" s="33" t="s">
        <v>105</v>
      </c>
      <c r="N56" s="33" t="s">
        <v>111</v>
      </c>
      <c r="O56" s="34" t="s">
        <v>2</v>
      </c>
      <c r="P56" s="33">
        <v>4</v>
      </c>
      <c r="Q56" s="33" t="s">
        <v>1701</v>
      </c>
      <c r="R56" s="33" t="s">
        <v>1702</v>
      </c>
      <c r="S56" s="41" t="str">
        <f>IFERROR(HYPERLINK("#'Main'!B"&amp;MATCH(TRIM(A56),Main!B:B,0),"Open"),HYPERLINK("#'Main'!B1","Open"))</f>
        <v>Open</v>
      </c>
      <c r="T56" s="41" t="str">
        <f>IFERROR(HYPERLINK("#'Technical Diagnostics'!A"&amp;MATCH(A56,'Technical Diagnostics'!A:A,0),"Open"),HYPERLINK("#'Technical Diagnostics'!A1","Open"))</f>
        <v>Open</v>
      </c>
      <c r="U56" s="41"/>
    </row>
    <row r="57" spans="1:21" ht="45" customHeight="1" x14ac:dyDescent="0.25">
      <c r="A57" s="51" t="s">
        <v>178</v>
      </c>
      <c r="B57" s="42">
        <v>84</v>
      </c>
      <c r="C57" s="66" t="s">
        <v>1612</v>
      </c>
      <c r="D57" s="42" t="s">
        <v>1696</v>
      </c>
      <c r="E57" s="47" t="s">
        <v>51</v>
      </c>
      <c r="F57" s="42" t="s">
        <v>1697</v>
      </c>
      <c r="G57" s="43">
        <v>67</v>
      </c>
      <c r="H57" s="42">
        <v>0</v>
      </c>
      <c r="I57" s="42" t="s">
        <v>1698</v>
      </c>
      <c r="J57" s="42" t="s">
        <v>1699</v>
      </c>
      <c r="K57" s="42" t="s">
        <v>1700</v>
      </c>
      <c r="L57" s="42" t="s">
        <v>568</v>
      </c>
      <c r="M57" s="42" t="s">
        <v>105</v>
      </c>
      <c r="N57" s="42" t="s">
        <v>111</v>
      </c>
      <c r="O57" s="34" t="s">
        <v>2</v>
      </c>
      <c r="P57" s="42">
        <v>4</v>
      </c>
      <c r="Q57" s="42" t="s">
        <v>1703</v>
      </c>
      <c r="R57" s="42" t="s">
        <v>1702</v>
      </c>
      <c r="S57" t="str">
        <f>IFERROR(HYPERLINK("#'Main'!B"&amp;MATCH(TRIM(A57),Main!B:B,0),"Open"),HYPERLINK("#'Main'!B1","Open"))</f>
        <v>Open</v>
      </c>
      <c r="T57" t="str">
        <f>IFERROR(HYPERLINK("#'Technical Diagnostics'!A"&amp;MATCH(A57,'Technical Diagnostics'!A:A,0),"Open"),HYPERLINK("#'Technical Diagnostics'!A1","Open"))</f>
        <v>Open</v>
      </c>
    </row>
    <row r="58" spans="1:21" ht="45" customHeight="1" x14ac:dyDescent="0.25">
      <c r="A58" s="50" t="s">
        <v>208</v>
      </c>
      <c r="B58" s="33">
        <v>28165</v>
      </c>
      <c r="C58" s="65" t="s">
        <v>1614</v>
      </c>
      <c r="D58" s="33" t="s">
        <v>1696</v>
      </c>
      <c r="E58" s="47" t="s">
        <v>51</v>
      </c>
      <c r="F58" s="33" t="s">
        <v>1697</v>
      </c>
      <c r="G58" s="36">
        <v>67</v>
      </c>
      <c r="H58" s="33">
        <v>0</v>
      </c>
      <c r="I58" s="33" t="s">
        <v>1698</v>
      </c>
      <c r="J58" s="33" t="s">
        <v>1699</v>
      </c>
      <c r="K58" s="33" t="s">
        <v>1700</v>
      </c>
      <c r="L58" s="33" t="s">
        <v>568</v>
      </c>
      <c r="M58" s="33" t="s">
        <v>105</v>
      </c>
      <c r="N58" s="33" t="s">
        <v>111</v>
      </c>
      <c r="O58" s="34" t="s">
        <v>2</v>
      </c>
      <c r="P58" s="33">
        <v>4</v>
      </c>
      <c r="Q58" s="33" t="s">
        <v>1704</v>
      </c>
      <c r="R58" s="33" t="s">
        <v>1702</v>
      </c>
      <c r="S58" s="41" t="str">
        <f>IFERROR(HYPERLINK("#'Main'!B"&amp;MATCH(TRIM(A58),Main!B:B,0),"Open"),HYPERLINK("#'Main'!B1","Open"))</f>
        <v>Open</v>
      </c>
      <c r="T58" s="41" t="str">
        <f>IFERROR(HYPERLINK("#'Technical Diagnostics'!A"&amp;MATCH(A58,'Technical Diagnostics'!A:A,0),"Open"),HYPERLINK("#'Technical Diagnostics'!A1","Open"))</f>
        <v>Open</v>
      </c>
      <c r="U58" s="41"/>
    </row>
    <row r="59" spans="1:21" ht="45" customHeight="1" x14ac:dyDescent="0.25">
      <c r="A59" s="51" t="s">
        <v>146</v>
      </c>
      <c r="B59" s="42">
        <v>16125</v>
      </c>
      <c r="C59" s="66" t="s">
        <v>1616</v>
      </c>
      <c r="D59" s="42" t="s">
        <v>1696</v>
      </c>
      <c r="E59" s="47" t="s">
        <v>51</v>
      </c>
      <c r="F59" s="42" t="s">
        <v>1697</v>
      </c>
      <c r="G59" s="43">
        <v>67</v>
      </c>
      <c r="H59" s="42">
        <v>0</v>
      </c>
      <c r="I59" s="42" t="s">
        <v>1698</v>
      </c>
      <c r="J59" s="42" t="s">
        <v>1699</v>
      </c>
      <c r="K59" s="42" t="s">
        <v>1700</v>
      </c>
      <c r="L59" s="42" t="s">
        <v>568</v>
      </c>
      <c r="M59" s="42" t="s">
        <v>105</v>
      </c>
      <c r="N59" s="42" t="s">
        <v>111</v>
      </c>
      <c r="O59" s="34" t="s">
        <v>2</v>
      </c>
      <c r="P59" s="42">
        <v>4</v>
      </c>
      <c r="Q59" s="42" t="s">
        <v>1705</v>
      </c>
      <c r="R59" s="42" t="s">
        <v>1702</v>
      </c>
      <c r="S59" t="str">
        <f>IFERROR(HYPERLINK("#'Main'!B"&amp;MATCH(TRIM(A59),Main!B:B,0),"Open"),HYPERLINK("#'Main'!B1","Open"))</f>
        <v>Open</v>
      </c>
      <c r="T59" t="str">
        <f>IFERROR(HYPERLINK("#'Technical Diagnostics'!A"&amp;MATCH(A59,'Technical Diagnostics'!A:A,0),"Open"),HYPERLINK("#'Technical Diagnostics'!A1","Open"))</f>
        <v>Open</v>
      </c>
    </row>
    <row r="60" spans="1:21" ht="45" customHeight="1" x14ac:dyDescent="0.25">
      <c r="A60" s="50" t="s">
        <v>207</v>
      </c>
      <c r="B60" s="33">
        <v>4494</v>
      </c>
      <c r="C60" s="65" t="s">
        <v>1618</v>
      </c>
      <c r="D60" s="33" t="s">
        <v>1696</v>
      </c>
      <c r="E60" s="47" t="s">
        <v>51</v>
      </c>
      <c r="F60" s="33" t="s">
        <v>1697</v>
      </c>
      <c r="G60" s="36">
        <v>67</v>
      </c>
      <c r="H60" s="33">
        <v>0</v>
      </c>
      <c r="I60" s="33" t="s">
        <v>1698</v>
      </c>
      <c r="J60" s="33" t="s">
        <v>1699</v>
      </c>
      <c r="K60" s="33" t="s">
        <v>1700</v>
      </c>
      <c r="L60" s="33" t="s">
        <v>568</v>
      </c>
      <c r="M60" s="33" t="s">
        <v>105</v>
      </c>
      <c r="N60" s="33" t="s">
        <v>111</v>
      </c>
      <c r="O60" s="34" t="s">
        <v>2</v>
      </c>
      <c r="P60" s="33">
        <v>4</v>
      </c>
      <c r="Q60" s="33" t="s">
        <v>1706</v>
      </c>
      <c r="R60" s="33" t="s">
        <v>1702</v>
      </c>
      <c r="S60" s="41" t="str">
        <f>IFERROR(HYPERLINK("#'Main'!B"&amp;MATCH(TRIM(A60),Main!B:B,0),"Open"),HYPERLINK("#'Main'!B1","Open"))</f>
        <v>Open</v>
      </c>
      <c r="T60" s="41" t="str">
        <f>IFERROR(HYPERLINK("#'Technical Diagnostics'!A"&amp;MATCH(A60,'Technical Diagnostics'!A:A,0),"Open"),HYPERLINK("#'Technical Diagnostics'!A1","Open"))</f>
        <v>Open</v>
      </c>
      <c r="U60" s="41"/>
    </row>
    <row r="61" spans="1:21" ht="45" customHeight="1" x14ac:dyDescent="0.25">
      <c r="A61" s="51" t="s">
        <v>155</v>
      </c>
      <c r="B61" s="42">
        <v>5619</v>
      </c>
      <c r="C61" s="66" t="s">
        <v>1620</v>
      </c>
      <c r="D61" s="42" t="s">
        <v>1696</v>
      </c>
      <c r="E61" s="47" t="s">
        <v>51</v>
      </c>
      <c r="F61" s="42" t="s">
        <v>1697</v>
      </c>
      <c r="G61" s="43">
        <v>67</v>
      </c>
      <c r="H61" s="42">
        <v>0</v>
      </c>
      <c r="I61" s="42" t="s">
        <v>1698</v>
      </c>
      <c r="J61" s="42" t="s">
        <v>1699</v>
      </c>
      <c r="K61" s="42" t="s">
        <v>1700</v>
      </c>
      <c r="L61" s="42" t="s">
        <v>568</v>
      </c>
      <c r="M61" s="42" t="s">
        <v>105</v>
      </c>
      <c r="N61" s="42" t="s">
        <v>111</v>
      </c>
      <c r="O61" s="34" t="s">
        <v>2</v>
      </c>
      <c r="P61" s="42">
        <v>4</v>
      </c>
      <c r="Q61" s="42" t="s">
        <v>1707</v>
      </c>
      <c r="R61" s="42" t="s">
        <v>1702</v>
      </c>
      <c r="S61" t="str">
        <f>IFERROR(HYPERLINK("#'Main'!B"&amp;MATCH(TRIM(A61),Main!B:B,0),"Open"),HYPERLINK("#'Main'!B1","Open"))</f>
        <v>Open</v>
      </c>
      <c r="T61" t="str">
        <f>IFERROR(HYPERLINK("#'Technical Diagnostics'!A"&amp;MATCH(A61,'Technical Diagnostics'!A:A,0),"Open"),HYPERLINK("#'Technical Diagnostics'!A1","Open"))</f>
        <v>Open</v>
      </c>
    </row>
    <row r="62" spans="1:21" ht="45" customHeight="1" x14ac:dyDescent="0.25">
      <c r="A62" s="50" t="s">
        <v>206</v>
      </c>
      <c r="B62" s="33">
        <v>4941</v>
      </c>
      <c r="C62" s="65" t="s">
        <v>1622</v>
      </c>
      <c r="D62" s="33" t="s">
        <v>1696</v>
      </c>
      <c r="E62" s="47" t="s">
        <v>51</v>
      </c>
      <c r="F62" s="33" t="s">
        <v>1697</v>
      </c>
      <c r="G62" s="36">
        <v>67</v>
      </c>
      <c r="H62" s="33">
        <v>0</v>
      </c>
      <c r="I62" s="33" t="s">
        <v>1698</v>
      </c>
      <c r="J62" s="33" t="s">
        <v>1699</v>
      </c>
      <c r="K62" s="33" t="s">
        <v>1700</v>
      </c>
      <c r="L62" s="33" t="s">
        <v>568</v>
      </c>
      <c r="M62" s="33" t="s">
        <v>105</v>
      </c>
      <c r="N62" s="33" t="s">
        <v>111</v>
      </c>
      <c r="O62" s="34" t="s">
        <v>2</v>
      </c>
      <c r="P62" s="33">
        <v>4</v>
      </c>
      <c r="Q62" s="33" t="s">
        <v>1708</v>
      </c>
      <c r="R62" s="33" t="s">
        <v>1702</v>
      </c>
      <c r="S62" s="41" t="str">
        <f>IFERROR(HYPERLINK("#'Main'!B"&amp;MATCH(TRIM(A62),Main!B:B,0),"Open"),HYPERLINK("#'Main'!B1","Open"))</f>
        <v>Open</v>
      </c>
      <c r="T62" s="41" t="str">
        <f>IFERROR(HYPERLINK("#'Technical Diagnostics'!A"&amp;MATCH(A62,'Technical Diagnostics'!A:A,0),"Open"),HYPERLINK("#'Technical Diagnostics'!A1","Open"))</f>
        <v>Open</v>
      </c>
      <c r="U62" s="41"/>
    </row>
    <row r="63" spans="1:21" ht="45" customHeight="1" x14ac:dyDescent="0.25">
      <c r="A63" s="51" t="s">
        <v>209</v>
      </c>
      <c r="B63" s="42">
        <v>12371</v>
      </c>
      <c r="C63" s="66" t="s">
        <v>1624</v>
      </c>
      <c r="D63" s="42" t="s">
        <v>1696</v>
      </c>
      <c r="E63" s="47" t="s">
        <v>51</v>
      </c>
      <c r="F63" s="42" t="s">
        <v>1697</v>
      </c>
      <c r="G63" s="43">
        <v>67</v>
      </c>
      <c r="H63" s="42">
        <v>0</v>
      </c>
      <c r="I63" s="42" t="s">
        <v>1698</v>
      </c>
      <c r="J63" s="42" t="s">
        <v>1699</v>
      </c>
      <c r="K63" s="42" t="s">
        <v>1700</v>
      </c>
      <c r="L63" s="42" t="s">
        <v>568</v>
      </c>
      <c r="M63" s="42" t="s">
        <v>105</v>
      </c>
      <c r="N63" s="42" t="s">
        <v>111</v>
      </c>
      <c r="O63" s="34" t="s">
        <v>2</v>
      </c>
      <c r="P63" s="42">
        <v>4</v>
      </c>
      <c r="Q63" s="42" t="s">
        <v>1709</v>
      </c>
      <c r="R63" s="42" t="s">
        <v>1702</v>
      </c>
      <c r="S63" t="str">
        <f>IFERROR(HYPERLINK("#'Main'!B"&amp;MATCH(TRIM(A63),Main!B:B,0),"Open"),HYPERLINK("#'Main'!B1","Open"))</f>
        <v>Open</v>
      </c>
      <c r="T63" t="str">
        <f>IFERROR(HYPERLINK("#'Technical Diagnostics'!A"&amp;MATCH(A63,'Technical Diagnostics'!A:A,0),"Open"),HYPERLINK("#'Technical Diagnostics'!A1","Open"))</f>
        <v>Open</v>
      </c>
    </row>
    <row r="64" spans="1:21" ht="45" customHeight="1" x14ac:dyDescent="0.25">
      <c r="A64" s="50" t="s">
        <v>210</v>
      </c>
      <c r="B64" s="33">
        <v>12954</v>
      </c>
      <c r="C64" s="65" t="s">
        <v>1626</v>
      </c>
      <c r="D64" s="33" t="s">
        <v>1696</v>
      </c>
      <c r="E64" s="47" t="s">
        <v>51</v>
      </c>
      <c r="F64" s="33" t="s">
        <v>1697</v>
      </c>
      <c r="G64" s="36">
        <v>67</v>
      </c>
      <c r="H64" s="33">
        <v>0</v>
      </c>
      <c r="I64" s="33" t="s">
        <v>1698</v>
      </c>
      <c r="J64" s="33" t="s">
        <v>1699</v>
      </c>
      <c r="K64" s="33" t="s">
        <v>1700</v>
      </c>
      <c r="L64" s="33" t="s">
        <v>568</v>
      </c>
      <c r="M64" s="33" t="s">
        <v>105</v>
      </c>
      <c r="N64" s="33" t="s">
        <v>111</v>
      </c>
      <c r="O64" s="34" t="s">
        <v>2</v>
      </c>
      <c r="P64" s="33">
        <v>4</v>
      </c>
      <c r="Q64" s="33" t="s">
        <v>1710</v>
      </c>
      <c r="R64" s="33" t="s">
        <v>1702</v>
      </c>
      <c r="S64" s="41" t="str">
        <f>IFERROR(HYPERLINK("#'Main'!B"&amp;MATCH(TRIM(A64),Main!B:B,0),"Open"),HYPERLINK("#'Main'!B1","Open"))</f>
        <v>Open</v>
      </c>
      <c r="T64" s="41" t="str">
        <f>IFERROR(HYPERLINK("#'Technical Diagnostics'!A"&amp;MATCH(A64,'Technical Diagnostics'!A:A,0),"Open"),HYPERLINK("#'Technical Diagnostics'!A1","Open"))</f>
        <v>Open</v>
      </c>
      <c r="U64" s="41"/>
    </row>
    <row r="65" spans="1:21" ht="45" customHeight="1" x14ac:dyDescent="0.25">
      <c r="A65" s="51" t="s">
        <v>157</v>
      </c>
      <c r="B65" s="42">
        <v>13164</v>
      </c>
      <c r="C65" s="66" t="s">
        <v>1596</v>
      </c>
      <c r="D65" s="42" t="s">
        <v>1696</v>
      </c>
      <c r="E65" s="47" t="s">
        <v>51</v>
      </c>
      <c r="F65" s="42" t="s">
        <v>1697</v>
      </c>
      <c r="G65" s="43">
        <v>67</v>
      </c>
      <c r="H65" s="42">
        <v>0</v>
      </c>
      <c r="I65" s="42" t="s">
        <v>1698</v>
      </c>
      <c r="J65" s="42" t="s">
        <v>1699</v>
      </c>
      <c r="K65" s="42" t="s">
        <v>1700</v>
      </c>
      <c r="L65" s="42" t="s">
        <v>568</v>
      </c>
      <c r="M65" s="42" t="s">
        <v>105</v>
      </c>
      <c r="N65" s="42" t="s">
        <v>111</v>
      </c>
      <c r="O65" s="34" t="s">
        <v>2</v>
      </c>
      <c r="P65" s="42">
        <v>4</v>
      </c>
      <c r="Q65" s="42" t="s">
        <v>1711</v>
      </c>
      <c r="R65" s="42" t="s">
        <v>1702</v>
      </c>
      <c r="S65" t="str">
        <f>IFERROR(HYPERLINK("#'Main'!B"&amp;MATCH(TRIM(A65),Main!B:B,0),"Open"),HYPERLINK("#'Main'!B1","Open"))</f>
        <v>Open</v>
      </c>
      <c r="T65" t="str">
        <f>IFERROR(HYPERLINK("#'Technical Diagnostics'!A"&amp;MATCH(A65,'Technical Diagnostics'!A:A,0),"Open"),HYPERLINK("#'Technical Diagnostics'!A1","Open"))</f>
        <v>Open</v>
      </c>
    </row>
    <row r="66" spans="1:21" ht="45" customHeight="1" x14ac:dyDescent="0.25">
      <c r="A66" s="50" t="s">
        <v>212</v>
      </c>
      <c r="B66" s="33">
        <v>12407</v>
      </c>
      <c r="C66" s="65" t="s">
        <v>1629</v>
      </c>
      <c r="D66" s="33" t="s">
        <v>1696</v>
      </c>
      <c r="E66" s="47" t="s">
        <v>51</v>
      </c>
      <c r="F66" s="33" t="s">
        <v>1697</v>
      </c>
      <c r="G66" s="36">
        <v>67</v>
      </c>
      <c r="H66" s="33">
        <v>0</v>
      </c>
      <c r="I66" s="33" t="s">
        <v>1698</v>
      </c>
      <c r="J66" s="33" t="s">
        <v>1699</v>
      </c>
      <c r="K66" s="33" t="s">
        <v>1700</v>
      </c>
      <c r="L66" s="33" t="s">
        <v>568</v>
      </c>
      <c r="M66" s="33" t="s">
        <v>105</v>
      </c>
      <c r="N66" s="33" t="s">
        <v>111</v>
      </c>
      <c r="O66" s="34" t="s">
        <v>2</v>
      </c>
      <c r="P66" s="33">
        <v>4</v>
      </c>
      <c r="Q66" s="33" t="s">
        <v>1712</v>
      </c>
      <c r="R66" s="33" t="s">
        <v>1702</v>
      </c>
      <c r="S66" s="41" t="str">
        <f>IFERROR(HYPERLINK("#'Main'!B"&amp;MATCH(TRIM(A66),Main!B:B,0),"Open"),HYPERLINK("#'Main'!B1","Open"))</f>
        <v>Open</v>
      </c>
      <c r="T66" s="41" t="str">
        <f>IFERROR(HYPERLINK("#'Technical Diagnostics'!A"&amp;MATCH(A66,'Technical Diagnostics'!A:A,0),"Open"),HYPERLINK("#'Technical Diagnostics'!A1","Open"))</f>
        <v>Open</v>
      </c>
      <c r="U66" s="41"/>
    </row>
    <row r="67" spans="1:21" ht="45" customHeight="1" x14ac:dyDescent="0.25">
      <c r="A67" s="51" t="s">
        <v>211</v>
      </c>
      <c r="B67" s="42">
        <v>12497</v>
      </c>
      <c r="C67" s="66" t="s">
        <v>1631</v>
      </c>
      <c r="D67" s="42" t="s">
        <v>1696</v>
      </c>
      <c r="E67" s="47" t="s">
        <v>51</v>
      </c>
      <c r="F67" s="42" t="s">
        <v>1697</v>
      </c>
      <c r="G67" s="43">
        <v>67</v>
      </c>
      <c r="H67" s="42">
        <v>0</v>
      </c>
      <c r="I67" s="42" t="s">
        <v>1698</v>
      </c>
      <c r="J67" s="42" t="s">
        <v>1699</v>
      </c>
      <c r="K67" s="42" t="s">
        <v>1700</v>
      </c>
      <c r="L67" s="42" t="s">
        <v>568</v>
      </c>
      <c r="M67" s="42" t="s">
        <v>105</v>
      </c>
      <c r="N67" s="42" t="s">
        <v>111</v>
      </c>
      <c r="O67" s="34" t="s">
        <v>2</v>
      </c>
      <c r="P67" s="42">
        <v>4</v>
      </c>
      <c r="Q67" s="42" t="s">
        <v>1713</v>
      </c>
      <c r="R67" s="42" t="s">
        <v>1702</v>
      </c>
      <c r="S67" t="str">
        <f>IFERROR(HYPERLINK("#'Main'!B"&amp;MATCH(TRIM(A67),Main!B:B,0),"Open"),HYPERLINK("#'Main'!B1","Open"))</f>
        <v>Open</v>
      </c>
      <c r="T67" t="str">
        <f>IFERROR(HYPERLINK("#'Technical Diagnostics'!A"&amp;MATCH(A67,'Technical Diagnostics'!A:A,0),"Open"),HYPERLINK("#'Technical Diagnostics'!A1","Open"))</f>
        <v>Open</v>
      </c>
    </row>
    <row r="68" spans="1:21" ht="45" customHeight="1" x14ac:dyDescent="0.25">
      <c r="A68" s="50" t="s">
        <v>213</v>
      </c>
      <c r="B68" s="33">
        <v>13098</v>
      </c>
      <c r="C68" s="65" t="s">
        <v>1633</v>
      </c>
      <c r="D68" s="33" t="s">
        <v>1696</v>
      </c>
      <c r="E68" s="47" t="s">
        <v>51</v>
      </c>
      <c r="F68" s="33" t="s">
        <v>1697</v>
      </c>
      <c r="G68" s="36">
        <v>67</v>
      </c>
      <c r="H68" s="33">
        <v>0</v>
      </c>
      <c r="I68" s="33" t="s">
        <v>1698</v>
      </c>
      <c r="J68" s="33" t="s">
        <v>1699</v>
      </c>
      <c r="K68" s="33" t="s">
        <v>1700</v>
      </c>
      <c r="L68" s="33" t="s">
        <v>568</v>
      </c>
      <c r="M68" s="33" t="s">
        <v>105</v>
      </c>
      <c r="N68" s="33" t="s">
        <v>111</v>
      </c>
      <c r="O68" s="34" t="s">
        <v>2</v>
      </c>
      <c r="P68" s="33">
        <v>4</v>
      </c>
      <c r="Q68" s="33" t="s">
        <v>1714</v>
      </c>
      <c r="R68" s="33" t="s">
        <v>1702</v>
      </c>
      <c r="S68" s="41" t="str">
        <f>IFERROR(HYPERLINK("#'Main'!B"&amp;MATCH(TRIM(A68),Main!B:B,0),"Open"),HYPERLINK("#'Main'!B1","Open"))</f>
        <v>Open</v>
      </c>
      <c r="T68" s="41" t="str">
        <f>IFERROR(HYPERLINK("#'Technical Diagnostics'!A"&amp;MATCH(A68,'Technical Diagnostics'!A:A,0),"Open"),HYPERLINK("#'Technical Diagnostics'!A1","Open"))</f>
        <v>Open</v>
      </c>
      <c r="U68" s="41"/>
    </row>
    <row r="69" spans="1:21" ht="45" customHeight="1" x14ac:dyDescent="0.25">
      <c r="A69" s="51" t="s">
        <v>214</v>
      </c>
      <c r="B69" s="42">
        <v>13549</v>
      </c>
      <c r="C69" s="66" t="s">
        <v>1635</v>
      </c>
      <c r="D69" s="42" t="s">
        <v>1696</v>
      </c>
      <c r="E69" s="47" t="s">
        <v>51</v>
      </c>
      <c r="F69" s="42" t="s">
        <v>1697</v>
      </c>
      <c r="G69" s="43">
        <v>67</v>
      </c>
      <c r="H69" s="42">
        <v>0</v>
      </c>
      <c r="I69" s="42" t="s">
        <v>1698</v>
      </c>
      <c r="J69" s="42" t="s">
        <v>1699</v>
      </c>
      <c r="K69" s="42" t="s">
        <v>1700</v>
      </c>
      <c r="L69" s="42" t="s">
        <v>568</v>
      </c>
      <c r="M69" s="42" t="s">
        <v>105</v>
      </c>
      <c r="N69" s="42" t="s">
        <v>111</v>
      </c>
      <c r="O69" s="34" t="s">
        <v>2</v>
      </c>
      <c r="P69" s="42">
        <v>4</v>
      </c>
      <c r="Q69" s="42" t="s">
        <v>1715</v>
      </c>
      <c r="R69" s="42" t="s">
        <v>1702</v>
      </c>
      <c r="S69" t="str">
        <f>IFERROR(HYPERLINK("#'Main'!B"&amp;MATCH(TRIM(A69),Main!B:B,0),"Open"),HYPERLINK("#'Main'!B1","Open"))</f>
        <v>Open</v>
      </c>
      <c r="T69" t="str">
        <f>IFERROR(HYPERLINK("#'Technical Diagnostics'!A"&amp;MATCH(A69,'Technical Diagnostics'!A:A,0),"Open"),HYPERLINK("#'Technical Diagnostics'!A1","Open"))</f>
        <v>Open</v>
      </c>
    </row>
    <row r="70" spans="1:21" ht="45" customHeight="1" x14ac:dyDescent="0.25">
      <c r="A70" s="50" t="s">
        <v>215</v>
      </c>
      <c r="B70" s="33">
        <v>13282</v>
      </c>
      <c r="C70" s="65" t="s">
        <v>1637</v>
      </c>
      <c r="D70" s="33" t="s">
        <v>1696</v>
      </c>
      <c r="E70" s="47" t="s">
        <v>51</v>
      </c>
      <c r="F70" s="33" t="s">
        <v>1697</v>
      </c>
      <c r="G70" s="36">
        <v>67</v>
      </c>
      <c r="H70" s="33">
        <v>0</v>
      </c>
      <c r="I70" s="33" t="s">
        <v>1698</v>
      </c>
      <c r="J70" s="33" t="s">
        <v>1699</v>
      </c>
      <c r="K70" s="33" t="s">
        <v>1700</v>
      </c>
      <c r="L70" s="33" t="s">
        <v>568</v>
      </c>
      <c r="M70" s="33" t="s">
        <v>105</v>
      </c>
      <c r="N70" s="33" t="s">
        <v>111</v>
      </c>
      <c r="O70" s="34" t="s">
        <v>2</v>
      </c>
      <c r="P70" s="33">
        <v>4</v>
      </c>
      <c r="Q70" s="33" t="s">
        <v>1716</v>
      </c>
      <c r="R70" s="33" t="s">
        <v>1702</v>
      </c>
      <c r="S70" s="41" t="str">
        <f>IFERROR(HYPERLINK("#'Main'!B"&amp;MATCH(TRIM(A70),Main!B:B,0),"Open"),HYPERLINK("#'Main'!B1","Open"))</f>
        <v>Open</v>
      </c>
      <c r="T70" s="41" t="str">
        <f>IFERROR(HYPERLINK("#'Technical Diagnostics'!A"&amp;MATCH(A70,'Technical Diagnostics'!A:A,0),"Open"),HYPERLINK("#'Technical Diagnostics'!A1","Open"))</f>
        <v>Open</v>
      </c>
      <c r="U70" s="41"/>
    </row>
    <row r="71" spans="1:21" ht="45" customHeight="1" x14ac:dyDescent="0.25">
      <c r="A71" s="51" t="s">
        <v>217</v>
      </c>
      <c r="B71" s="42">
        <v>12945</v>
      </c>
      <c r="C71" s="66" t="s">
        <v>1639</v>
      </c>
      <c r="D71" s="42" t="s">
        <v>1696</v>
      </c>
      <c r="E71" s="47" t="s">
        <v>51</v>
      </c>
      <c r="F71" s="42" t="s">
        <v>1697</v>
      </c>
      <c r="G71" s="43">
        <v>67</v>
      </c>
      <c r="H71" s="42">
        <v>0</v>
      </c>
      <c r="I71" s="42" t="s">
        <v>1698</v>
      </c>
      <c r="J71" s="42" t="s">
        <v>1699</v>
      </c>
      <c r="K71" s="42" t="s">
        <v>1700</v>
      </c>
      <c r="L71" s="42" t="s">
        <v>568</v>
      </c>
      <c r="M71" s="42" t="s">
        <v>105</v>
      </c>
      <c r="N71" s="42" t="s">
        <v>111</v>
      </c>
      <c r="O71" s="34" t="s">
        <v>2</v>
      </c>
      <c r="P71" s="42">
        <v>4</v>
      </c>
      <c r="Q71" s="42" t="s">
        <v>1717</v>
      </c>
      <c r="R71" s="42" t="s">
        <v>1702</v>
      </c>
      <c r="S71" t="str">
        <f>IFERROR(HYPERLINK("#'Main'!B"&amp;MATCH(TRIM(A71),Main!B:B,0),"Open"),HYPERLINK("#'Main'!B1","Open"))</f>
        <v>Open</v>
      </c>
      <c r="T71" t="str">
        <f>IFERROR(HYPERLINK("#'Technical Diagnostics'!A"&amp;MATCH(A71,'Technical Diagnostics'!A:A,0),"Open"),HYPERLINK("#'Technical Diagnostics'!A1","Open"))</f>
        <v>Open</v>
      </c>
    </row>
    <row r="72" spans="1:21" ht="45" customHeight="1" x14ac:dyDescent="0.25">
      <c r="A72" s="50" t="s">
        <v>219</v>
      </c>
      <c r="B72" s="33">
        <v>13179</v>
      </c>
      <c r="C72" s="65" t="s">
        <v>1641</v>
      </c>
      <c r="D72" s="33" t="s">
        <v>1696</v>
      </c>
      <c r="E72" s="47" t="s">
        <v>51</v>
      </c>
      <c r="F72" s="33" t="s">
        <v>1697</v>
      </c>
      <c r="G72" s="36">
        <v>67</v>
      </c>
      <c r="H72" s="33">
        <v>0</v>
      </c>
      <c r="I72" s="33" t="s">
        <v>1698</v>
      </c>
      <c r="J72" s="33" t="s">
        <v>1699</v>
      </c>
      <c r="K72" s="33" t="s">
        <v>1700</v>
      </c>
      <c r="L72" s="33" t="s">
        <v>568</v>
      </c>
      <c r="M72" s="33" t="s">
        <v>105</v>
      </c>
      <c r="N72" s="33" t="s">
        <v>111</v>
      </c>
      <c r="O72" s="34" t="s">
        <v>2</v>
      </c>
      <c r="P72" s="33">
        <v>4</v>
      </c>
      <c r="Q72" s="33" t="s">
        <v>1718</v>
      </c>
      <c r="R72" s="33" t="s">
        <v>1702</v>
      </c>
      <c r="S72" s="41" t="str">
        <f>IFERROR(HYPERLINK("#'Main'!B"&amp;MATCH(TRIM(A72),Main!B:B,0),"Open"),HYPERLINK("#'Main'!B1","Open"))</f>
        <v>Open</v>
      </c>
      <c r="T72" s="41" t="str">
        <f>IFERROR(HYPERLINK("#'Technical Diagnostics'!A"&amp;MATCH(A72,'Technical Diagnostics'!A:A,0),"Open"),HYPERLINK("#'Technical Diagnostics'!A1","Open"))</f>
        <v>Open</v>
      </c>
      <c r="U72" s="41"/>
    </row>
    <row r="73" spans="1:21" ht="45" customHeight="1" x14ac:dyDescent="0.25">
      <c r="A73" s="51" t="s">
        <v>216</v>
      </c>
      <c r="B73" s="42">
        <v>22401</v>
      </c>
      <c r="C73" s="66" t="s">
        <v>1643</v>
      </c>
      <c r="D73" s="42" t="s">
        <v>1696</v>
      </c>
      <c r="E73" s="47" t="s">
        <v>51</v>
      </c>
      <c r="F73" s="42" t="s">
        <v>1697</v>
      </c>
      <c r="G73" s="43">
        <v>67</v>
      </c>
      <c r="H73" s="42">
        <v>0</v>
      </c>
      <c r="I73" s="42" t="s">
        <v>1698</v>
      </c>
      <c r="J73" s="42" t="s">
        <v>1699</v>
      </c>
      <c r="K73" s="42" t="s">
        <v>1700</v>
      </c>
      <c r="L73" s="42" t="s">
        <v>568</v>
      </c>
      <c r="M73" s="42" t="s">
        <v>105</v>
      </c>
      <c r="N73" s="42" t="s">
        <v>111</v>
      </c>
      <c r="O73" s="34" t="s">
        <v>2</v>
      </c>
      <c r="P73" s="42">
        <v>4</v>
      </c>
      <c r="Q73" s="42" t="s">
        <v>1719</v>
      </c>
      <c r="R73" s="42" t="s">
        <v>1702</v>
      </c>
      <c r="S73" t="str">
        <f>IFERROR(HYPERLINK("#'Main'!B"&amp;MATCH(TRIM(A73),Main!B:B,0),"Open"),HYPERLINK("#'Main'!B1","Open"))</f>
        <v>Open</v>
      </c>
      <c r="T73" t="str">
        <f>IFERROR(HYPERLINK("#'Technical Diagnostics'!A"&amp;MATCH(A73,'Technical Diagnostics'!A:A,0),"Open"),HYPERLINK("#'Technical Diagnostics'!A1","Open"))</f>
        <v>Open</v>
      </c>
    </row>
    <row r="74" spans="1:21" ht="45" customHeight="1" x14ac:dyDescent="0.25">
      <c r="A74" s="50" t="s">
        <v>218</v>
      </c>
      <c r="B74" s="33">
        <v>18318</v>
      </c>
      <c r="C74" s="65" t="s">
        <v>1645</v>
      </c>
      <c r="D74" s="33" t="s">
        <v>1696</v>
      </c>
      <c r="E74" s="47" t="s">
        <v>51</v>
      </c>
      <c r="F74" s="33" t="s">
        <v>1697</v>
      </c>
      <c r="G74" s="36">
        <v>67</v>
      </c>
      <c r="H74" s="33">
        <v>0</v>
      </c>
      <c r="I74" s="33" t="s">
        <v>1698</v>
      </c>
      <c r="J74" s="33" t="s">
        <v>1699</v>
      </c>
      <c r="K74" s="33" t="s">
        <v>1700</v>
      </c>
      <c r="L74" s="33" t="s">
        <v>568</v>
      </c>
      <c r="M74" s="33" t="s">
        <v>105</v>
      </c>
      <c r="N74" s="33" t="s">
        <v>111</v>
      </c>
      <c r="O74" s="34" t="s">
        <v>2</v>
      </c>
      <c r="P74" s="33">
        <v>4</v>
      </c>
      <c r="Q74" s="33" t="s">
        <v>1720</v>
      </c>
      <c r="R74" s="33" t="s">
        <v>1702</v>
      </c>
      <c r="S74" s="41" t="str">
        <f>IFERROR(HYPERLINK("#'Main'!B"&amp;MATCH(TRIM(A74),Main!B:B,0),"Open"),HYPERLINK("#'Main'!B1","Open"))</f>
        <v>Open</v>
      </c>
      <c r="T74" s="41" t="str">
        <f>IFERROR(HYPERLINK("#'Technical Diagnostics'!A"&amp;MATCH(A74,'Technical Diagnostics'!A:A,0),"Open"),HYPERLINK("#'Technical Diagnostics'!A1","Open"))</f>
        <v>Open</v>
      </c>
      <c r="U74" s="41"/>
    </row>
    <row r="75" spans="1:21" ht="45" customHeight="1" x14ac:dyDescent="0.25">
      <c r="A75" s="51" t="s">
        <v>189</v>
      </c>
      <c r="B75" s="42">
        <v>30257</v>
      </c>
      <c r="C75" s="66" t="s">
        <v>1647</v>
      </c>
      <c r="D75" s="42" t="s">
        <v>1696</v>
      </c>
      <c r="E75" s="47" t="s">
        <v>51</v>
      </c>
      <c r="F75" s="42" t="s">
        <v>1697</v>
      </c>
      <c r="G75" s="43">
        <v>67</v>
      </c>
      <c r="H75" s="42">
        <v>0</v>
      </c>
      <c r="I75" s="42" t="s">
        <v>1698</v>
      </c>
      <c r="J75" s="42" t="s">
        <v>1699</v>
      </c>
      <c r="K75" s="42" t="s">
        <v>1700</v>
      </c>
      <c r="L75" s="42" t="s">
        <v>568</v>
      </c>
      <c r="M75" s="42" t="s">
        <v>105</v>
      </c>
      <c r="N75" s="42" t="s">
        <v>111</v>
      </c>
      <c r="O75" s="34" t="s">
        <v>2</v>
      </c>
      <c r="P75" s="42">
        <v>4</v>
      </c>
      <c r="Q75" s="42" t="s">
        <v>1721</v>
      </c>
      <c r="R75" s="42" t="s">
        <v>1702</v>
      </c>
      <c r="S75" t="str">
        <f>IFERROR(HYPERLINK("#'Main'!B"&amp;MATCH(TRIM(A75),Main!B:B,0),"Open"),HYPERLINK("#'Main'!B1","Open"))</f>
        <v>Open</v>
      </c>
      <c r="T75" t="str">
        <f>IFERROR(HYPERLINK("#'Technical Diagnostics'!A"&amp;MATCH(A75,'Technical Diagnostics'!A:A,0),"Open"),HYPERLINK("#'Technical Diagnostics'!A1","Open"))</f>
        <v>Open</v>
      </c>
    </row>
    <row r="76" spans="1:21" ht="30" customHeight="1" x14ac:dyDescent="0.25">
      <c r="A76" s="50" t="s">
        <v>178</v>
      </c>
      <c r="B76" s="33">
        <v>84</v>
      </c>
      <c r="C76" s="65" t="s">
        <v>1612</v>
      </c>
      <c r="D76" s="33" t="s">
        <v>1597</v>
      </c>
      <c r="E76" s="53" t="s">
        <v>161</v>
      </c>
      <c r="F76" s="33" t="s">
        <v>1722</v>
      </c>
      <c r="G76" s="36">
        <v>37</v>
      </c>
      <c r="H76" s="33">
        <v>405</v>
      </c>
      <c r="I76" s="33" t="s">
        <v>1600</v>
      </c>
      <c r="J76" s="33" t="s">
        <v>1723</v>
      </c>
      <c r="K76" s="38" t="s">
        <v>1602</v>
      </c>
      <c r="L76" s="33" t="s">
        <v>1514</v>
      </c>
      <c r="M76" s="33" t="s">
        <v>165</v>
      </c>
      <c r="N76" s="33" t="s">
        <v>111</v>
      </c>
      <c r="O76" s="34" t="s">
        <v>2</v>
      </c>
      <c r="P76" s="33">
        <v>4</v>
      </c>
      <c r="Q76" s="33" t="s">
        <v>1724</v>
      </c>
      <c r="R76" s="33" t="s">
        <v>1725</v>
      </c>
      <c r="S76" s="41" t="str">
        <f>IFERROR(HYPERLINK("#'Main'!B"&amp;MATCH(TRIM(A76),Main!B:B,0),"Open"),HYPERLINK("#'Main'!B1","Open"))</f>
        <v>Open</v>
      </c>
      <c r="T76" s="41" t="str">
        <f>IFERROR(HYPERLINK("#'Technical Diagnostics'!A"&amp;MATCH(A76,'Technical Diagnostics'!A:A,0),"Open"),HYPERLINK("#'Technical Diagnostics'!A1","Open"))</f>
        <v>Open</v>
      </c>
      <c r="U76" s="41"/>
    </row>
    <row r="77" spans="1:21" ht="30" customHeight="1" x14ac:dyDescent="0.25">
      <c r="A77" s="51" t="s">
        <v>208</v>
      </c>
      <c r="B77" s="42">
        <v>28165</v>
      </c>
      <c r="C77" s="66" t="s">
        <v>1614</v>
      </c>
      <c r="D77" s="42" t="s">
        <v>1597</v>
      </c>
      <c r="E77" s="53" t="s">
        <v>161</v>
      </c>
      <c r="F77" s="42" t="s">
        <v>1722</v>
      </c>
      <c r="G77" s="43">
        <v>37</v>
      </c>
      <c r="H77" s="42">
        <v>423</v>
      </c>
      <c r="I77" s="42" t="s">
        <v>1600</v>
      </c>
      <c r="J77" s="42" t="s">
        <v>1723</v>
      </c>
      <c r="K77" s="45" t="s">
        <v>1602</v>
      </c>
      <c r="L77" s="42" t="s">
        <v>1514</v>
      </c>
      <c r="M77" s="42" t="s">
        <v>165</v>
      </c>
      <c r="N77" s="42" t="s">
        <v>111</v>
      </c>
      <c r="O77" s="34" t="s">
        <v>2</v>
      </c>
      <c r="P77" s="42">
        <v>4</v>
      </c>
      <c r="Q77" s="42" t="s">
        <v>1726</v>
      </c>
      <c r="R77" s="42" t="s">
        <v>1725</v>
      </c>
      <c r="S77" t="str">
        <f>IFERROR(HYPERLINK("#'Main'!B"&amp;MATCH(TRIM(A77),Main!B:B,0),"Open"),HYPERLINK("#'Main'!B1","Open"))</f>
        <v>Open</v>
      </c>
      <c r="T77" t="str">
        <f>IFERROR(HYPERLINK("#'Technical Diagnostics'!A"&amp;MATCH(A77,'Technical Diagnostics'!A:A,0),"Open"),HYPERLINK("#'Technical Diagnostics'!A1","Open"))</f>
        <v>Open</v>
      </c>
    </row>
    <row r="78" spans="1:21" ht="30" customHeight="1" x14ac:dyDescent="0.25">
      <c r="A78" s="50" t="s">
        <v>146</v>
      </c>
      <c r="B78" s="33">
        <v>16125</v>
      </c>
      <c r="C78" s="65" t="s">
        <v>1616</v>
      </c>
      <c r="D78" s="33" t="s">
        <v>1597</v>
      </c>
      <c r="E78" s="53" t="s">
        <v>161</v>
      </c>
      <c r="F78" s="33" t="s">
        <v>1722</v>
      </c>
      <c r="G78" s="36">
        <v>37</v>
      </c>
      <c r="H78" s="33">
        <v>406</v>
      </c>
      <c r="I78" s="33" t="s">
        <v>1600</v>
      </c>
      <c r="J78" s="33" t="s">
        <v>1723</v>
      </c>
      <c r="K78" s="38" t="s">
        <v>1602</v>
      </c>
      <c r="L78" s="33" t="s">
        <v>1514</v>
      </c>
      <c r="M78" s="33" t="s">
        <v>165</v>
      </c>
      <c r="N78" s="33" t="s">
        <v>111</v>
      </c>
      <c r="O78" s="34" t="s">
        <v>2</v>
      </c>
      <c r="P78" s="33">
        <v>4</v>
      </c>
      <c r="Q78" s="33" t="s">
        <v>1727</v>
      </c>
      <c r="R78" s="33" t="s">
        <v>1725</v>
      </c>
      <c r="S78" s="41" t="str">
        <f>IFERROR(HYPERLINK("#'Main'!B"&amp;MATCH(TRIM(A78),Main!B:B,0),"Open"),HYPERLINK("#'Main'!B1","Open"))</f>
        <v>Open</v>
      </c>
      <c r="T78" s="41" t="str">
        <f>IFERROR(HYPERLINK("#'Technical Diagnostics'!A"&amp;MATCH(A78,'Technical Diagnostics'!A:A,0),"Open"),HYPERLINK("#'Technical Diagnostics'!A1","Open"))</f>
        <v>Open</v>
      </c>
      <c r="U78" s="41"/>
    </row>
    <row r="79" spans="1:21" ht="30" customHeight="1" x14ac:dyDescent="0.25">
      <c r="A79" s="51" t="s">
        <v>207</v>
      </c>
      <c r="B79" s="42">
        <v>4494</v>
      </c>
      <c r="C79" s="66" t="s">
        <v>1618</v>
      </c>
      <c r="D79" s="42" t="s">
        <v>1597</v>
      </c>
      <c r="E79" s="53" t="s">
        <v>161</v>
      </c>
      <c r="F79" s="42" t="s">
        <v>1722</v>
      </c>
      <c r="G79" s="43">
        <v>37</v>
      </c>
      <c r="H79" s="42">
        <v>387</v>
      </c>
      <c r="I79" s="42" t="s">
        <v>1600</v>
      </c>
      <c r="J79" s="42" t="s">
        <v>1723</v>
      </c>
      <c r="K79" s="45" t="s">
        <v>1602</v>
      </c>
      <c r="L79" s="42" t="s">
        <v>1514</v>
      </c>
      <c r="M79" s="42" t="s">
        <v>165</v>
      </c>
      <c r="N79" s="42" t="s">
        <v>111</v>
      </c>
      <c r="O79" s="34" t="s">
        <v>2</v>
      </c>
      <c r="P79" s="42">
        <v>4</v>
      </c>
      <c r="Q79" s="42" t="s">
        <v>1728</v>
      </c>
      <c r="R79" s="42" t="s">
        <v>1725</v>
      </c>
      <c r="S79" t="str">
        <f>IFERROR(HYPERLINK("#'Main'!B"&amp;MATCH(TRIM(A79),Main!B:B,0),"Open"),HYPERLINK("#'Main'!B1","Open"))</f>
        <v>Open</v>
      </c>
      <c r="T79" t="str">
        <f>IFERROR(HYPERLINK("#'Technical Diagnostics'!A"&amp;MATCH(A79,'Technical Diagnostics'!A:A,0),"Open"),HYPERLINK("#'Technical Diagnostics'!A1","Open"))</f>
        <v>Open</v>
      </c>
    </row>
    <row r="80" spans="1:21" ht="30" customHeight="1" x14ac:dyDescent="0.25">
      <c r="A80" s="50" t="s">
        <v>155</v>
      </c>
      <c r="B80" s="33">
        <v>5619</v>
      </c>
      <c r="C80" s="65" t="s">
        <v>1620</v>
      </c>
      <c r="D80" s="33" t="s">
        <v>1597</v>
      </c>
      <c r="E80" s="53" t="s">
        <v>161</v>
      </c>
      <c r="F80" s="33" t="s">
        <v>1722</v>
      </c>
      <c r="G80" s="36">
        <v>37</v>
      </c>
      <c r="H80" s="33">
        <v>335</v>
      </c>
      <c r="I80" s="33" t="s">
        <v>1600</v>
      </c>
      <c r="J80" s="33" t="s">
        <v>1723</v>
      </c>
      <c r="K80" s="38" t="s">
        <v>1602</v>
      </c>
      <c r="L80" s="33" t="s">
        <v>1514</v>
      </c>
      <c r="M80" s="33" t="s">
        <v>165</v>
      </c>
      <c r="N80" s="33" t="s">
        <v>111</v>
      </c>
      <c r="O80" s="34" t="s">
        <v>2</v>
      </c>
      <c r="P80" s="33">
        <v>4</v>
      </c>
      <c r="Q80" s="33" t="s">
        <v>1729</v>
      </c>
      <c r="R80" s="33" t="s">
        <v>1725</v>
      </c>
      <c r="S80" s="41" t="str">
        <f>IFERROR(HYPERLINK("#'Main'!B"&amp;MATCH(TRIM(A80),Main!B:B,0),"Open"),HYPERLINK("#'Main'!B1","Open"))</f>
        <v>Open</v>
      </c>
      <c r="T80" s="41" t="str">
        <f>IFERROR(HYPERLINK("#'Technical Diagnostics'!A"&amp;MATCH(A80,'Technical Diagnostics'!A:A,0),"Open"),HYPERLINK("#'Technical Diagnostics'!A1","Open"))</f>
        <v>Open</v>
      </c>
      <c r="U80" s="41"/>
    </row>
    <row r="81" spans="1:21" ht="30" customHeight="1" x14ac:dyDescent="0.25">
      <c r="A81" s="51" t="s">
        <v>206</v>
      </c>
      <c r="B81" s="42">
        <v>4941</v>
      </c>
      <c r="C81" s="66" t="s">
        <v>1622</v>
      </c>
      <c r="D81" s="42" t="s">
        <v>1597</v>
      </c>
      <c r="E81" s="53" t="s">
        <v>161</v>
      </c>
      <c r="F81" s="42" t="s">
        <v>1722</v>
      </c>
      <c r="G81" s="43">
        <v>37</v>
      </c>
      <c r="H81" s="42">
        <v>337</v>
      </c>
      <c r="I81" s="42" t="s">
        <v>1600</v>
      </c>
      <c r="J81" s="42" t="s">
        <v>1723</v>
      </c>
      <c r="K81" s="45" t="s">
        <v>1602</v>
      </c>
      <c r="L81" s="42" t="s">
        <v>1514</v>
      </c>
      <c r="M81" s="42" t="s">
        <v>165</v>
      </c>
      <c r="N81" s="42" t="s">
        <v>111</v>
      </c>
      <c r="O81" s="34" t="s">
        <v>2</v>
      </c>
      <c r="P81" s="42">
        <v>4</v>
      </c>
      <c r="Q81" s="42" t="s">
        <v>1730</v>
      </c>
      <c r="R81" s="42" t="s">
        <v>1725</v>
      </c>
      <c r="S81" t="str">
        <f>IFERROR(HYPERLINK("#'Main'!B"&amp;MATCH(TRIM(A81),Main!B:B,0),"Open"),HYPERLINK("#'Main'!B1","Open"))</f>
        <v>Open</v>
      </c>
      <c r="T81" t="str">
        <f>IFERROR(HYPERLINK("#'Technical Diagnostics'!A"&amp;MATCH(A81,'Technical Diagnostics'!A:A,0),"Open"),HYPERLINK("#'Technical Diagnostics'!A1","Open"))</f>
        <v>Open</v>
      </c>
    </row>
    <row r="82" spans="1:21" ht="30" customHeight="1" x14ac:dyDescent="0.25">
      <c r="A82" s="50" t="s">
        <v>209</v>
      </c>
      <c r="B82" s="33">
        <v>12371</v>
      </c>
      <c r="C82" s="65" t="s">
        <v>1624</v>
      </c>
      <c r="D82" s="33" t="s">
        <v>1597</v>
      </c>
      <c r="E82" s="53" t="s">
        <v>161</v>
      </c>
      <c r="F82" s="33" t="s">
        <v>1722</v>
      </c>
      <c r="G82" s="36">
        <v>37</v>
      </c>
      <c r="H82" s="33">
        <v>398</v>
      </c>
      <c r="I82" s="33" t="s">
        <v>1600</v>
      </c>
      <c r="J82" s="33" t="s">
        <v>1723</v>
      </c>
      <c r="K82" s="38" t="s">
        <v>1602</v>
      </c>
      <c r="L82" s="33" t="s">
        <v>1514</v>
      </c>
      <c r="M82" s="33" t="s">
        <v>165</v>
      </c>
      <c r="N82" s="33" t="s">
        <v>111</v>
      </c>
      <c r="O82" s="34" t="s">
        <v>2</v>
      </c>
      <c r="P82" s="33">
        <v>4</v>
      </c>
      <c r="Q82" s="33" t="s">
        <v>1731</v>
      </c>
      <c r="R82" s="33" t="s">
        <v>1725</v>
      </c>
      <c r="S82" s="41" t="str">
        <f>IFERROR(HYPERLINK("#'Main'!B"&amp;MATCH(TRIM(A82),Main!B:B,0),"Open"),HYPERLINK("#'Main'!B1","Open"))</f>
        <v>Open</v>
      </c>
      <c r="T82" s="41" t="str">
        <f>IFERROR(HYPERLINK("#'Technical Diagnostics'!A"&amp;MATCH(A82,'Technical Diagnostics'!A:A,0),"Open"),HYPERLINK("#'Technical Diagnostics'!A1","Open"))</f>
        <v>Open</v>
      </c>
      <c r="U82" s="41"/>
    </row>
    <row r="83" spans="1:21" ht="30" customHeight="1" x14ac:dyDescent="0.25">
      <c r="A83" s="51" t="s">
        <v>210</v>
      </c>
      <c r="B83" s="42">
        <v>12954</v>
      </c>
      <c r="C83" s="66" t="s">
        <v>1626</v>
      </c>
      <c r="D83" s="42" t="s">
        <v>1597</v>
      </c>
      <c r="E83" s="53" t="s">
        <v>161</v>
      </c>
      <c r="F83" s="42" t="s">
        <v>1722</v>
      </c>
      <c r="G83" s="43">
        <v>37</v>
      </c>
      <c r="H83" s="42">
        <v>432</v>
      </c>
      <c r="I83" s="42" t="s">
        <v>1600</v>
      </c>
      <c r="J83" s="42" t="s">
        <v>1723</v>
      </c>
      <c r="K83" s="45" t="s">
        <v>1602</v>
      </c>
      <c r="L83" s="42" t="s">
        <v>1514</v>
      </c>
      <c r="M83" s="42" t="s">
        <v>165</v>
      </c>
      <c r="N83" s="42" t="s">
        <v>111</v>
      </c>
      <c r="O83" s="34" t="s">
        <v>2</v>
      </c>
      <c r="P83" s="42">
        <v>4</v>
      </c>
      <c r="Q83" s="42" t="s">
        <v>1732</v>
      </c>
      <c r="R83" s="42" t="s">
        <v>1725</v>
      </c>
      <c r="S83" t="str">
        <f>IFERROR(HYPERLINK("#'Main'!B"&amp;MATCH(TRIM(A83),Main!B:B,0),"Open"),HYPERLINK("#'Main'!B1","Open"))</f>
        <v>Open</v>
      </c>
      <c r="T83" t="str">
        <f>IFERROR(HYPERLINK("#'Technical Diagnostics'!A"&amp;MATCH(A83,'Technical Diagnostics'!A:A,0),"Open"),HYPERLINK("#'Technical Diagnostics'!A1","Open"))</f>
        <v>Open</v>
      </c>
    </row>
    <row r="84" spans="1:21" ht="30" customHeight="1" x14ac:dyDescent="0.25">
      <c r="A84" s="50" t="s">
        <v>212</v>
      </c>
      <c r="B84" s="33">
        <v>12407</v>
      </c>
      <c r="C84" s="65" t="s">
        <v>1629</v>
      </c>
      <c r="D84" s="33" t="s">
        <v>1597</v>
      </c>
      <c r="E84" s="53" t="s">
        <v>161</v>
      </c>
      <c r="F84" s="33" t="s">
        <v>1722</v>
      </c>
      <c r="G84" s="36">
        <v>37</v>
      </c>
      <c r="H84" s="33">
        <v>316</v>
      </c>
      <c r="I84" s="33" t="s">
        <v>1600</v>
      </c>
      <c r="J84" s="33" t="s">
        <v>1723</v>
      </c>
      <c r="K84" s="38" t="s">
        <v>1602</v>
      </c>
      <c r="L84" s="33" t="s">
        <v>1514</v>
      </c>
      <c r="M84" s="33" t="s">
        <v>165</v>
      </c>
      <c r="N84" s="33" t="s">
        <v>111</v>
      </c>
      <c r="O84" s="34" t="s">
        <v>2</v>
      </c>
      <c r="P84" s="33">
        <v>4</v>
      </c>
      <c r="Q84" s="33" t="s">
        <v>1733</v>
      </c>
      <c r="R84" s="33" t="s">
        <v>1725</v>
      </c>
      <c r="S84" s="41" t="str">
        <f>IFERROR(HYPERLINK("#'Main'!B"&amp;MATCH(TRIM(A84),Main!B:B,0),"Open"),HYPERLINK("#'Main'!B1","Open"))</f>
        <v>Open</v>
      </c>
      <c r="T84" s="41" t="str">
        <f>IFERROR(HYPERLINK("#'Technical Diagnostics'!A"&amp;MATCH(A84,'Technical Diagnostics'!A:A,0),"Open"),HYPERLINK("#'Technical Diagnostics'!A1","Open"))</f>
        <v>Open</v>
      </c>
      <c r="U84" s="41"/>
    </row>
    <row r="85" spans="1:21" ht="30" customHeight="1" x14ac:dyDescent="0.25">
      <c r="A85" s="51" t="s">
        <v>211</v>
      </c>
      <c r="B85" s="42">
        <v>12497</v>
      </c>
      <c r="C85" s="66" t="s">
        <v>1631</v>
      </c>
      <c r="D85" s="42" t="s">
        <v>1597</v>
      </c>
      <c r="E85" s="53" t="s">
        <v>161</v>
      </c>
      <c r="F85" s="42" t="s">
        <v>1722</v>
      </c>
      <c r="G85" s="43">
        <v>37</v>
      </c>
      <c r="H85" s="42">
        <v>379</v>
      </c>
      <c r="I85" s="42" t="s">
        <v>1600</v>
      </c>
      <c r="J85" s="42" t="s">
        <v>1723</v>
      </c>
      <c r="K85" s="45" t="s">
        <v>1602</v>
      </c>
      <c r="L85" s="42" t="s">
        <v>1514</v>
      </c>
      <c r="M85" s="42" t="s">
        <v>165</v>
      </c>
      <c r="N85" s="42" t="s">
        <v>111</v>
      </c>
      <c r="O85" s="34" t="s">
        <v>2</v>
      </c>
      <c r="P85" s="42">
        <v>4</v>
      </c>
      <c r="Q85" s="42" t="s">
        <v>1734</v>
      </c>
      <c r="R85" s="42" t="s">
        <v>1725</v>
      </c>
      <c r="S85" t="str">
        <f>IFERROR(HYPERLINK("#'Main'!B"&amp;MATCH(TRIM(A85),Main!B:B,0),"Open"),HYPERLINK("#'Main'!B1","Open"))</f>
        <v>Open</v>
      </c>
      <c r="T85" t="str">
        <f>IFERROR(HYPERLINK("#'Technical Diagnostics'!A"&amp;MATCH(A85,'Technical Diagnostics'!A:A,0),"Open"),HYPERLINK("#'Technical Diagnostics'!A1","Open"))</f>
        <v>Open</v>
      </c>
    </row>
    <row r="86" spans="1:21" ht="30" customHeight="1" x14ac:dyDescent="0.25">
      <c r="A86" s="50" t="s">
        <v>213</v>
      </c>
      <c r="B86" s="33">
        <v>13098</v>
      </c>
      <c r="C86" s="65" t="s">
        <v>1633</v>
      </c>
      <c r="D86" s="33" t="s">
        <v>1597</v>
      </c>
      <c r="E86" s="53" t="s">
        <v>161</v>
      </c>
      <c r="F86" s="33" t="s">
        <v>1722</v>
      </c>
      <c r="G86" s="36">
        <v>37</v>
      </c>
      <c r="H86" s="33">
        <v>340</v>
      </c>
      <c r="I86" s="33" t="s">
        <v>1600</v>
      </c>
      <c r="J86" s="33" t="s">
        <v>1723</v>
      </c>
      <c r="K86" s="38" t="s">
        <v>1602</v>
      </c>
      <c r="L86" s="33" t="s">
        <v>1514</v>
      </c>
      <c r="M86" s="33" t="s">
        <v>165</v>
      </c>
      <c r="N86" s="33" t="s">
        <v>111</v>
      </c>
      <c r="O86" s="34" t="s">
        <v>2</v>
      </c>
      <c r="P86" s="33">
        <v>4</v>
      </c>
      <c r="Q86" s="33" t="s">
        <v>1735</v>
      </c>
      <c r="R86" s="33" t="s">
        <v>1725</v>
      </c>
      <c r="S86" s="41" t="str">
        <f>IFERROR(HYPERLINK("#'Main'!B"&amp;MATCH(TRIM(A86),Main!B:B,0),"Open"),HYPERLINK("#'Main'!B1","Open"))</f>
        <v>Open</v>
      </c>
      <c r="T86" s="41" t="str">
        <f>IFERROR(HYPERLINK("#'Technical Diagnostics'!A"&amp;MATCH(A86,'Technical Diagnostics'!A:A,0),"Open"),HYPERLINK("#'Technical Diagnostics'!A1","Open"))</f>
        <v>Open</v>
      </c>
      <c r="U86" s="41"/>
    </row>
    <row r="87" spans="1:21" ht="30" customHeight="1" x14ac:dyDescent="0.25">
      <c r="A87" s="51" t="s">
        <v>214</v>
      </c>
      <c r="B87" s="42">
        <v>13549</v>
      </c>
      <c r="C87" s="66" t="s">
        <v>1635</v>
      </c>
      <c r="D87" s="42" t="s">
        <v>1597</v>
      </c>
      <c r="E87" s="53" t="s">
        <v>161</v>
      </c>
      <c r="F87" s="42" t="s">
        <v>1736</v>
      </c>
      <c r="G87" s="43">
        <v>37</v>
      </c>
      <c r="H87" s="42">
        <v>88</v>
      </c>
      <c r="I87" s="42" t="s">
        <v>1600</v>
      </c>
      <c r="J87" s="42" t="s">
        <v>1737</v>
      </c>
      <c r="K87" s="45" t="s">
        <v>1602</v>
      </c>
      <c r="L87" s="42" t="s">
        <v>1514</v>
      </c>
      <c r="M87" s="42" t="s">
        <v>165</v>
      </c>
      <c r="N87" s="42" t="s">
        <v>111</v>
      </c>
      <c r="O87" s="34" t="s">
        <v>2</v>
      </c>
      <c r="P87" s="42">
        <v>4</v>
      </c>
      <c r="Q87" s="42" t="s">
        <v>1738</v>
      </c>
      <c r="R87" s="42" t="s">
        <v>1739</v>
      </c>
      <c r="S87" t="str">
        <f>IFERROR(HYPERLINK("#'Main'!B"&amp;MATCH(TRIM(A87),Main!B:B,0),"Open"),HYPERLINK("#'Main'!B1","Open"))</f>
        <v>Open</v>
      </c>
      <c r="T87" t="str">
        <f>IFERROR(HYPERLINK("#'Technical Diagnostics'!A"&amp;MATCH(A87,'Technical Diagnostics'!A:A,0),"Open"),HYPERLINK("#'Technical Diagnostics'!A1","Open"))</f>
        <v>Open</v>
      </c>
    </row>
    <row r="88" spans="1:21" ht="30" customHeight="1" x14ac:dyDescent="0.25">
      <c r="A88" s="50" t="s">
        <v>215</v>
      </c>
      <c r="B88" s="33">
        <v>13282</v>
      </c>
      <c r="C88" s="65" t="s">
        <v>1637</v>
      </c>
      <c r="D88" s="33" t="s">
        <v>1597</v>
      </c>
      <c r="E88" s="53" t="s">
        <v>161</v>
      </c>
      <c r="F88" s="33" t="s">
        <v>1736</v>
      </c>
      <c r="G88" s="36">
        <v>37</v>
      </c>
      <c r="H88" s="33">
        <v>37</v>
      </c>
      <c r="I88" s="33" t="s">
        <v>1600</v>
      </c>
      <c r="J88" s="33" t="s">
        <v>1737</v>
      </c>
      <c r="K88" s="38" t="s">
        <v>1602</v>
      </c>
      <c r="L88" s="33" t="s">
        <v>1514</v>
      </c>
      <c r="M88" s="33" t="s">
        <v>165</v>
      </c>
      <c r="N88" s="33" t="s">
        <v>111</v>
      </c>
      <c r="O88" s="34" t="s">
        <v>2</v>
      </c>
      <c r="P88" s="33">
        <v>4</v>
      </c>
      <c r="Q88" s="33" t="s">
        <v>1740</v>
      </c>
      <c r="R88" s="33" t="s">
        <v>1739</v>
      </c>
      <c r="S88" s="41" t="str">
        <f>IFERROR(HYPERLINK("#'Main'!B"&amp;MATCH(TRIM(A88),Main!B:B,0),"Open"),HYPERLINK("#'Main'!B1","Open"))</f>
        <v>Open</v>
      </c>
      <c r="T88" s="41" t="str">
        <f>IFERROR(HYPERLINK("#'Technical Diagnostics'!A"&amp;MATCH(A88,'Technical Diagnostics'!A:A,0),"Open"),HYPERLINK("#'Technical Diagnostics'!A1","Open"))</f>
        <v>Open</v>
      </c>
      <c r="U88" s="41"/>
    </row>
    <row r="89" spans="1:21" ht="30" customHeight="1" x14ac:dyDescent="0.25">
      <c r="A89" s="51" t="s">
        <v>217</v>
      </c>
      <c r="B89" s="42">
        <v>12945</v>
      </c>
      <c r="C89" s="66" t="s">
        <v>1639</v>
      </c>
      <c r="D89" s="42" t="s">
        <v>1597</v>
      </c>
      <c r="E89" s="53" t="s">
        <v>161</v>
      </c>
      <c r="F89" s="42" t="s">
        <v>1722</v>
      </c>
      <c r="G89" s="43">
        <v>37</v>
      </c>
      <c r="H89" s="42">
        <v>362</v>
      </c>
      <c r="I89" s="42" t="s">
        <v>1600</v>
      </c>
      <c r="J89" s="42" t="s">
        <v>1723</v>
      </c>
      <c r="K89" s="45" t="s">
        <v>1602</v>
      </c>
      <c r="L89" s="42" t="s">
        <v>1514</v>
      </c>
      <c r="M89" s="42" t="s">
        <v>165</v>
      </c>
      <c r="N89" s="42" t="s">
        <v>111</v>
      </c>
      <c r="O89" s="34" t="s">
        <v>2</v>
      </c>
      <c r="P89" s="42">
        <v>4</v>
      </c>
      <c r="Q89" s="42" t="s">
        <v>1741</v>
      </c>
      <c r="R89" s="42" t="s">
        <v>1725</v>
      </c>
      <c r="S89" t="str">
        <f>IFERROR(HYPERLINK("#'Main'!B"&amp;MATCH(TRIM(A89),Main!B:B,0),"Open"),HYPERLINK("#'Main'!B1","Open"))</f>
        <v>Open</v>
      </c>
      <c r="T89" t="str">
        <f>IFERROR(HYPERLINK("#'Technical Diagnostics'!A"&amp;MATCH(A89,'Technical Diagnostics'!A:A,0),"Open"),HYPERLINK("#'Technical Diagnostics'!A1","Open"))</f>
        <v>Open</v>
      </c>
    </row>
    <row r="90" spans="1:21" ht="30" customHeight="1" x14ac:dyDescent="0.25">
      <c r="A90" s="50" t="s">
        <v>219</v>
      </c>
      <c r="B90" s="33">
        <v>13179</v>
      </c>
      <c r="C90" s="65" t="s">
        <v>1641</v>
      </c>
      <c r="D90" s="33" t="s">
        <v>1597</v>
      </c>
      <c r="E90" s="53" t="s">
        <v>161</v>
      </c>
      <c r="F90" s="33" t="s">
        <v>1722</v>
      </c>
      <c r="G90" s="36">
        <v>37</v>
      </c>
      <c r="H90" s="33">
        <v>354</v>
      </c>
      <c r="I90" s="33" t="s">
        <v>1600</v>
      </c>
      <c r="J90" s="33" t="s">
        <v>1723</v>
      </c>
      <c r="K90" s="38" t="s">
        <v>1602</v>
      </c>
      <c r="L90" s="33" t="s">
        <v>1514</v>
      </c>
      <c r="M90" s="33" t="s">
        <v>165</v>
      </c>
      <c r="N90" s="33" t="s">
        <v>111</v>
      </c>
      <c r="O90" s="34" t="s">
        <v>2</v>
      </c>
      <c r="P90" s="33">
        <v>4</v>
      </c>
      <c r="Q90" s="33" t="s">
        <v>1742</v>
      </c>
      <c r="R90" s="33" t="s">
        <v>1725</v>
      </c>
      <c r="S90" s="41" t="str">
        <f>IFERROR(HYPERLINK("#'Main'!B"&amp;MATCH(TRIM(A90),Main!B:B,0),"Open"),HYPERLINK("#'Main'!B1","Open"))</f>
        <v>Open</v>
      </c>
      <c r="T90" s="41" t="str">
        <f>IFERROR(HYPERLINK("#'Technical Diagnostics'!A"&amp;MATCH(A90,'Technical Diagnostics'!A:A,0),"Open"),HYPERLINK("#'Technical Diagnostics'!A1","Open"))</f>
        <v>Open</v>
      </c>
      <c r="U90" s="41"/>
    </row>
    <row r="91" spans="1:21" ht="30" customHeight="1" x14ac:dyDescent="0.25">
      <c r="A91" s="51" t="s">
        <v>216</v>
      </c>
      <c r="B91" s="42">
        <v>22401</v>
      </c>
      <c r="C91" s="66" t="s">
        <v>1643</v>
      </c>
      <c r="D91" s="42" t="s">
        <v>1597</v>
      </c>
      <c r="E91" s="53" t="s">
        <v>161</v>
      </c>
      <c r="F91" s="42" t="s">
        <v>1722</v>
      </c>
      <c r="G91" s="43">
        <v>37</v>
      </c>
      <c r="H91" s="42">
        <v>377</v>
      </c>
      <c r="I91" s="42" t="s">
        <v>1600</v>
      </c>
      <c r="J91" s="42" t="s">
        <v>1723</v>
      </c>
      <c r="K91" s="45" t="s">
        <v>1602</v>
      </c>
      <c r="L91" s="42" t="s">
        <v>1514</v>
      </c>
      <c r="M91" s="42" t="s">
        <v>165</v>
      </c>
      <c r="N91" s="42" t="s">
        <v>111</v>
      </c>
      <c r="O91" s="34" t="s">
        <v>2</v>
      </c>
      <c r="P91" s="42">
        <v>4</v>
      </c>
      <c r="Q91" s="42" t="s">
        <v>1743</v>
      </c>
      <c r="R91" s="42" t="s">
        <v>1725</v>
      </c>
      <c r="S91" t="str">
        <f>IFERROR(HYPERLINK("#'Main'!B"&amp;MATCH(TRIM(A91),Main!B:B,0),"Open"),HYPERLINK("#'Main'!B1","Open"))</f>
        <v>Open</v>
      </c>
      <c r="T91" t="str">
        <f>IFERROR(HYPERLINK("#'Technical Diagnostics'!A"&amp;MATCH(A91,'Technical Diagnostics'!A:A,0),"Open"),HYPERLINK("#'Technical Diagnostics'!A1","Open"))</f>
        <v>Open</v>
      </c>
    </row>
    <row r="92" spans="1:21" ht="30" customHeight="1" x14ac:dyDescent="0.25">
      <c r="A92" s="50" t="s">
        <v>218</v>
      </c>
      <c r="B92" s="33">
        <v>18318</v>
      </c>
      <c r="C92" s="65" t="s">
        <v>1645</v>
      </c>
      <c r="D92" s="33" t="s">
        <v>1597</v>
      </c>
      <c r="E92" s="53" t="s">
        <v>161</v>
      </c>
      <c r="F92" s="33" t="s">
        <v>1722</v>
      </c>
      <c r="G92" s="36">
        <v>37</v>
      </c>
      <c r="H92" s="33">
        <v>339</v>
      </c>
      <c r="I92" s="33" t="s">
        <v>1600</v>
      </c>
      <c r="J92" s="33" t="s">
        <v>1723</v>
      </c>
      <c r="K92" s="38" t="s">
        <v>1602</v>
      </c>
      <c r="L92" s="33" t="s">
        <v>1514</v>
      </c>
      <c r="M92" s="33" t="s">
        <v>165</v>
      </c>
      <c r="N92" s="33" t="s">
        <v>111</v>
      </c>
      <c r="O92" s="34" t="s">
        <v>2</v>
      </c>
      <c r="P92" s="33">
        <v>4</v>
      </c>
      <c r="Q92" s="33" t="s">
        <v>1744</v>
      </c>
      <c r="R92" s="33" t="s">
        <v>1725</v>
      </c>
      <c r="S92" s="41" t="str">
        <f>IFERROR(HYPERLINK("#'Main'!B"&amp;MATCH(TRIM(A92),Main!B:B,0),"Open"),HYPERLINK("#'Main'!B1","Open"))</f>
        <v>Open</v>
      </c>
      <c r="T92" s="41" t="str">
        <f>IFERROR(HYPERLINK("#'Technical Diagnostics'!A"&amp;MATCH(A92,'Technical Diagnostics'!A:A,0),"Open"),HYPERLINK("#'Technical Diagnostics'!A1","Open"))</f>
        <v>Open</v>
      </c>
      <c r="U92" s="41"/>
    </row>
    <row r="93" spans="1:21" ht="30" customHeight="1" x14ac:dyDescent="0.25">
      <c r="A93" s="51" t="s">
        <v>189</v>
      </c>
      <c r="B93" s="42">
        <v>30257</v>
      </c>
      <c r="C93" s="66" t="s">
        <v>1647</v>
      </c>
      <c r="D93" s="42" t="s">
        <v>1597</v>
      </c>
      <c r="E93" s="53" t="s">
        <v>161</v>
      </c>
      <c r="F93" s="42" t="s">
        <v>1722</v>
      </c>
      <c r="G93" s="43">
        <v>37</v>
      </c>
      <c r="H93" s="42">
        <v>437</v>
      </c>
      <c r="I93" s="42" t="s">
        <v>1600</v>
      </c>
      <c r="J93" s="42" t="s">
        <v>1723</v>
      </c>
      <c r="K93" s="45" t="s">
        <v>1602</v>
      </c>
      <c r="L93" s="42" t="s">
        <v>1514</v>
      </c>
      <c r="M93" s="42" t="s">
        <v>165</v>
      </c>
      <c r="N93" s="42" t="s">
        <v>111</v>
      </c>
      <c r="O93" s="34" t="s">
        <v>2</v>
      </c>
      <c r="P93" s="42">
        <v>4</v>
      </c>
      <c r="Q93" s="42" t="s">
        <v>1745</v>
      </c>
      <c r="R93" s="42" t="s">
        <v>1725</v>
      </c>
      <c r="S93" t="str">
        <f>IFERROR(HYPERLINK("#'Main'!B"&amp;MATCH(TRIM(A93),Main!B:B,0),"Open"),HYPERLINK("#'Main'!B1","Open"))</f>
        <v>Open</v>
      </c>
      <c r="T93" t="str">
        <f>IFERROR(HYPERLINK("#'Technical Diagnostics'!A"&amp;MATCH(A93,'Technical Diagnostics'!A:A,0),"Open"),HYPERLINK("#'Technical Diagnostics'!A1","Open"))</f>
        <v>Open</v>
      </c>
    </row>
    <row r="94" spans="1:21" ht="30" customHeight="1" x14ac:dyDescent="0.25">
      <c r="A94" s="50" t="s">
        <v>176</v>
      </c>
      <c r="B94" s="33">
        <v>8</v>
      </c>
      <c r="C94" s="65" t="s">
        <v>1605</v>
      </c>
      <c r="D94" s="33" t="s">
        <v>1606</v>
      </c>
      <c r="E94" s="53" t="s">
        <v>161</v>
      </c>
      <c r="F94" s="33" t="s">
        <v>1746</v>
      </c>
      <c r="G94" s="36">
        <v>37</v>
      </c>
      <c r="H94" s="33">
        <v>0</v>
      </c>
      <c r="I94" s="33" t="s">
        <v>1747</v>
      </c>
      <c r="J94" s="33" t="s">
        <v>1748</v>
      </c>
      <c r="K94" s="33" t="s">
        <v>137</v>
      </c>
      <c r="L94" s="33" t="s">
        <v>1749</v>
      </c>
      <c r="M94" s="33" t="s">
        <v>165</v>
      </c>
      <c r="N94" s="33" t="s">
        <v>111</v>
      </c>
      <c r="O94" s="34" t="s">
        <v>2</v>
      </c>
      <c r="P94" s="33">
        <v>4</v>
      </c>
      <c r="Q94" s="33" t="s">
        <v>1750</v>
      </c>
      <c r="R94" s="33" t="s">
        <v>1751</v>
      </c>
      <c r="S94" s="41" t="str">
        <f>IFERROR(HYPERLINK("#'Main'!B"&amp;MATCH(TRIM(A94),Main!B:B,0),"Open"),HYPERLINK("#'Main'!B1","Open"))</f>
        <v>Open</v>
      </c>
      <c r="T94" s="41" t="str">
        <f>IFERROR(HYPERLINK("#'Technical Diagnostics'!A"&amp;MATCH(A94,'Technical Diagnostics'!A:A,0),"Open"),HYPERLINK("#'Technical Diagnostics'!A1","Open"))</f>
        <v>Open</v>
      </c>
      <c r="U94" s="41"/>
    </row>
    <row r="95" spans="1:21" ht="30" customHeight="1" x14ac:dyDescent="0.25">
      <c r="A95" s="51" t="s">
        <v>178</v>
      </c>
      <c r="B95" s="42">
        <v>84</v>
      </c>
      <c r="C95" s="66" t="s">
        <v>1612</v>
      </c>
      <c r="D95" s="42" t="s">
        <v>1606</v>
      </c>
      <c r="E95" s="53" t="s">
        <v>161</v>
      </c>
      <c r="F95" s="42" t="s">
        <v>1746</v>
      </c>
      <c r="G95" s="43">
        <v>37</v>
      </c>
      <c r="H95" s="42">
        <v>0</v>
      </c>
      <c r="I95" s="42" t="s">
        <v>1747</v>
      </c>
      <c r="J95" s="42" t="s">
        <v>1748</v>
      </c>
      <c r="K95" s="42" t="s">
        <v>137</v>
      </c>
      <c r="L95" s="42" t="s">
        <v>1749</v>
      </c>
      <c r="M95" s="42" t="s">
        <v>165</v>
      </c>
      <c r="N95" s="42" t="s">
        <v>111</v>
      </c>
      <c r="O95" s="34" t="s">
        <v>2</v>
      </c>
      <c r="P95" s="42">
        <v>4</v>
      </c>
      <c r="Q95" s="42" t="s">
        <v>1752</v>
      </c>
      <c r="R95" s="42" t="s">
        <v>1751</v>
      </c>
      <c r="S95" t="str">
        <f>IFERROR(HYPERLINK("#'Main'!B"&amp;MATCH(TRIM(A95),Main!B:B,0),"Open"),HYPERLINK("#'Main'!B1","Open"))</f>
        <v>Open</v>
      </c>
      <c r="T95" t="str">
        <f>IFERROR(HYPERLINK("#'Technical Diagnostics'!A"&amp;MATCH(A95,'Technical Diagnostics'!A:A,0),"Open"),HYPERLINK("#'Technical Diagnostics'!A1","Open"))</f>
        <v>Open</v>
      </c>
    </row>
    <row r="96" spans="1:21" ht="30" customHeight="1" x14ac:dyDescent="0.25">
      <c r="A96" s="50" t="s">
        <v>208</v>
      </c>
      <c r="B96" s="33">
        <v>28165</v>
      </c>
      <c r="C96" s="65" t="s">
        <v>1614</v>
      </c>
      <c r="D96" s="33" t="s">
        <v>1606</v>
      </c>
      <c r="E96" s="53" t="s">
        <v>161</v>
      </c>
      <c r="F96" s="33" t="s">
        <v>1746</v>
      </c>
      <c r="G96" s="36">
        <v>37</v>
      </c>
      <c r="H96" s="33">
        <v>0</v>
      </c>
      <c r="I96" s="33" t="s">
        <v>1747</v>
      </c>
      <c r="J96" s="33" t="s">
        <v>1748</v>
      </c>
      <c r="K96" s="33" t="s">
        <v>137</v>
      </c>
      <c r="L96" s="33" t="s">
        <v>1749</v>
      </c>
      <c r="M96" s="33" t="s">
        <v>165</v>
      </c>
      <c r="N96" s="33" t="s">
        <v>111</v>
      </c>
      <c r="O96" s="34" t="s">
        <v>2</v>
      </c>
      <c r="P96" s="33">
        <v>4</v>
      </c>
      <c r="Q96" s="33" t="s">
        <v>1753</v>
      </c>
      <c r="R96" s="33" t="s">
        <v>1751</v>
      </c>
      <c r="S96" s="41" t="str">
        <f>IFERROR(HYPERLINK("#'Main'!B"&amp;MATCH(TRIM(A96),Main!B:B,0),"Open"),HYPERLINK("#'Main'!B1","Open"))</f>
        <v>Open</v>
      </c>
      <c r="T96" s="41" t="str">
        <f>IFERROR(HYPERLINK("#'Technical Diagnostics'!A"&amp;MATCH(A96,'Technical Diagnostics'!A:A,0),"Open"),HYPERLINK("#'Technical Diagnostics'!A1","Open"))</f>
        <v>Open</v>
      </c>
      <c r="U96" s="41"/>
    </row>
    <row r="97" spans="1:21" ht="30" customHeight="1" x14ac:dyDescent="0.25">
      <c r="A97" s="51" t="s">
        <v>146</v>
      </c>
      <c r="B97" s="42">
        <v>16125</v>
      </c>
      <c r="C97" s="66" t="s">
        <v>1616</v>
      </c>
      <c r="D97" s="42" t="s">
        <v>1606</v>
      </c>
      <c r="E97" s="53" t="s">
        <v>161</v>
      </c>
      <c r="F97" s="42" t="s">
        <v>1746</v>
      </c>
      <c r="G97" s="43">
        <v>37</v>
      </c>
      <c r="H97" s="42">
        <v>0</v>
      </c>
      <c r="I97" s="42" t="s">
        <v>1747</v>
      </c>
      <c r="J97" s="42" t="s">
        <v>1748</v>
      </c>
      <c r="K97" s="42" t="s">
        <v>137</v>
      </c>
      <c r="L97" s="42" t="s">
        <v>1749</v>
      </c>
      <c r="M97" s="42" t="s">
        <v>165</v>
      </c>
      <c r="N97" s="42" t="s">
        <v>111</v>
      </c>
      <c r="O97" s="34" t="s">
        <v>2</v>
      </c>
      <c r="P97" s="42">
        <v>4</v>
      </c>
      <c r="Q97" s="42" t="s">
        <v>1754</v>
      </c>
      <c r="R97" s="42" t="s">
        <v>1751</v>
      </c>
      <c r="S97" t="str">
        <f>IFERROR(HYPERLINK("#'Main'!B"&amp;MATCH(TRIM(A97),Main!B:B,0),"Open"),HYPERLINK("#'Main'!B1","Open"))</f>
        <v>Open</v>
      </c>
      <c r="T97" t="str">
        <f>IFERROR(HYPERLINK("#'Technical Diagnostics'!A"&amp;MATCH(A97,'Technical Diagnostics'!A:A,0),"Open"),HYPERLINK("#'Technical Diagnostics'!A1","Open"))</f>
        <v>Open</v>
      </c>
    </row>
    <row r="98" spans="1:21" ht="30" customHeight="1" x14ac:dyDescent="0.25">
      <c r="A98" s="50" t="s">
        <v>207</v>
      </c>
      <c r="B98" s="33">
        <v>4494</v>
      </c>
      <c r="C98" s="65" t="s">
        <v>1618</v>
      </c>
      <c r="D98" s="33" t="s">
        <v>1606</v>
      </c>
      <c r="E98" s="53" t="s">
        <v>161</v>
      </c>
      <c r="F98" s="33" t="s">
        <v>1746</v>
      </c>
      <c r="G98" s="36">
        <v>37</v>
      </c>
      <c r="H98" s="33">
        <v>0</v>
      </c>
      <c r="I98" s="33" t="s">
        <v>1747</v>
      </c>
      <c r="J98" s="33" t="s">
        <v>1748</v>
      </c>
      <c r="K98" s="33" t="s">
        <v>137</v>
      </c>
      <c r="L98" s="33" t="s">
        <v>1749</v>
      </c>
      <c r="M98" s="33" t="s">
        <v>165</v>
      </c>
      <c r="N98" s="33" t="s">
        <v>111</v>
      </c>
      <c r="O98" s="34" t="s">
        <v>2</v>
      </c>
      <c r="P98" s="33">
        <v>4</v>
      </c>
      <c r="Q98" s="33" t="s">
        <v>1755</v>
      </c>
      <c r="R98" s="33" t="s">
        <v>1751</v>
      </c>
      <c r="S98" s="41" t="str">
        <f>IFERROR(HYPERLINK("#'Main'!B"&amp;MATCH(TRIM(A98),Main!B:B,0),"Open"),HYPERLINK("#'Main'!B1","Open"))</f>
        <v>Open</v>
      </c>
      <c r="T98" s="41" t="str">
        <f>IFERROR(HYPERLINK("#'Technical Diagnostics'!A"&amp;MATCH(A98,'Technical Diagnostics'!A:A,0),"Open"),HYPERLINK("#'Technical Diagnostics'!A1","Open"))</f>
        <v>Open</v>
      </c>
      <c r="U98" s="41"/>
    </row>
    <row r="99" spans="1:21" ht="30" customHeight="1" x14ac:dyDescent="0.25">
      <c r="A99" s="51" t="s">
        <v>155</v>
      </c>
      <c r="B99" s="42">
        <v>5619</v>
      </c>
      <c r="C99" s="66" t="s">
        <v>1620</v>
      </c>
      <c r="D99" s="42" t="s">
        <v>1606</v>
      </c>
      <c r="E99" s="53" t="s">
        <v>161</v>
      </c>
      <c r="F99" s="42" t="s">
        <v>1746</v>
      </c>
      <c r="G99" s="43">
        <v>37</v>
      </c>
      <c r="H99" s="42">
        <v>0</v>
      </c>
      <c r="I99" s="42" t="s">
        <v>1747</v>
      </c>
      <c r="J99" s="42" t="s">
        <v>1748</v>
      </c>
      <c r="K99" s="42" t="s">
        <v>137</v>
      </c>
      <c r="L99" s="42" t="s">
        <v>1749</v>
      </c>
      <c r="M99" s="42" t="s">
        <v>165</v>
      </c>
      <c r="N99" s="42" t="s">
        <v>111</v>
      </c>
      <c r="O99" s="34" t="s">
        <v>2</v>
      </c>
      <c r="P99" s="42">
        <v>4</v>
      </c>
      <c r="Q99" s="42" t="s">
        <v>1756</v>
      </c>
      <c r="R99" s="42" t="s">
        <v>1751</v>
      </c>
      <c r="S99" t="str">
        <f>IFERROR(HYPERLINK("#'Main'!B"&amp;MATCH(TRIM(A99),Main!B:B,0),"Open"),HYPERLINK("#'Main'!B1","Open"))</f>
        <v>Open</v>
      </c>
      <c r="T99" t="str">
        <f>IFERROR(HYPERLINK("#'Technical Diagnostics'!A"&amp;MATCH(A99,'Technical Diagnostics'!A:A,0),"Open"),HYPERLINK("#'Technical Diagnostics'!A1","Open"))</f>
        <v>Open</v>
      </c>
    </row>
    <row r="100" spans="1:21" ht="30" customHeight="1" x14ac:dyDescent="0.25">
      <c r="A100" s="50" t="s">
        <v>206</v>
      </c>
      <c r="B100" s="33">
        <v>4941</v>
      </c>
      <c r="C100" s="65" t="s">
        <v>1622</v>
      </c>
      <c r="D100" s="33" t="s">
        <v>1606</v>
      </c>
      <c r="E100" s="53" t="s">
        <v>161</v>
      </c>
      <c r="F100" s="33" t="s">
        <v>1746</v>
      </c>
      <c r="G100" s="36">
        <v>37</v>
      </c>
      <c r="H100" s="33">
        <v>0</v>
      </c>
      <c r="I100" s="33" t="s">
        <v>1747</v>
      </c>
      <c r="J100" s="33" t="s">
        <v>1748</v>
      </c>
      <c r="K100" s="33" t="s">
        <v>137</v>
      </c>
      <c r="L100" s="33" t="s">
        <v>1749</v>
      </c>
      <c r="M100" s="33" t="s">
        <v>165</v>
      </c>
      <c r="N100" s="33" t="s">
        <v>111</v>
      </c>
      <c r="O100" s="34" t="s">
        <v>2</v>
      </c>
      <c r="P100" s="33">
        <v>4</v>
      </c>
      <c r="Q100" s="33" t="s">
        <v>1757</v>
      </c>
      <c r="R100" s="33" t="s">
        <v>1751</v>
      </c>
      <c r="S100" s="41" t="str">
        <f>IFERROR(HYPERLINK("#'Main'!B"&amp;MATCH(TRIM(A100),Main!B:B,0),"Open"),HYPERLINK("#'Main'!B1","Open"))</f>
        <v>Open</v>
      </c>
      <c r="T100" s="41" t="str">
        <f>IFERROR(HYPERLINK("#'Technical Diagnostics'!A"&amp;MATCH(A100,'Technical Diagnostics'!A:A,0),"Open"),HYPERLINK("#'Technical Diagnostics'!A1","Open"))</f>
        <v>Open</v>
      </c>
      <c r="U100" s="41"/>
    </row>
    <row r="101" spans="1:21" ht="30" customHeight="1" x14ac:dyDescent="0.25">
      <c r="A101" s="51" t="s">
        <v>209</v>
      </c>
      <c r="B101" s="42">
        <v>12371</v>
      </c>
      <c r="C101" s="66" t="s">
        <v>1624</v>
      </c>
      <c r="D101" s="42" t="s">
        <v>1606</v>
      </c>
      <c r="E101" s="53" t="s">
        <v>161</v>
      </c>
      <c r="F101" s="42" t="s">
        <v>1746</v>
      </c>
      <c r="G101" s="43">
        <v>37</v>
      </c>
      <c r="H101" s="42">
        <v>0</v>
      </c>
      <c r="I101" s="42" t="s">
        <v>1747</v>
      </c>
      <c r="J101" s="42" t="s">
        <v>1748</v>
      </c>
      <c r="K101" s="42" t="s">
        <v>137</v>
      </c>
      <c r="L101" s="42" t="s">
        <v>1749</v>
      </c>
      <c r="M101" s="42" t="s">
        <v>165</v>
      </c>
      <c r="N101" s="42" t="s">
        <v>111</v>
      </c>
      <c r="O101" s="34" t="s">
        <v>2</v>
      </c>
      <c r="P101" s="42">
        <v>4</v>
      </c>
      <c r="Q101" s="42" t="s">
        <v>1758</v>
      </c>
      <c r="R101" s="42" t="s">
        <v>1751</v>
      </c>
      <c r="S101" t="str">
        <f>IFERROR(HYPERLINK("#'Main'!B"&amp;MATCH(TRIM(A101),Main!B:B,0),"Open"),HYPERLINK("#'Main'!B1","Open"))</f>
        <v>Open</v>
      </c>
      <c r="T101" t="str">
        <f>IFERROR(HYPERLINK("#'Technical Diagnostics'!A"&amp;MATCH(A101,'Technical Diagnostics'!A:A,0),"Open"),HYPERLINK("#'Technical Diagnostics'!A1","Open"))</f>
        <v>Open</v>
      </c>
    </row>
    <row r="102" spans="1:21" ht="30" customHeight="1" x14ac:dyDescent="0.25">
      <c r="A102" s="50" t="s">
        <v>210</v>
      </c>
      <c r="B102" s="33">
        <v>12954</v>
      </c>
      <c r="C102" s="65" t="s">
        <v>1626</v>
      </c>
      <c r="D102" s="33" t="s">
        <v>1606</v>
      </c>
      <c r="E102" s="53" t="s">
        <v>161</v>
      </c>
      <c r="F102" s="33" t="s">
        <v>1746</v>
      </c>
      <c r="G102" s="36">
        <v>37</v>
      </c>
      <c r="H102" s="33">
        <v>0</v>
      </c>
      <c r="I102" s="33" t="s">
        <v>1747</v>
      </c>
      <c r="J102" s="33" t="s">
        <v>1748</v>
      </c>
      <c r="K102" s="33" t="s">
        <v>137</v>
      </c>
      <c r="L102" s="33" t="s">
        <v>1749</v>
      </c>
      <c r="M102" s="33" t="s">
        <v>165</v>
      </c>
      <c r="N102" s="33" t="s">
        <v>111</v>
      </c>
      <c r="O102" s="34" t="s">
        <v>2</v>
      </c>
      <c r="P102" s="33">
        <v>4</v>
      </c>
      <c r="Q102" s="33" t="s">
        <v>1759</v>
      </c>
      <c r="R102" s="33" t="s">
        <v>1751</v>
      </c>
      <c r="S102" s="41" t="str">
        <f>IFERROR(HYPERLINK("#'Main'!B"&amp;MATCH(TRIM(A102),Main!B:B,0),"Open"),HYPERLINK("#'Main'!B1","Open"))</f>
        <v>Open</v>
      </c>
      <c r="T102" s="41" t="str">
        <f>IFERROR(HYPERLINK("#'Technical Diagnostics'!A"&amp;MATCH(A102,'Technical Diagnostics'!A:A,0),"Open"),HYPERLINK("#'Technical Diagnostics'!A1","Open"))</f>
        <v>Open</v>
      </c>
      <c r="U102" s="41"/>
    </row>
    <row r="103" spans="1:21" ht="30" customHeight="1" x14ac:dyDescent="0.25">
      <c r="A103" s="51" t="s">
        <v>157</v>
      </c>
      <c r="B103" s="42">
        <v>13164</v>
      </c>
      <c r="C103" s="66" t="s">
        <v>1596</v>
      </c>
      <c r="D103" s="42" t="s">
        <v>1606</v>
      </c>
      <c r="E103" s="53" t="s">
        <v>161</v>
      </c>
      <c r="F103" s="42" t="s">
        <v>1746</v>
      </c>
      <c r="G103" s="43">
        <v>37</v>
      </c>
      <c r="H103" s="42">
        <v>0</v>
      </c>
      <c r="I103" s="42" t="s">
        <v>1747</v>
      </c>
      <c r="J103" s="42" t="s">
        <v>1748</v>
      </c>
      <c r="K103" s="42" t="s">
        <v>137</v>
      </c>
      <c r="L103" s="42" t="s">
        <v>1749</v>
      </c>
      <c r="M103" s="42" t="s">
        <v>165</v>
      </c>
      <c r="N103" s="42" t="s">
        <v>111</v>
      </c>
      <c r="O103" s="34" t="s">
        <v>2</v>
      </c>
      <c r="P103" s="42">
        <v>4</v>
      </c>
      <c r="Q103" s="42" t="s">
        <v>1760</v>
      </c>
      <c r="R103" s="42" t="s">
        <v>1751</v>
      </c>
      <c r="S103" t="str">
        <f>IFERROR(HYPERLINK("#'Main'!B"&amp;MATCH(TRIM(A103),Main!B:B,0),"Open"),HYPERLINK("#'Main'!B1","Open"))</f>
        <v>Open</v>
      </c>
      <c r="T103" t="str">
        <f>IFERROR(HYPERLINK("#'Technical Diagnostics'!A"&amp;MATCH(A103,'Technical Diagnostics'!A:A,0),"Open"),HYPERLINK("#'Technical Diagnostics'!A1","Open"))</f>
        <v>Open</v>
      </c>
    </row>
    <row r="104" spans="1:21" ht="30" customHeight="1" x14ac:dyDescent="0.25">
      <c r="A104" s="50" t="s">
        <v>212</v>
      </c>
      <c r="B104" s="33">
        <v>12407</v>
      </c>
      <c r="C104" s="65" t="s">
        <v>1629</v>
      </c>
      <c r="D104" s="33" t="s">
        <v>1606</v>
      </c>
      <c r="E104" s="53" t="s">
        <v>161</v>
      </c>
      <c r="F104" s="33" t="s">
        <v>1746</v>
      </c>
      <c r="G104" s="36">
        <v>37</v>
      </c>
      <c r="H104" s="33">
        <v>0</v>
      </c>
      <c r="I104" s="33" t="s">
        <v>1747</v>
      </c>
      <c r="J104" s="33" t="s">
        <v>1748</v>
      </c>
      <c r="K104" s="33" t="s">
        <v>137</v>
      </c>
      <c r="L104" s="33" t="s">
        <v>1749</v>
      </c>
      <c r="M104" s="33" t="s">
        <v>165</v>
      </c>
      <c r="N104" s="33" t="s">
        <v>111</v>
      </c>
      <c r="O104" s="34" t="s">
        <v>2</v>
      </c>
      <c r="P104" s="33">
        <v>4</v>
      </c>
      <c r="Q104" s="33" t="s">
        <v>1761</v>
      </c>
      <c r="R104" s="33" t="s">
        <v>1751</v>
      </c>
      <c r="S104" s="41" t="str">
        <f>IFERROR(HYPERLINK("#'Main'!B"&amp;MATCH(TRIM(A104),Main!B:B,0),"Open"),HYPERLINK("#'Main'!B1","Open"))</f>
        <v>Open</v>
      </c>
      <c r="T104" s="41" t="str">
        <f>IFERROR(HYPERLINK("#'Technical Diagnostics'!A"&amp;MATCH(A104,'Technical Diagnostics'!A:A,0),"Open"),HYPERLINK("#'Technical Diagnostics'!A1","Open"))</f>
        <v>Open</v>
      </c>
      <c r="U104" s="41"/>
    </row>
    <row r="105" spans="1:21" ht="30" customHeight="1" x14ac:dyDescent="0.25">
      <c r="A105" s="51" t="s">
        <v>211</v>
      </c>
      <c r="B105" s="42">
        <v>12497</v>
      </c>
      <c r="C105" s="66" t="s">
        <v>1631</v>
      </c>
      <c r="D105" s="42" t="s">
        <v>1606</v>
      </c>
      <c r="E105" s="53" t="s">
        <v>161</v>
      </c>
      <c r="F105" s="42" t="s">
        <v>1746</v>
      </c>
      <c r="G105" s="43">
        <v>37</v>
      </c>
      <c r="H105" s="42">
        <v>0</v>
      </c>
      <c r="I105" s="42" t="s">
        <v>1747</v>
      </c>
      <c r="J105" s="42" t="s">
        <v>1748</v>
      </c>
      <c r="K105" s="42" t="s">
        <v>137</v>
      </c>
      <c r="L105" s="42" t="s">
        <v>1749</v>
      </c>
      <c r="M105" s="42" t="s">
        <v>165</v>
      </c>
      <c r="N105" s="42" t="s">
        <v>111</v>
      </c>
      <c r="O105" s="34" t="s">
        <v>2</v>
      </c>
      <c r="P105" s="42">
        <v>4</v>
      </c>
      <c r="Q105" s="42" t="s">
        <v>1762</v>
      </c>
      <c r="R105" s="42" t="s">
        <v>1751</v>
      </c>
      <c r="S105" t="str">
        <f>IFERROR(HYPERLINK("#'Main'!B"&amp;MATCH(TRIM(A105),Main!B:B,0),"Open"),HYPERLINK("#'Main'!B1","Open"))</f>
        <v>Open</v>
      </c>
      <c r="T105" t="str">
        <f>IFERROR(HYPERLINK("#'Technical Diagnostics'!A"&amp;MATCH(A105,'Technical Diagnostics'!A:A,0),"Open"),HYPERLINK("#'Technical Diagnostics'!A1","Open"))</f>
        <v>Open</v>
      </c>
    </row>
    <row r="106" spans="1:21" ht="30" customHeight="1" x14ac:dyDescent="0.25">
      <c r="A106" s="50" t="s">
        <v>213</v>
      </c>
      <c r="B106" s="33">
        <v>13098</v>
      </c>
      <c r="C106" s="65" t="s">
        <v>1633</v>
      </c>
      <c r="D106" s="33" t="s">
        <v>1606</v>
      </c>
      <c r="E106" s="53" t="s">
        <v>161</v>
      </c>
      <c r="F106" s="33" t="s">
        <v>1746</v>
      </c>
      <c r="G106" s="36">
        <v>37</v>
      </c>
      <c r="H106" s="33">
        <v>0</v>
      </c>
      <c r="I106" s="33" t="s">
        <v>1747</v>
      </c>
      <c r="J106" s="33" t="s">
        <v>1748</v>
      </c>
      <c r="K106" s="33" t="s">
        <v>137</v>
      </c>
      <c r="L106" s="33" t="s">
        <v>1749</v>
      </c>
      <c r="M106" s="33" t="s">
        <v>165</v>
      </c>
      <c r="N106" s="33" t="s">
        <v>111</v>
      </c>
      <c r="O106" s="34" t="s">
        <v>2</v>
      </c>
      <c r="P106" s="33">
        <v>4</v>
      </c>
      <c r="Q106" s="33" t="s">
        <v>1763</v>
      </c>
      <c r="R106" s="33" t="s">
        <v>1751</v>
      </c>
      <c r="S106" s="41" t="str">
        <f>IFERROR(HYPERLINK("#'Main'!B"&amp;MATCH(TRIM(A106),Main!B:B,0),"Open"),HYPERLINK("#'Main'!B1","Open"))</f>
        <v>Open</v>
      </c>
      <c r="T106" s="41" t="str">
        <f>IFERROR(HYPERLINK("#'Technical Diagnostics'!A"&amp;MATCH(A106,'Technical Diagnostics'!A:A,0),"Open"),HYPERLINK("#'Technical Diagnostics'!A1","Open"))</f>
        <v>Open</v>
      </c>
      <c r="U106" s="41"/>
    </row>
    <row r="107" spans="1:21" ht="30" customHeight="1" x14ac:dyDescent="0.25">
      <c r="A107" s="51" t="s">
        <v>214</v>
      </c>
      <c r="B107" s="42">
        <v>13549</v>
      </c>
      <c r="C107" s="66" t="s">
        <v>1635</v>
      </c>
      <c r="D107" s="42" t="s">
        <v>1606</v>
      </c>
      <c r="E107" s="53" t="s">
        <v>161</v>
      </c>
      <c r="F107" s="42" t="s">
        <v>1746</v>
      </c>
      <c r="G107" s="43">
        <v>37</v>
      </c>
      <c r="H107" s="42">
        <v>0</v>
      </c>
      <c r="I107" s="42" t="s">
        <v>1747</v>
      </c>
      <c r="J107" s="42" t="s">
        <v>1748</v>
      </c>
      <c r="K107" s="42" t="s">
        <v>137</v>
      </c>
      <c r="L107" s="42" t="s">
        <v>1749</v>
      </c>
      <c r="M107" s="42" t="s">
        <v>165</v>
      </c>
      <c r="N107" s="42" t="s">
        <v>111</v>
      </c>
      <c r="O107" s="34" t="s">
        <v>2</v>
      </c>
      <c r="P107" s="42">
        <v>4</v>
      </c>
      <c r="Q107" s="42" t="s">
        <v>1764</v>
      </c>
      <c r="R107" s="42" t="s">
        <v>1751</v>
      </c>
      <c r="S107" t="str">
        <f>IFERROR(HYPERLINK("#'Main'!B"&amp;MATCH(TRIM(A107),Main!B:B,0),"Open"),HYPERLINK("#'Main'!B1","Open"))</f>
        <v>Open</v>
      </c>
      <c r="T107" t="str">
        <f>IFERROR(HYPERLINK("#'Technical Diagnostics'!A"&amp;MATCH(A107,'Technical Diagnostics'!A:A,0),"Open"),HYPERLINK("#'Technical Diagnostics'!A1","Open"))</f>
        <v>Open</v>
      </c>
    </row>
    <row r="108" spans="1:21" ht="30" customHeight="1" x14ac:dyDescent="0.25">
      <c r="A108" s="50" t="s">
        <v>215</v>
      </c>
      <c r="B108" s="33">
        <v>13282</v>
      </c>
      <c r="C108" s="65" t="s">
        <v>1637</v>
      </c>
      <c r="D108" s="33" t="s">
        <v>1606</v>
      </c>
      <c r="E108" s="53" t="s">
        <v>161</v>
      </c>
      <c r="F108" s="33" t="s">
        <v>1746</v>
      </c>
      <c r="G108" s="36">
        <v>37</v>
      </c>
      <c r="H108" s="33">
        <v>0</v>
      </c>
      <c r="I108" s="33" t="s">
        <v>1747</v>
      </c>
      <c r="J108" s="33" t="s">
        <v>1748</v>
      </c>
      <c r="K108" s="33" t="s">
        <v>137</v>
      </c>
      <c r="L108" s="33" t="s">
        <v>1749</v>
      </c>
      <c r="M108" s="33" t="s">
        <v>165</v>
      </c>
      <c r="N108" s="33" t="s">
        <v>111</v>
      </c>
      <c r="O108" s="34" t="s">
        <v>2</v>
      </c>
      <c r="P108" s="33">
        <v>4</v>
      </c>
      <c r="Q108" s="33" t="s">
        <v>1765</v>
      </c>
      <c r="R108" s="33" t="s">
        <v>1751</v>
      </c>
      <c r="S108" s="41" t="str">
        <f>IFERROR(HYPERLINK("#'Main'!B"&amp;MATCH(TRIM(A108),Main!B:B,0),"Open"),HYPERLINK("#'Main'!B1","Open"))</f>
        <v>Open</v>
      </c>
      <c r="T108" s="41" t="str">
        <f>IFERROR(HYPERLINK("#'Technical Diagnostics'!A"&amp;MATCH(A108,'Technical Diagnostics'!A:A,0),"Open"),HYPERLINK("#'Technical Diagnostics'!A1","Open"))</f>
        <v>Open</v>
      </c>
      <c r="U108" s="41"/>
    </row>
    <row r="109" spans="1:21" ht="30" customHeight="1" x14ac:dyDescent="0.25">
      <c r="A109" s="51" t="s">
        <v>217</v>
      </c>
      <c r="B109" s="42">
        <v>12945</v>
      </c>
      <c r="C109" s="66" t="s">
        <v>1639</v>
      </c>
      <c r="D109" s="42" t="s">
        <v>1606</v>
      </c>
      <c r="E109" s="53" t="s">
        <v>161</v>
      </c>
      <c r="F109" s="42" t="s">
        <v>1746</v>
      </c>
      <c r="G109" s="43">
        <v>37</v>
      </c>
      <c r="H109" s="42">
        <v>0</v>
      </c>
      <c r="I109" s="42" t="s">
        <v>1747</v>
      </c>
      <c r="J109" s="42" t="s">
        <v>1748</v>
      </c>
      <c r="K109" s="42" t="s">
        <v>137</v>
      </c>
      <c r="L109" s="42" t="s">
        <v>1749</v>
      </c>
      <c r="M109" s="42" t="s">
        <v>165</v>
      </c>
      <c r="N109" s="42" t="s">
        <v>111</v>
      </c>
      <c r="O109" s="34" t="s">
        <v>2</v>
      </c>
      <c r="P109" s="42">
        <v>4</v>
      </c>
      <c r="Q109" s="42" t="s">
        <v>1766</v>
      </c>
      <c r="R109" s="42" t="s">
        <v>1751</v>
      </c>
      <c r="S109" t="str">
        <f>IFERROR(HYPERLINK("#'Main'!B"&amp;MATCH(TRIM(A109),Main!B:B,0),"Open"),HYPERLINK("#'Main'!B1","Open"))</f>
        <v>Open</v>
      </c>
      <c r="T109" t="str">
        <f>IFERROR(HYPERLINK("#'Technical Diagnostics'!A"&amp;MATCH(A109,'Technical Diagnostics'!A:A,0),"Open"),HYPERLINK("#'Technical Diagnostics'!A1","Open"))</f>
        <v>Open</v>
      </c>
    </row>
    <row r="110" spans="1:21" ht="30" customHeight="1" x14ac:dyDescent="0.25">
      <c r="A110" s="50" t="s">
        <v>219</v>
      </c>
      <c r="B110" s="33">
        <v>13179</v>
      </c>
      <c r="C110" s="65" t="s">
        <v>1641</v>
      </c>
      <c r="D110" s="33" t="s">
        <v>1606</v>
      </c>
      <c r="E110" s="53" t="s">
        <v>161</v>
      </c>
      <c r="F110" s="33" t="s">
        <v>1746</v>
      </c>
      <c r="G110" s="36">
        <v>37</v>
      </c>
      <c r="H110" s="33">
        <v>0</v>
      </c>
      <c r="I110" s="33" t="s">
        <v>1747</v>
      </c>
      <c r="J110" s="33" t="s">
        <v>1748</v>
      </c>
      <c r="K110" s="33" t="s">
        <v>137</v>
      </c>
      <c r="L110" s="33" t="s">
        <v>1749</v>
      </c>
      <c r="M110" s="33" t="s">
        <v>165</v>
      </c>
      <c r="N110" s="33" t="s">
        <v>111</v>
      </c>
      <c r="O110" s="34" t="s">
        <v>2</v>
      </c>
      <c r="P110" s="33">
        <v>4</v>
      </c>
      <c r="Q110" s="33" t="s">
        <v>1767</v>
      </c>
      <c r="R110" s="33" t="s">
        <v>1751</v>
      </c>
      <c r="S110" s="41" t="str">
        <f>IFERROR(HYPERLINK("#'Main'!B"&amp;MATCH(TRIM(A110),Main!B:B,0),"Open"),HYPERLINK("#'Main'!B1","Open"))</f>
        <v>Open</v>
      </c>
      <c r="T110" s="41" t="str">
        <f>IFERROR(HYPERLINK("#'Technical Diagnostics'!A"&amp;MATCH(A110,'Technical Diagnostics'!A:A,0),"Open"),HYPERLINK("#'Technical Diagnostics'!A1","Open"))</f>
        <v>Open</v>
      </c>
      <c r="U110" s="41"/>
    </row>
    <row r="111" spans="1:21" ht="30" customHeight="1" x14ac:dyDescent="0.25">
      <c r="A111" s="51" t="s">
        <v>216</v>
      </c>
      <c r="B111" s="42">
        <v>22401</v>
      </c>
      <c r="C111" s="66" t="s">
        <v>1643</v>
      </c>
      <c r="D111" s="42" t="s">
        <v>1606</v>
      </c>
      <c r="E111" s="53" t="s">
        <v>161</v>
      </c>
      <c r="F111" s="42" t="s">
        <v>1746</v>
      </c>
      <c r="G111" s="43">
        <v>37</v>
      </c>
      <c r="H111" s="42">
        <v>0</v>
      </c>
      <c r="I111" s="42" t="s">
        <v>1747</v>
      </c>
      <c r="J111" s="42" t="s">
        <v>1748</v>
      </c>
      <c r="K111" s="42" t="s">
        <v>137</v>
      </c>
      <c r="L111" s="42" t="s">
        <v>1749</v>
      </c>
      <c r="M111" s="42" t="s">
        <v>165</v>
      </c>
      <c r="N111" s="42" t="s">
        <v>111</v>
      </c>
      <c r="O111" s="34" t="s">
        <v>2</v>
      </c>
      <c r="P111" s="42">
        <v>4</v>
      </c>
      <c r="Q111" s="42" t="s">
        <v>1768</v>
      </c>
      <c r="R111" s="42" t="s">
        <v>1751</v>
      </c>
      <c r="S111" t="str">
        <f>IFERROR(HYPERLINK("#'Main'!B"&amp;MATCH(TRIM(A111),Main!B:B,0),"Open"),HYPERLINK("#'Main'!B1","Open"))</f>
        <v>Open</v>
      </c>
      <c r="T111" t="str">
        <f>IFERROR(HYPERLINK("#'Technical Diagnostics'!A"&amp;MATCH(A111,'Technical Diagnostics'!A:A,0),"Open"),HYPERLINK("#'Technical Diagnostics'!A1","Open"))</f>
        <v>Open</v>
      </c>
    </row>
    <row r="112" spans="1:21" ht="30" customHeight="1" x14ac:dyDescent="0.25">
      <c r="A112" s="50" t="s">
        <v>218</v>
      </c>
      <c r="B112" s="33">
        <v>18318</v>
      </c>
      <c r="C112" s="65" t="s">
        <v>1645</v>
      </c>
      <c r="D112" s="33" t="s">
        <v>1606</v>
      </c>
      <c r="E112" s="53" t="s">
        <v>161</v>
      </c>
      <c r="F112" s="33" t="s">
        <v>1746</v>
      </c>
      <c r="G112" s="36">
        <v>37</v>
      </c>
      <c r="H112" s="33">
        <v>0</v>
      </c>
      <c r="I112" s="33" t="s">
        <v>1747</v>
      </c>
      <c r="J112" s="33" t="s">
        <v>1748</v>
      </c>
      <c r="K112" s="33" t="s">
        <v>137</v>
      </c>
      <c r="L112" s="33" t="s">
        <v>1749</v>
      </c>
      <c r="M112" s="33" t="s">
        <v>165</v>
      </c>
      <c r="N112" s="33" t="s">
        <v>111</v>
      </c>
      <c r="O112" s="34" t="s">
        <v>2</v>
      </c>
      <c r="P112" s="33">
        <v>4</v>
      </c>
      <c r="Q112" s="33" t="s">
        <v>1769</v>
      </c>
      <c r="R112" s="33" t="s">
        <v>1751</v>
      </c>
      <c r="S112" s="41" t="str">
        <f>IFERROR(HYPERLINK("#'Main'!B"&amp;MATCH(TRIM(A112),Main!B:B,0),"Open"),HYPERLINK("#'Main'!B1","Open"))</f>
        <v>Open</v>
      </c>
      <c r="T112" s="41" t="str">
        <f>IFERROR(HYPERLINK("#'Technical Diagnostics'!A"&amp;MATCH(A112,'Technical Diagnostics'!A:A,0),"Open"),HYPERLINK("#'Technical Diagnostics'!A1","Open"))</f>
        <v>Open</v>
      </c>
      <c r="U112" s="41"/>
    </row>
    <row r="113" spans="1:21" ht="30" customHeight="1" x14ac:dyDescent="0.25">
      <c r="A113" s="51" t="s">
        <v>189</v>
      </c>
      <c r="B113" s="42">
        <v>30257</v>
      </c>
      <c r="C113" s="66" t="s">
        <v>1647</v>
      </c>
      <c r="D113" s="42" t="s">
        <v>1606</v>
      </c>
      <c r="E113" s="53" t="s">
        <v>161</v>
      </c>
      <c r="F113" s="42" t="s">
        <v>1746</v>
      </c>
      <c r="G113" s="43">
        <v>37</v>
      </c>
      <c r="H113" s="42">
        <v>0</v>
      </c>
      <c r="I113" s="42" t="s">
        <v>1747</v>
      </c>
      <c r="J113" s="42" t="s">
        <v>1748</v>
      </c>
      <c r="K113" s="42" t="s">
        <v>137</v>
      </c>
      <c r="L113" s="42" t="s">
        <v>1749</v>
      </c>
      <c r="M113" s="42" t="s">
        <v>165</v>
      </c>
      <c r="N113" s="42" t="s">
        <v>111</v>
      </c>
      <c r="O113" s="34" t="s">
        <v>2</v>
      </c>
      <c r="P113" s="42">
        <v>4</v>
      </c>
      <c r="Q113" s="42" t="s">
        <v>1770</v>
      </c>
      <c r="R113" s="42" t="s">
        <v>1751</v>
      </c>
      <c r="S113" t="str">
        <f>IFERROR(HYPERLINK("#'Main'!B"&amp;MATCH(TRIM(A113),Main!B:B,0),"Open"),HYPERLINK("#'Main'!B1","Open"))</f>
        <v>Open</v>
      </c>
      <c r="T113" t="str">
        <f>IFERROR(HYPERLINK("#'Technical Diagnostics'!A"&amp;MATCH(A113,'Technical Diagnostics'!A:A,0),"Open"),HYPERLINK("#'Technical Diagnostics'!A1","Open"))</f>
        <v>Open</v>
      </c>
    </row>
    <row r="114" spans="1:21" ht="30" customHeight="1" x14ac:dyDescent="0.25">
      <c r="A114" s="50" t="s">
        <v>176</v>
      </c>
      <c r="B114" s="33">
        <v>8</v>
      </c>
      <c r="C114" s="65" t="s">
        <v>1605</v>
      </c>
      <c r="D114" s="33" t="s">
        <v>1649</v>
      </c>
      <c r="E114" s="53" t="s">
        <v>161</v>
      </c>
      <c r="F114" s="33" t="s">
        <v>1771</v>
      </c>
      <c r="G114" s="36">
        <v>37</v>
      </c>
      <c r="H114" s="33">
        <v>5</v>
      </c>
      <c r="I114" s="33" t="s">
        <v>1772</v>
      </c>
      <c r="J114" s="33" t="s">
        <v>1773</v>
      </c>
      <c r="K114" s="33" t="s">
        <v>1606</v>
      </c>
      <c r="L114" s="33" t="s">
        <v>1774</v>
      </c>
      <c r="M114" s="33" t="s">
        <v>165</v>
      </c>
      <c r="N114" s="33" t="s">
        <v>111</v>
      </c>
      <c r="O114" s="34" t="s">
        <v>2</v>
      </c>
      <c r="P114" s="33">
        <v>4</v>
      </c>
      <c r="Q114" s="33" t="s">
        <v>1775</v>
      </c>
      <c r="R114" s="33" t="s">
        <v>1776</v>
      </c>
      <c r="S114" s="41" t="str">
        <f>IFERROR(HYPERLINK("#'Main'!B"&amp;MATCH(TRIM(A114),Main!B:B,0),"Open"),HYPERLINK("#'Main'!B1","Open"))</f>
        <v>Open</v>
      </c>
      <c r="T114" s="41" t="str">
        <f>IFERROR(HYPERLINK("#'Technical Diagnostics'!A"&amp;MATCH(A114,'Technical Diagnostics'!A:A,0),"Open"),HYPERLINK("#'Technical Diagnostics'!A1","Open"))</f>
        <v>Open</v>
      </c>
      <c r="U114" s="41"/>
    </row>
    <row r="115" spans="1:21" ht="30" customHeight="1" x14ac:dyDescent="0.25">
      <c r="A115" s="51" t="s">
        <v>176</v>
      </c>
      <c r="B115" s="42">
        <v>8</v>
      </c>
      <c r="C115" s="66" t="s">
        <v>1605</v>
      </c>
      <c r="D115" s="42" t="s">
        <v>1649</v>
      </c>
      <c r="E115" s="53" t="s">
        <v>161</v>
      </c>
      <c r="F115" s="42" t="s">
        <v>1777</v>
      </c>
      <c r="G115" s="43">
        <v>37</v>
      </c>
      <c r="H115" s="42">
        <v>0</v>
      </c>
      <c r="I115" s="42" t="s">
        <v>1778</v>
      </c>
      <c r="J115" s="42" t="s">
        <v>1779</v>
      </c>
      <c r="K115" s="42" t="s">
        <v>137</v>
      </c>
      <c r="L115" s="42" t="s">
        <v>571</v>
      </c>
      <c r="M115" s="42" t="s">
        <v>165</v>
      </c>
      <c r="N115" s="42" t="s">
        <v>111</v>
      </c>
      <c r="O115" s="34" t="s">
        <v>2</v>
      </c>
      <c r="P115" s="42">
        <v>4</v>
      </c>
      <c r="Q115" s="42" t="s">
        <v>1780</v>
      </c>
      <c r="R115" s="42" t="s">
        <v>1781</v>
      </c>
      <c r="S115" t="str">
        <f>IFERROR(HYPERLINK("#'Main'!B"&amp;MATCH(TRIM(A115),Main!B:B,0),"Open"),HYPERLINK("#'Main'!B1","Open"))</f>
        <v>Open</v>
      </c>
      <c r="T115" t="str">
        <f>IFERROR(HYPERLINK("#'Technical Diagnostics'!A"&amp;MATCH(A115,'Technical Diagnostics'!A:A,0),"Open"),HYPERLINK("#'Technical Diagnostics'!A1","Open"))</f>
        <v>Open</v>
      </c>
    </row>
    <row r="116" spans="1:21" ht="30" customHeight="1" x14ac:dyDescent="0.25">
      <c r="A116" s="50" t="s">
        <v>178</v>
      </c>
      <c r="B116" s="33">
        <v>84</v>
      </c>
      <c r="C116" s="65" t="s">
        <v>1612</v>
      </c>
      <c r="D116" s="33" t="s">
        <v>1649</v>
      </c>
      <c r="E116" s="53" t="s">
        <v>161</v>
      </c>
      <c r="F116" s="33" t="s">
        <v>1777</v>
      </c>
      <c r="G116" s="36">
        <v>37</v>
      </c>
      <c r="H116" s="33">
        <v>0</v>
      </c>
      <c r="I116" s="33" t="s">
        <v>1778</v>
      </c>
      <c r="J116" s="33" t="s">
        <v>1779</v>
      </c>
      <c r="K116" s="33" t="s">
        <v>137</v>
      </c>
      <c r="L116" s="33" t="s">
        <v>571</v>
      </c>
      <c r="M116" s="33" t="s">
        <v>165</v>
      </c>
      <c r="N116" s="33" t="s">
        <v>111</v>
      </c>
      <c r="O116" s="34" t="s">
        <v>2</v>
      </c>
      <c r="P116" s="33">
        <v>4</v>
      </c>
      <c r="Q116" s="33" t="s">
        <v>1782</v>
      </c>
      <c r="R116" s="33" t="s">
        <v>1781</v>
      </c>
      <c r="S116" s="41" t="str">
        <f>IFERROR(HYPERLINK("#'Main'!B"&amp;MATCH(TRIM(A116),Main!B:B,0),"Open"),HYPERLINK("#'Main'!B1","Open"))</f>
        <v>Open</v>
      </c>
      <c r="T116" s="41" t="str">
        <f>IFERROR(HYPERLINK("#'Technical Diagnostics'!A"&amp;MATCH(A116,'Technical Diagnostics'!A:A,0),"Open"),HYPERLINK("#'Technical Diagnostics'!A1","Open"))</f>
        <v>Open</v>
      </c>
      <c r="U116" s="41"/>
    </row>
    <row r="117" spans="1:21" ht="30" customHeight="1" x14ac:dyDescent="0.25">
      <c r="A117" s="51" t="s">
        <v>208</v>
      </c>
      <c r="B117" s="42">
        <v>28165</v>
      </c>
      <c r="C117" s="66" t="s">
        <v>1614</v>
      </c>
      <c r="D117" s="42" t="s">
        <v>1649</v>
      </c>
      <c r="E117" s="53" t="s">
        <v>161</v>
      </c>
      <c r="F117" s="42" t="s">
        <v>1771</v>
      </c>
      <c r="G117" s="43">
        <v>37</v>
      </c>
      <c r="H117" s="42">
        <v>2</v>
      </c>
      <c r="I117" s="42" t="s">
        <v>1772</v>
      </c>
      <c r="J117" s="42" t="s">
        <v>1773</v>
      </c>
      <c r="K117" s="42" t="s">
        <v>1606</v>
      </c>
      <c r="L117" s="42" t="s">
        <v>1774</v>
      </c>
      <c r="M117" s="42" t="s">
        <v>165</v>
      </c>
      <c r="N117" s="42" t="s">
        <v>111</v>
      </c>
      <c r="O117" s="34" t="s">
        <v>2</v>
      </c>
      <c r="P117" s="42">
        <v>4</v>
      </c>
      <c r="Q117" s="42" t="s">
        <v>1783</v>
      </c>
      <c r="R117" s="42" t="s">
        <v>1776</v>
      </c>
      <c r="S117" t="str">
        <f>IFERROR(HYPERLINK("#'Main'!B"&amp;MATCH(TRIM(A117),Main!B:B,0),"Open"),HYPERLINK("#'Main'!B1","Open"))</f>
        <v>Open</v>
      </c>
      <c r="T117" t="str">
        <f>IFERROR(HYPERLINK("#'Technical Diagnostics'!A"&amp;MATCH(A117,'Technical Diagnostics'!A:A,0),"Open"),HYPERLINK("#'Technical Diagnostics'!A1","Open"))</f>
        <v>Open</v>
      </c>
    </row>
    <row r="118" spans="1:21" ht="30" customHeight="1" x14ac:dyDescent="0.25">
      <c r="A118" s="50" t="s">
        <v>208</v>
      </c>
      <c r="B118" s="33">
        <v>28165</v>
      </c>
      <c r="C118" s="65" t="s">
        <v>1614</v>
      </c>
      <c r="D118" s="33" t="s">
        <v>1649</v>
      </c>
      <c r="E118" s="53" t="s">
        <v>161</v>
      </c>
      <c r="F118" s="33" t="s">
        <v>1777</v>
      </c>
      <c r="G118" s="36">
        <v>37</v>
      </c>
      <c r="H118" s="33">
        <v>0</v>
      </c>
      <c r="I118" s="33" t="s">
        <v>1778</v>
      </c>
      <c r="J118" s="33" t="s">
        <v>1779</v>
      </c>
      <c r="K118" s="33" t="s">
        <v>137</v>
      </c>
      <c r="L118" s="33" t="s">
        <v>571</v>
      </c>
      <c r="M118" s="33" t="s">
        <v>165</v>
      </c>
      <c r="N118" s="33" t="s">
        <v>111</v>
      </c>
      <c r="O118" s="34" t="s">
        <v>2</v>
      </c>
      <c r="P118" s="33">
        <v>4</v>
      </c>
      <c r="Q118" s="33" t="s">
        <v>1784</v>
      </c>
      <c r="R118" s="33" t="s">
        <v>1781</v>
      </c>
      <c r="S118" s="41" t="str">
        <f>IFERROR(HYPERLINK("#'Main'!B"&amp;MATCH(TRIM(A118),Main!B:B,0),"Open"),HYPERLINK("#'Main'!B1","Open"))</f>
        <v>Open</v>
      </c>
      <c r="T118" s="41" t="str">
        <f>IFERROR(HYPERLINK("#'Technical Diagnostics'!A"&amp;MATCH(A118,'Technical Diagnostics'!A:A,0),"Open"),HYPERLINK("#'Technical Diagnostics'!A1","Open"))</f>
        <v>Open</v>
      </c>
      <c r="U118" s="41"/>
    </row>
    <row r="119" spans="1:21" ht="30" customHeight="1" x14ac:dyDescent="0.25">
      <c r="A119" s="51" t="s">
        <v>146</v>
      </c>
      <c r="B119" s="42">
        <v>16125</v>
      </c>
      <c r="C119" s="66" t="s">
        <v>1616</v>
      </c>
      <c r="D119" s="42" t="s">
        <v>1649</v>
      </c>
      <c r="E119" s="53" t="s">
        <v>161</v>
      </c>
      <c r="F119" s="42" t="s">
        <v>1771</v>
      </c>
      <c r="G119" s="43">
        <v>37</v>
      </c>
      <c r="H119" s="42">
        <v>2</v>
      </c>
      <c r="I119" s="42" t="s">
        <v>1772</v>
      </c>
      <c r="J119" s="42" t="s">
        <v>1773</v>
      </c>
      <c r="K119" s="42" t="s">
        <v>1606</v>
      </c>
      <c r="L119" s="42" t="s">
        <v>1774</v>
      </c>
      <c r="M119" s="42" t="s">
        <v>165</v>
      </c>
      <c r="N119" s="42" t="s">
        <v>111</v>
      </c>
      <c r="O119" s="34" t="s">
        <v>2</v>
      </c>
      <c r="P119" s="42">
        <v>4</v>
      </c>
      <c r="Q119" s="42" t="s">
        <v>1785</v>
      </c>
      <c r="R119" s="42" t="s">
        <v>1776</v>
      </c>
      <c r="S119" t="str">
        <f>IFERROR(HYPERLINK("#'Main'!B"&amp;MATCH(TRIM(A119),Main!B:B,0),"Open"),HYPERLINK("#'Main'!B1","Open"))</f>
        <v>Open</v>
      </c>
      <c r="T119" t="str">
        <f>IFERROR(HYPERLINK("#'Technical Diagnostics'!A"&amp;MATCH(A119,'Technical Diagnostics'!A:A,0),"Open"),HYPERLINK("#'Technical Diagnostics'!A1","Open"))</f>
        <v>Open</v>
      </c>
    </row>
    <row r="120" spans="1:21" ht="30" customHeight="1" x14ac:dyDescent="0.25">
      <c r="A120" s="50" t="s">
        <v>146</v>
      </c>
      <c r="B120" s="33">
        <v>16125</v>
      </c>
      <c r="C120" s="65" t="s">
        <v>1616</v>
      </c>
      <c r="D120" s="33" t="s">
        <v>1649</v>
      </c>
      <c r="E120" s="53" t="s">
        <v>161</v>
      </c>
      <c r="F120" s="33" t="s">
        <v>1777</v>
      </c>
      <c r="G120" s="36">
        <v>37</v>
      </c>
      <c r="H120" s="33">
        <v>0</v>
      </c>
      <c r="I120" s="33" t="s">
        <v>1778</v>
      </c>
      <c r="J120" s="33" t="s">
        <v>1779</v>
      </c>
      <c r="K120" s="33" t="s">
        <v>137</v>
      </c>
      <c r="L120" s="33" t="s">
        <v>571</v>
      </c>
      <c r="M120" s="33" t="s">
        <v>165</v>
      </c>
      <c r="N120" s="33" t="s">
        <v>111</v>
      </c>
      <c r="O120" s="34" t="s">
        <v>2</v>
      </c>
      <c r="P120" s="33">
        <v>4</v>
      </c>
      <c r="Q120" s="33" t="s">
        <v>1786</v>
      </c>
      <c r="R120" s="33" t="s">
        <v>1781</v>
      </c>
      <c r="S120" s="41" t="str">
        <f>IFERROR(HYPERLINK("#'Main'!B"&amp;MATCH(TRIM(A120),Main!B:B,0),"Open"),HYPERLINK("#'Main'!B1","Open"))</f>
        <v>Open</v>
      </c>
      <c r="T120" s="41" t="str">
        <f>IFERROR(HYPERLINK("#'Technical Diagnostics'!A"&amp;MATCH(A120,'Technical Diagnostics'!A:A,0),"Open"),HYPERLINK("#'Technical Diagnostics'!A1","Open"))</f>
        <v>Open</v>
      </c>
      <c r="U120" s="41"/>
    </row>
    <row r="121" spans="1:21" ht="30" customHeight="1" x14ac:dyDescent="0.25">
      <c r="A121" s="51" t="s">
        <v>207</v>
      </c>
      <c r="B121" s="42">
        <v>4494</v>
      </c>
      <c r="C121" s="66" t="s">
        <v>1618</v>
      </c>
      <c r="D121" s="42" t="s">
        <v>1649</v>
      </c>
      <c r="E121" s="53" t="s">
        <v>161</v>
      </c>
      <c r="F121" s="42" t="s">
        <v>1777</v>
      </c>
      <c r="G121" s="43">
        <v>37</v>
      </c>
      <c r="H121" s="42">
        <v>0</v>
      </c>
      <c r="I121" s="42" t="s">
        <v>1778</v>
      </c>
      <c r="J121" s="42" t="s">
        <v>1779</v>
      </c>
      <c r="K121" s="42" t="s">
        <v>137</v>
      </c>
      <c r="L121" s="42" t="s">
        <v>571</v>
      </c>
      <c r="M121" s="42" t="s">
        <v>165</v>
      </c>
      <c r="N121" s="42" t="s">
        <v>111</v>
      </c>
      <c r="O121" s="34" t="s">
        <v>2</v>
      </c>
      <c r="P121" s="42">
        <v>4</v>
      </c>
      <c r="Q121" s="42" t="s">
        <v>1787</v>
      </c>
      <c r="R121" s="42" t="s">
        <v>1781</v>
      </c>
      <c r="S121" t="str">
        <f>IFERROR(HYPERLINK("#'Main'!B"&amp;MATCH(TRIM(A121),Main!B:B,0),"Open"),HYPERLINK("#'Main'!B1","Open"))</f>
        <v>Open</v>
      </c>
      <c r="T121" t="str">
        <f>IFERROR(HYPERLINK("#'Technical Diagnostics'!A"&amp;MATCH(A121,'Technical Diagnostics'!A:A,0),"Open"),HYPERLINK("#'Technical Diagnostics'!A1","Open"))</f>
        <v>Open</v>
      </c>
    </row>
    <row r="122" spans="1:21" ht="30" customHeight="1" x14ac:dyDescent="0.25">
      <c r="A122" s="50" t="s">
        <v>155</v>
      </c>
      <c r="B122" s="33">
        <v>5619</v>
      </c>
      <c r="C122" s="65" t="s">
        <v>1620</v>
      </c>
      <c r="D122" s="33" t="s">
        <v>1649</v>
      </c>
      <c r="E122" s="53" t="s">
        <v>161</v>
      </c>
      <c r="F122" s="33" t="s">
        <v>1777</v>
      </c>
      <c r="G122" s="36">
        <v>37</v>
      </c>
      <c r="H122" s="33">
        <v>0</v>
      </c>
      <c r="I122" s="33" t="s">
        <v>1778</v>
      </c>
      <c r="J122" s="33" t="s">
        <v>1779</v>
      </c>
      <c r="K122" s="33" t="s">
        <v>137</v>
      </c>
      <c r="L122" s="33" t="s">
        <v>571</v>
      </c>
      <c r="M122" s="33" t="s">
        <v>165</v>
      </c>
      <c r="N122" s="33" t="s">
        <v>111</v>
      </c>
      <c r="O122" s="34" t="s">
        <v>2</v>
      </c>
      <c r="P122" s="33">
        <v>4</v>
      </c>
      <c r="Q122" s="33" t="s">
        <v>1788</v>
      </c>
      <c r="R122" s="33" t="s">
        <v>1781</v>
      </c>
      <c r="S122" s="41" t="str">
        <f>IFERROR(HYPERLINK("#'Main'!B"&amp;MATCH(TRIM(A122),Main!B:B,0),"Open"),HYPERLINK("#'Main'!B1","Open"))</f>
        <v>Open</v>
      </c>
      <c r="T122" s="41" t="str">
        <f>IFERROR(HYPERLINK("#'Technical Diagnostics'!A"&amp;MATCH(A122,'Technical Diagnostics'!A:A,0),"Open"),HYPERLINK("#'Technical Diagnostics'!A1","Open"))</f>
        <v>Open</v>
      </c>
      <c r="U122" s="41"/>
    </row>
    <row r="123" spans="1:21" ht="30" customHeight="1" x14ac:dyDescent="0.25">
      <c r="A123" s="51" t="s">
        <v>206</v>
      </c>
      <c r="B123" s="42">
        <v>4941</v>
      </c>
      <c r="C123" s="66" t="s">
        <v>1622</v>
      </c>
      <c r="D123" s="42" t="s">
        <v>1649</v>
      </c>
      <c r="E123" s="53" t="s">
        <v>161</v>
      </c>
      <c r="F123" s="42" t="s">
        <v>1777</v>
      </c>
      <c r="G123" s="43">
        <v>37</v>
      </c>
      <c r="H123" s="42">
        <v>0</v>
      </c>
      <c r="I123" s="42" t="s">
        <v>1778</v>
      </c>
      <c r="J123" s="42" t="s">
        <v>1779</v>
      </c>
      <c r="K123" s="42" t="s">
        <v>137</v>
      </c>
      <c r="L123" s="42" t="s">
        <v>571</v>
      </c>
      <c r="M123" s="42" t="s">
        <v>165</v>
      </c>
      <c r="N123" s="42" t="s">
        <v>111</v>
      </c>
      <c r="O123" s="34" t="s">
        <v>2</v>
      </c>
      <c r="P123" s="42">
        <v>4</v>
      </c>
      <c r="Q123" s="42" t="s">
        <v>1789</v>
      </c>
      <c r="R123" s="42" t="s">
        <v>1781</v>
      </c>
      <c r="S123" t="str">
        <f>IFERROR(HYPERLINK("#'Main'!B"&amp;MATCH(TRIM(A123),Main!B:B,0),"Open"),HYPERLINK("#'Main'!B1","Open"))</f>
        <v>Open</v>
      </c>
      <c r="T123" t="str">
        <f>IFERROR(HYPERLINK("#'Technical Diagnostics'!A"&amp;MATCH(A123,'Technical Diagnostics'!A:A,0),"Open"),HYPERLINK("#'Technical Diagnostics'!A1","Open"))</f>
        <v>Open</v>
      </c>
    </row>
    <row r="124" spans="1:21" ht="30" customHeight="1" x14ac:dyDescent="0.25">
      <c r="A124" s="50" t="s">
        <v>209</v>
      </c>
      <c r="B124" s="33">
        <v>12371</v>
      </c>
      <c r="C124" s="65" t="s">
        <v>1624</v>
      </c>
      <c r="D124" s="33" t="s">
        <v>1649</v>
      </c>
      <c r="E124" s="53" t="s">
        <v>161</v>
      </c>
      <c r="F124" s="33" t="s">
        <v>1777</v>
      </c>
      <c r="G124" s="36">
        <v>37</v>
      </c>
      <c r="H124" s="33">
        <v>0</v>
      </c>
      <c r="I124" s="33" t="s">
        <v>1778</v>
      </c>
      <c r="J124" s="33" t="s">
        <v>1779</v>
      </c>
      <c r="K124" s="33" t="s">
        <v>137</v>
      </c>
      <c r="L124" s="33" t="s">
        <v>571</v>
      </c>
      <c r="M124" s="33" t="s">
        <v>165</v>
      </c>
      <c r="N124" s="33" t="s">
        <v>111</v>
      </c>
      <c r="O124" s="34" t="s">
        <v>2</v>
      </c>
      <c r="P124" s="33">
        <v>4</v>
      </c>
      <c r="Q124" s="33" t="s">
        <v>1790</v>
      </c>
      <c r="R124" s="33" t="s">
        <v>1781</v>
      </c>
      <c r="S124" s="41" t="str">
        <f>IFERROR(HYPERLINK("#'Main'!B"&amp;MATCH(TRIM(A124),Main!B:B,0),"Open"),HYPERLINK("#'Main'!B1","Open"))</f>
        <v>Open</v>
      </c>
      <c r="T124" s="41" t="str">
        <f>IFERROR(HYPERLINK("#'Technical Diagnostics'!A"&amp;MATCH(A124,'Technical Diagnostics'!A:A,0),"Open"),HYPERLINK("#'Technical Diagnostics'!A1","Open"))</f>
        <v>Open</v>
      </c>
      <c r="U124" s="41"/>
    </row>
    <row r="125" spans="1:21" ht="30" customHeight="1" x14ac:dyDescent="0.25">
      <c r="A125" s="51" t="s">
        <v>210</v>
      </c>
      <c r="B125" s="42">
        <v>12954</v>
      </c>
      <c r="C125" s="66" t="s">
        <v>1626</v>
      </c>
      <c r="D125" s="42" t="s">
        <v>1649</v>
      </c>
      <c r="E125" s="53" t="s">
        <v>161</v>
      </c>
      <c r="F125" s="42" t="s">
        <v>1777</v>
      </c>
      <c r="G125" s="43">
        <v>37</v>
      </c>
      <c r="H125" s="42">
        <v>0</v>
      </c>
      <c r="I125" s="42" t="s">
        <v>1778</v>
      </c>
      <c r="J125" s="42" t="s">
        <v>1779</v>
      </c>
      <c r="K125" s="42" t="s">
        <v>137</v>
      </c>
      <c r="L125" s="42" t="s">
        <v>571</v>
      </c>
      <c r="M125" s="42" t="s">
        <v>165</v>
      </c>
      <c r="N125" s="42" t="s">
        <v>111</v>
      </c>
      <c r="O125" s="34" t="s">
        <v>2</v>
      </c>
      <c r="P125" s="42">
        <v>4</v>
      </c>
      <c r="Q125" s="42" t="s">
        <v>1791</v>
      </c>
      <c r="R125" s="42" t="s">
        <v>1781</v>
      </c>
      <c r="S125" t="str">
        <f>IFERROR(HYPERLINK("#'Main'!B"&amp;MATCH(TRIM(A125),Main!B:B,0),"Open"),HYPERLINK("#'Main'!B1","Open"))</f>
        <v>Open</v>
      </c>
      <c r="T125" t="str">
        <f>IFERROR(HYPERLINK("#'Technical Diagnostics'!A"&amp;MATCH(A125,'Technical Diagnostics'!A:A,0),"Open"),HYPERLINK("#'Technical Diagnostics'!A1","Open"))</f>
        <v>Open</v>
      </c>
    </row>
    <row r="126" spans="1:21" ht="30" customHeight="1" x14ac:dyDescent="0.25">
      <c r="A126" s="50" t="s">
        <v>157</v>
      </c>
      <c r="B126" s="33">
        <v>13164</v>
      </c>
      <c r="C126" s="65" t="s">
        <v>1596</v>
      </c>
      <c r="D126" s="33" t="s">
        <v>1649</v>
      </c>
      <c r="E126" s="53" t="s">
        <v>161</v>
      </c>
      <c r="F126" s="33" t="s">
        <v>1777</v>
      </c>
      <c r="G126" s="36">
        <v>37</v>
      </c>
      <c r="H126" s="33">
        <v>0</v>
      </c>
      <c r="I126" s="33" t="s">
        <v>1778</v>
      </c>
      <c r="J126" s="33" t="s">
        <v>1779</v>
      </c>
      <c r="K126" s="33" t="s">
        <v>137</v>
      </c>
      <c r="L126" s="33" t="s">
        <v>571</v>
      </c>
      <c r="M126" s="33" t="s">
        <v>165</v>
      </c>
      <c r="N126" s="33" t="s">
        <v>111</v>
      </c>
      <c r="O126" s="34" t="s">
        <v>2</v>
      </c>
      <c r="P126" s="33">
        <v>4</v>
      </c>
      <c r="Q126" s="33" t="s">
        <v>1792</v>
      </c>
      <c r="R126" s="33" t="s">
        <v>1781</v>
      </c>
      <c r="S126" s="41" t="str">
        <f>IFERROR(HYPERLINK("#'Main'!B"&amp;MATCH(TRIM(A126),Main!B:B,0),"Open"),HYPERLINK("#'Main'!B1","Open"))</f>
        <v>Open</v>
      </c>
      <c r="T126" s="41" t="str">
        <f>IFERROR(HYPERLINK("#'Technical Diagnostics'!A"&amp;MATCH(A126,'Technical Diagnostics'!A:A,0),"Open"),HYPERLINK("#'Technical Diagnostics'!A1","Open"))</f>
        <v>Open</v>
      </c>
      <c r="U126" s="41"/>
    </row>
    <row r="127" spans="1:21" ht="30" customHeight="1" x14ac:dyDescent="0.25">
      <c r="A127" s="51" t="s">
        <v>212</v>
      </c>
      <c r="B127" s="42">
        <v>12407</v>
      </c>
      <c r="C127" s="66" t="s">
        <v>1629</v>
      </c>
      <c r="D127" s="42" t="s">
        <v>1649</v>
      </c>
      <c r="E127" s="53" t="s">
        <v>161</v>
      </c>
      <c r="F127" s="42" t="s">
        <v>1793</v>
      </c>
      <c r="G127" s="43">
        <v>37</v>
      </c>
      <c r="H127" s="42">
        <v>8.91</v>
      </c>
      <c r="I127" s="42" t="s">
        <v>1794</v>
      </c>
      <c r="J127" s="42" t="s">
        <v>1795</v>
      </c>
      <c r="K127" s="42" t="s">
        <v>1606</v>
      </c>
      <c r="L127" s="42" t="s">
        <v>560</v>
      </c>
      <c r="M127" s="42" t="s">
        <v>165</v>
      </c>
      <c r="N127" s="42" t="s">
        <v>111</v>
      </c>
      <c r="O127" s="34" t="s">
        <v>2</v>
      </c>
      <c r="P127" s="42">
        <v>4</v>
      </c>
      <c r="Q127" s="42" t="s">
        <v>1796</v>
      </c>
      <c r="R127" s="42" t="s">
        <v>1797</v>
      </c>
      <c r="S127" t="str">
        <f>IFERROR(HYPERLINK("#'Main'!B"&amp;MATCH(TRIM(A127),Main!B:B,0),"Open"),HYPERLINK("#'Main'!B1","Open"))</f>
        <v>Open</v>
      </c>
      <c r="T127" t="str">
        <f>IFERROR(HYPERLINK("#'Technical Diagnostics'!A"&amp;MATCH(A127,'Technical Diagnostics'!A:A,0),"Open"),HYPERLINK("#'Technical Diagnostics'!A1","Open"))</f>
        <v>Open</v>
      </c>
    </row>
    <row r="128" spans="1:21" ht="30" customHeight="1" x14ac:dyDescent="0.25">
      <c r="A128" s="50" t="s">
        <v>212</v>
      </c>
      <c r="B128" s="33">
        <v>12407</v>
      </c>
      <c r="C128" s="65" t="s">
        <v>1629</v>
      </c>
      <c r="D128" s="33" t="s">
        <v>1649</v>
      </c>
      <c r="E128" s="53" t="s">
        <v>161</v>
      </c>
      <c r="F128" s="33" t="s">
        <v>1777</v>
      </c>
      <c r="G128" s="36">
        <v>37</v>
      </c>
      <c r="H128" s="33">
        <v>0</v>
      </c>
      <c r="I128" s="33" t="s">
        <v>1778</v>
      </c>
      <c r="J128" s="33" t="s">
        <v>1779</v>
      </c>
      <c r="K128" s="33" t="s">
        <v>137</v>
      </c>
      <c r="L128" s="33" t="s">
        <v>571</v>
      </c>
      <c r="M128" s="33" t="s">
        <v>165</v>
      </c>
      <c r="N128" s="33" t="s">
        <v>111</v>
      </c>
      <c r="O128" s="34" t="s">
        <v>2</v>
      </c>
      <c r="P128" s="33">
        <v>4</v>
      </c>
      <c r="Q128" s="33" t="s">
        <v>1798</v>
      </c>
      <c r="R128" s="33" t="s">
        <v>1781</v>
      </c>
      <c r="S128" s="41" t="str">
        <f>IFERROR(HYPERLINK("#'Main'!B"&amp;MATCH(TRIM(A128),Main!B:B,0),"Open"),HYPERLINK("#'Main'!B1","Open"))</f>
        <v>Open</v>
      </c>
      <c r="T128" s="41" t="str">
        <f>IFERROR(HYPERLINK("#'Technical Diagnostics'!A"&amp;MATCH(A128,'Technical Diagnostics'!A:A,0),"Open"),HYPERLINK("#'Technical Diagnostics'!A1","Open"))</f>
        <v>Open</v>
      </c>
      <c r="U128" s="41"/>
    </row>
    <row r="129" spans="1:21" ht="30" customHeight="1" x14ac:dyDescent="0.25">
      <c r="A129" s="51" t="s">
        <v>211</v>
      </c>
      <c r="B129" s="42">
        <v>12497</v>
      </c>
      <c r="C129" s="66" t="s">
        <v>1631</v>
      </c>
      <c r="D129" s="42" t="s">
        <v>1649</v>
      </c>
      <c r="E129" s="53" t="s">
        <v>161</v>
      </c>
      <c r="F129" s="42" t="s">
        <v>1777</v>
      </c>
      <c r="G129" s="43">
        <v>37</v>
      </c>
      <c r="H129" s="42">
        <v>0</v>
      </c>
      <c r="I129" s="42" t="s">
        <v>1778</v>
      </c>
      <c r="J129" s="42" t="s">
        <v>1779</v>
      </c>
      <c r="K129" s="42" t="s">
        <v>137</v>
      </c>
      <c r="L129" s="42" t="s">
        <v>571</v>
      </c>
      <c r="M129" s="42" t="s">
        <v>165</v>
      </c>
      <c r="N129" s="42" t="s">
        <v>111</v>
      </c>
      <c r="O129" s="34" t="s">
        <v>2</v>
      </c>
      <c r="P129" s="42">
        <v>4</v>
      </c>
      <c r="Q129" s="42" t="s">
        <v>1799</v>
      </c>
      <c r="R129" s="42" t="s">
        <v>1781</v>
      </c>
      <c r="S129" t="str">
        <f>IFERROR(HYPERLINK("#'Main'!B"&amp;MATCH(TRIM(A129),Main!B:B,0),"Open"),HYPERLINK("#'Main'!B1","Open"))</f>
        <v>Open</v>
      </c>
      <c r="T129" t="str">
        <f>IFERROR(HYPERLINK("#'Technical Diagnostics'!A"&amp;MATCH(A129,'Technical Diagnostics'!A:A,0),"Open"),HYPERLINK("#'Technical Diagnostics'!A1","Open"))</f>
        <v>Open</v>
      </c>
    </row>
    <row r="130" spans="1:21" ht="30" customHeight="1" x14ac:dyDescent="0.25">
      <c r="A130" s="50" t="s">
        <v>213</v>
      </c>
      <c r="B130" s="33">
        <v>13098</v>
      </c>
      <c r="C130" s="65" t="s">
        <v>1633</v>
      </c>
      <c r="D130" s="33" t="s">
        <v>1649</v>
      </c>
      <c r="E130" s="53" t="s">
        <v>161</v>
      </c>
      <c r="F130" s="33" t="s">
        <v>1777</v>
      </c>
      <c r="G130" s="36">
        <v>37</v>
      </c>
      <c r="H130" s="33">
        <v>0</v>
      </c>
      <c r="I130" s="33" t="s">
        <v>1778</v>
      </c>
      <c r="J130" s="33" t="s">
        <v>1779</v>
      </c>
      <c r="K130" s="33" t="s">
        <v>137</v>
      </c>
      <c r="L130" s="33" t="s">
        <v>571</v>
      </c>
      <c r="M130" s="33" t="s">
        <v>165</v>
      </c>
      <c r="N130" s="33" t="s">
        <v>111</v>
      </c>
      <c r="O130" s="34" t="s">
        <v>2</v>
      </c>
      <c r="P130" s="33">
        <v>4</v>
      </c>
      <c r="Q130" s="33" t="s">
        <v>1800</v>
      </c>
      <c r="R130" s="33" t="s">
        <v>1781</v>
      </c>
      <c r="S130" s="41" t="str">
        <f>IFERROR(HYPERLINK("#'Main'!B"&amp;MATCH(TRIM(A130),Main!B:B,0),"Open"),HYPERLINK("#'Main'!B1","Open"))</f>
        <v>Open</v>
      </c>
      <c r="T130" s="41" t="str">
        <f>IFERROR(HYPERLINK("#'Technical Diagnostics'!A"&amp;MATCH(A130,'Technical Diagnostics'!A:A,0),"Open"),HYPERLINK("#'Technical Diagnostics'!A1","Open"))</f>
        <v>Open</v>
      </c>
      <c r="U130" s="41"/>
    </row>
    <row r="131" spans="1:21" ht="30" customHeight="1" x14ac:dyDescent="0.25">
      <c r="A131" s="51" t="s">
        <v>214</v>
      </c>
      <c r="B131" s="42">
        <v>13549</v>
      </c>
      <c r="C131" s="66" t="s">
        <v>1635</v>
      </c>
      <c r="D131" s="42" t="s">
        <v>1649</v>
      </c>
      <c r="E131" s="53" t="s">
        <v>161</v>
      </c>
      <c r="F131" s="42" t="s">
        <v>1777</v>
      </c>
      <c r="G131" s="43">
        <v>37</v>
      </c>
      <c r="H131" s="42">
        <v>0</v>
      </c>
      <c r="I131" s="42" t="s">
        <v>1778</v>
      </c>
      <c r="J131" s="42" t="s">
        <v>1779</v>
      </c>
      <c r="K131" s="42" t="s">
        <v>137</v>
      </c>
      <c r="L131" s="42" t="s">
        <v>571</v>
      </c>
      <c r="M131" s="42" t="s">
        <v>165</v>
      </c>
      <c r="N131" s="42" t="s">
        <v>111</v>
      </c>
      <c r="O131" s="34" t="s">
        <v>2</v>
      </c>
      <c r="P131" s="42">
        <v>4</v>
      </c>
      <c r="Q131" s="42" t="s">
        <v>1801</v>
      </c>
      <c r="R131" s="42" t="s">
        <v>1781</v>
      </c>
      <c r="S131" t="str">
        <f>IFERROR(HYPERLINK("#'Main'!B"&amp;MATCH(TRIM(A131),Main!B:B,0),"Open"),HYPERLINK("#'Main'!B1","Open"))</f>
        <v>Open</v>
      </c>
      <c r="T131" t="str">
        <f>IFERROR(HYPERLINK("#'Technical Diagnostics'!A"&amp;MATCH(A131,'Technical Diagnostics'!A:A,0),"Open"),HYPERLINK("#'Technical Diagnostics'!A1","Open"))</f>
        <v>Open</v>
      </c>
    </row>
    <row r="132" spans="1:21" ht="30" customHeight="1" x14ac:dyDescent="0.25">
      <c r="A132" s="50" t="s">
        <v>215</v>
      </c>
      <c r="B132" s="33">
        <v>13282</v>
      </c>
      <c r="C132" s="65" t="s">
        <v>1637</v>
      </c>
      <c r="D132" s="33" t="s">
        <v>1649</v>
      </c>
      <c r="E132" s="53" t="s">
        <v>161</v>
      </c>
      <c r="F132" s="33" t="s">
        <v>1777</v>
      </c>
      <c r="G132" s="36">
        <v>37</v>
      </c>
      <c r="H132" s="33">
        <v>0</v>
      </c>
      <c r="I132" s="33" t="s">
        <v>1778</v>
      </c>
      <c r="J132" s="33" t="s">
        <v>1779</v>
      </c>
      <c r="K132" s="33" t="s">
        <v>137</v>
      </c>
      <c r="L132" s="33" t="s">
        <v>571</v>
      </c>
      <c r="M132" s="33" t="s">
        <v>165</v>
      </c>
      <c r="N132" s="33" t="s">
        <v>111</v>
      </c>
      <c r="O132" s="34" t="s">
        <v>2</v>
      </c>
      <c r="P132" s="33">
        <v>4</v>
      </c>
      <c r="Q132" s="33" t="s">
        <v>1802</v>
      </c>
      <c r="R132" s="33" t="s">
        <v>1781</v>
      </c>
      <c r="S132" s="41" t="str">
        <f>IFERROR(HYPERLINK("#'Main'!B"&amp;MATCH(TRIM(A132),Main!B:B,0),"Open"),HYPERLINK("#'Main'!B1","Open"))</f>
        <v>Open</v>
      </c>
      <c r="T132" s="41" t="str">
        <f>IFERROR(HYPERLINK("#'Technical Diagnostics'!A"&amp;MATCH(A132,'Technical Diagnostics'!A:A,0),"Open"),HYPERLINK("#'Technical Diagnostics'!A1","Open"))</f>
        <v>Open</v>
      </c>
      <c r="U132" s="41"/>
    </row>
    <row r="133" spans="1:21" ht="30" customHeight="1" x14ac:dyDescent="0.25">
      <c r="A133" s="51" t="s">
        <v>217</v>
      </c>
      <c r="B133" s="42">
        <v>12945</v>
      </c>
      <c r="C133" s="66" t="s">
        <v>1639</v>
      </c>
      <c r="D133" s="42" t="s">
        <v>1649</v>
      </c>
      <c r="E133" s="53" t="s">
        <v>161</v>
      </c>
      <c r="F133" s="42" t="s">
        <v>1777</v>
      </c>
      <c r="G133" s="43">
        <v>37</v>
      </c>
      <c r="H133" s="42">
        <v>0</v>
      </c>
      <c r="I133" s="42" t="s">
        <v>1778</v>
      </c>
      <c r="J133" s="42" t="s">
        <v>1779</v>
      </c>
      <c r="K133" s="42" t="s">
        <v>137</v>
      </c>
      <c r="L133" s="42" t="s">
        <v>571</v>
      </c>
      <c r="M133" s="42" t="s">
        <v>165</v>
      </c>
      <c r="N133" s="42" t="s">
        <v>111</v>
      </c>
      <c r="O133" s="34" t="s">
        <v>2</v>
      </c>
      <c r="P133" s="42">
        <v>4</v>
      </c>
      <c r="Q133" s="42" t="s">
        <v>1803</v>
      </c>
      <c r="R133" s="42" t="s">
        <v>1781</v>
      </c>
      <c r="S133" t="str">
        <f>IFERROR(HYPERLINK("#'Main'!B"&amp;MATCH(TRIM(A133),Main!B:B,0),"Open"),HYPERLINK("#'Main'!B1","Open"))</f>
        <v>Open</v>
      </c>
      <c r="T133" t="str">
        <f>IFERROR(HYPERLINK("#'Technical Diagnostics'!A"&amp;MATCH(A133,'Technical Diagnostics'!A:A,0),"Open"),HYPERLINK("#'Technical Diagnostics'!A1","Open"))</f>
        <v>Open</v>
      </c>
    </row>
    <row r="134" spans="1:21" ht="30" customHeight="1" x14ac:dyDescent="0.25">
      <c r="A134" s="50" t="s">
        <v>219</v>
      </c>
      <c r="B134" s="33">
        <v>13179</v>
      </c>
      <c r="C134" s="65" t="s">
        <v>1641</v>
      </c>
      <c r="D134" s="33" t="s">
        <v>1649</v>
      </c>
      <c r="E134" s="53" t="s">
        <v>161</v>
      </c>
      <c r="F134" s="33" t="s">
        <v>1777</v>
      </c>
      <c r="G134" s="36">
        <v>37</v>
      </c>
      <c r="H134" s="33">
        <v>0</v>
      </c>
      <c r="I134" s="33" t="s">
        <v>1778</v>
      </c>
      <c r="J134" s="33" t="s">
        <v>1779</v>
      </c>
      <c r="K134" s="33" t="s">
        <v>137</v>
      </c>
      <c r="L134" s="33" t="s">
        <v>571</v>
      </c>
      <c r="M134" s="33" t="s">
        <v>165</v>
      </c>
      <c r="N134" s="33" t="s">
        <v>111</v>
      </c>
      <c r="O134" s="34" t="s">
        <v>2</v>
      </c>
      <c r="P134" s="33">
        <v>4</v>
      </c>
      <c r="Q134" s="33" t="s">
        <v>1804</v>
      </c>
      <c r="R134" s="33" t="s">
        <v>1781</v>
      </c>
      <c r="S134" s="41" t="str">
        <f>IFERROR(HYPERLINK("#'Main'!B"&amp;MATCH(TRIM(A134),Main!B:B,0),"Open"),HYPERLINK("#'Main'!B1","Open"))</f>
        <v>Open</v>
      </c>
      <c r="T134" s="41" t="str">
        <f>IFERROR(HYPERLINK("#'Technical Diagnostics'!A"&amp;MATCH(A134,'Technical Diagnostics'!A:A,0),"Open"),HYPERLINK("#'Technical Diagnostics'!A1","Open"))</f>
        <v>Open</v>
      </c>
      <c r="U134" s="41"/>
    </row>
    <row r="135" spans="1:21" ht="30" customHeight="1" x14ac:dyDescent="0.25">
      <c r="A135" s="51" t="s">
        <v>216</v>
      </c>
      <c r="B135" s="42">
        <v>22401</v>
      </c>
      <c r="C135" s="66" t="s">
        <v>1643</v>
      </c>
      <c r="D135" s="42" t="s">
        <v>1649</v>
      </c>
      <c r="E135" s="53" t="s">
        <v>161</v>
      </c>
      <c r="F135" s="42" t="s">
        <v>1771</v>
      </c>
      <c r="G135" s="43">
        <v>37</v>
      </c>
      <c r="H135" s="42">
        <v>2</v>
      </c>
      <c r="I135" s="42" t="s">
        <v>1772</v>
      </c>
      <c r="J135" s="42" t="s">
        <v>1773</v>
      </c>
      <c r="K135" s="42" t="s">
        <v>1606</v>
      </c>
      <c r="L135" s="42" t="s">
        <v>1774</v>
      </c>
      <c r="M135" s="42" t="s">
        <v>165</v>
      </c>
      <c r="N135" s="42" t="s">
        <v>111</v>
      </c>
      <c r="O135" s="34" t="s">
        <v>2</v>
      </c>
      <c r="P135" s="42">
        <v>4</v>
      </c>
      <c r="Q135" s="42" t="s">
        <v>1805</v>
      </c>
      <c r="R135" s="42" t="s">
        <v>1776</v>
      </c>
      <c r="S135" t="str">
        <f>IFERROR(HYPERLINK("#'Main'!B"&amp;MATCH(TRIM(A135),Main!B:B,0),"Open"),HYPERLINK("#'Main'!B1","Open"))</f>
        <v>Open</v>
      </c>
      <c r="T135" t="str">
        <f>IFERROR(HYPERLINK("#'Technical Diagnostics'!A"&amp;MATCH(A135,'Technical Diagnostics'!A:A,0),"Open"),HYPERLINK("#'Technical Diagnostics'!A1","Open"))</f>
        <v>Open</v>
      </c>
    </row>
    <row r="136" spans="1:21" ht="30" customHeight="1" x14ac:dyDescent="0.25">
      <c r="A136" s="50" t="s">
        <v>216</v>
      </c>
      <c r="B136" s="33">
        <v>22401</v>
      </c>
      <c r="C136" s="65" t="s">
        <v>1643</v>
      </c>
      <c r="D136" s="33" t="s">
        <v>1649</v>
      </c>
      <c r="E136" s="53" t="s">
        <v>161</v>
      </c>
      <c r="F136" s="33" t="s">
        <v>1777</v>
      </c>
      <c r="G136" s="36">
        <v>37</v>
      </c>
      <c r="H136" s="33">
        <v>0</v>
      </c>
      <c r="I136" s="33" t="s">
        <v>1778</v>
      </c>
      <c r="J136" s="33" t="s">
        <v>1779</v>
      </c>
      <c r="K136" s="33" t="s">
        <v>137</v>
      </c>
      <c r="L136" s="33" t="s">
        <v>571</v>
      </c>
      <c r="M136" s="33" t="s">
        <v>165</v>
      </c>
      <c r="N136" s="33" t="s">
        <v>111</v>
      </c>
      <c r="O136" s="34" t="s">
        <v>2</v>
      </c>
      <c r="P136" s="33">
        <v>4</v>
      </c>
      <c r="Q136" s="33" t="s">
        <v>1806</v>
      </c>
      <c r="R136" s="33" t="s">
        <v>1781</v>
      </c>
      <c r="S136" s="41" t="str">
        <f>IFERROR(HYPERLINK("#'Main'!B"&amp;MATCH(TRIM(A136),Main!B:B,0),"Open"),HYPERLINK("#'Main'!B1","Open"))</f>
        <v>Open</v>
      </c>
      <c r="T136" s="41" t="str">
        <f>IFERROR(HYPERLINK("#'Technical Diagnostics'!A"&amp;MATCH(A136,'Technical Diagnostics'!A:A,0),"Open"),HYPERLINK("#'Technical Diagnostics'!A1","Open"))</f>
        <v>Open</v>
      </c>
      <c r="U136" s="41"/>
    </row>
    <row r="137" spans="1:21" ht="30" customHeight="1" x14ac:dyDescent="0.25">
      <c r="A137" s="51" t="s">
        <v>218</v>
      </c>
      <c r="B137" s="42">
        <v>18318</v>
      </c>
      <c r="C137" s="66" t="s">
        <v>1645</v>
      </c>
      <c r="D137" s="42" t="s">
        <v>1649</v>
      </c>
      <c r="E137" s="53" t="s">
        <v>161</v>
      </c>
      <c r="F137" s="42" t="s">
        <v>1777</v>
      </c>
      <c r="G137" s="43">
        <v>37</v>
      </c>
      <c r="H137" s="42">
        <v>0</v>
      </c>
      <c r="I137" s="42" t="s">
        <v>1778</v>
      </c>
      <c r="J137" s="42" t="s">
        <v>1779</v>
      </c>
      <c r="K137" s="42" t="s">
        <v>137</v>
      </c>
      <c r="L137" s="42" t="s">
        <v>571</v>
      </c>
      <c r="M137" s="42" t="s">
        <v>165</v>
      </c>
      <c r="N137" s="42" t="s">
        <v>111</v>
      </c>
      <c r="O137" s="34" t="s">
        <v>2</v>
      </c>
      <c r="P137" s="42">
        <v>4</v>
      </c>
      <c r="Q137" s="42" t="s">
        <v>1807</v>
      </c>
      <c r="R137" s="42" t="s">
        <v>1781</v>
      </c>
      <c r="S137" t="str">
        <f>IFERROR(HYPERLINK("#'Main'!B"&amp;MATCH(TRIM(A137),Main!B:B,0),"Open"),HYPERLINK("#'Main'!B1","Open"))</f>
        <v>Open</v>
      </c>
      <c r="T137" t="str">
        <f>IFERROR(HYPERLINK("#'Technical Diagnostics'!A"&amp;MATCH(A137,'Technical Diagnostics'!A:A,0),"Open"),HYPERLINK("#'Technical Diagnostics'!A1","Open"))</f>
        <v>Open</v>
      </c>
    </row>
    <row r="138" spans="1:21" ht="30" customHeight="1" x14ac:dyDescent="0.25">
      <c r="A138" s="50" t="s">
        <v>189</v>
      </c>
      <c r="B138" s="33">
        <v>30257</v>
      </c>
      <c r="C138" s="65" t="s">
        <v>1647</v>
      </c>
      <c r="D138" s="33" t="s">
        <v>1649</v>
      </c>
      <c r="E138" s="53" t="s">
        <v>161</v>
      </c>
      <c r="F138" s="33" t="s">
        <v>1771</v>
      </c>
      <c r="G138" s="36">
        <v>37</v>
      </c>
      <c r="H138" s="33">
        <v>10</v>
      </c>
      <c r="I138" s="33" t="s">
        <v>1772</v>
      </c>
      <c r="J138" s="33" t="s">
        <v>1773</v>
      </c>
      <c r="K138" s="33" t="s">
        <v>1606</v>
      </c>
      <c r="L138" s="33" t="s">
        <v>1774</v>
      </c>
      <c r="M138" s="33" t="s">
        <v>165</v>
      </c>
      <c r="N138" s="33" t="s">
        <v>111</v>
      </c>
      <c r="O138" s="34" t="s">
        <v>2</v>
      </c>
      <c r="P138" s="33">
        <v>4</v>
      </c>
      <c r="Q138" s="33" t="s">
        <v>1808</v>
      </c>
      <c r="R138" s="33" t="s">
        <v>1776</v>
      </c>
      <c r="S138" s="41" t="str">
        <f>IFERROR(HYPERLINK("#'Main'!B"&amp;MATCH(TRIM(A138),Main!B:B,0),"Open"),HYPERLINK("#'Main'!B1","Open"))</f>
        <v>Open</v>
      </c>
      <c r="T138" s="41" t="str">
        <f>IFERROR(HYPERLINK("#'Technical Diagnostics'!A"&amp;MATCH(A138,'Technical Diagnostics'!A:A,0),"Open"),HYPERLINK("#'Technical Diagnostics'!A1","Open"))</f>
        <v>Open</v>
      </c>
      <c r="U138" s="41"/>
    </row>
    <row r="139" spans="1:21" ht="30" customHeight="1" x14ac:dyDescent="0.25">
      <c r="A139" s="51" t="s">
        <v>189</v>
      </c>
      <c r="B139" s="42">
        <v>30257</v>
      </c>
      <c r="C139" s="66" t="s">
        <v>1647</v>
      </c>
      <c r="D139" s="42" t="s">
        <v>1649</v>
      </c>
      <c r="E139" s="53" t="s">
        <v>161</v>
      </c>
      <c r="F139" s="42" t="s">
        <v>1777</v>
      </c>
      <c r="G139" s="43">
        <v>37</v>
      </c>
      <c r="H139" s="42">
        <v>0</v>
      </c>
      <c r="I139" s="42" t="s">
        <v>1778</v>
      </c>
      <c r="J139" s="42" t="s">
        <v>1779</v>
      </c>
      <c r="K139" s="42" t="s">
        <v>137</v>
      </c>
      <c r="L139" s="42" t="s">
        <v>571</v>
      </c>
      <c r="M139" s="42" t="s">
        <v>165</v>
      </c>
      <c r="N139" s="42" t="s">
        <v>111</v>
      </c>
      <c r="O139" s="34" t="s">
        <v>2</v>
      </c>
      <c r="P139" s="42">
        <v>4</v>
      </c>
      <c r="Q139" s="42" t="s">
        <v>1809</v>
      </c>
      <c r="R139" s="42" t="s">
        <v>1781</v>
      </c>
      <c r="S139" t="str">
        <f>IFERROR(HYPERLINK("#'Main'!B"&amp;MATCH(TRIM(A139),Main!B:B,0),"Open"),HYPERLINK("#'Main'!B1","Open"))</f>
        <v>Open</v>
      </c>
      <c r="T139" t="str">
        <f>IFERROR(HYPERLINK("#'Technical Diagnostics'!A"&amp;MATCH(A139,'Technical Diagnostics'!A:A,0),"Open"),HYPERLINK("#'Technical Diagnostics'!A1","Open"))</f>
        <v>Open</v>
      </c>
    </row>
    <row r="140" spans="1:21" ht="45" customHeight="1" x14ac:dyDescent="0.25">
      <c r="A140" s="50" t="s">
        <v>176</v>
      </c>
      <c r="B140" s="33">
        <v>8</v>
      </c>
      <c r="C140" s="65" t="s">
        <v>1605</v>
      </c>
      <c r="D140" s="33" t="s">
        <v>1696</v>
      </c>
      <c r="E140" s="53" t="s">
        <v>161</v>
      </c>
      <c r="F140" s="33" t="s">
        <v>1810</v>
      </c>
      <c r="G140" s="36">
        <v>37</v>
      </c>
      <c r="H140" s="33" t="b">
        <v>0</v>
      </c>
      <c r="I140" s="33" t="s">
        <v>1811</v>
      </c>
      <c r="J140" s="33" t="s">
        <v>1812</v>
      </c>
      <c r="K140" s="33" t="s">
        <v>137</v>
      </c>
      <c r="L140" s="33" t="s">
        <v>1813</v>
      </c>
      <c r="M140" s="33" t="s">
        <v>165</v>
      </c>
      <c r="N140" s="33" t="s">
        <v>111</v>
      </c>
      <c r="O140" s="34" t="s">
        <v>2</v>
      </c>
      <c r="P140" s="33">
        <v>4</v>
      </c>
      <c r="Q140" s="33" t="s">
        <v>1814</v>
      </c>
      <c r="R140" s="33" t="s">
        <v>1815</v>
      </c>
      <c r="S140" s="41" t="str">
        <f>IFERROR(HYPERLINK("#'Main'!B"&amp;MATCH(TRIM(A140),Main!B:B,0),"Open"),HYPERLINK("#'Main'!B1","Open"))</f>
        <v>Open</v>
      </c>
      <c r="T140" s="41" t="str">
        <f>IFERROR(HYPERLINK("#'Technical Diagnostics'!A"&amp;MATCH(A140,'Technical Diagnostics'!A:A,0),"Open"),HYPERLINK("#'Technical Diagnostics'!A1","Open"))</f>
        <v>Open</v>
      </c>
      <c r="U140" s="41"/>
    </row>
    <row r="141" spans="1:21" ht="45" customHeight="1" x14ac:dyDescent="0.25">
      <c r="A141" s="51" t="s">
        <v>178</v>
      </c>
      <c r="B141" s="42">
        <v>84</v>
      </c>
      <c r="C141" s="66" t="s">
        <v>1612</v>
      </c>
      <c r="D141" s="42" t="s">
        <v>1696</v>
      </c>
      <c r="E141" s="53" t="s">
        <v>161</v>
      </c>
      <c r="F141" s="42" t="s">
        <v>1810</v>
      </c>
      <c r="G141" s="43">
        <v>37</v>
      </c>
      <c r="H141" s="42" t="b">
        <v>0</v>
      </c>
      <c r="I141" s="42" t="s">
        <v>1811</v>
      </c>
      <c r="J141" s="42" t="s">
        <v>1812</v>
      </c>
      <c r="K141" s="42" t="s">
        <v>137</v>
      </c>
      <c r="L141" s="42" t="s">
        <v>1813</v>
      </c>
      <c r="M141" s="42" t="s">
        <v>165</v>
      </c>
      <c r="N141" s="42" t="s">
        <v>111</v>
      </c>
      <c r="O141" s="34" t="s">
        <v>2</v>
      </c>
      <c r="P141" s="42">
        <v>4</v>
      </c>
      <c r="Q141" s="42" t="s">
        <v>1816</v>
      </c>
      <c r="R141" s="42" t="s">
        <v>1815</v>
      </c>
      <c r="S141" t="str">
        <f>IFERROR(HYPERLINK("#'Main'!B"&amp;MATCH(TRIM(A141),Main!B:B,0),"Open"),HYPERLINK("#'Main'!B1","Open"))</f>
        <v>Open</v>
      </c>
      <c r="T141" t="str">
        <f>IFERROR(HYPERLINK("#'Technical Diagnostics'!A"&amp;MATCH(A141,'Technical Diagnostics'!A:A,0),"Open"),HYPERLINK("#'Technical Diagnostics'!A1","Open"))</f>
        <v>Open</v>
      </c>
    </row>
    <row r="142" spans="1:21" ht="45" customHeight="1" x14ac:dyDescent="0.25">
      <c r="A142" s="50" t="s">
        <v>208</v>
      </c>
      <c r="B142" s="33">
        <v>28165</v>
      </c>
      <c r="C142" s="65" t="s">
        <v>1614</v>
      </c>
      <c r="D142" s="33" t="s">
        <v>1696</v>
      </c>
      <c r="E142" s="53" t="s">
        <v>161</v>
      </c>
      <c r="F142" s="33" t="s">
        <v>1810</v>
      </c>
      <c r="G142" s="36">
        <v>37</v>
      </c>
      <c r="H142" s="33" t="b">
        <v>0</v>
      </c>
      <c r="I142" s="33" t="s">
        <v>1811</v>
      </c>
      <c r="J142" s="33" t="s">
        <v>1812</v>
      </c>
      <c r="K142" s="33" t="s">
        <v>137</v>
      </c>
      <c r="L142" s="33" t="s">
        <v>1813</v>
      </c>
      <c r="M142" s="33" t="s">
        <v>165</v>
      </c>
      <c r="N142" s="33" t="s">
        <v>111</v>
      </c>
      <c r="O142" s="34" t="s">
        <v>2</v>
      </c>
      <c r="P142" s="33">
        <v>4</v>
      </c>
      <c r="Q142" s="33" t="s">
        <v>1817</v>
      </c>
      <c r="R142" s="33" t="s">
        <v>1815</v>
      </c>
      <c r="S142" s="41" t="str">
        <f>IFERROR(HYPERLINK("#'Main'!B"&amp;MATCH(TRIM(A142),Main!B:B,0),"Open"),HYPERLINK("#'Main'!B1","Open"))</f>
        <v>Open</v>
      </c>
      <c r="T142" s="41" t="str">
        <f>IFERROR(HYPERLINK("#'Technical Diagnostics'!A"&amp;MATCH(A142,'Technical Diagnostics'!A:A,0),"Open"),HYPERLINK("#'Technical Diagnostics'!A1","Open"))</f>
        <v>Open</v>
      </c>
      <c r="U142" s="41"/>
    </row>
    <row r="143" spans="1:21" ht="45" customHeight="1" x14ac:dyDescent="0.25">
      <c r="A143" s="51" t="s">
        <v>146</v>
      </c>
      <c r="B143" s="42">
        <v>16125</v>
      </c>
      <c r="C143" s="66" t="s">
        <v>1616</v>
      </c>
      <c r="D143" s="42" t="s">
        <v>1696</v>
      </c>
      <c r="E143" s="53" t="s">
        <v>161</v>
      </c>
      <c r="F143" s="42" t="s">
        <v>1810</v>
      </c>
      <c r="G143" s="43">
        <v>37</v>
      </c>
      <c r="H143" s="42" t="b">
        <v>0</v>
      </c>
      <c r="I143" s="42" t="s">
        <v>1811</v>
      </c>
      <c r="J143" s="42" t="s">
        <v>1812</v>
      </c>
      <c r="K143" s="42" t="s">
        <v>137</v>
      </c>
      <c r="L143" s="42" t="s">
        <v>1813</v>
      </c>
      <c r="M143" s="42" t="s">
        <v>165</v>
      </c>
      <c r="N143" s="42" t="s">
        <v>111</v>
      </c>
      <c r="O143" s="34" t="s">
        <v>2</v>
      </c>
      <c r="P143" s="42">
        <v>4</v>
      </c>
      <c r="Q143" s="42" t="s">
        <v>1818</v>
      </c>
      <c r="R143" s="42" t="s">
        <v>1815</v>
      </c>
      <c r="S143" t="str">
        <f>IFERROR(HYPERLINK("#'Main'!B"&amp;MATCH(TRIM(A143),Main!B:B,0),"Open"),HYPERLINK("#'Main'!B1","Open"))</f>
        <v>Open</v>
      </c>
      <c r="T143" t="str">
        <f>IFERROR(HYPERLINK("#'Technical Diagnostics'!A"&amp;MATCH(A143,'Technical Diagnostics'!A:A,0),"Open"),HYPERLINK("#'Technical Diagnostics'!A1","Open"))</f>
        <v>Open</v>
      </c>
    </row>
    <row r="144" spans="1:21" ht="45" customHeight="1" x14ac:dyDescent="0.25">
      <c r="A144" s="50" t="s">
        <v>207</v>
      </c>
      <c r="B144" s="33">
        <v>4494</v>
      </c>
      <c r="C144" s="65" t="s">
        <v>1618</v>
      </c>
      <c r="D144" s="33" t="s">
        <v>1696</v>
      </c>
      <c r="E144" s="53" t="s">
        <v>161</v>
      </c>
      <c r="F144" s="33" t="s">
        <v>1810</v>
      </c>
      <c r="G144" s="36">
        <v>37</v>
      </c>
      <c r="H144" s="33" t="b">
        <v>0</v>
      </c>
      <c r="I144" s="33" t="s">
        <v>1811</v>
      </c>
      <c r="J144" s="33" t="s">
        <v>1812</v>
      </c>
      <c r="K144" s="33" t="s">
        <v>137</v>
      </c>
      <c r="L144" s="33" t="s">
        <v>1813</v>
      </c>
      <c r="M144" s="33" t="s">
        <v>165</v>
      </c>
      <c r="N144" s="33" t="s">
        <v>111</v>
      </c>
      <c r="O144" s="34" t="s">
        <v>2</v>
      </c>
      <c r="P144" s="33">
        <v>4</v>
      </c>
      <c r="Q144" s="33" t="s">
        <v>1819</v>
      </c>
      <c r="R144" s="33" t="s">
        <v>1815</v>
      </c>
      <c r="S144" s="41" t="str">
        <f>IFERROR(HYPERLINK("#'Main'!B"&amp;MATCH(TRIM(A144),Main!B:B,0),"Open"),HYPERLINK("#'Main'!B1","Open"))</f>
        <v>Open</v>
      </c>
      <c r="T144" s="41" t="str">
        <f>IFERROR(HYPERLINK("#'Technical Diagnostics'!A"&amp;MATCH(A144,'Technical Diagnostics'!A:A,0),"Open"),HYPERLINK("#'Technical Diagnostics'!A1","Open"))</f>
        <v>Open</v>
      </c>
      <c r="U144" s="41"/>
    </row>
    <row r="145" spans="1:21" ht="45" customHeight="1" x14ac:dyDescent="0.25">
      <c r="A145" s="51" t="s">
        <v>155</v>
      </c>
      <c r="B145" s="42">
        <v>5619</v>
      </c>
      <c r="C145" s="66" t="s">
        <v>1620</v>
      </c>
      <c r="D145" s="42" t="s">
        <v>1696</v>
      </c>
      <c r="E145" s="53" t="s">
        <v>161</v>
      </c>
      <c r="F145" s="42" t="s">
        <v>1810</v>
      </c>
      <c r="G145" s="43">
        <v>37</v>
      </c>
      <c r="H145" s="42" t="b">
        <v>0</v>
      </c>
      <c r="I145" s="42" t="s">
        <v>1811</v>
      </c>
      <c r="J145" s="42" t="s">
        <v>1812</v>
      </c>
      <c r="K145" s="42" t="s">
        <v>137</v>
      </c>
      <c r="L145" s="42" t="s">
        <v>1813</v>
      </c>
      <c r="M145" s="42" t="s">
        <v>165</v>
      </c>
      <c r="N145" s="42" t="s">
        <v>111</v>
      </c>
      <c r="O145" s="34" t="s">
        <v>2</v>
      </c>
      <c r="P145" s="42">
        <v>4</v>
      </c>
      <c r="Q145" s="42" t="s">
        <v>1820</v>
      </c>
      <c r="R145" s="42" t="s">
        <v>1815</v>
      </c>
      <c r="S145" t="str">
        <f>IFERROR(HYPERLINK("#'Main'!B"&amp;MATCH(TRIM(A145),Main!B:B,0),"Open"),HYPERLINK("#'Main'!B1","Open"))</f>
        <v>Open</v>
      </c>
      <c r="T145" t="str">
        <f>IFERROR(HYPERLINK("#'Technical Diagnostics'!A"&amp;MATCH(A145,'Technical Diagnostics'!A:A,0),"Open"),HYPERLINK("#'Technical Diagnostics'!A1","Open"))</f>
        <v>Open</v>
      </c>
    </row>
    <row r="146" spans="1:21" ht="45" customHeight="1" x14ac:dyDescent="0.25">
      <c r="A146" s="50" t="s">
        <v>206</v>
      </c>
      <c r="B146" s="33">
        <v>4941</v>
      </c>
      <c r="C146" s="65" t="s">
        <v>1622</v>
      </c>
      <c r="D146" s="33" t="s">
        <v>1696</v>
      </c>
      <c r="E146" s="53" t="s">
        <v>161</v>
      </c>
      <c r="F146" s="33" t="s">
        <v>1810</v>
      </c>
      <c r="G146" s="36">
        <v>37</v>
      </c>
      <c r="H146" s="33" t="b">
        <v>0</v>
      </c>
      <c r="I146" s="33" t="s">
        <v>1811</v>
      </c>
      <c r="J146" s="33" t="s">
        <v>1812</v>
      </c>
      <c r="K146" s="33" t="s">
        <v>137</v>
      </c>
      <c r="L146" s="33" t="s">
        <v>1813</v>
      </c>
      <c r="M146" s="33" t="s">
        <v>165</v>
      </c>
      <c r="N146" s="33" t="s">
        <v>111</v>
      </c>
      <c r="O146" s="34" t="s">
        <v>2</v>
      </c>
      <c r="P146" s="33">
        <v>4</v>
      </c>
      <c r="Q146" s="33" t="s">
        <v>1821</v>
      </c>
      <c r="R146" s="33" t="s">
        <v>1815</v>
      </c>
      <c r="S146" s="41" t="str">
        <f>IFERROR(HYPERLINK("#'Main'!B"&amp;MATCH(TRIM(A146),Main!B:B,0),"Open"),HYPERLINK("#'Main'!B1","Open"))</f>
        <v>Open</v>
      </c>
      <c r="T146" s="41" t="str">
        <f>IFERROR(HYPERLINK("#'Technical Diagnostics'!A"&amp;MATCH(A146,'Technical Diagnostics'!A:A,0),"Open"),HYPERLINK("#'Technical Diagnostics'!A1","Open"))</f>
        <v>Open</v>
      </c>
      <c r="U146" s="41"/>
    </row>
    <row r="147" spans="1:21" ht="45" customHeight="1" x14ac:dyDescent="0.25">
      <c r="A147" s="51" t="s">
        <v>209</v>
      </c>
      <c r="B147" s="42">
        <v>12371</v>
      </c>
      <c r="C147" s="66" t="s">
        <v>1624</v>
      </c>
      <c r="D147" s="42" t="s">
        <v>1696</v>
      </c>
      <c r="E147" s="53" t="s">
        <v>161</v>
      </c>
      <c r="F147" s="42" t="s">
        <v>1810</v>
      </c>
      <c r="G147" s="43">
        <v>37</v>
      </c>
      <c r="H147" s="42" t="b">
        <v>0</v>
      </c>
      <c r="I147" s="42" t="s">
        <v>1811</v>
      </c>
      <c r="J147" s="42" t="s">
        <v>1812</v>
      </c>
      <c r="K147" s="42" t="s">
        <v>137</v>
      </c>
      <c r="L147" s="42" t="s">
        <v>1813</v>
      </c>
      <c r="M147" s="42" t="s">
        <v>165</v>
      </c>
      <c r="N147" s="42" t="s">
        <v>111</v>
      </c>
      <c r="O147" s="34" t="s">
        <v>2</v>
      </c>
      <c r="P147" s="42">
        <v>4</v>
      </c>
      <c r="Q147" s="42" t="s">
        <v>1822</v>
      </c>
      <c r="R147" s="42" t="s">
        <v>1815</v>
      </c>
      <c r="S147" t="str">
        <f>IFERROR(HYPERLINK("#'Main'!B"&amp;MATCH(TRIM(A147),Main!B:B,0),"Open"),HYPERLINK("#'Main'!B1","Open"))</f>
        <v>Open</v>
      </c>
      <c r="T147" t="str">
        <f>IFERROR(HYPERLINK("#'Technical Diagnostics'!A"&amp;MATCH(A147,'Technical Diagnostics'!A:A,0),"Open"),HYPERLINK("#'Technical Diagnostics'!A1","Open"))</f>
        <v>Open</v>
      </c>
    </row>
    <row r="148" spans="1:21" ht="45" customHeight="1" x14ac:dyDescent="0.25">
      <c r="A148" s="50" t="s">
        <v>210</v>
      </c>
      <c r="B148" s="33">
        <v>12954</v>
      </c>
      <c r="C148" s="65" t="s">
        <v>1626</v>
      </c>
      <c r="D148" s="33" t="s">
        <v>1696</v>
      </c>
      <c r="E148" s="53" t="s">
        <v>161</v>
      </c>
      <c r="F148" s="33" t="s">
        <v>1810</v>
      </c>
      <c r="G148" s="36">
        <v>37</v>
      </c>
      <c r="H148" s="33" t="b">
        <v>0</v>
      </c>
      <c r="I148" s="33" t="s">
        <v>1811</v>
      </c>
      <c r="J148" s="33" t="s">
        <v>1812</v>
      </c>
      <c r="K148" s="33" t="s">
        <v>137</v>
      </c>
      <c r="L148" s="33" t="s">
        <v>1813</v>
      </c>
      <c r="M148" s="33" t="s">
        <v>165</v>
      </c>
      <c r="N148" s="33" t="s">
        <v>111</v>
      </c>
      <c r="O148" s="34" t="s">
        <v>2</v>
      </c>
      <c r="P148" s="33">
        <v>4</v>
      </c>
      <c r="Q148" s="33" t="s">
        <v>1823</v>
      </c>
      <c r="R148" s="33" t="s">
        <v>1815</v>
      </c>
      <c r="S148" s="41" t="str">
        <f>IFERROR(HYPERLINK("#'Main'!B"&amp;MATCH(TRIM(A148),Main!B:B,0),"Open"),HYPERLINK("#'Main'!B1","Open"))</f>
        <v>Open</v>
      </c>
      <c r="T148" s="41" t="str">
        <f>IFERROR(HYPERLINK("#'Technical Diagnostics'!A"&amp;MATCH(A148,'Technical Diagnostics'!A:A,0),"Open"),HYPERLINK("#'Technical Diagnostics'!A1","Open"))</f>
        <v>Open</v>
      </c>
      <c r="U148" s="41"/>
    </row>
    <row r="149" spans="1:21" ht="45" customHeight="1" x14ac:dyDescent="0.25">
      <c r="A149" s="51" t="s">
        <v>157</v>
      </c>
      <c r="B149" s="42">
        <v>13164</v>
      </c>
      <c r="C149" s="66" t="s">
        <v>1596</v>
      </c>
      <c r="D149" s="42" t="s">
        <v>1696</v>
      </c>
      <c r="E149" s="53" t="s">
        <v>161</v>
      </c>
      <c r="F149" s="42" t="s">
        <v>1810</v>
      </c>
      <c r="G149" s="43">
        <v>37</v>
      </c>
      <c r="H149" s="42" t="b">
        <v>0</v>
      </c>
      <c r="I149" s="42" t="s">
        <v>1811</v>
      </c>
      <c r="J149" s="42" t="s">
        <v>1812</v>
      </c>
      <c r="K149" s="42" t="s">
        <v>137</v>
      </c>
      <c r="L149" s="42" t="s">
        <v>1813</v>
      </c>
      <c r="M149" s="42" t="s">
        <v>165</v>
      </c>
      <c r="N149" s="42" t="s">
        <v>111</v>
      </c>
      <c r="O149" s="34" t="s">
        <v>2</v>
      </c>
      <c r="P149" s="42">
        <v>4</v>
      </c>
      <c r="Q149" s="42" t="s">
        <v>1824</v>
      </c>
      <c r="R149" s="42" t="s">
        <v>1815</v>
      </c>
      <c r="S149" t="str">
        <f>IFERROR(HYPERLINK("#'Main'!B"&amp;MATCH(TRIM(A149),Main!B:B,0),"Open"),HYPERLINK("#'Main'!B1","Open"))</f>
        <v>Open</v>
      </c>
      <c r="T149" t="str">
        <f>IFERROR(HYPERLINK("#'Technical Diagnostics'!A"&amp;MATCH(A149,'Technical Diagnostics'!A:A,0),"Open"),HYPERLINK("#'Technical Diagnostics'!A1","Open"))</f>
        <v>Open</v>
      </c>
    </row>
    <row r="150" spans="1:21" ht="45" customHeight="1" x14ac:dyDescent="0.25">
      <c r="A150" s="50" t="s">
        <v>212</v>
      </c>
      <c r="B150" s="33">
        <v>12407</v>
      </c>
      <c r="C150" s="65" t="s">
        <v>1629</v>
      </c>
      <c r="D150" s="33" t="s">
        <v>1696</v>
      </c>
      <c r="E150" s="53" t="s">
        <v>161</v>
      </c>
      <c r="F150" s="33" t="s">
        <v>1810</v>
      </c>
      <c r="G150" s="36">
        <v>37</v>
      </c>
      <c r="H150" s="33" t="b">
        <v>0</v>
      </c>
      <c r="I150" s="33" t="s">
        <v>1811</v>
      </c>
      <c r="J150" s="33" t="s">
        <v>1812</v>
      </c>
      <c r="K150" s="33" t="s">
        <v>137</v>
      </c>
      <c r="L150" s="33" t="s">
        <v>1813</v>
      </c>
      <c r="M150" s="33" t="s">
        <v>165</v>
      </c>
      <c r="N150" s="33" t="s">
        <v>111</v>
      </c>
      <c r="O150" s="34" t="s">
        <v>2</v>
      </c>
      <c r="P150" s="33">
        <v>4</v>
      </c>
      <c r="Q150" s="33" t="s">
        <v>1825</v>
      </c>
      <c r="R150" s="33" t="s">
        <v>1815</v>
      </c>
      <c r="S150" s="41" t="str">
        <f>IFERROR(HYPERLINK("#'Main'!B"&amp;MATCH(TRIM(A150),Main!B:B,0),"Open"),HYPERLINK("#'Main'!B1","Open"))</f>
        <v>Open</v>
      </c>
      <c r="T150" s="41" t="str">
        <f>IFERROR(HYPERLINK("#'Technical Diagnostics'!A"&amp;MATCH(A150,'Technical Diagnostics'!A:A,0),"Open"),HYPERLINK("#'Technical Diagnostics'!A1","Open"))</f>
        <v>Open</v>
      </c>
      <c r="U150" s="41"/>
    </row>
    <row r="151" spans="1:21" ht="45" customHeight="1" x14ac:dyDescent="0.25">
      <c r="A151" s="51" t="s">
        <v>211</v>
      </c>
      <c r="B151" s="42">
        <v>12497</v>
      </c>
      <c r="C151" s="66" t="s">
        <v>1631</v>
      </c>
      <c r="D151" s="42" t="s">
        <v>1696</v>
      </c>
      <c r="E151" s="53" t="s">
        <v>161</v>
      </c>
      <c r="F151" s="42" t="s">
        <v>1810</v>
      </c>
      <c r="G151" s="43">
        <v>37</v>
      </c>
      <c r="H151" s="42" t="b">
        <v>0</v>
      </c>
      <c r="I151" s="42" t="s">
        <v>1811</v>
      </c>
      <c r="J151" s="42" t="s">
        <v>1812</v>
      </c>
      <c r="K151" s="42" t="s">
        <v>137</v>
      </c>
      <c r="L151" s="42" t="s">
        <v>1813</v>
      </c>
      <c r="M151" s="42" t="s">
        <v>165</v>
      </c>
      <c r="N151" s="42" t="s">
        <v>111</v>
      </c>
      <c r="O151" s="34" t="s">
        <v>2</v>
      </c>
      <c r="P151" s="42">
        <v>4</v>
      </c>
      <c r="Q151" s="42" t="s">
        <v>1826</v>
      </c>
      <c r="R151" s="42" t="s">
        <v>1815</v>
      </c>
      <c r="S151" t="str">
        <f>IFERROR(HYPERLINK("#'Main'!B"&amp;MATCH(TRIM(A151),Main!B:B,0),"Open"),HYPERLINK("#'Main'!B1","Open"))</f>
        <v>Open</v>
      </c>
      <c r="T151" t="str">
        <f>IFERROR(HYPERLINK("#'Technical Diagnostics'!A"&amp;MATCH(A151,'Technical Diagnostics'!A:A,0),"Open"),HYPERLINK("#'Technical Diagnostics'!A1","Open"))</f>
        <v>Open</v>
      </c>
    </row>
    <row r="152" spans="1:21" ht="45" customHeight="1" x14ac:dyDescent="0.25">
      <c r="A152" s="50" t="s">
        <v>213</v>
      </c>
      <c r="B152" s="33">
        <v>13098</v>
      </c>
      <c r="C152" s="65" t="s">
        <v>1633</v>
      </c>
      <c r="D152" s="33" t="s">
        <v>1696</v>
      </c>
      <c r="E152" s="53" t="s">
        <v>161</v>
      </c>
      <c r="F152" s="33" t="s">
        <v>1810</v>
      </c>
      <c r="G152" s="36">
        <v>37</v>
      </c>
      <c r="H152" s="33" t="b">
        <v>0</v>
      </c>
      <c r="I152" s="33" t="s">
        <v>1811</v>
      </c>
      <c r="J152" s="33" t="s">
        <v>1812</v>
      </c>
      <c r="K152" s="33" t="s">
        <v>137</v>
      </c>
      <c r="L152" s="33" t="s">
        <v>1813</v>
      </c>
      <c r="M152" s="33" t="s">
        <v>165</v>
      </c>
      <c r="N152" s="33" t="s">
        <v>111</v>
      </c>
      <c r="O152" s="34" t="s">
        <v>2</v>
      </c>
      <c r="P152" s="33">
        <v>4</v>
      </c>
      <c r="Q152" s="33" t="s">
        <v>1827</v>
      </c>
      <c r="R152" s="33" t="s">
        <v>1815</v>
      </c>
      <c r="S152" s="41" t="str">
        <f>IFERROR(HYPERLINK("#'Main'!B"&amp;MATCH(TRIM(A152),Main!B:B,0),"Open"),HYPERLINK("#'Main'!B1","Open"))</f>
        <v>Open</v>
      </c>
      <c r="T152" s="41" t="str">
        <f>IFERROR(HYPERLINK("#'Technical Diagnostics'!A"&amp;MATCH(A152,'Technical Diagnostics'!A:A,0),"Open"),HYPERLINK("#'Technical Diagnostics'!A1","Open"))</f>
        <v>Open</v>
      </c>
      <c r="U152" s="41"/>
    </row>
    <row r="153" spans="1:21" ht="45" customHeight="1" x14ac:dyDescent="0.25">
      <c r="A153" s="51" t="s">
        <v>214</v>
      </c>
      <c r="B153" s="42">
        <v>13549</v>
      </c>
      <c r="C153" s="66" t="s">
        <v>1635</v>
      </c>
      <c r="D153" s="42" t="s">
        <v>1696</v>
      </c>
      <c r="E153" s="53" t="s">
        <v>161</v>
      </c>
      <c r="F153" s="42" t="s">
        <v>1810</v>
      </c>
      <c r="G153" s="43">
        <v>37</v>
      </c>
      <c r="H153" s="42" t="b">
        <v>0</v>
      </c>
      <c r="I153" s="42" t="s">
        <v>1811</v>
      </c>
      <c r="J153" s="42" t="s">
        <v>1812</v>
      </c>
      <c r="K153" s="42" t="s">
        <v>137</v>
      </c>
      <c r="L153" s="42" t="s">
        <v>1813</v>
      </c>
      <c r="M153" s="42" t="s">
        <v>165</v>
      </c>
      <c r="N153" s="42" t="s">
        <v>111</v>
      </c>
      <c r="O153" s="34" t="s">
        <v>2</v>
      </c>
      <c r="P153" s="42">
        <v>4</v>
      </c>
      <c r="Q153" s="42" t="s">
        <v>1828</v>
      </c>
      <c r="R153" s="42" t="s">
        <v>1815</v>
      </c>
      <c r="S153" t="str">
        <f>IFERROR(HYPERLINK("#'Main'!B"&amp;MATCH(TRIM(A153),Main!B:B,0),"Open"),HYPERLINK("#'Main'!B1","Open"))</f>
        <v>Open</v>
      </c>
      <c r="T153" t="str">
        <f>IFERROR(HYPERLINK("#'Technical Diagnostics'!A"&amp;MATCH(A153,'Technical Diagnostics'!A:A,0),"Open"),HYPERLINK("#'Technical Diagnostics'!A1","Open"))</f>
        <v>Open</v>
      </c>
    </row>
    <row r="154" spans="1:21" ht="45" customHeight="1" x14ac:dyDescent="0.25">
      <c r="A154" s="50" t="s">
        <v>215</v>
      </c>
      <c r="B154" s="33">
        <v>13282</v>
      </c>
      <c r="C154" s="65" t="s">
        <v>1637</v>
      </c>
      <c r="D154" s="33" t="s">
        <v>1696</v>
      </c>
      <c r="E154" s="53" t="s">
        <v>161</v>
      </c>
      <c r="F154" s="33" t="s">
        <v>1810</v>
      </c>
      <c r="G154" s="36">
        <v>37</v>
      </c>
      <c r="H154" s="33" t="b">
        <v>0</v>
      </c>
      <c r="I154" s="33" t="s">
        <v>1811</v>
      </c>
      <c r="J154" s="33" t="s">
        <v>1812</v>
      </c>
      <c r="K154" s="33" t="s">
        <v>137</v>
      </c>
      <c r="L154" s="33" t="s">
        <v>1813</v>
      </c>
      <c r="M154" s="33" t="s">
        <v>165</v>
      </c>
      <c r="N154" s="33" t="s">
        <v>111</v>
      </c>
      <c r="O154" s="34" t="s">
        <v>2</v>
      </c>
      <c r="P154" s="33">
        <v>4</v>
      </c>
      <c r="Q154" s="33" t="s">
        <v>1829</v>
      </c>
      <c r="R154" s="33" t="s">
        <v>1815</v>
      </c>
      <c r="S154" s="41" t="str">
        <f>IFERROR(HYPERLINK("#'Main'!B"&amp;MATCH(TRIM(A154),Main!B:B,0),"Open"),HYPERLINK("#'Main'!B1","Open"))</f>
        <v>Open</v>
      </c>
      <c r="T154" s="41" t="str">
        <f>IFERROR(HYPERLINK("#'Technical Diagnostics'!A"&amp;MATCH(A154,'Technical Diagnostics'!A:A,0),"Open"),HYPERLINK("#'Technical Diagnostics'!A1","Open"))</f>
        <v>Open</v>
      </c>
      <c r="U154" s="41"/>
    </row>
    <row r="155" spans="1:21" ht="45" customHeight="1" x14ac:dyDescent="0.25">
      <c r="A155" s="51" t="s">
        <v>217</v>
      </c>
      <c r="B155" s="42">
        <v>12945</v>
      </c>
      <c r="C155" s="66" t="s">
        <v>1639</v>
      </c>
      <c r="D155" s="42" t="s">
        <v>1696</v>
      </c>
      <c r="E155" s="53" t="s">
        <v>161</v>
      </c>
      <c r="F155" s="42" t="s">
        <v>1810</v>
      </c>
      <c r="G155" s="43">
        <v>37</v>
      </c>
      <c r="H155" s="42" t="b">
        <v>0</v>
      </c>
      <c r="I155" s="42" t="s">
        <v>1811</v>
      </c>
      <c r="J155" s="42" t="s">
        <v>1812</v>
      </c>
      <c r="K155" s="42" t="s">
        <v>137</v>
      </c>
      <c r="L155" s="42" t="s">
        <v>1813</v>
      </c>
      <c r="M155" s="42" t="s">
        <v>165</v>
      </c>
      <c r="N155" s="42" t="s">
        <v>111</v>
      </c>
      <c r="O155" s="34" t="s">
        <v>2</v>
      </c>
      <c r="P155" s="42">
        <v>4</v>
      </c>
      <c r="Q155" s="42" t="s">
        <v>1830</v>
      </c>
      <c r="R155" s="42" t="s">
        <v>1815</v>
      </c>
      <c r="S155" t="str">
        <f>IFERROR(HYPERLINK("#'Main'!B"&amp;MATCH(TRIM(A155),Main!B:B,0),"Open"),HYPERLINK("#'Main'!B1","Open"))</f>
        <v>Open</v>
      </c>
      <c r="T155" t="str">
        <f>IFERROR(HYPERLINK("#'Technical Diagnostics'!A"&amp;MATCH(A155,'Technical Diagnostics'!A:A,0),"Open"),HYPERLINK("#'Technical Diagnostics'!A1","Open"))</f>
        <v>Open</v>
      </c>
    </row>
    <row r="156" spans="1:21" ht="45" customHeight="1" x14ac:dyDescent="0.25">
      <c r="A156" s="50" t="s">
        <v>219</v>
      </c>
      <c r="B156" s="33">
        <v>13179</v>
      </c>
      <c r="C156" s="65" t="s">
        <v>1641</v>
      </c>
      <c r="D156" s="33" t="s">
        <v>1696</v>
      </c>
      <c r="E156" s="53" t="s">
        <v>161</v>
      </c>
      <c r="F156" s="33" t="s">
        <v>1810</v>
      </c>
      <c r="G156" s="36">
        <v>37</v>
      </c>
      <c r="H156" s="33" t="b">
        <v>0</v>
      </c>
      <c r="I156" s="33" t="s">
        <v>1811</v>
      </c>
      <c r="J156" s="33" t="s">
        <v>1812</v>
      </c>
      <c r="K156" s="33" t="s">
        <v>137</v>
      </c>
      <c r="L156" s="33" t="s">
        <v>1813</v>
      </c>
      <c r="M156" s="33" t="s">
        <v>165</v>
      </c>
      <c r="N156" s="33" t="s">
        <v>111</v>
      </c>
      <c r="O156" s="34" t="s">
        <v>2</v>
      </c>
      <c r="P156" s="33">
        <v>4</v>
      </c>
      <c r="Q156" s="33" t="s">
        <v>1831</v>
      </c>
      <c r="R156" s="33" t="s">
        <v>1815</v>
      </c>
      <c r="S156" s="41" t="str">
        <f>IFERROR(HYPERLINK("#'Main'!B"&amp;MATCH(TRIM(A156),Main!B:B,0),"Open"),HYPERLINK("#'Main'!B1","Open"))</f>
        <v>Open</v>
      </c>
      <c r="T156" s="41" t="str">
        <f>IFERROR(HYPERLINK("#'Technical Diagnostics'!A"&amp;MATCH(A156,'Technical Diagnostics'!A:A,0),"Open"),HYPERLINK("#'Technical Diagnostics'!A1","Open"))</f>
        <v>Open</v>
      </c>
      <c r="U156" s="41"/>
    </row>
    <row r="157" spans="1:21" ht="45" customHeight="1" x14ac:dyDescent="0.25">
      <c r="A157" s="51" t="s">
        <v>216</v>
      </c>
      <c r="B157" s="42">
        <v>22401</v>
      </c>
      <c r="C157" s="66" t="s">
        <v>1643</v>
      </c>
      <c r="D157" s="42" t="s">
        <v>1696</v>
      </c>
      <c r="E157" s="53" t="s">
        <v>161</v>
      </c>
      <c r="F157" s="42" t="s">
        <v>1810</v>
      </c>
      <c r="G157" s="43">
        <v>37</v>
      </c>
      <c r="H157" s="42" t="b">
        <v>0</v>
      </c>
      <c r="I157" s="42" t="s">
        <v>1811</v>
      </c>
      <c r="J157" s="42" t="s">
        <v>1812</v>
      </c>
      <c r="K157" s="42" t="s">
        <v>137</v>
      </c>
      <c r="L157" s="42" t="s">
        <v>1813</v>
      </c>
      <c r="M157" s="42" t="s">
        <v>165</v>
      </c>
      <c r="N157" s="42" t="s">
        <v>111</v>
      </c>
      <c r="O157" s="34" t="s">
        <v>2</v>
      </c>
      <c r="P157" s="42">
        <v>4</v>
      </c>
      <c r="Q157" s="42" t="s">
        <v>1832</v>
      </c>
      <c r="R157" s="42" t="s">
        <v>1815</v>
      </c>
      <c r="S157" t="str">
        <f>IFERROR(HYPERLINK("#'Main'!B"&amp;MATCH(TRIM(A157),Main!B:B,0),"Open"),HYPERLINK("#'Main'!B1","Open"))</f>
        <v>Open</v>
      </c>
      <c r="T157" t="str">
        <f>IFERROR(HYPERLINK("#'Technical Diagnostics'!A"&amp;MATCH(A157,'Technical Diagnostics'!A:A,0),"Open"),HYPERLINK("#'Technical Diagnostics'!A1","Open"))</f>
        <v>Open</v>
      </c>
    </row>
    <row r="158" spans="1:21" ht="45" customHeight="1" x14ac:dyDescent="0.25">
      <c r="A158" s="50" t="s">
        <v>218</v>
      </c>
      <c r="B158" s="33">
        <v>18318</v>
      </c>
      <c r="C158" s="65" t="s">
        <v>1645</v>
      </c>
      <c r="D158" s="33" t="s">
        <v>1696</v>
      </c>
      <c r="E158" s="53" t="s">
        <v>161</v>
      </c>
      <c r="F158" s="33" t="s">
        <v>1810</v>
      </c>
      <c r="G158" s="36">
        <v>37</v>
      </c>
      <c r="H158" s="33" t="b">
        <v>0</v>
      </c>
      <c r="I158" s="33" t="s">
        <v>1811</v>
      </c>
      <c r="J158" s="33" t="s">
        <v>1812</v>
      </c>
      <c r="K158" s="33" t="s">
        <v>137</v>
      </c>
      <c r="L158" s="33" t="s">
        <v>1813</v>
      </c>
      <c r="M158" s="33" t="s">
        <v>165</v>
      </c>
      <c r="N158" s="33" t="s">
        <v>111</v>
      </c>
      <c r="O158" s="34" t="s">
        <v>2</v>
      </c>
      <c r="P158" s="33">
        <v>4</v>
      </c>
      <c r="Q158" s="33" t="s">
        <v>1833</v>
      </c>
      <c r="R158" s="33" t="s">
        <v>1815</v>
      </c>
      <c r="S158" s="41" t="str">
        <f>IFERROR(HYPERLINK("#'Main'!B"&amp;MATCH(TRIM(A158),Main!B:B,0),"Open"),HYPERLINK("#'Main'!B1","Open"))</f>
        <v>Open</v>
      </c>
      <c r="T158" s="41" t="str">
        <f>IFERROR(HYPERLINK("#'Technical Diagnostics'!A"&amp;MATCH(A158,'Technical Diagnostics'!A:A,0),"Open"),HYPERLINK("#'Technical Diagnostics'!A1","Open"))</f>
        <v>Open</v>
      </c>
      <c r="U158" s="41"/>
    </row>
    <row r="159" spans="1:21" ht="45" customHeight="1" x14ac:dyDescent="0.25">
      <c r="A159" s="51" t="s">
        <v>189</v>
      </c>
      <c r="B159" s="42">
        <v>30257</v>
      </c>
      <c r="C159" s="66" t="s">
        <v>1647</v>
      </c>
      <c r="D159" s="42" t="s">
        <v>1696</v>
      </c>
      <c r="E159" s="53" t="s">
        <v>161</v>
      </c>
      <c r="F159" s="42" t="s">
        <v>1810</v>
      </c>
      <c r="G159" s="43">
        <v>37</v>
      </c>
      <c r="H159" s="42" t="b">
        <v>0</v>
      </c>
      <c r="I159" s="42" t="s">
        <v>1811</v>
      </c>
      <c r="J159" s="42" t="s">
        <v>1812</v>
      </c>
      <c r="K159" s="42" t="s">
        <v>137</v>
      </c>
      <c r="L159" s="42" t="s">
        <v>1813</v>
      </c>
      <c r="M159" s="42" t="s">
        <v>165</v>
      </c>
      <c r="N159" s="42" t="s">
        <v>111</v>
      </c>
      <c r="O159" s="34" t="s">
        <v>2</v>
      </c>
      <c r="P159" s="42">
        <v>4</v>
      </c>
      <c r="Q159" s="42" t="s">
        <v>1834</v>
      </c>
      <c r="R159" s="42" t="s">
        <v>1815</v>
      </c>
      <c r="S159" t="str">
        <f>IFERROR(HYPERLINK("#'Main'!B"&amp;MATCH(TRIM(A159),Main!B:B,0),"Open"),HYPERLINK("#'Main'!B1","Open"))</f>
        <v>Open</v>
      </c>
      <c r="T159" t="str">
        <f>IFERROR(HYPERLINK("#'Technical Diagnostics'!A"&amp;MATCH(A159,'Technical Diagnostics'!A:A,0),"Open"),HYPERLINK("#'Technical Diagnostics'!A1","Open"))</f>
        <v>Open</v>
      </c>
    </row>
    <row r="160" spans="1:21" ht="30" customHeight="1" x14ac:dyDescent="0.25">
      <c r="A160" s="50" t="s">
        <v>176</v>
      </c>
      <c r="B160" s="33">
        <v>8</v>
      </c>
      <c r="C160" s="65" t="s">
        <v>1605</v>
      </c>
      <c r="D160" s="33" t="s">
        <v>1835</v>
      </c>
      <c r="E160" s="53" t="s">
        <v>161</v>
      </c>
      <c r="F160" s="33" t="s">
        <v>1836</v>
      </c>
      <c r="G160" s="36">
        <v>37</v>
      </c>
      <c r="H160" s="33">
        <v>66</v>
      </c>
      <c r="I160" s="33" t="s">
        <v>1837</v>
      </c>
      <c r="J160" s="33" t="s">
        <v>1838</v>
      </c>
      <c r="K160" s="38" t="s">
        <v>1602</v>
      </c>
      <c r="L160" s="33" t="s">
        <v>1835</v>
      </c>
      <c r="M160" s="33" t="s">
        <v>165</v>
      </c>
      <c r="N160" s="33" t="s">
        <v>111</v>
      </c>
      <c r="O160" s="34" t="s">
        <v>2</v>
      </c>
      <c r="P160" s="33">
        <v>4</v>
      </c>
      <c r="Q160" s="33" t="s">
        <v>1839</v>
      </c>
      <c r="R160" s="33" t="s">
        <v>1840</v>
      </c>
      <c r="S160" s="41" t="str">
        <f>IFERROR(HYPERLINK("#'Main'!B"&amp;MATCH(TRIM(A160),Main!B:B,0),"Open"),HYPERLINK("#'Main'!B1","Open"))</f>
        <v>Open</v>
      </c>
      <c r="T160" s="41" t="str">
        <f>IFERROR(HYPERLINK("#'Technical Diagnostics'!A"&amp;MATCH(A160,'Technical Diagnostics'!A:A,0),"Open"),HYPERLINK("#'Technical Diagnostics'!A1","Open"))</f>
        <v>Open</v>
      </c>
      <c r="U160" s="41"/>
    </row>
    <row r="161" spans="1:21" ht="30" customHeight="1" x14ac:dyDescent="0.25">
      <c r="A161" s="51" t="s">
        <v>178</v>
      </c>
      <c r="B161" s="42">
        <v>84</v>
      </c>
      <c r="C161" s="66" t="s">
        <v>1612</v>
      </c>
      <c r="D161" s="42" t="s">
        <v>1835</v>
      </c>
      <c r="E161" s="53" t="s">
        <v>161</v>
      </c>
      <c r="F161" s="42" t="s">
        <v>1836</v>
      </c>
      <c r="G161" s="43">
        <v>37</v>
      </c>
      <c r="H161" s="42">
        <v>107</v>
      </c>
      <c r="I161" s="42" t="s">
        <v>1837</v>
      </c>
      <c r="J161" s="42" t="s">
        <v>1838</v>
      </c>
      <c r="K161" s="45" t="s">
        <v>1602</v>
      </c>
      <c r="L161" s="42" t="s">
        <v>1835</v>
      </c>
      <c r="M161" s="42" t="s">
        <v>165</v>
      </c>
      <c r="N161" s="42" t="s">
        <v>111</v>
      </c>
      <c r="O161" s="34" t="s">
        <v>2</v>
      </c>
      <c r="P161" s="42">
        <v>4</v>
      </c>
      <c r="Q161" s="42" t="s">
        <v>1841</v>
      </c>
      <c r="R161" s="42" t="s">
        <v>1840</v>
      </c>
      <c r="S161" t="str">
        <f>IFERROR(HYPERLINK("#'Main'!B"&amp;MATCH(TRIM(A161),Main!B:B,0),"Open"),HYPERLINK("#'Main'!B1","Open"))</f>
        <v>Open</v>
      </c>
      <c r="T161" t="str">
        <f>IFERROR(HYPERLINK("#'Technical Diagnostics'!A"&amp;MATCH(A161,'Technical Diagnostics'!A:A,0),"Open"),HYPERLINK("#'Technical Diagnostics'!A1","Open"))</f>
        <v>Open</v>
      </c>
    </row>
    <row r="162" spans="1:21" ht="30" customHeight="1" x14ac:dyDescent="0.25">
      <c r="A162" s="50" t="s">
        <v>208</v>
      </c>
      <c r="B162" s="33">
        <v>28165</v>
      </c>
      <c r="C162" s="65" t="s">
        <v>1614</v>
      </c>
      <c r="D162" s="33" t="s">
        <v>1835</v>
      </c>
      <c r="E162" s="53" t="s">
        <v>161</v>
      </c>
      <c r="F162" s="33" t="s">
        <v>1836</v>
      </c>
      <c r="G162" s="36">
        <v>37</v>
      </c>
      <c r="H162" s="33">
        <v>81</v>
      </c>
      <c r="I162" s="33" t="s">
        <v>1837</v>
      </c>
      <c r="J162" s="33" t="s">
        <v>1838</v>
      </c>
      <c r="K162" s="38" t="s">
        <v>1602</v>
      </c>
      <c r="L162" s="33" t="s">
        <v>1835</v>
      </c>
      <c r="M162" s="33" t="s">
        <v>165</v>
      </c>
      <c r="N162" s="33" t="s">
        <v>111</v>
      </c>
      <c r="O162" s="34" t="s">
        <v>2</v>
      </c>
      <c r="P162" s="33">
        <v>4</v>
      </c>
      <c r="Q162" s="33" t="s">
        <v>1842</v>
      </c>
      <c r="R162" s="33" t="s">
        <v>1840</v>
      </c>
      <c r="S162" s="41" t="str">
        <f>IFERROR(HYPERLINK("#'Main'!B"&amp;MATCH(TRIM(A162),Main!B:B,0),"Open"),HYPERLINK("#'Main'!B1","Open"))</f>
        <v>Open</v>
      </c>
      <c r="T162" s="41" t="str">
        <f>IFERROR(HYPERLINK("#'Technical Diagnostics'!A"&amp;MATCH(A162,'Technical Diagnostics'!A:A,0),"Open"),HYPERLINK("#'Technical Diagnostics'!A1","Open"))</f>
        <v>Open</v>
      </c>
      <c r="U162" s="41"/>
    </row>
    <row r="163" spans="1:21" ht="30" customHeight="1" x14ac:dyDescent="0.25">
      <c r="A163" s="51" t="s">
        <v>155</v>
      </c>
      <c r="B163" s="42">
        <v>5619</v>
      </c>
      <c r="C163" s="66" t="s">
        <v>1620</v>
      </c>
      <c r="D163" s="42" t="s">
        <v>1835</v>
      </c>
      <c r="E163" s="53" t="s">
        <v>161</v>
      </c>
      <c r="F163" s="42" t="s">
        <v>1836</v>
      </c>
      <c r="G163" s="43">
        <v>37</v>
      </c>
      <c r="H163" s="42">
        <v>66</v>
      </c>
      <c r="I163" s="42" t="s">
        <v>1837</v>
      </c>
      <c r="J163" s="42" t="s">
        <v>1838</v>
      </c>
      <c r="K163" s="45" t="s">
        <v>1602</v>
      </c>
      <c r="L163" s="42" t="s">
        <v>1835</v>
      </c>
      <c r="M163" s="42" t="s">
        <v>165</v>
      </c>
      <c r="N163" s="42" t="s">
        <v>111</v>
      </c>
      <c r="O163" s="34" t="s">
        <v>2</v>
      </c>
      <c r="P163" s="42">
        <v>4</v>
      </c>
      <c r="Q163" s="42" t="s">
        <v>1843</v>
      </c>
      <c r="R163" s="42" t="s">
        <v>1840</v>
      </c>
      <c r="S163" t="str">
        <f>IFERROR(HYPERLINK("#'Main'!B"&amp;MATCH(TRIM(A163),Main!B:B,0),"Open"),HYPERLINK("#'Main'!B1","Open"))</f>
        <v>Open</v>
      </c>
      <c r="T163" t="str">
        <f>IFERROR(HYPERLINK("#'Technical Diagnostics'!A"&amp;MATCH(A163,'Technical Diagnostics'!A:A,0),"Open"),HYPERLINK("#'Technical Diagnostics'!A1","Open"))</f>
        <v>Open</v>
      </c>
    </row>
    <row r="164" spans="1:21" ht="30" customHeight="1" x14ac:dyDescent="0.25">
      <c r="A164" s="50" t="s">
        <v>206</v>
      </c>
      <c r="B164" s="33">
        <v>4941</v>
      </c>
      <c r="C164" s="65" t="s">
        <v>1622</v>
      </c>
      <c r="D164" s="33" t="s">
        <v>1835</v>
      </c>
      <c r="E164" s="53" t="s">
        <v>161</v>
      </c>
      <c r="F164" s="33" t="s">
        <v>1836</v>
      </c>
      <c r="G164" s="36">
        <v>37</v>
      </c>
      <c r="H164" s="33">
        <v>65</v>
      </c>
      <c r="I164" s="33" t="s">
        <v>1837</v>
      </c>
      <c r="J164" s="33" t="s">
        <v>1838</v>
      </c>
      <c r="K164" s="38" t="s">
        <v>1602</v>
      </c>
      <c r="L164" s="33" t="s">
        <v>1835</v>
      </c>
      <c r="M164" s="33" t="s">
        <v>165</v>
      </c>
      <c r="N164" s="33" t="s">
        <v>111</v>
      </c>
      <c r="O164" s="34" t="s">
        <v>2</v>
      </c>
      <c r="P164" s="33">
        <v>4</v>
      </c>
      <c r="Q164" s="33" t="s">
        <v>1844</v>
      </c>
      <c r="R164" s="33" t="s">
        <v>1840</v>
      </c>
      <c r="S164" s="41" t="str">
        <f>IFERROR(HYPERLINK("#'Main'!B"&amp;MATCH(TRIM(A164),Main!B:B,0),"Open"),HYPERLINK("#'Main'!B1","Open"))</f>
        <v>Open</v>
      </c>
      <c r="T164" s="41" t="str">
        <f>IFERROR(HYPERLINK("#'Technical Diagnostics'!A"&amp;MATCH(A164,'Technical Diagnostics'!A:A,0),"Open"),HYPERLINK("#'Technical Diagnostics'!A1","Open"))</f>
        <v>Open</v>
      </c>
      <c r="U164" s="41"/>
    </row>
    <row r="165" spans="1:21" ht="30" customHeight="1" x14ac:dyDescent="0.25">
      <c r="A165" s="51" t="s">
        <v>189</v>
      </c>
      <c r="B165" s="42">
        <v>30257</v>
      </c>
      <c r="C165" s="66" t="s">
        <v>1647</v>
      </c>
      <c r="D165" s="42" t="s">
        <v>1835</v>
      </c>
      <c r="E165" s="53" t="s">
        <v>161</v>
      </c>
      <c r="F165" s="42" t="s">
        <v>1836</v>
      </c>
      <c r="G165" s="43">
        <v>37</v>
      </c>
      <c r="H165" s="42">
        <v>64</v>
      </c>
      <c r="I165" s="42" t="s">
        <v>1837</v>
      </c>
      <c r="J165" s="42" t="s">
        <v>1838</v>
      </c>
      <c r="K165" s="45" t="s">
        <v>1602</v>
      </c>
      <c r="L165" s="42" t="s">
        <v>1835</v>
      </c>
      <c r="M165" s="42" t="s">
        <v>165</v>
      </c>
      <c r="N165" s="42" t="s">
        <v>111</v>
      </c>
      <c r="O165" s="34" t="s">
        <v>2</v>
      </c>
      <c r="P165" s="42">
        <v>4</v>
      </c>
      <c r="Q165" s="42" t="s">
        <v>1845</v>
      </c>
      <c r="R165" s="42" t="s">
        <v>1840</v>
      </c>
      <c r="S165" t="str">
        <f>IFERROR(HYPERLINK("#'Main'!B"&amp;MATCH(TRIM(A165),Main!B:B,0),"Open"),HYPERLINK("#'Main'!B1","Open"))</f>
        <v>Open</v>
      </c>
      <c r="T165" t="str">
        <f>IFERROR(HYPERLINK("#'Technical Diagnostics'!A"&amp;MATCH(A165,'Technical Diagnostics'!A:A,0),"Open"),HYPERLINK("#'Technical Diagnostics'!A1","Open"))</f>
        <v>Open</v>
      </c>
    </row>
  </sheetData>
  <autoFilter ref="A1:U165" xr:uid="{00000000-0009-0000-0000-00000C000000}"/>
  <conditionalFormatting sqref="G2:G165">
    <cfRule type="cellIs" dxfId="22" priority="1" operator="greaterThanOrEqual">
      <formula>85</formula>
    </cfRule>
    <cfRule type="cellIs" dxfId="21" priority="2" operator="between">
      <formula>65</formula>
      <formula>84</formula>
    </cfRule>
  </conditionalFormatting>
  <conditionalFormatting sqref="M2:M165">
    <cfRule type="expression" dxfId="20" priority="3" stopIfTrue="1">
      <formula>LOWER(M2)="yes"</formula>
    </cfRule>
    <cfRule type="expression" dxfId="19" priority="4" stopIfTrue="1">
      <formula>LOWER(M2)="no"</formula>
    </cfRule>
  </conditionalFormatting>
  <conditionalFormatting sqref="O2:O165">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165" xr:uid="{00000000-0002-0000-0C00-000000000000}">
      <formula1>"To Do,In Progress,Fixed"</formula1>
    </dataValidation>
  </dataValidations>
  <hyperlinks>
    <hyperlink ref="U1" location="'Dashboard'!A1" display="BACK TO DASHBOARD" xr:uid="{00000000-0004-0000-0C00-000000000000}"/>
    <hyperlink ref="A2" r:id="rId1" xr:uid="{00000000-0004-0000-0C00-000001000000}"/>
    <hyperlink ref="C2" r:id="rId2" xr:uid="{00000000-0004-0000-0C00-000002000000}"/>
    <hyperlink ref="K2" location="'Main'!A1" display="Main" xr:uid="{00000000-0004-0000-0C00-000003000000}"/>
    <hyperlink ref="A3" r:id="rId3" xr:uid="{00000000-0004-0000-0C00-000004000000}"/>
    <hyperlink ref="C3" r:id="rId4" xr:uid="{00000000-0004-0000-0C00-000005000000}"/>
    <hyperlink ref="A4" r:id="rId5" xr:uid="{00000000-0004-0000-0C00-000006000000}"/>
    <hyperlink ref="C4" r:id="rId6" xr:uid="{00000000-0004-0000-0C00-000007000000}"/>
    <hyperlink ref="A5" r:id="rId7" xr:uid="{00000000-0004-0000-0C00-000008000000}"/>
    <hyperlink ref="C5" r:id="rId8" xr:uid="{00000000-0004-0000-0C00-000009000000}"/>
    <hyperlink ref="A6" r:id="rId9" xr:uid="{00000000-0004-0000-0C00-00000A000000}"/>
    <hyperlink ref="C6" r:id="rId10" xr:uid="{00000000-0004-0000-0C00-00000B000000}"/>
    <hyperlink ref="A7" r:id="rId11" xr:uid="{00000000-0004-0000-0C00-00000C000000}"/>
    <hyperlink ref="C7" r:id="rId12" xr:uid="{00000000-0004-0000-0C00-00000D000000}"/>
    <hyperlink ref="A8" r:id="rId13" xr:uid="{00000000-0004-0000-0C00-00000E000000}"/>
    <hyperlink ref="C8" r:id="rId14" xr:uid="{00000000-0004-0000-0C00-00000F000000}"/>
    <hyperlink ref="A9" r:id="rId15" xr:uid="{00000000-0004-0000-0C00-000010000000}"/>
    <hyperlink ref="C9" r:id="rId16" xr:uid="{00000000-0004-0000-0C00-000011000000}"/>
    <hyperlink ref="A10" r:id="rId17" xr:uid="{00000000-0004-0000-0C00-000012000000}"/>
    <hyperlink ref="C10" r:id="rId18" xr:uid="{00000000-0004-0000-0C00-000013000000}"/>
    <hyperlink ref="A11" r:id="rId19" xr:uid="{00000000-0004-0000-0C00-000014000000}"/>
    <hyperlink ref="C11" r:id="rId20" xr:uid="{00000000-0004-0000-0C00-000015000000}"/>
    <hyperlink ref="A12" r:id="rId21" xr:uid="{00000000-0004-0000-0C00-000016000000}"/>
    <hyperlink ref="C12" r:id="rId22" xr:uid="{00000000-0004-0000-0C00-000017000000}"/>
    <hyperlink ref="A13" r:id="rId23" xr:uid="{00000000-0004-0000-0C00-000018000000}"/>
    <hyperlink ref="C13" r:id="rId24" xr:uid="{00000000-0004-0000-0C00-000019000000}"/>
    <hyperlink ref="A14" r:id="rId25" xr:uid="{00000000-0004-0000-0C00-00001A000000}"/>
    <hyperlink ref="C14" r:id="rId26" xr:uid="{00000000-0004-0000-0C00-00001B000000}"/>
    <hyperlink ref="A15" r:id="rId27" xr:uid="{00000000-0004-0000-0C00-00001C000000}"/>
    <hyperlink ref="C15" r:id="rId28" xr:uid="{00000000-0004-0000-0C00-00001D000000}"/>
    <hyperlink ref="A16" r:id="rId29" xr:uid="{00000000-0004-0000-0C00-00001E000000}"/>
    <hyperlink ref="C16" r:id="rId30" xr:uid="{00000000-0004-0000-0C00-00001F000000}"/>
    <hyperlink ref="A17" r:id="rId31" xr:uid="{00000000-0004-0000-0C00-000020000000}"/>
    <hyperlink ref="C17" r:id="rId32" xr:uid="{00000000-0004-0000-0C00-000021000000}"/>
    <hyperlink ref="A18" r:id="rId33" xr:uid="{00000000-0004-0000-0C00-000022000000}"/>
    <hyperlink ref="C18" r:id="rId34" xr:uid="{00000000-0004-0000-0C00-000023000000}"/>
    <hyperlink ref="A19" r:id="rId35" xr:uid="{00000000-0004-0000-0C00-000024000000}"/>
    <hyperlink ref="C19" r:id="rId36" xr:uid="{00000000-0004-0000-0C00-000025000000}"/>
    <hyperlink ref="A20" r:id="rId37" xr:uid="{00000000-0004-0000-0C00-000026000000}"/>
    <hyperlink ref="C20" r:id="rId38" xr:uid="{00000000-0004-0000-0C00-000027000000}"/>
    <hyperlink ref="A21" r:id="rId39" xr:uid="{00000000-0004-0000-0C00-000028000000}"/>
    <hyperlink ref="C21" r:id="rId40" xr:uid="{00000000-0004-0000-0C00-000029000000}"/>
    <hyperlink ref="A22" r:id="rId41" xr:uid="{00000000-0004-0000-0C00-00002A000000}"/>
    <hyperlink ref="C22" r:id="rId42" xr:uid="{00000000-0004-0000-0C00-00002B000000}"/>
    <hyperlink ref="A23" r:id="rId43" xr:uid="{00000000-0004-0000-0C00-00002C000000}"/>
    <hyperlink ref="C23" r:id="rId44" xr:uid="{00000000-0004-0000-0C00-00002D000000}"/>
    <hyperlink ref="A24" r:id="rId45" xr:uid="{00000000-0004-0000-0C00-00002E000000}"/>
    <hyperlink ref="C24" r:id="rId46" xr:uid="{00000000-0004-0000-0C00-00002F000000}"/>
    <hyperlink ref="A25" r:id="rId47" xr:uid="{00000000-0004-0000-0C00-000030000000}"/>
    <hyperlink ref="C25" r:id="rId48" xr:uid="{00000000-0004-0000-0C00-000031000000}"/>
    <hyperlink ref="A26" r:id="rId49" xr:uid="{00000000-0004-0000-0C00-000032000000}"/>
    <hyperlink ref="C26" r:id="rId50" xr:uid="{00000000-0004-0000-0C00-000033000000}"/>
    <hyperlink ref="A27" r:id="rId51" xr:uid="{00000000-0004-0000-0C00-000034000000}"/>
    <hyperlink ref="C27" r:id="rId52" xr:uid="{00000000-0004-0000-0C00-000035000000}"/>
    <hyperlink ref="A28" r:id="rId53" xr:uid="{00000000-0004-0000-0C00-000036000000}"/>
    <hyperlink ref="C28" r:id="rId54" xr:uid="{00000000-0004-0000-0C00-000037000000}"/>
    <hyperlink ref="A29" r:id="rId55" xr:uid="{00000000-0004-0000-0C00-000038000000}"/>
    <hyperlink ref="C29" r:id="rId56" xr:uid="{00000000-0004-0000-0C00-000039000000}"/>
    <hyperlink ref="A30" r:id="rId57" xr:uid="{00000000-0004-0000-0C00-00003A000000}"/>
    <hyperlink ref="C30" r:id="rId58" xr:uid="{00000000-0004-0000-0C00-00003B000000}"/>
    <hyperlink ref="A31" r:id="rId59" xr:uid="{00000000-0004-0000-0C00-00003C000000}"/>
    <hyperlink ref="C31" r:id="rId60" xr:uid="{00000000-0004-0000-0C00-00003D000000}"/>
    <hyperlink ref="A32" r:id="rId61" xr:uid="{00000000-0004-0000-0C00-00003E000000}"/>
    <hyperlink ref="C32" r:id="rId62" xr:uid="{00000000-0004-0000-0C00-00003F000000}"/>
    <hyperlink ref="A33" r:id="rId63" xr:uid="{00000000-0004-0000-0C00-000040000000}"/>
    <hyperlink ref="C33" r:id="rId64" xr:uid="{00000000-0004-0000-0C00-000041000000}"/>
    <hyperlink ref="A34" r:id="rId65" xr:uid="{00000000-0004-0000-0C00-000042000000}"/>
    <hyperlink ref="C34" r:id="rId66" xr:uid="{00000000-0004-0000-0C00-000043000000}"/>
    <hyperlink ref="A35" r:id="rId67" xr:uid="{00000000-0004-0000-0C00-000044000000}"/>
    <hyperlink ref="C35" r:id="rId68" xr:uid="{00000000-0004-0000-0C00-000045000000}"/>
    <hyperlink ref="A36" r:id="rId69" xr:uid="{00000000-0004-0000-0C00-000046000000}"/>
    <hyperlink ref="C36" r:id="rId70" xr:uid="{00000000-0004-0000-0C00-000047000000}"/>
    <hyperlink ref="A37" r:id="rId71" xr:uid="{00000000-0004-0000-0C00-000048000000}"/>
    <hyperlink ref="C37" r:id="rId72" xr:uid="{00000000-0004-0000-0C00-000049000000}"/>
    <hyperlink ref="A38" r:id="rId73" xr:uid="{00000000-0004-0000-0C00-00004A000000}"/>
    <hyperlink ref="C38" r:id="rId74" xr:uid="{00000000-0004-0000-0C00-00004B000000}"/>
    <hyperlink ref="A39" r:id="rId75" xr:uid="{00000000-0004-0000-0C00-00004C000000}"/>
    <hyperlink ref="C39" r:id="rId76" xr:uid="{00000000-0004-0000-0C00-00004D000000}"/>
    <hyperlink ref="A40" r:id="rId77" xr:uid="{00000000-0004-0000-0C00-00004E000000}"/>
    <hyperlink ref="C40" r:id="rId78" xr:uid="{00000000-0004-0000-0C00-00004F000000}"/>
    <hyperlink ref="A41" r:id="rId79" xr:uid="{00000000-0004-0000-0C00-000050000000}"/>
    <hyperlink ref="C41" r:id="rId80" xr:uid="{00000000-0004-0000-0C00-000051000000}"/>
    <hyperlink ref="A42" r:id="rId81" xr:uid="{00000000-0004-0000-0C00-000052000000}"/>
    <hyperlink ref="C42" r:id="rId82" xr:uid="{00000000-0004-0000-0C00-000053000000}"/>
    <hyperlink ref="A43" r:id="rId83" xr:uid="{00000000-0004-0000-0C00-000054000000}"/>
    <hyperlink ref="C43" r:id="rId84" xr:uid="{00000000-0004-0000-0C00-000055000000}"/>
    <hyperlink ref="A44" r:id="rId85" xr:uid="{00000000-0004-0000-0C00-000056000000}"/>
    <hyperlink ref="C44" r:id="rId86" xr:uid="{00000000-0004-0000-0C00-000057000000}"/>
    <hyperlink ref="A45" r:id="rId87" xr:uid="{00000000-0004-0000-0C00-000058000000}"/>
    <hyperlink ref="C45" r:id="rId88" xr:uid="{00000000-0004-0000-0C00-000059000000}"/>
    <hyperlink ref="A46" r:id="rId89" xr:uid="{00000000-0004-0000-0C00-00005A000000}"/>
    <hyperlink ref="C46" r:id="rId90" xr:uid="{00000000-0004-0000-0C00-00005B000000}"/>
    <hyperlink ref="A47" r:id="rId91" xr:uid="{00000000-0004-0000-0C00-00005C000000}"/>
    <hyperlink ref="C47" r:id="rId92" xr:uid="{00000000-0004-0000-0C00-00005D000000}"/>
    <hyperlink ref="A48" r:id="rId93" xr:uid="{00000000-0004-0000-0C00-00005E000000}"/>
    <hyperlink ref="C48" r:id="rId94" xr:uid="{00000000-0004-0000-0C00-00005F000000}"/>
    <hyperlink ref="A49" r:id="rId95" xr:uid="{00000000-0004-0000-0C00-000060000000}"/>
    <hyperlink ref="C49" r:id="rId96" xr:uid="{00000000-0004-0000-0C00-000061000000}"/>
    <hyperlink ref="A50" r:id="rId97" xr:uid="{00000000-0004-0000-0C00-000062000000}"/>
    <hyperlink ref="C50" r:id="rId98" xr:uid="{00000000-0004-0000-0C00-000063000000}"/>
    <hyperlink ref="A51" r:id="rId99" xr:uid="{00000000-0004-0000-0C00-000064000000}"/>
    <hyperlink ref="C51" r:id="rId100" xr:uid="{00000000-0004-0000-0C00-000065000000}"/>
    <hyperlink ref="A52" r:id="rId101" xr:uid="{00000000-0004-0000-0C00-000066000000}"/>
    <hyperlink ref="C52" r:id="rId102" xr:uid="{00000000-0004-0000-0C00-000067000000}"/>
    <hyperlink ref="A53" r:id="rId103" xr:uid="{00000000-0004-0000-0C00-000068000000}"/>
    <hyperlink ref="C53" r:id="rId104" xr:uid="{00000000-0004-0000-0C00-000069000000}"/>
    <hyperlink ref="A54" r:id="rId105" xr:uid="{00000000-0004-0000-0C00-00006A000000}"/>
    <hyperlink ref="C54" r:id="rId106" xr:uid="{00000000-0004-0000-0C00-00006B000000}"/>
    <hyperlink ref="A55" r:id="rId107" xr:uid="{00000000-0004-0000-0C00-00006C000000}"/>
    <hyperlink ref="C55" r:id="rId108" xr:uid="{00000000-0004-0000-0C00-00006D000000}"/>
    <hyperlink ref="A56" r:id="rId109" xr:uid="{00000000-0004-0000-0C00-00006E000000}"/>
    <hyperlink ref="C56" r:id="rId110" xr:uid="{00000000-0004-0000-0C00-00006F000000}"/>
    <hyperlink ref="A57" r:id="rId111" xr:uid="{00000000-0004-0000-0C00-000070000000}"/>
    <hyperlink ref="C57" r:id="rId112" xr:uid="{00000000-0004-0000-0C00-000071000000}"/>
    <hyperlink ref="A58" r:id="rId113" xr:uid="{00000000-0004-0000-0C00-000072000000}"/>
    <hyperlink ref="C58" r:id="rId114" xr:uid="{00000000-0004-0000-0C00-000073000000}"/>
    <hyperlink ref="A59" r:id="rId115" xr:uid="{00000000-0004-0000-0C00-000074000000}"/>
    <hyperlink ref="C59" r:id="rId116" xr:uid="{00000000-0004-0000-0C00-000075000000}"/>
    <hyperlink ref="A60" r:id="rId117" xr:uid="{00000000-0004-0000-0C00-000076000000}"/>
    <hyperlink ref="C60" r:id="rId118" xr:uid="{00000000-0004-0000-0C00-000077000000}"/>
    <hyperlink ref="A61" r:id="rId119" xr:uid="{00000000-0004-0000-0C00-000078000000}"/>
    <hyperlink ref="C61" r:id="rId120" xr:uid="{00000000-0004-0000-0C00-000079000000}"/>
    <hyperlink ref="A62" r:id="rId121" xr:uid="{00000000-0004-0000-0C00-00007A000000}"/>
    <hyperlink ref="C62" r:id="rId122" xr:uid="{00000000-0004-0000-0C00-00007B000000}"/>
    <hyperlink ref="A63" r:id="rId123" xr:uid="{00000000-0004-0000-0C00-00007C000000}"/>
    <hyperlink ref="C63" r:id="rId124" xr:uid="{00000000-0004-0000-0C00-00007D000000}"/>
    <hyperlink ref="A64" r:id="rId125" xr:uid="{00000000-0004-0000-0C00-00007E000000}"/>
    <hyperlink ref="C64" r:id="rId126" xr:uid="{00000000-0004-0000-0C00-00007F000000}"/>
    <hyperlink ref="A65" r:id="rId127" xr:uid="{00000000-0004-0000-0C00-000080000000}"/>
    <hyperlink ref="C65" r:id="rId128" xr:uid="{00000000-0004-0000-0C00-000081000000}"/>
    <hyperlink ref="A66" r:id="rId129" xr:uid="{00000000-0004-0000-0C00-000082000000}"/>
    <hyperlink ref="C66" r:id="rId130" xr:uid="{00000000-0004-0000-0C00-000083000000}"/>
    <hyperlink ref="A67" r:id="rId131" xr:uid="{00000000-0004-0000-0C00-000084000000}"/>
    <hyperlink ref="C67" r:id="rId132" xr:uid="{00000000-0004-0000-0C00-000085000000}"/>
    <hyperlink ref="A68" r:id="rId133" xr:uid="{00000000-0004-0000-0C00-000086000000}"/>
    <hyperlink ref="C68" r:id="rId134" xr:uid="{00000000-0004-0000-0C00-000087000000}"/>
    <hyperlink ref="A69" r:id="rId135" xr:uid="{00000000-0004-0000-0C00-000088000000}"/>
    <hyperlink ref="C69" r:id="rId136" xr:uid="{00000000-0004-0000-0C00-000089000000}"/>
    <hyperlink ref="A70" r:id="rId137" xr:uid="{00000000-0004-0000-0C00-00008A000000}"/>
    <hyperlink ref="C70" r:id="rId138" xr:uid="{00000000-0004-0000-0C00-00008B000000}"/>
    <hyperlink ref="A71" r:id="rId139" xr:uid="{00000000-0004-0000-0C00-00008C000000}"/>
    <hyperlink ref="C71" r:id="rId140" xr:uid="{00000000-0004-0000-0C00-00008D000000}"/>
    <hyperlink ref="A72" r:id="rId141" xr:uid="{00000000-0004-0000-0C00-00008E000000}"/>
    <hyperlink ref="C72" r:id="rId142" xr:uid="{00000000-0004-0000-0C00-00008F000000}"/>
    <hyperlink ref="A73" r:id="rId143" xr:uid="{00000000-0004-0000-0C00-000090000000}"/>
    <hyperlink ref="C73" r:id="rId144" xr:uid="{00000000-0004-0000-0C00-000091000000}"/>
    <hyperlink ref="A74" r:id="rId145" xr:uid="{00000000-0004-0000-0C00-000092000000}"/>
    <hyperlink ref="C74" r:id="rId146" xr:uid="{00000000-0004-0000-0C00-000093000000}"/>
    <hyperlink ref="A75" r:id="rId147" xr:uid="{00000000-0004-0000-0C00-000094000000}"/>
    <hyperlink ref="C75" r:id="rId148" xr:uid="{00000000-0004-0000-0C00-000095000000}"/>
    <hyperlink ref="A76" r:id="rId149" xr:uid="{00000000-0004-0000-0C00-000096000000}"/>
    <hyperlink ref="C76" r:id="rId150" xr:uid="{00000000-0004-0000-0C00-000097000000}"/>
    <hyperlink ref="K76" location="'Main'!A1" display="Main" xr:uid="{00000000-0004-0000-0C00-000098000000}"/>
    <hyperlink ref="A77" r:id="rId151" xr:uid="{00000000-0004-0000-0C00-000099000000}"/>
    <hyperlink ref="C77" r:id="rId152" xr:uid="{00000000-0004-0000-0C00-00009A000000}"/>
    <hyperlink ref="K77" location="'Main'!A1" display="Main" xr:uid="{00000000-0004-0000-0C00-00009B000000}"/>
    <hyperlink ref="A78" r:id="rId153" xr:uid="{00000000-0004-0000-0C00-00009C000000}"/>
    <hyperlink ref="C78" r:id="rId154" xr:uid="{00000000-0004-0000-0C00-00009D000000}"/>
    <hyperlink ref="K78" location="'Main'!A1" display="Main" xr:uid="{00000000-0004-0000-0C00-00009E000000}"/>
    <hyperlink ref="A79" r:id="rId155" xr:uid="{00000000-0004-0000-0C00-00009F000000}"/>
    <hyperlink ref="C79" r:id="rId156" xr:uid="{00000000-0004-0000-0C00-0000A0000000}"/>
    <hyperlink ref="K79" location="'Main'!A1" display="Main" xr:uid="{00000000-0004-0000-0C00-0000A1000000}"/>
    <hyperlink ref="A80" r:id="rId157" xr:uid="{00000000-0004-0000-0C00-0000A2000000}"/>
    <hyperlink ref="C80" r:id="rId158" xr:uid="{00000000-0004-0000-0C00-0000A3000000}"/>
    <hyperlink ref="K80" location="'Main'!A1" display="Main" xr:uid="{00000000-0004-0000-0C00-0000A4000000}"/>
    <hyperlink ref="A81" r:id="rId159" xr:uid="{00000000-0004-0000-0C00-0000A5000000}"/>
    <hyperlink ref="C81" r:id="rId160" xr:uid="{00000000-0004-0000-0C00-0000A6000000}"/>
    <hyperlink ref="K81" location="'Main'!A1" display="Main" xr:uid="{00000000-0004-0000-0C00-0000A7000000}"/>
    <hyperlink ref="A82" r:id="rId161" xr:uid="{00000000-0004-0000-0C00-0000A8000000}"/>
    <hyperlink ref="C82" r:id="rId162" xr:uid="{00000000-0004-0000-0C00-0000A9000000}"/>
    <hyperlink ref="K82" location="'Main'!A1" display="Main" xr:uid="{00000000-0004-0000-0C00-0000AA000000}"/>
    <hyperlink ref="A83" r:id="rId163" xr:uid="{00000000-0004-0000-0C00-0000AB000000}"/>
    <hyperlink ref="C83" r:id="rId164" xr:uid="{00000000-0004-0000-0C00-0000AC000000}"/>
    <hyperlink ref="K83" location="'Main'!A1" display="Main" xr:uid="{00000000-0004-0000-0C00-0000AD000000}"/>
    <hyperlink ref="A84" r:id="rId165" xr:uid="{00000000-0004-0000-0C00-0000AE000000}"/>
    <hyperlink ref="C84" r:id="rId166" xr:uid="{00000000-0004-0000-0C00-0000AF000000}"/>
    <hyperlink ref="K84" location="'Main'!A1" display="Main" xr:uid="{00000000-0004-0000-0C00-0000B0000000}"/>
    <hyperlink ref="A85" r:id="rId167" xr:uid="{00000000-0004-0000-0C00-0000B1000000}"/>
    <hyperlink ref="C85" r:id="rId168" xr:uid="{00000000-0004-0000-0C00-0000B2000000}"/>
    <hyperlink ref="K85" location="'Main'!A1" display="Main" xr:uid="{00000000-0004-0000-0C00-0000B3000000}"/>
    <hyperlink ref="A86" r:id="rId169" xr:uid="{00000000-0004-0000-0C00-0000B4000000}"/>
    <hyperlink ref="C86" r:id="rId170" xr:uid="{00000000-0004-0000-0C00-0000B5000000}"/>
    <hyperlink ref="K86" location="'Main'!A1" display="Main" xr:uid="{00000000-0004-0000-0C00-0000B6000000}"/>
    <hyperlink ref="A87" r:id="rId171" xr:uid="{00000000-0004-0000-0C00-0000B7000000}"/>
    <hyperlink ref="C87" r:id="rId172" xr:uid="{00000000-0004-0000-0C00-0000B8000000}"/>
    <hyperlink ref="K87" location="'Main'!A1" display="Main" xr:uid="{00000000-0004-0000-0C00-0000B9000000}"/>
    <hyperlink ref="A88" r:id="rId173" xr:uid="{00000000-0004-0000-0C00-0000BA000000}"/>
    <hyperlink ref="C88" r:id="rId174" xr:uid="{00000000-0004-0000-0C00-0000BB000000}"/>
    <hyperlink ref="K88" location="'Main'!A1" display="Main" xr:uid="{00000000-0004-0000-0C00-0000BC000000}"/>
    <hyperlink ref="A89" r:id="rId175" xr:uid="{00000000-0004-0000-0C00-0000BD000000}"/>
    <hyperlink ref="C89" r:id="rId176" xr:uid="{00000000-0004-0000-0C00-0000BE000000}"/>
    <hyperlink ref="K89" location="'Main'!A1" display="Main" xr:uid="{00000000-0004-0000-0C00-0000BF000000}"/>
    <hyperlink ref="A90" r:id="rId177" xr:uid="{00000000-0004-0000-0C00-0000C0000000}"/>
    <hyperlink ref="C90" r:id="rId178" xr:uid="{00000000-0004-0000-0C00-0000C1000000}"/>
    <hyperlink ref="K90" location="'Main'!A1" display="Main" xr:uid="{00000000-0004-0000-0C00-0000C2000000}"/>
    <hyperlink ref="A91" r:id="rId179" xr:uid="{00000000-0004-0000-0C00-0000C3000000}"/>
    <hyperlink ref="C91" r:id="rId180" xr:uid="{00000000-0004-0000-0C00-0000C4000000}"/>
    <hyperlink ref="K91" location="'Main'!A1" display="Main" xr:uid="{00000000-0004-0000-0C00-0000C5000000}"/>
    <hyperlink ref="A92" r:id="rId181" xr:uid="{00000000-0004-0000-0C00-0000C6000000}"/>
    <hyperlink ref="C92" r:id="rId182" xr:uid="{00000000-0004-0000-0C00-0000C7000000}"/>
    <hyperlink ref="K92" location="'Main'!A1" display="Main" xr:uid="{00000000-0004-0000-0C00-0000C8000000}"/>
    <hyperlink ref="A93" r:id="rId183" xr:uid="{00000000-0004-0000-0C00-0000C9000000}"/>
    <hyperlink ref="C93" r:id="rId184" xr:uid="{00000000-0004-0000-0C00-0000CA000000}"/>
    <hyperlink ref="K93" location="'Main'!A1" display="Main" xr:uid="{00000000-0004-0000-0C00-0000CB000000}"/>
    <hyperlink ref="A94" r:id="rId185" xr:uid="{00000000-0004-0000-0C00-0000CC000000}"/>
    <hyperlink ref="C94" r:id="rId186" xr:uid="{00000000-0004-0000-0C00-0000CD000000}"/>
    <hyperlink ref="A95" r:id="rId187" xr:uid="{00000000-0004-0000-0C00-0000CE000000}"/>
    <hyperlink ref="C95" r:id="rId188" xr:uid="{00000000-0004-0000-0C00-0000CF000000}"/>
    <hyperlink ref="A96" r:id="rId189" xr:uid="{00000000-0004-0000-0C00-0000D0000000}"/>
    <hyperlink ref="C96" r:id="rId190" xr:uid="{00000000-0004-0000-0C00-0000D1000000}"/>
    <hyperlink ref="A97" r:id="rId191" xr:uid="{00000000-0004-0000-0C00-0000D2000000}"/>
    <hyperlink ref="C97" r:id="rId192" xr:uid="{00000000-0004-0000-0C00-0000D3000000}"/>
    <hyperlink ref="A98" r:id="rId193" xr:uid="{00000000-0004-0000-0C00-0000D4000000}"/>
    <hyperlink ref="C98" r:id="rId194" xr:uid="{00000000-0004-0000-0C00-0000D5000000}"/>
    <hyperlink ref="A99" r:id="rId195" xr:uid="{00000000-0004-0000-0C00-0000D6000000}"/>
    <hyperlink ref="C99" r:id="rId196" xr:uid="{00000000-0004-0000-0C00-0000D7000000}"/>
    <hyperlink ref="A100" r:id="rId197" xr:uid="{00000000-0004-0000-0C00-0000D8000000}"/>
    <hyperlink ref="C100" r:id="rId198" xr:uid="{00000000-0004-0000-0C00-0000D9000000}"/>
    <hyperlink ref="A101" r:id="rId199" xr:uid="{00000000-0004-0000-0C00-0000DA000000}"/>
    <hyperlink ref="C101" r:id="rId200" xr:uid="{00000000-0004-0000-0C00-0000DB000000}"/>
    <hyperlink ref="A102" r:id="rId201" xr:uid="{00000000-0004-0000-0C00-0000DC000000}"/>
    <hyperlink ref="C102" r:id="rId202" xr:uid="{00000000-0004-0000-0C00-0000DD000000}"/>
    <hyperlink ref="A103" r:id="rId203" xr:uid="{00000000-0004-0000-0C00-0000DE000000}"/>
    <hyperlink ref="C103" r:id="rId204" xr:uid="{00000000-0004-0000-0C00-0000DF000000}"/>
    <hyperlink ref="A104" r:id="rId205" xr:uid="{00000000-0004-0000-0C00-0000E0000000}"/>
    <hyperlink ref="C104" r:id="rId206" xr:uid="{00000000-0004-0000-0C00-0000E1000000}"/>
    <hyperlink ref="A105" r:id="rId207" xr:uid="{00000000-0004-0000-0C00-0000E2000000}"/>
    <hyperlink ref="C105" r:id="rId208" xr:uid="{00000000-0004-0000-0C00-0000E3000000}"/>
    <hyperlink ref="A106" r:id="rId209" xr:uid="{00000000-0004-0000-0C00-0000E4000000}"/>
    <hyperlink ref="C106" r:id="rId210" xr:uid="{00000000-0004-0000-0C00-0000E5000000}"/>
    <hyperlink ref="A107" r:id="rId211" xr:uid="{00000000-0004-0000-0C00-0000E6000000}"/>
    <hyperlink ref="C107" r:id="rId212" xr:uid="{00000000-0004-0000-0C00-0000E7000000}"/>
    <hyperlink ref="A108" r:id="rId213" xr:uid="{00000000-0004-0000-0C00-0000E8000000}"/>
    <hyperlink ref="C108" r:id="rId214" xr:uid="{00000000-0004-0000-0C00-0000E9000000}"/>
    <hyperlink ref="A109" r:id="rId215" xr:uid="{00000000-0004-0000-0C00-0000EA000000}"/>
    <hyperlink ref="C109" r:id="rId216" xr:uid="{00000000-0004-0000-0C00-0000EB000000}"/>
    <hyperlink ref="A110" r:id="rId217" xr:uid="{00000000-0004-0000-0C00-0000EC000000}"/>
    <hyperlink ref="C110" r:id="rId218" xr:uid="{00000000-0004-0000-0C00-0000ED000000}"/>
    <hyperlink ref="A111" r:id="rId219" xr:uid="{00000000-0004-0000-0C00-0000EE000000}"/>
    <hyperlink ref="C111" r:id="rId220" xr:uid="{00000000-0004-0000-0C00-0000EF000000}"/>
    <hyperlink ref="A112" r:id="rId221" xr:uid="{00000000-0004-0000-0C00-0000F0000000}"/>
    <hyperlink ref="C112" r:id="rId222" xr:uid="{00000000-0004-0000-0C00-0000F1000000}"/>
    <hyperlink ref="A113" r:id="rId223" xr:uid="{00000000-0004-0000-0C00-0000F2000000}"/>
    <hyperlink ref="C113" r:id="rId224" xr:uid="{00000000-0004-0000-0C00-0000F3000000}"/>
    <hyperlink ref="A114" r:id="rId225" xr:uid="{00000000-0004-0000-0C00-0000F4000000}"/>
    <hyperlink ref="C114" r:id="rId226" xr:uid="{00000000-0004-0000-0C00-0000F5000000}"/>
    <hyperlink ref="A115" r:id="rId227" xr:uid="{00000000-0004-0000-0C00-0000F6000000}"/>
    <hyperlink ref="C115" r:id="rId228" xr:uid="{00000000-0004-0000-0C00-0000F7000000}"/>
    <hyperlink ref="A116" r:id="rId229" xr:uid="{00000000-0004-0000-0C00-0000F8000000}"/>
    <hyperlink ref="C116" r:id="rId230" xr:uid="{00000000-0004-0000-0C00-0000F9000000}"/>
    <hyperlink ref="A117" r:id="rId231" xr:uid="{00000000-0004-0000-0C00-0000FA000000}"/>
    <hyperlink ref="C117" r:id="rId232" xr:uid="{00000000-0004-0000-0C00-0000FB000000}"/>
    <hyperlink ref="A118" r:id="rId233" xr:uid="{00000000-0004-0000-0C00-0000FC000000}"/>
    <hyperlink ref="C118" r:id="rId234" xr:uid="{00000000-0004-0000-0C00-0000FD000000}"/>
    <hyperlink ref="A119" r:id="rId235" xr:uid="{00000000-0004-0000-0C00-0000FE000000}"/>
    <hyperlink ref="C119" r:id="rId236" xr:uid="{00000000-0004-0000-0C00-0000FF000000}"/>
    <hyperlink ref="A120" r:id="rId237" xr:uid="{00000000-0004-0000-0C00-000000010000}"/>
    <hyperlink ref="C120" r:id="rId238" xr:uid="{00000000-0004-0000-0C00-000001010000}"/>
    <hyperlink ref="A121" r:id="rId239" xr:uid="{00000000-0004-0000-0C00-000002010000}"/>
    <hyperlink ref="C121" r:id="rId240" xr:uid="{00000000-0004-0000-0C00-000003010000}"/>
    <hyperlink ref="A122" r:id="rId241" xr:uid="{00000000-0004-0000-0C00-000004010000}"/>
    <hyperlink ref="C122" r:id="rId242" xr:uid="{00000000-0004-0000-0C00-000005010000}"/>
    <hyperlink ref="A123" r:id="rId243" xr:uid="{00000000-0004-0000-0C00-000006010000}"/>
    <hyperlink ref="C123" r:id="rId244" xr:uid="{00000000-0004-0000-0C00-000007010000}"/>
    <hyperlink ref="A124" r:id="rId245" xr:uid="{00000000-0004-0000-0C00-000008010000}"/>
    <hyperlink ref="C124" r:id="rId246" xr:uid="{00000000-0004-0000-0C00-000009010000}"/>
    <hyperlink ref="A125" r:id="rId247" xr:uid="{00000000-0004-0000-0C00-00000A010000}"/>
    <hyperlink ref="C125" r:id="rId248" xr:uid="{00000000-0004-0000-0C00-00000B010000}"/>
    <hyperlink ref="A126" r:id="rId249" xr:uid="{00000000-0004-0000-0C00-00000C010000}"/>
    <hyperlink ref="C126" r:id="rId250" xr:uid="{00000000-0004-0000-0C00-00000D010000}"/>
    <hyperlink ref="A127" r:id="rId251" xr:uid="{00000000-0004-0000-0C00-00000E010000}"/>
    <hyperlink ref="C127" r:id="rId252" xr:uid="{00000000-0004-0000-0C00-00000F010000}"/>
    <hyperlink ref="A128" r:id="rId253" xr:uid="{00000000-0004-0000-0C00-000010010000}"/>
    <hyperlink ref="C128" r:id="rId254" xr:uid="{00000000-0004-0000-0C00-000011010000}"/>
    <hyperlink ref="A129" r:id="rId255" xr:uid="{00000000-0004-0000-0C00-000012010000}"/>
    <hyperlink ref="C129" r:id="rId256" xr:uid="{00000000-0004-0000-0C00-000013010000}"/>
    <hyperlink ref="A130" r:id="rId257" xr:uid="{00000000-0004-0000-0C00-000014010000}"/>
    <hyperlink ref="C130" r:id="rId258" xr:uid="{00000000-0004-0000-0C00-000015010000}"/>
    <hyperlink ref="A131" r:id="rId259" xr:uid="{00000000-0004-0000-0C00-000016010000}"/>
    <hyperlink ref="C131" r:id="rId260" xr:uid="{00000000-0004-0000-0C00-000017010000}"/>
    <hyperlink ref="A132" r:id="rId261" xr:uid="{00000000-0004-0000-0C00-000018010000}"/>
    <hyperlink ref="C132" r:id="rId262" xr:uid="{00000000-0004-0000-0C00-000019010000}"/>
    <hyperlink ref="A133" r:id="rId263" xr:uid="{00000000-0004-0000-0C00-00001A010000}"/>
    <hyperlink ref="C133" r:id="rId264" xr:uid="{00000000-0004-0000-0C00-00001B010000}"/>
    <hyperlink ref="A134" r:id="rId265" xr:uid="{00000000-0004-0000-0C00-00001C010000}"/>
    <hyperlink ref="C134" r:id="rId266" xr:uid="{00000000-0004-0000-0C00-00001D010000}"/>
    <hyperlink ref="A135" r:id="rId267" xr:uid="{00000000-0004-0000-0C00-00001E010000}"/>
    <hyperlink ref="C135" r:id="rId268" xr:uid="{00000000-0004-0000-0C00-00001F010000}"/>
    <hyperlink ref="A136" r:id="rId269" xr:uid="{00000000-0004-0000-0C00-000020010000}"/>
    <hyperlink ref="C136" r:id="rId270" xr:uid="{00000000-0004-0000-0C00-000021010000}"/>
    <hyperlink ref="A137" r:id="rId271" xr:uid="{00000000-0004-0000-0C00-000022010000}"/>
    <hyperlink ref="C137" r:id="rId272" xr:uid="{00000000-0004-0000-0C00-000023010000}"/>
    <hyperlink ref="A138" r:id="rId273" xr:uid="{00000000-0004-0000-0C00-000024010000}"/>
    <hyperlink ref="C138" r:id="rId274" xr:uid="{00000000-0004-0000-0C00-000025010000}"/>
    <hyperlink ref="A139" r:id="rId275" xr:uid="{00000000-0004-0000-0C00-000026010000}"/>
    <hyperlink ref="C139" r:id="rId276" xr:uid="{00000000-0004-0000-0C00-000027010000}"/>
    <hyperlink ref="A140" r:id="rId277" xr:uid="{00000000-0004-0000-0C00-000028010000}"/>
    <hyperlink ref="C140" r:id="rId278" xr:uid="{00000000-0004-0000-0C00-000029010000}"/>
    <hyperlink ref="A141" r:id="rId279" xr:uid="{00000000-0004-0000-0C00-00002A010000}"/>
    <hyperlink ref="C141" r:id="rId280" xr:uid="{00000000-0004-0000-0C00-00002B010000}"/>
    <hyperlink ref="A142" r:id="rId281" xr:uid="{00000000-0004-0000-0C00-00002C010000}"/>
    <hyperlink ref="C142" r:id="rId282" xr:uid="{00000000-0004-0000-0C00-00002D010000}"/>
    <hyperlink ref="A143" r:id="rId283" xr:uid="{00000000-0004-0000-0C00-00002E010000}"/>
    <hyperlink ref="C143" r:id="rId284" xr:uid="{00000000-0004-0000-0C00-00002F010000}"/>
    <hyperlink ref="A144" r:id="rId285" xr:uid="{00000000-0004-0000-0C00-000030010000}"/>
    <hyperlink ref="C144" r:id="rId286" xr:uid="{00000000-0004-0000-0C00-000031010000}"/>
    <hyperlink ref="A145" r:id="rId287" xr:uid="{00000000-0004-0000-0C00-000032010000}"/>
    <hyperlink ref="C145" r:id="rId288" xr:uid="{00000000-0004-0000-0C00-000033010000}"/>
    <hyperlink ref="A146" r:id="rId289" xr:uid="{00000000-0004-0000-0C00-000034010000}"/>
    <hyperlink ref="C146" r:id="rId290" xr:uid="{00000000-0004-0000-0C00-000035010000}"/>
    <hyperlink ref="A147" r:id="rId291" xr:uid="{00000000-0004-0000-0C00-000036010000}"/>
    <hyperlink ref="C147" r:id="rId292" xr:uid="{00000000-0004-0000-0C00-000037010000}"/>
    <hyperlink ref="A148" r:id="rId293" xr:uid="{00000000-0004-0000-0C00-000038010000}"/>
    <hyperlink ref="C148" r:id="rId294" xr:uid="{00000000-0004-0000-0C00-000039010000}"/>
    <hyperlink ref="A149" r:id="rId295" xr:uid="{00000000-0004-0000-0C00-00003A010000}"/>
    <hyperlink ref="C149" r:id="rId296" xr:uid="{00000000-0004-0000-0C00-00003B010000}"/>
    <hyperlink ref="A150" r:id="rId297" xr:uid="{00000000-0004-0000-0C00-00003C010000}"/>
    <hyperlink ref="C150" r:id="rId298" xr:uid="{00000000-0004-0000-0C00-00003D010000}"/>
    <hyperlink ref="A151" r:id="rId299" xr:uid="{00000000-0004-0000-0C00-00003E010000}"/>
    <hyperlink ref="C151" r:id="rId300" xr:uid="{00000000-0004-0000-0C00-00003F010000}"/>
    <hyperlink ref="A152" r:id="rId301" xr:uid="{00000000-0004-0000-0C00-000040010000}"/>
    <hyperlink ref="C152" r:id="rId302" xr:uid="{00000000-0004-0000-0C00-000041010000}"/>
    <hyperlink ref="A153" r:id="rId303" xr:uid="{00000000-0004-0000-0C00-000042010000}"/>
    <hyperlink ref="C153" r:id="rId304" xr:uid="{00000000-0004-0000-0C00-000043010000}"/>
    <hyperlink ref="A154" r:id="rId305" xr:uid="{00000000-0004-0000-0C00-000044010000}"/>
    <hyperlink ref="C154" r:id="rId306" xr:uid="{00000000-0004-0000-0C00-000045010000}"/>
    <hyperlink ref="A155" r:id="rId307" xr:uid="{00000000-0004-0000-0C00-000046010000}"/>
    <hyperlink ref="C155" r:id="rId308" xr:uid="{00000000-0004-0000-0C00-000047010000}"/>
    <hyperlink ref="A156" r:id="rId309" xr:uid="{00000000-0004-0000-0C00-000048010000}"/>
    <hyperlink ref="C156" r:id="rId310" xr:uid="{00000000-0004-0000-0C00-000049010000}"/>
    <hyperlink ref="A157" r:id="rId311" xr:uid="{00000000-0004-0000-0C00-00004A010000}"/>
    <hyperlink ref="C157" r:id="rId312" xr:uid="{00000000-0004-0000-0C00-00004B010000}"/>
    <hyperlink ref="A158" r:id="rId313" xr:uid="{00000000-0004-0000-0C00-00004C010000}"/>
    <hyperlink ref="C158" r:id="rId314" xr:uid="{00000000-0004-0000-0C00-00004D010000}"/>
    <hyperlink ref="A159" r:id="rId315" xr:uid="{00000000-0004-0000-0C00-00004E010000}"/>
    <hyperlink ref="C159" r:id="rId316" xr:uid="{00000000-0004-0000-0C00-00004F010000}"/>
    <hyperlink ref="A160" r:id="rId317" xr:uid="{00000000-0004-0000-0C00-000050010000}"/>
    <hyperlink ref="C160" r:id="rId318" xr:uid="{00000000-0004-0000-0C00-000051010000}"/>
    <hyperlink ref="K160" location="'Main'!A1" display="Main" xr:uid="{00000000-0004-0000-0C00-000052010000}"/>
    <hyperlink ref="A161" r:id="rId319" xr:uid="{00000000-0004-0000-0C00-000053010000}"/>
    <hyperlink ref="C161" r:id="rId320" xr:uid="{00000000-0004-0000-0C00-000054010000}"/>
    <hyperlink ref="K161" location="'Main'!A1" display="Main" xr:uid="{00000000-0004-0000-0C00-000055010000}"/>
    <hyperlink ref="A162" r:id="rId321" xr:uid="{00000000-0004-0000-0C00-000056010000}"/>
    <hyperlink ref="C162" r:id="rId322" xr:uid="{00000000-0004-0000-0C00-000057010000}"/>
    <hyperlink ref="K162" location="'Main'!A1" display="Main" xr:uid="{00000000-0004-0000-0C00-000058010000}"/>
    <hyperlink ref="A163" r:id="rId323" xr:uid="{00000000-0004-0000-0C00-000059010000}"/>
    <hyperlink ref="C163" r:id="rId324" xr:uid="{00000000-0004-0000-0C00-00005A010000}"/>
    <hyperlink ref="K163" location="'Main'!A1" display="Main" xr:uid="{00000000-0004-0000-0C00-00005B010000}"/>
    <hyperlink ref="A164" r:id="rId325" xr:uid="{00000000-0004-0000-0C00-00005C010000}"/>
    <hyperlink ref="C164" r:id="rId326" xr:uid="{00000000-0004-0000-0C00-00005D010000}"/>
    <hyperlink ref="K164" location="'Main'!A1" display="Main" xr:uid="{00000000-0004-0000-0C00-00005E010000}"/>
    <hyperlink ref="A165" r:id="rId327" xr:uid="{00000000-0004-0000-0C00-00005F010000}"/>
    <hyperlink ref="C165" r:id="rId328" xr:uid="{00000000-0004-0000-0C00-000060010000}"/>
    <hyperlink ref="K165" location="'Main'!A1" display="Main" xr:uid="{00000000-0004-0000-0C00-000061010000}"/>
  </hyperlinks>
  <pageMargins left="0.75" right="0.75" top="1" bottom="1" header="0.5" footer="0.5"/>
  <legacyDrawing r:id="rId329"/>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31" t="s">
        <v>1846</v>
      </c>
      <c r="B1" s="31" t="s">
        <v>549</v>
      </c>
      <c r="C1" s="31" t="s">
        <v>535</v>
      </c>
      <c r="D1" s="31" t="s">
        <v>1847</v>
      </c>
      <c r="E1" s="31" t="s">
        <v>1848</v>
      </c>
      <c r="F1" s="31" t="s">
        <v>1849</v>
      </c>
      <c r="G1" s="31" t="s">
        <v>1850</v>
      </c>
      <c r="H1" s="31" t="s">
        <v>1851</v>
      </c>
      <c r="I1" s="31" t="s">
        <v>1852</v>
      </c>
      <c r="J1" s="31" t="s">
        <v>1853</v>
      </c>
      <c r="K1" s="31" t="s">
        <v>1854</v>
      </c>
      <c r="L1" s="31" t="s">
        <v>1855</v>
      </c>
      <c r="M1" s="31" t="s">
        <v>1856</v>
      </c>
      <c r="N1" s="31" t="s">
        <v>1857</v>
      </c>
      <c r="O1" s="31" t="s">
        <v>1858</v>
      </c>
      <c r="P1" s="31" t="s">
        <v>1859</v>
      </c>
      <c r="Q1" s="32" t="s">
        <v>95</v>
      </c>
    </row>
    <row r="2" spans="1:17" x14ac:dyDescent="0.25">
      <c r="A2" s="64" t="s">
        <v>176</v>
      </c>
      <c r="B2" s="37" t="s">
        <v>176</v>
      </c>
      <c r="C2" s="33">
        <v>200</v>
      </c>
      <c r="D2" s="33" t="b">
        <v>1</v>
      </c>
      <c r="E2" s="33" t="b">
        <v>1</v>
      </c>
      <c r="F2" s="33" t="s">
        <v>1860</v>
      </c>
      <c r="G2" s="52" t="b">
        <v>0</v>
      </c>
      <c r="H2" s="37" t="b">
        <v>0</v>
      </c>
      <c r="I2" s="33" t="b">
        <v>0</v>
      </c>
      <c r="J2" s="67" t="b">
        <v>0</v>
      </c>
      <c r="K2" s="52" t="b">
        <v>0</v>
      </c>
      <c r="L2" s="52" t="b">
        <v>0</v>
      </c>
      <c r="M2" s="40" t="s">
        <v>1861</v>
      </c>
      <c r="N2" s="33" t="s">
        <v>1862</v>
      </c>
      <c r="O2" s="33" t="s">
        <v>1863</v>
      </c>
      <c r="P2" s="33" t="s">
        <v>1864</v>
      </c>
      <c r="Q2" s="41"/>
    </row>
    <row r="3" spans="1:17" ht="30" x14ac:dyDescent="0.25">
      <c r="A3" s="44" t="s">
        <v>1865</v>
      </c>
      <c r="B3" s="44"/>
      <c r="C3" s="42"/>
      <c r="D3" s="42" t="b">
        <v>0</v>
      </c>
      <c r="E3" s="42" t="b">
        <v>1</v>
      </c>
      <c r="F3" s="42" t="s">
        <v>1866</v>
      </c>
      <c r="G3" s="34" t="b">
        <v>1</v>
      </c>
      <c r="H3" s="44"/>
      <c r="I3" s="42"/>
      <c r="J3" s="67" t="b">
        <v>0</v>
      </c>
      <c r="K3" s="52" t="b">
        <v>0</v>
      </c>
      <c r="L3" s="52" t="b">
        <v>0</v>
      </c>
      <c r="M3" s="46" t="s">
        <v>1867</v>
      </c>
      <c r="N3" s="42" t="s">
        <v>1868</v>
      </c>
      <c r="O3" s="42" t="s">
        <v>1869</v>
      </c>
      <c r="P3" s="42" t="s">
        <v>1864</v>
      </c>
    </row>
    <row r="4" spans="1:17" x14ac:dyDescent="0.25">
      <c r="A4" s="37" t="s">
        <v>1870</v>
      </c>
      <c r="B4" s="37"/>
      <c r="C4" s="33"/>
      <c r="D4" s="33" t="b">
        <v>0</v>
      </c>
      <c r="E4" s="33" t="b">
        <v>1</v>
      </c>
      <c r="F4" s="33" t="s">
        <v>1866</v>
      </c>
      <c r="G4" s="34" t="b">
        <v>1</v>
      </c>
      <c r="H4" s="37"/>
      <c r="I4" s="33"/>
      <c r="J4" s="67" t="b">
        <v>0</v>
      </c>
      <c r="K4" s="52" t="b">
        <v>0</v>
      </c>
      <c r="L4" s="52" t="b">
        <v>0</v>
      </c>
      <c r="M4" s="40" t="s">
        <v>1871</v>
      </c>
      <c r="N4" s="33" t="s">
        <v>1868</v>
      </c>
      <c r="O4" s="33" t="s">
        <v>1869</v>
      </c>
      <c r="P4" s="33" t="s">
        <v>1864</v>
      </c>
      <c r="Q4" s="41"/>
    </row>
    <row r="5" spans="1:17" ht="30" x14ac:dyDescent="0.25">
      <c r="A5" s="44" t="s">
        <v>1872</v>
      </c>
      <c r="B5" s="44"/>
      <c r="C5" s="42"/>
      <c r="D5" s="42" t="b">
        <v>0</v>
      </c>
      <c r="E5" s="42" t="b">
        <v>1</v>
      </c>
      <c r="F5" s="42" t="s">
        <v>1866</v>
      </c>
      <c r="G5" s="34" t="b">
        <v>1</v>
      </c>
      <c r="H5" s="44"/>
      <c r="I5" s="42"/>
      <c r="J5" s="67" t="b">
        <v>0</v>
      </c>
      <c r="K5" s="52" t="b">
        <v>0</v>
      </c>
      <c r="L5" s="52" t="b">
        <v>0</v>
      </c>
      <c r="M5" s="46" t="s">
        <v>1873</v>
      </c>
      <c r="N5" s="42" t="s">
        <v>1868</v>
      </c>
      <c r="O5" s="42" t="s">
        <v>1869</v>
      </c>
      <c r="P5" s="42" t="s">
        <v>1864</v>
      </c>
    </row>
    <row r="6" spans="1:17" ht="30" x14ac:dyDescent="0.25">
      <c r="A6" s="37" t="s">
        <v>1874</v>
      </c>
      <c r="B6" s="37"/>
      <c r="C6" s="33"/>
      <c r="D6" s="33" t="b">
        <v>0</v>
      </c>
      <c r="E6" s="33" t="b">
        <v>1</v>
      </c>
      <c r="F6" s="33" t="s">
        <v>1866</v>
      </c>
      <c r="G6" s="34" t="b">
        <v>1</v>
      </c>
      <c r="H6" s="37"/>
      <c r="I6" s="33"/>
      <c r="J6" s="67" t="b">
        <v>0</v>
      </c>
      <c r="K6" s="52" t="b">
        <v>0</v>
      </c>
      <c r="L6" s="52" t="b">
        <v>0</v>
      </c>
      <c r="M6" s="40" t="s">
        <v>1875</v>
      </c>
      <c r="N6" s="33" t="s">
        <v>1868</v>
      </c>
      <c r="O6" s="33" t="s">
        <v>1869</v>
      </c>
      <c r="P6" s="33" t="s">
        <v>1864</v>
      </c>
      <c r="Q6" s="41"/>
    </row>
    <row r="7" spans="1:17" ht="30" x14ac:dyDescent="0.25">
      <c r="A7" s="44" t="s">
        <v>1876</v>
      </c>
      <c r="B7" s="44"/>
      <c r="C7" s="42"/>
      <c r="D7" s="42" t="b">
        <v>0</v>
      </c>
      <c r="E7" s="42" t="b">
        <v>1</v>
      </c>
      <c r="F7" s="42" t="s">
        <v>1866</v>
      </c>
      <c r="G7" s="34" t="b">
        <v>1</v>
      </c>
      <c r="H7" s="44"/>
      <c r="I7" s="42"/>
      <c r="J7" s="67" t="b">
        <v>0</v>
      </c>
      <c r="K7" s="52" t="b">
        <v>0</v>
      </c>
      <c r="L7" s="52" t="b">
        <v>0</v>
      </c>
      <c r="M7" s="46" t="s">
        <v>1877</v>
      </c>
      <c r="N7" s="42" t="s">
        <v>1868</v>
      </c>
      <c r="O7" s="42" t="s">
        <v>1869</v>
      </c>
      <c r="P7" s="42" t="s">
        <v>1864</v>
      </c>
    </row>
    <row r="8" spans="1:17" ht="30" x14ac:dyDescent="0.25">
      <c r="A8" s="37" t="s">
        <v>1878</v>
      </c>
      <c r="B8" s="37"/>
      <c r="C8" s="33"/>
      <c r="D8" s="33" t="b">
        <v>0</v>
      </c>
      <c r="E8" s="33" t="b">
        <v>1</v>
      </c>
      <c r="F8" s="33" t="s">
        <v>1866</v>
      </c>
      <c r="G8" s="34" t="b">
        <v>1</v>
      </c>
      <c r="H8" s="37"/>
      <c r="I8" s="33"/>
      <c r="J8" s="67" t="b">
        <v>0</v>
      </c>
      <c r="K8" s="52" t="b">
        <v>0</v>
      </c>
      <c r="L8" s="52" t="b">
        <v>0</v>
      </c>
      <c r="M8" s="40" t="s">
        <v>1879</v>
      </c>
      <c r="N8" s="33" t="s">
        <v>1868</v>
      </c>
      <c r="O8" s="33" t="s">
        <v>1869</v>
      </c>
      <c r="P8" s="33" t="s">
        <v>1864</v>
      </c>
      <c r="Q8" s="41"/>
    </row>
    <row r="9" spans="1:17" x14ac:dyDescent="0.25">
      <c r="A9" s="44" t="s">
        <v>1880</v>
      </c>
      <c r="B9" s="44"/>
      <c r="C9" s="42"/>
      <c r="D9" s="42" t="b">
        <v>0</v>
      </c>
      <c r="E9" s="42" t="b">
        <v>1</v>
      </c>
      <c r="F9" s="42" t="s">
        <v>1866</v>
      </c>
      <c r="G9" s="34" t="b">
        <v>1</v>
      </c>
      <c r="H9" s="44"/>
      <c r="I9" s="42"/>
      <c r="J9" s="67" t="b">
        <v>0</v>
      </c>
      <c r="K9" s="52" t="b">
        <v>0</v>
      </c>
      <c r="L9" s="52" t="b">
        <v>0</v>
      </c>
      <c r="M9" s="46" t="s">
        <v>1881</v>
      </c>
      <c r="N9" s="42" t="s">
        <v>1868</v>
      </c>
      <c r="O9" s="42" t="s">
        <v>1869</v>
      </c>
      <c r="P9" s="42" t="s">
        <v>1864</v>
      </c>
    </row>
    <row r="10" spans="1:17" x14ac:dyDescent="0.25">
      <c r="A10" s="37" t="s">
        <v>1882</v>
      </c>
      <c r="B10" s="37"/>
      <c r="C10" s="33"/>
      <c r="D10" s="33" t="b">
        <v>0</v>
      </c>
      <c r="E10" s="33" t="b">
        <v>1</v>
      </c>
      <c r="F10" s="33" t="s">
        <v>1866</v>
      </c>
      <c r="G10" s="34" t="b">
        <v>1</v>
      </c>
      <c r="H10" s="37"/>
      <c r="I10" s="33"/>
      <c r="J10" s="67" t="b">
        <v>0</v>
      </c>
      <c r="K10" s="52" t="b">
        <v>0</v>
      </c>
      <c r="L10" s="52" t="b">
        <v>0</v>
      </c>
      <c r="M10" s="40" t="s">
        <v>1883</v>
      </c>
      <c r="N10" s="33" t="s">
        <v>1868</v>
      </c>
      <c r="O10" s="33" t="s">
        <v>1869</v>
      </c>
      <c r="P10" s="33" t="s">
        <v>1864</v>
      </c>
      <c r="Q10" s="41"/>
    </row>
    <row r="11" spans="1:17" x14ac:dyDescent="0.25">
      <c r="A11" s="44" t="s">
        <v>1884</v>
      </c>
      <c r="B11" s="44"/>
      <c r="C11" s="42"/>
      <c r="D11" s="42" t="b">
        <v>0</v>
      </c>
      <c r="E11" s="42" t="b">
        <v>1</v>
      </c>
      <c r="F11" s="42" t="s">
        <v>1866</v>
      </c>
      <c r="G11" s="34" t="b">
        <v>1</v>
      </c>
      <c r="H11" s="44"/>
      <c r="I11" s="42"/>
      <c r="J11" s="67" t="b">
        <v>0</v>
      </c>
      <c r="K11" s="52" t="b">
        <v>0</v>
      </c>
      <c r="L11" s="52" t="b">
        <v>0</v>
      </c>
      <c r="M11" s="46" t="s">
        <v>1885</v>
      </c>
      <c r="N11" s="42" t="s">
        <v>1868</v>
      </c>
      <c r="O11" s="42" t="s">
        <v>1869</v>
      </c>
      <c r="P11" s="42" t="s">
        <v>1864</v>
      </c>
    </row>
    <row r="12" spans="1:17" x14ac:dyDescent="0.25">
      <c r="A12" s="37" t="s">
        <v>1886</v>
      </c>
      <c r="B12" s="37"/>
      <c r="C12" s="33"/>
      <c r="D12" s="33" t="b">
        <v>0</v>
      </c>
      <c r="E12" s="33" t="b">
        <v>1</v>
      </c>
      <c r="F12" s="33" t="s">
        <v>1866</v>
      </c>
      <c r="G12" s="34" t="b">
        <v>1</v>
      </c>
      <c r="H12" s="37"/>
      <c r="I12" s="33"/>
      <c r="J12" s="67" t="b">
        <v>0</v>
      </c>
      <c r="K12" s="52" t="b">
        <v>0</v>
      </c>
      <c r="L12" s="52" t="b">
        <v>0</v>
      </c>
      <c r="M12" s="40" t="s">
        <v>1887</v>
      </c>
      <c r="N12" s="33" t="s">
        <v>1868</v>
      </c>
      <c r="O12" s="33" t="s">
        <v>1869</v>
      </c>
      <c r="P12" s="33" t="s">
        <v>1864</v>
      </c>
      <c r="Q12" s="41"/>
    </row>
    <row r="13" spans="1:17" ht="30" customHeight="1" x14ac:dyDescent="0.25">
      <c r="A13" s="64" t="s">
        <v>1888</v>
      </c>
      <c r="B13" s="44" t="s">
        <v>208</v>
      </c>
      <c r="C13" s="42">
        <v>200</v>
      </c>
      <c r="D13" s="42" t="b">
        <v>1</v>
      </c>
      <c r="E13" s="42" t="b">
        <v>1</v>
      </c>
      <c r="F13" s="42" t="s">
        <v>1860</v>
      </c>
      <c r="G13" s="52" t="b">
        <v>0</v>
      </c>
      <c r="H13" s="44" t="b">
        <v>0</v>
      </c>
      <c r="I13" s="42" t="b">
        <v>0</v>
      </c>
      <c r="J13" s="67" t="b">
        <v>0</v>
      </c>
      <c r="K13" s="52" t="b">
        <v>0</v>
      </c>
      <c r="L13" s="52" t="b">
        <v>0</v>
      </c>
      <c r="M13" s="46" t="s">
        <v>1889</v>
      </c>
      <c r="N13" s="42" t="s">
        <v>1868</v>
      </c>
      <c r="O13" s="42" t="s">
        <v>1869</v>
      </c>
      <c r="P13" s="42" t="s">
        <v>1864</v>
      </c>
    </row>
    <row r="14" spans="1:17" x14ac:dyDescent="0.25">
      <c r="A14" s="37" t="s">
        <v>1890</v>
      </c>
      <c r="B14" s="37"/>
      <c r="C14" s="33"/>
      <c r="D14" s="33" t="b">
        <v>0</v>
      </c>
      <c r="E14" s="33" t="b">
        <v>1</v>
      </c>
      <c r="F14" s="33" t="s">
        <v>1866</v>
      </c>
      <c r="G14" s="34" t="b">
        <v>1</v>
      </c>
      <c r="H14" s="37"/>
      <c r="I14" s="33"/>
      <c r="J14" s="67" t="b">
        <v>0</v>
      </c>
      <c r="K14" s="52" t="b">
        <v>0</v>
      </c>
      <c r="L14" s="52" t="b">
        <v>0</v>
      </c>
      <c r="M14" s="40" t="s">
        <v>1891</v>
      </c>
      <c r="N14" s="33" t="s">
        <v>1868</v>
      </c>
      <c r="O14" s="33" t="s">
        <v>1869</v>
      </c>
      <c r="P14" s="33" t="s">
        <v>1864</v>
      </c>
      <c r="Q14" s="41"/>
    </row>
    <row r="15" spans="1:17" x14ac:dyDescent="0.25">
      <c r="A15" s="44" t="s">
        <v>1892</v>
      </c>
      <c r="B15" s="44"/>
      <c r="C15" s="42"/>
      <c r="D15" s="42" t="b">
        <v>0</v>
      </c>
      <c r="E15" s="42" t="b">
        <v>1</v>
      </c>
      <c r="F15" s="42" t="s">
        <v>1866</v>
      </c>
      <c r="G15" s="34" t="b">
        <v>1</v>
      </c>
      <c r="H15" s="44"/>
      <c r="I15" s="42"/>
      <c r="J15" s="67" t="b">
        <v>0</v>
      </c>
      <c r="K15" s="52" t="b">
        <v>0</v>
      </c>
      <c r="L15" s="52" t="b">
        <v>0</v>
      </c>
      <c r="M15" s="46" t="s">
        <v>1893</v>
      </c>
      <c r="N15" s="42" t="s">
        <v>1868</v>
      </c>
      <c r="O15" s="42" t="s">
        <v>1869</v>
      </c>
      <c r="P15" s="42" t="s">
        <v>1864</v>
      </c>
    </row>
    <row r="16" spans="1:17" ht="30" customHeight="1" x14ac:dyDescent="0.25">
      <c r="A16" s="64" t="s">
        <v>1894</v>
      </c>
      <c r="B16" s="37" t="s">
        <v>178</v>
      </c>
      <c r="C16" s="33">
        <v>200</v>
      </c>
      <c r="D16" s="33" t="b">
        <v>1</v>
      </c>
      <c r="E16" s="33" t="b">
        <v>1</v>
      </c>
      <c r="F16" s="33" t="s">
        <v>1860</v>
      </c>
      <c r="G16" s="52" t="b">
        <v>0</v>
      </c>
      <c r="H16" s="37" t="b">
        <v>0</v>
      </c>
      <c r="I16" s="33" t="b">
        <v>0</v>
      </c>
      <c r="J16" s="67" t="b">
        <v>0</v>
      </c>
      <c r="K16" s="52" t="b">
        <v>0</v>
      </c>
      <c r="L16" s="52" t="b">
        <v>0</v>
      </c>
      <c r="M16" s="40" t="s">
        <v>1895</v>
      </c>
      <c r="N16" s="33" t="s">
        <v>1868</v>
      </c>
      <c r="O16" s="33" t="s">
        <v>1869</v>
      </c>
      <c r="P16" s="33" t="s">
        <v>1864</v>
      </c>
      <c r="Q16" s="41"/>
    </row>
    <row r="17" spans="1:17" x14ac:dyDescent="0.25">
      <c r="A17" s="44" t="s">
        <v>1896</v>
      </c>
      <c r="B17" s="44"/>
      <c r="C17" s="42"/>
      <c r="D17" s="42" t="b">
        <v>0</v>
      </c>
      <c r="E17" s="42" t="b">
        <v>1</v>
      </c>
      <c r="F17" s="42" t="s">
        <v>1866</v>
      </c>
      <c r="G17" s="34" t="b">
        <v>1</v>
      </c>
      <c r="H17" s="44"/>
      <c r="I17" s="42"/>
      <c r="J17" s="67" t="b">
        <v>0</v>
      </c>
      <c r="K17" s="52" t="b">
        <v>0</v>
      </c>
      <c r="L17" s="52" t="b">
        <v>0</v>
      </c>
      <c r="M17" s="46" t="s">
        <v>1897</v>
      </c>
      <c r="N17" s="42" t="s">
        <v>1868</v>
      </c>
      <c r="O17" s="42" t="s">
        <v>1869</v>
      </c>
      <c r="P17" s="42" t="s">
        <v>1864</v>
      </c>
    </row>
    <row r="18" spans="1:17" x14ac:dyDescent="0.25">
      <c r="A18" s="37" t="s">
        <v>1898</v>
      </c>
      <c r="B18" s="37"/>
      <c r="C18" s="33"/>
      <c r="D18" s="33" t="b">
        <v>0</v>
      </c>
      <c r="E18" s="33" t="b">
        <v>1</v>
      </c>
      <c r="F18" s="33" t="s">
        <v>1866</v>
      </c>
      <c r="G18" s="34" t="b">
        <v>1</v>
      </c>
      <c r="H18" s="37"/>
      <c r="I18" s="33"/>
      <c r="J18" s="67" t="b">
        <v>0</v>
      </c>
      <c r="K18" s="52" t="b">
        <v>0</v>
      </c>
      <c r="L18" s="52" t="b">
        <v>0</v>
      </c>
      <c r="M18" s="40" t="s">
        <v>1899</v>
      </c>
      <c r="N18" s="33" t="s">
        <v>1868</v>
      </c>
      <c r="O18" s="33" t="s">
        <v>1869</v>
      </c>
      <c r="P18" s="33" t="s">
        <v>1864</v>
      </c>
      <c r="Q18" s="41"/>
    </row>
    <row r="19" spans="1:17" x14ac:dyDescent="0.25">
      <c r="A19" s="44" t="s">
        <v>1900</v>
      </c>
      <c r="B19" s="44"/>
      <c r="C19" s="42"/>
      <c r="D19" s="42" t="b">
        <v>0</v>
      </c>
      <c r="E19" s="42" t="b">
        <v>1</v>
      </c>
      <c r="F19" s="42" t="s">
        <v>1866</v>
      </c>
      <c r="G19" s="34" t="b">
        <v>1</v>
      </c>
      <c r="H19" s="44"/>
      <c r="I19" s="42"/>
      <c r="J19" s="67" t="b">
        <v>0</v>
      </c>
      <c r="K19" s="52" t="b">
        <v>0</v>
      </c>
      <c r="L19" s="52" t="b">
        <v>0</v>
      </c>
      <c r="M19" s="46" t="s">
        <v>1901</v>
      </c>
      <c r="N19" s="42" t="s">
        <v>1868</v>
      </c>
      <c r="O19" s="42" t="s">
        <v>1869</v>
      </c>
      <c r="P19" s="42" t="s">
        <v>1864</v>
      </c>
    </row>
    <row r="20" spans="1:17" ht="30" x14ac:dyDescent="0.25">
      <c r="A20" s="37" t="s">
        <v>1902</v>
      </c>
      <c r="B20" s="37"/>
      <c r="C20" s="33"/>
      <c r="D20" s="33" t="b">
        <v>0</v>
      </c>
      <c r="E20" s="33" t="b">
        <v>1</v>
      </c>
      <c r="F20" s="33" t="s">
        <v>1866</v>
      </c>
      <c r="G20" s="34" t="b">
        <v>1</v>
      </c>
      <c r="H20" s="37"/>
      <c r="I20" s="33"/>
      <c r="J20" s="67" t="b">
        <v>0</v>
      </c>
      <c r="K20" s="52" t="b">
        <v>0</v>
      </c>
      <c r="L20" s="52" t="b">
        <v>0</v>
      </c>
      <c r="M20" s="40" t="s">
        <v>1903</v>
      </c>
      <c r="N20" s="33" t="s">
        <v>1868</v>
      </c>
      <c r="O20" s="33" t="s">
        <v>1869</v>
      </c>
      <c r="P20" s="33" t="s">
        <v>1864</v>
      </c>
      <c r="Q20" s="41"/>
    </row>
    <row r="21" spans="1:17" ht="30" x14ac:dyDescent="0.25">
      <c r="A21" s="44" t="s">
        <v>1904</v>
      </c>
      <c r="B21" s="44"/>
      <c r="C21" s="42"/>
      <c r="D21" s="42" t="b">
        <v>0</v>
      </c>
      <c r="E21" s="42" t="b">
        <v>1</v>
      </c>
      <c r="F21" s="42" t="s">
        <v>1866</v>
      </c>
      <c r="G21" s="34" t="b">
        <v>1</v>
      </c>
      <c r="H21" s="44"/>
      <c r="I21" s="42"/>
      <c r="J21" s="67" t="b">
        <v>0</v>
      </c>
      <c r="K21" s="52" t="b">
        <v>0</v>
      </c>
      <c r="L21" s="52" t="b">
        <v>0</v>
      </c>
      <c r="M21" s="46" t="s">
        <v>1905</v>
      </c>
      <c r="N21" s="42" t="s">
        <v>1868</v>
      </c>
      <c r="O21" s="42" t="s">
        <v>1869</v>
      </c>
      <c r="P21" s="42" t="s">
        <v>1864</v>
      </c>
    </row>
    <row r="22" spans="1:17" ht="30" x14ac:dyDescent="0.25">
      <c r="A22" s="37" t="s">
        <v>1906</v>
      </c>
      <c r="B22" s="37"/>
      <c r="C22" s="33"/>
      <c r="D22" s="33" t="b">
        <v>0</v>
      </c>
      <c r="E22" s="33" t="b">
        <v>1</v>
      </c>
      <c r="F22" s="33" t="s">
        <v>1866</v>
      </c>
      <c r="G22" s="34" t="b">
        <v>1</v>
      </c>
      <c r="H22" s="37"/>
      <c r="I22" s="33"/>
      <c r="J22" s="67" t="b">
        <v>0</v>
      </c>
      <c r="K22" s="52" t="b">
        <v>0</v>
      </c>
      <c r="L22" s="52" t="b">
        <v>0</v>
      </c>
      <c r="M22" s="40" t="s">
        <v>1907</v>
      </c>
      <c r="N22" s="33" t="s">
        <v>1868</v>
      </c>
      <c r="O22" s="33" t="s">
        <v>1869</v>
      </c>
      <c r="P22" s="33" t="s">
        <v>1864</v>
      </c>
      <c r="Q22" s="41"/>
    </row>
    <row r="23" spans="1:17" ht="30" x14ac:dyDescent="0.25">
      <c r="A23" s="44" t="s">
        <v>1908</v>
      </c>
      <c r="B23" s="44"/>
      <c r="C23" s="42"/>
      <c r="D23" s="42" t="b">
        <v>0</v>
      </c>
      <c r="E23" s="42" t="b">
        <v>1</v>
      </c>
      <c r="F23" s="42" t="s">
        <v>1866</v>
      </c>
      <c r="G23" s="34" t="b">
        <v>1</v>
      </c>
      <c r="H23" s="44"/>
      <c r="I23" s="42"/>
      <c r="J23" s="67" t="b">
        <v>0</v>
      </c>
      <c r="K23" s="52" t="b">
        <v>0</v>
      </c>
      <c r="L23" s="52" t="b">
        <v>0</v>
      </c>
      <c r="M23" s="46" t="s">
        <v>1909</v>
      </c>
      <c r="N23" s="42" t="s">
        <v>1868</v>
      </c>
      <c r="O23" s="42" t="s">
        <v>1869</v>
      </c>
      <c r="P23" s="42" t="s">
        <v>1864</v>
      </c>
    </row>
    <row r="24" spans="1:17" ht="30" customHeight="1" x14ac:dyDescent="0.25">
      <c r="A24" s="64" t="s">
        <v>1910</v>
      </c>
      <c r="B24" s="37" t="s">
        <v>189</v>
      </c>
      <c r="C24" s="33">
        <v>200</v>
      </c>
      <c r="D24" s="33" t="b">
        <v>1</v>
      </c>
      <c r="E24" s="33" t="b">
        <v>1</v>
      </c>
      <c r="F24" s="33" t="s">
        <v>1860</v>
      </c>
      <c r="G24" s="52" t="b">
        <v>0</v>
      </c>
      <c r="H24" s="37" t="b">
        <v>0</v>
      </c>
      <c r="I24" s="33" t="b">
        <v>0</v>
      </c>
      <c r="J24" s="67" t="b">
        <v>0</v>
      </c>
      <c r="K24" s="52" t="b">
        <v>0</v>
      </c>
      <c r="L24" s="52" t="b">
        <v>0</v>
      </c>
      <c r="M24" s="40" t="s">
        <v>1911</v>
      </c>
      <c r="N24" s="33" t="s">
        <v>1868</v>
      </c>
      <c r="O24" s="33" t="s">
        <v>1869</v>
      </c>
      <c r="P24" s="33" t="s">
        <v>1864</v>
      </c>
      <c r="Q24" s="41"/>
    </row>
    <row r="25" spans="1:17" ht="30" customHeight="1" x14ac:dyDescent="0.25">
      <c r="A25" s="64" t="s">
        <v>1912</v>
      </c>
      <c r="B25" s="44" t="s">
        <v>207</v>
      </c>
      <c r="C25" s="42">
        <v>200</v>
      </c>
      <c r="D25" s="42" t="b">
        <v>1</v>
      </c>
      <c r="E25" s="42" t="b">
        <v>1</v>
      </c>
      <c r="F25" s="42" t="s">
        <v>1860</v>
      </c>
      <c r="G25" s="52" t="b">
        <v>0</v>
      </c>
      <c r="H25" s="44" t="b">
        <v>0</v>
      </c>
      <c r="I25" s="42" t="b">
        <v>0</v>
      </c>
      <c r="J25" s="67" t="b">
        <v>0</v>
      </c>
      <c r="K25" s="52" t="b">
        <v>0</v>
      </c>
      <c r="L25" s="52" t="b">
        <v>0</v>
      </c>
      <c r="M25" s="46" t="s">
        <v>1913</v>
      </c>
      <c r="N25" s="42" t="s">
        <v>1868</v>
      </c>
      <c r="O25" s="42" t="s">
        <v>1869</v>
      </c>
      <c r="P25" s="42" t="s">
        <v>1864</v>
      </c>
    </row>
    <row r="26" spans="1:17" ht="30" customHeight="1" x14ac:dyDescent="0.25">
      <c r="A26" s="64" t="s">
        <v>1914</v>
      </c>
      <c r="B26" s="37" t="s">
        <v>214</v>
      </c>
      <c r="C26" s="33">
        <v>200</v>
      </c>
      <c r="D26" s="33" t="b">
        <v>1</v>
      </c>
      <c r="E26" s="33" t="b">
        <v>1</v>
      </c>
      <c r="F26" s="33" t="s">
        <v>1860</v>
      </c>
      <c r="G26" s="52" t="b">
        <v>0</v>
      </c>
      <c r="H26" s="37" t="b">
        <v>0</v>
      </c>
      <c r="I26" s="33" t="b">
        <v>0</v>
      </c>
      <c r="J26" s="67" t="b">
        <v>0</v>
      </c>
      <c r="K26" s="52" t="b">
        <v>0</v>
      </c>
      <c r="L26" s="52" t="b">
        <v>0</v>
      </c>
      <c r="M26" s="40" t="s">
        <v>1915</v>
      </c>
      <c r="N26" s="33" t="s">
        <v>1868</v>
      </c>
      <c r="O26" s="33" t="s">
        <v>1869</v>
      </c>
      <c r="P26" s="33" t="s">
        <v>1864</v>
      </c>
      <c r="Q26" s="41"/>
    </row>
    <row r="27" spans="1:17" ht="30" x14ac:dyDescent="0.25">
      <c r="A27" s="44" t="s">
        <v>1916</v>
      </c>
      <c r="B27" s="44"/>
      <c r="C27" s="42"/>
      <c r="D27" s="42" t="b">
        <v>0</v>
      </c>
      <c r="E27" s="42" t="b">
        <v>1</v>
      </c>
      <c r="F27" s="42" t="s">
        <v>1866</v>
      </c>
      <c r="G27" s="34" t="b">
        <v>1</v>
      </c>
      <c r="H27" s="44"/>
      <c r="I27" s="42"/>
      <c r="J27" s="67" t="b">
        <v>0</v>
      </c>
      <c r="K27" s="52" t="b">
        <v>0</v>
      </c>
      <c r="L27" s="52" t="b">
        <v>0</v>
      </c>
      <c r="M27" s="46" t="s">
        <v>1917</v>
      </c>
      <c r="N27" s="42" t="s">
        <v>1868</v>
      </c>
      <c r="O27" s="42" t="s">
        <v>1869</v>
      </c>
      <c r="P27" s="42" t="s">
        <v>1864</v>
      </c>
    </row>
    <row r="28" spans="1:17" x14ac:dyDescent="0.25">
      <c r="A28" s="37" t="s">
        <v>1918</v>
      </c>
      <c r="B28" s="37"/>
      <c r="C28" s="33"/>
      <c r="D28" s="33" t="b">
        <v>0</v>
      </c>
      <c r="E28" s="33" t="b">
        <v>1</v>
      </c>
      <c r="F28" s="33" t="s">
        <v>1866</v>
      </c>
      <c r="G28" s="34" t="b">
        <v>1</v>
      </c>
      <c r="H28" s="37"/>
      <c r="I28" s="33"/>
      <c r="J28" s="67" t="b">
        <v>0</v>
      </c>
      <c r="K28" s="52" t="b">
        <v>0</v>
      </c>
      <c r="L28" s="52" t="b">
        <v>0</v>
      </c>
      <c r="M28" s="40" t="s">
        <v>1919</v>
      </c>
      <c r="N28" s="33" t="s">
        <v>1868</v>
      </c>
      <c r="O28" s="33" t="s">
        <v>1869</v>
      </c>
      <c r="P28" s="33" t="s">
        <v>1864</v>
      </c>
      <c r="Q28" s="41"/>
    </row>
    <row r="29" spans="1:17" ht="30" customHeight="1" x14ac:dyDescent="0.25">
      <c r="A29" s="64" t="s">
        <v>1920</v>
      </c>
      <c r="B29" s="44" t="s">
        <v>216</v>
      </c>
      <c r="C29" s="42">
        <v>200</v>
      </c>
      <c r="D29" s="42" t="b">
        <v>1</v>
      </c>
      <c r="E29" s="42" t="b">
        <v>1</v>
      </c>
      <c r="F29" s="42" t="s">
        <v>1860</v>
      </c>
      <c r="G29" s="52" t="b">
        <v>0</v>
      </c>
      <c r="H29" s="44" t="b">
        <v>0</v>
      </c>
      <c r="I29" s="42" t="b">
        <v>0</v>
      </c>
      <c r="J29" s="67" t="b">
        <v>0</v>
      </c>
      <c r="K29" s="52" t="b">
        <v>0</v>
      </c>
      <c r="L29" s="52" t="b">
        <v>0</v>
      </c>
      <c r="M29" s="46" t="s">
        <v>1921</v>
      </c>
      <c r="N29" s="42" t="s">
        <v>1868</v>
      </c>
      <c r="O29" s="42" t="s">
        <v>1869</v>
      </c>
      <c r="P29" s="42" t="s">
        <v>1864</v>
      </c>
    </row>
    <row r="30" spans="1:17" ht="30" x14ac:dyDescent="0.25">
      <c r="A30" s="37" t="s">
        <v>1922</v>
      </c>
      <c r="B30" s="37"/>
      <c r="C30" s="33"/>
      <c r="D30" s="33" t="b">
        <v>0</v>
      </c>
      <c r="E30" s="33" t="b">
        <v>1</v>
      </c>
      <c r="F30" s="33" t="s">
        <v>1866</v>
      </c>
      <c r="G30" s="34" t="b">
        <v>1</v>
      </c>
      <c r="H30" s="37"/>
      <c r="I30" s="33"/>
      <c r="J30" s="67" t="b">
        <v>0</v>
      </c>
      <c r="K30" s="52" t="b">
        <v>0</v>
      </c>
      <c r="L30" s="52" t="b">
        <v>0</v>
      </c>
      <c r="M30" s="40" t="s">
        <v>1923</v>
      </c>
      <c r="N30" s="33" t="s">
        <v>1868</v>
      </c>
      <c r="O30" s="33" t="s">
        <v>1869</v>
      </c>
      <c r="P30" s="33" t="s">
        <v>1864</v>
      </c>
      <c r="Q30" s="41"/>
    </row>
    <row r="31" spans="1:17" ht="30" x14ac:dyDescent="0.25">
      <c r="A31" s="44" t="s">
        <v>1924</v>
      </c>
      <c r="B31" s="44"/>
      <c r="C31" s="42"/>
      <c r="D31" s="42" t="b">
        <v>0</v>
      </c>
      <c r="E31" s="42" t="b">
        <v>1</v>
      </c>
      <c r="F31" s="42" t="s">
        <v>1866</v>
      </c>
      <c r="G31" s="34" t="b">
        <v>1</v>
      </c>
      <c r="H31" s="44"/>
      <c r="I31" s="42"/>
      <c r="J31" s="67" t="b">
        <v>0</v>
      </c>
      <c r="K31" s="52" t="b">
        <v>0</v>
      </c>
      <c r="L31" s="52" t="b">
        <v>0</v>
      </c>
      <c r="M31" s="46" t="s">
        <v>1925</v>
      </c>
      <c r="N31" s="42" t="s">
        <v>1868</v>
      </c>
      <c r="O31" s="42" t="s">
        <v>1869</v>
      </c>
      <c r="P31" s="42" t="s">
        <v>1864</v>
      </c>
    </row>
    <row r="32" spans="1:17" x14ac:dyDescent="0.25">
      <c r="A32" s="37" t="s">
        <v>1926</v>
      </c>
      <c r="B32" s="37"/>
      <c r="C32" s="33"/>
      <c r="D32" s="33" t="b">
        <v>0</v>
      </c>
      <c r="E32" s="33" t="b">
        <v>1</v>
      </c>
      <c r="F32" s="33" t="s">
        <v>1866</v>
      </c>
      <c r="G32" s="34" t="b">
        <v>1</v>
      </c>
      <c r="H32" s="37"/>
      <c r="I32" s="33"/>
      <c r="J32" s="67" t="b">
        <v>0</v>
      </c>
      <c r="K32" s="52" t="b">
        <v>0</v>
      </c>
      <c r="L32" s="52" t="b">
        <v>0</v>
      </c>
      <c r="M32" s="40" t="s">
        <v>1927</v>
      </c>
      <c r="N32" s="33" t="s">
        <v>1868</v>
      </c>
      <c r="O32" s="33" t="s">
        <v>1869</v>
      </c>
      <c r="P32" s="33" t="s">
        <v>1864</v>
      </c>
      <c r="Q32" s="41"/>
    </row>
    <row r="33" spans="1:17" ht="30" customHeight="1" x14ac:dyDescent="0.25">
      <c r="A33" s="64" t="s">
        <v>1928</v>
      </c>
      <c r="B33" s="44" t="s">
        <v>155</v>
      </c>
      <c r="C33" s="42">
        <v>200</v>
      </c>
      <c r="D33" s="42" t="b">
        <v>1</v>
      </c>
      <c r="E33" s="42" t="b">
        <v>1</v>
      </c>
      <c r="F33" s="42" t="s">
        <v>1860</v>
      </c>
      <c r="G33" s="52" t="b">
        <v>0</v>
      </c>
      <c r="H33" s="44" t="b">
        <v>0</v>
      </c>
      <c r="I33" s="42" t="b">
        <v>0</v>
      </c>
      <c r="J33" s="67" t="b">
        <v>0</v>
      </c>
      <c r="K33" s="52" t="b">
        <v>0</v>
      </c>
      <c r="L33" s="52" t="b">
        <v>0</v>
      </c>
      <c r="M33" s="46" t="s">
        <v>1929</v>
      </c>
      <c r="N33" s="42" t="s">
        <v>1868</v>
      </c>
      <c r="O33" s="42" t="s">
        <v>1869</v>
      </c>
      <c r="P33" s="42" t="s">
        <v>1864</v>
      </c>
    </row>
    <row r="34" spans="1:17" x14ac:dyDescent="0.25">
      <c r="A34" s="37" t="s">
        <v>1930</v>
      </c>
      <c r="B34" s="37"/>
      <c r="C34" s="33"/>
      <c r="D34" s="33" t="b">
        <v>0</v>
      </c>
      <c r="E34" s="33" t="b">
        <v>1</v>
      </c>
      <c r="F34" s="33" t="s">
        <v>1866</v>
      </c>
      <c r="G34" s="34" t="b">
        <v>1</v>
      </c>
      <c r="H34" s="37"/>
      <c r="I34" s="33"/>
      <c r="J34" s="67" t="b">
        <v>0</v>
      </c>
      <c r="K34" s="52" t="b">
        <v>0</v>
      </c>
      <c r="L34" s="52" t="b">
        <v>0</v>
      </c>
      <c r="M34" s="40" t="s">
        <v>1931</v>
      </c>
      <c r="N34" s="33" t="s">
        <v>1868</v>
      </c>
      <c r="O34" s="33" t="s">
        <v>1869</v>
      </c>
      <c r="P34" s="33" t="s">
        <v>1864</v>
      </c>
      <c r="Q34" s="41"/>
    </row>
    <row r="35" spans="1:17" x14ac:dyDescent="0.25">
      <c r="A35" s="44" t="s">
        <v>1932</v>
      </c>
      <c r="B35" s="44"/>
      <c r="C35" s="42"/>
      <c r="D35" s="42" t="b">
        <v>0</v>
      </c>
      <c r="E35" s="42" t="b">
        <v>1</v>
      </c>
      <c r="F35" s="42" t="s">
        <v>1866</v>
      </c>
      <c r="G35" s="34" t="b">
        <v>1</v>
      </c>
      <c r="H35" s="44"/>
      <c r="I35" s="42"/>
      <c r="J35" s="67" t="b">
        <v>0</v>
      </c>
      <c r="K35" s="52" t="b">
        <v>0</v>
      </c>
      <c r="L35" s="52" t="b">
        <v>0</v>
      </c>
      <c r="M35" s="46" t="s">
        <v>1933</v>
      </c>
      <c r="N35" s="42" t="s">
        <v>1868</v>
      </c>
      <c r="O35" s="42" t="s">
        <v>1869</v>
      </c>
      <c r="P35" s="42" t="s">
        <v>1864</v>
      </c>
    </row>
    <row r="36" spans="1:17" ht="30" x14ac:dyDescent="0.25">
      <c r="A36" s="37" t="s">
        <v>1934</v>
      </c>
      <c r="B36" s="37"/>
      <c r="C36" s="33"/>
      <c r="D36" s="33" t="b">
        <v>0</v>
      </c>
      <c r="E36" s="33" t="b">
        <v>1</v>
      </c>
      <c r="F36" s="33" t="s">
        <v>1866</v>
      </c>
      <c r="G36" s="34" t="b">
        <v>1</v>
      </c>
      <c r="H36" s="37"/>
      <c r="I36" s="33"/>
      <c r="J36" s="67" t="b">
        <v>0</v>
      </c>
      <c r="K36" s="52" t="b">
        <v>0</v>
      </c>
      <c r="L36" s="52" t="b">
        <v>0</v>
      </c>
      <c r="M36" s="40" t="s">
        <v>1935</v>
      </c>
      <c r="N36" s="33" t="s">
        <v>1868</v>
      </c>
      <c r="O36" s="33" t="s">
        <v>1869</v>
      </c>
      <c r="P36" s="33" t="s">
        <v>1864</v>
      </c>
      <c r="Q36" s="41"/>
    </row>
    <row r="37" spans="1:17" ht="30" x14ac:dyDescent="0.25">
      <c r="A37" s="44" t="s">
        <v>1936</v>
      </c>
      <c r="B37" s="44"/>
      <c r="C37" s="42"/>
      <c r="D37" s="42" t="b">
        <v>0</v>
      </c>
      <c r="E37" s="42" t="b">
        <v>1</v>
      </c>
      <c r="F37" s="42" t="s">
        <v>1866</v>
      </c>
      <c r="G37" s="34" t="b">
        <v>1</v>
      </c>
      <c r="H37" s="44"/>
      <c r="I37" s="42"/>
      <c r="J37" s="67" t="b">
        <v>0</v>
      </c>
      <c r="K37" s="52" t="b">
        <v>0</v>
      </c>
      <c r="L37" s="52" t="b">
        <v>0</v>
      </c>
      <c r="M37" s="46" t="s">
        <v>1937</v>
      </c>
      <c r="N37" s="42" t="s">
        <v>1868</v>
      </c>
      <c r="O37" s="42" t="s">
        <v>1869</v>
      </c>
      <c r="P37" s="42" t="s">
        <v>1864</v>
      </c>
    </row>
    <row r="38" spans="1:17" ht="30" x14ac:dyDescent="0.25">
      <c r="A38" s="37" t="s">
        <v>1938</v>
      </c>
      <c r="B38" s="37"/>
      <c r="C38" s="33"/>
      <c r="D38" s="33" t="b">
        <v>0</v>
      </c>
      <c r="E38" s="33" t="b">
        <v>1</v>
      </c>
      <c r="F38" s="33" t="s">
        <v>1866</v>
      </c>
      <c r="G38" s="34" t="b">
        <v>1</v>
      </c>
      <c r="H38" s="37"/>
      <c r="I38" s="33"/>
      <c r="J38" s="67" t="b">
        <v>0</v>
      </c>
      <c r="K38" s="52" t="b">
        <v>0</v>
      </c>
      <c r="L38" s="52" t="b">
        <v>0</v>
      </c>
      <c r="M38" s="40" t="s">
        <v>1939</v>
      </c>
      <c r="N38" s="33" t="s">
        <v>1868</v>
      </c>
      <c r="O38" s="33" t="s">
        <v>1869</v>
      </c>
      <c r="P38" s="33" t="s">
        <v>1864</v>
      </c>
      <c r="Q38" s="41"/>
    </row>
    <row r="39" spans="1:17" ht="30" x14ac:dyDescent="0.25">
      <c r="A39" s="44" t="s">
        <v>1940</v>
      </c>
      <c r="B39" s="44"/>
      <c r="C39" s="42"/>
      <c r="D39" s="42" t="b">
        <v>0</v>
      </c>
      <c r="E39" s="42" t="b">
        <v>1</v>
      </c>
      <c r="F39" s="42" t="s">
        <v>1866</v>
      </c>
      <c r="G39" s="34" t="b">
        <v>1</v>
      </c>
      <c r="H39" s="44"/>
      <c r="I39" s="42"/>
      <c r="J39" s="67" t="b">
        <v>0</v>
      </c>
      <c r="K39" s="52" t="b">
        <v>0</v>
      </c>
      <c r="L39" s="52" t="b">
        <v>0</v>
      </c>
      <c r="M39" s="46" t="s">
        <v>1941</v>
      </c>
      <c r="N39" s="42" t="s">
        <v>1868</v>
      </c>
      <c r="O39" s="42" t="s">
        <v>1869</v>
      </c>
      <c r="P39" s="42" t="s">
        <v>1864</v>
      </c>
    </row>
    <row r="40" spans="1:17" ht="30" x14ac:dyDescent="0.25">
      <c r="A40" s="37" t="s">
        <v>1942</v>
      </c>
      <c r="B40" s="37"/>
      <c r="C40" s="33"/>
      <c r="D40" s="33" t="b">
        <v>0</v>
      </c>
      <c r="E40" s="33" t="b">
        <v>1</v>
      </c>
      <c r="F40" s="33" t="s">
        <v>1866</v>
      </c>
      <c r="G40" s="34" t="b">
        <v>1</v>
      </c>
      <c r="H40" s="37"/>
      <c r="I40" s="33"/>
      <c r="J40" s="67" t="b">
        <v>0</v>
      </c>
      <c r="K40" s="52" t="b">
        <v>0</v>
      </c>
      <c r="L40" s="52" t="b">
        <v>0</v>
      </c>
      <c r="M40" s="40" t="s">
        <v>1943</v>
      </c>
      <c r="N40" s="33" t="s">
        <v>1868</v>
      </c>
      <c r="O40" s="33" t="s">
        <v>1869</v>
      </c>
      <c r="P40" s="33" t="s">
        <v>1864</v>
      </c>
      <c r="Q40" s="41"/>
    </row>
    <row r="41" spans="1:17" ht="30" customHeight="1" x14ac:dyDescent="0.25">
      <c r="A41" s="64" t="s">
        <v>1944</v>
      </c>
      <c r="B41" s="44" t="s">
        <v>146</v>
      </c>
      <c r="C41" s="42">
        <v>200</v>
      </c>
      <c r="D41" s="42" t="b">
        <v>1</v>
      </c>
      <c r="E41" s="42" t="b">
        <v>1</v>
      </c>
      <c r="F41" s="42" t="s">
        <v>1860</v>
      </c>
      <c r="G41" s="52" t="b">
        <v>0</v>
      </c>
      <c r="H41" s="44" t="b">
        <v>0</v>
      </c>
      <c r="I41" s="42" t="b">
        <v>0</v>
      </c>
      <c r="J41" s="67" t="b">
        <v>0</v>
      </c>
      <c r="K41" s="52" t="b">
        <v>0</v>
      </c>
      <c r="L41" s="52" t="b">
        <v>0</v>
      </c>
      <c r="M41" s="46" t="s">
        <v>1945</v>
      </c>
      <c r="N41" s="42" t="s">
        <v>1868</v>
      </c>
      <c r="O41" s="42" t="s">
        <v>1869</v>
      </c>
      <c r="P41" s="42" t="s">
        <v>1864</v>
      </c>
    </row>
    <row r="42" spans="1:17" ht="30" customHeight="1" x14ac:dyDescent="0.25">
      <c r="A42" s="64" t="s">
        <v>1946</v>
      </c>
      <c r="B42" s="37" t="s">
        <v>209</v>
      </c>
      <c r="C42" s="33">
        <v>200</v>
      </c>
      <c r="D42" s="33" t="b">
        <v>1</v>
      </c>
      <c r="E42" s="33" t="b">
        <v>1</v>
      </c>
      <c r="F42" s="33" t="s">
        <v>1860</v>
      </c>
      <c r="G42" s="52" t="b">
        <v>0</v>
      </c>
      <c r="H42" s="37" t="b">
        <v>0</v>
      </c>
      <c r="I42" s="33" t="b">
        <v>0</v>
      </c>
      <c r="J42" s="67" t="b">
        <v>0</v>
      </c>
      <c r="K42" s="52" t="b">
        <v>0</v>
      </c>
      <c r="L42" s="52" t="b">
        <v>0</v>
      </c>
      <c r="M42" s="40" t="s">
        <v>1947</v>
      </c>
      <c r="N42" s="33" t="s">
        <v>1868</v>
      </c>
      <c r="O42" s="33" t="s">
        <v>1869</v>
      </c>
      <c r="P42" s="33" t="s">
        <v>1864</v>
      </c>
      <c r="Q42" s="41"/>
    </row>
    <row r="43" spans="1:17" ht="30" x14ac:dyDescent="0.25">
      <c r="A43" s="44" t="s">
        <v>1948</v>
      </c>
      <c r="B43" s="44"/>
      <c r="C43" s="42"/>
      <c r="D43" s="42" t="b">
        <v>0</v>
      </c>
      <c r="E43" s="42" t="b">
        <v>1</v>
      </c>
      <c r="F43" s="42" t="s">
        <v>1866</v>
      </c>
      <c r="G43" s="34" t="b">
        <v>1</v>
      </c>
      <c r="H43" s="44"/>
      <c r="I43" s="42"/>
      <c r="J43" s="67" t="b">
        <v>0</v>
      </c>
      <c r="K43" s="52" t="b">
        <v>0</v>
      </c>
      <c r="L43" s="52" t="b">
        <v>0</v>
      </c>
      <c r="M43" s="46" t="s">
        <v>1949</v>
      </c>
      <c r="N43" s="42" t="s">
        <v>1868</v>
      </c>
      <c r="O43" s="42" t="s">
        <v>1869</v>
      </c>
      <c r="P43" s="42" t="s">
        <v>1864</v>
      </c>
    </row>
    <row r="44" spans="1:17" ht="30" x14ac:dyDescent="0.25">
      <c r="A44" s="37" t="s">
        <v>1950</v>
      </c>
      <c r="B44" s="37"/>
      <c r="C44" s="33"/>
      <c r="D44" s="33" t="b">
        <v>0</v>
      </c>
      <c r="E44" s="33" t="b">
        <v>1</v>
      </c>
      <c r="F44" s="33" t="s">
        <v>1866</v>
      </c>
      <c r="G44" s="34" t="b">
        <v>1</v>
      </c>
      <c r="H44" s="37"/>
      <c r="I44" s="33"/>
      <c r="J44" s="67" t="b">
        <v>0</v>
      </c>
      <c r="K44" s="52" t="b">
        <v>0</v>
      </c>
      <c r="L44" s="52" t="b">
        <v>0</v>
      </c>
      <c r="M44" s="40" t="s">
        <v>1951</v>
      </c>
      <c r="N44" s="33" t="s">
        <v>1868</v>
      </c>
      <c r="O44" s="33" t="s">
        <v>1869</v>
      </c>
      <c r="P44" s="33" t="s">
        <v>1864</v>
      </c>
      <c r="Q44" s="41"/>
    </row>
    <row r="45" spans="1:17" ht="30" x14ac:dyDescent="0.25">
      <c r="A45" s="44" t="s">
        <v>1952</v>
      </c>
      <c r="B45" s="44"/>
      <c r="C45" s="42"/>
      <c r="D45" s="42" t="b">
        <v>0</v>
      </c>
      <c r="E45" s="42" t="b">
        <v>1</v>
      </c>
      <c r="F45" s="42" t="s">
        <v>1866</v>
      </c>
      <c r="G45" s="34" t="b">
        <v>1</v>
      </c>
      <c r="H45" s="44"/>
      <c r="I45" s="42"/>
      <c r="J45" s="67" t="b">
        <v>0</v>
      </c>
      <c r="K45" s="52" t="b">
        <v>0</v>
      </c>
      <c r="L45" s="52" t="b">
        <v>0</v>
      </c>
      <c r="M45" s="46" t="s">
        <v>1953</v>
      </c>
      <c r="N45" s="42" t="s">
        <v>1868</v>
      </c>
      <c r="O45" s="42" t="s">
        <v>1869</v>
      </c>
      <c r="P45" s="42" t="s">
        <v>1864</v>
      </c>
    </row>
    <row r="46" spans="1:17" ht="30" x14ac:dyDescent="0.25">
      <c r="A46" s="37" t="s">
        <v>1954</v>
      </c>
      <c r="B46" s="37"/>
      <c r="C46" s="33"/>
      <c r="D46" s="33" t="b">
        <v>0</v>
      </c>
      <c r="E46" s="33" t="b">
        <v>1</v>
      </c>
      <c r="F46" s="33" t="s">
        <v>1866</v>
      </c>
      <c r="G46" s="34" t="b">
        <v>1</v>
      </c>
      <c r="H46" s="37"/>
      <c r="I46" s="33"/>
      <c r="J46" s="67" t="b">
        <v>0</v>
      </c>
      <c r="K46" s="52" t="b">
        <v>0</v>
      </c>
      <c r="L46" s="52" t="b">
        <v>0</v>
      </c>
      <c r="M46" s="40" t="s">
        <v>1955</v>
      </c>
      <c r="N46" s="33" t="s">
        <v>1868</v>
      </c>
      <c r="O46" s="33" t="s">
        <v>1869</v>
      </c>
      <c r="P46" s="33" t="s">
        <v>1864</v>
      </c>
      <c r="Q46" s="41"/>
    </row>
    <row r="47" spans="1:17" ht="30" x14ac:dyDescent="0.25">
      <c r="A47" s="44" t="s">
        <v>1956</v>
      </c>
      <c r="B47" s="44"/>
      <c r="C47" s="42"/>
      <c r="D47" s="42" t="b">
        <v>0</v>
      </c>
      <c r="E47" s="42" t="b">
        <v>1</v>
      </c>
      <c r="F47" s="42" t="s">
        <v>1866</v>
      </c>
      <c r="G47" s="34" t="b">
        <v>1</v>
      </c>
      <c r="H47" s="44"/>
      <c r="I47" s="42"/>
      <c r="J47" s="67" t="b">
        <v>0</v>
      </c>
      <c r="K47" s="52" t="b">
        <v>0</v>
      </c>
      <c r="L47" s="52" t="b">
        <v>0</v>
      </c>
      <c r="M47" s="46" t="s">
        <v>1957</v>
      </c>
      <c r="N47" s="42" t="s">
        <v>1868</v>
      </c>
      <c r="O47" s="42" t="s">
        <v>1869</v>
      </c>
      <c r="P47" s="42" t="s">
        <v>1864</v>
      </c>
    </row>
    <row r="48" spans="1:17" ht="30" x14ac:dyDescent="0.25">
      <c r="A48" s="37" t="s">
        <v>1958</v>
      </c>
      <c r="B48" s="37"/>
      <c r="C48" s="33"/>
      <c r="D48" s="33" t="b">
        <v>0</v>
      </c>
      <c r="E48" s="33" t="b">
        <v>1</v>
      </c>
      <c r="F48" s="33" t="s">
        <v>1866</v>
      </c>
      <c r="G48" s="34" t="b">
        <v>1</v>
      </c>
      <c r="H48" s="37"/>
      <c r="I48" s="33"/>
      <c r="J48" s="67" t="b">
        <v>0</v>
      </c>
      <c r="K48" s="52" t="b">
        <v>0</v>
      </c>
      <c r="L48" s="52" t="b">
        <v>0</v>
      </c>
      <c r="M48" s="40" t="s">
        <v>1959</v>
      </c>
      <c r="N48" s="33" t="s">
        <v>1868</v>
      </c>
      <c r="O48" s="33" t="s">
        <v>1869</v>
      </c>
      <c r="P48" s="33" t="s">
        <v>1864</v>
      </c>
      <c r="Q48" s="41"/>
    </row>
    <row r="49" spans="1:17" ht="30" x14ac:dyDescent="0.25">
      <c r="A49" s="44" t="s">
        <v>1960</v>
      </c>
      <c r="B49" s="44"/>
      <c r="C49" s="42"/>
      <c r="D49" s="42" t="b">
        <v>0</v>
      </c>
      <c r="E49" s="42" t="b">
        <v>1</v>
      </c>
      <c r="F49" s="42" t="s">
        <v>1866</v>
      </c>
      <c r="G49" s="34" t="b">
        <v>1</v>
      </c>
      <c r="H49" s="44"/>
      <c r="I49" s="42"/>
      <c r="J49" s="67" t="b">
        <v>0</v>
      </c>
      <c r="K49" s="52" t="b">
        <v>0</v>
      </c>
      <c r="L49" s="52" t="b">
        <v>0</v>
      </c>
      <c r="M49" s="46" t="s">
        <v>1961</v>
      </c>
      <c r="N49" s="42" t="s">
        <v>1868</v>
      </c>
      <c r="O49" s="42" t="s">
        <v>1869</v>
      </c>
      <c r="P49" s="42" t="s">
        <v>1864</v>
      </c>
    </row>
    <row r="50" spans="1:17" ht="30" x14ac:dyDescent="0.25">
      <c r="A50" s="37" t="s">
        <v>1962</v>
      </c>
      <c r="B50" s="37"/>
      <c r="C50" s="33"/>
      <c r="D50" s="33" t="b">
        <v>0</v>
      </c>
      <c r="E50" s="33" t="b">
        <v>1</v>
      </c>
      <c r="F50" s="33" t="s">
        <v>1866</v>
      </c>
      <c r="G50" s="34" t="b">
        <v>1</v>
      </c>
      <c r="H50" s="37"/>
      <c r="I50" s="33"/>
      <c r="J50" s="67" t="b">
        <v>0</v>
      </c>
      <c r="K50" s="52" t="b">
        <v>0</v>
      </c>
      <c r="L50" s="52" t="b">
        <v>0</v>
      </c>
      <c r="M50" s="40" t="s">
        <v>1963</v>
      </c>
      <c r="N50" s="33" t="s">
        <v>1868</v>
      </c>
      <c r="O50" s="33" t="s">
        <v>1869</v>
      </c>
      <c r="P50" s="33" t="s">
        <v>1864</v>
      </c>
      <c r="Q50" s="41"/>
    </row>
    <row r="51" spans="1:17" ht="30" x14ac:dyDescent="0.25">
      <c r="A51" s="44" t="s">
        <v>1964</v>
      </c>
      <c r="B51" s="44"/>
      <c r="C51" s="42"/>
      <c r="D51" s="42" t="b">
        <v>0</v>
      </c>
      <c r="E51" s="42" t="b">
        <v>1</v>
      </c>
      <c r="F51" s="42" t="s">
        <v>1866</v>
      </c>
      <c r="G51" s="34" t="b">
        <v>1</v>
      </c>
      <c r="H51" s="44"/>
      <c r="I51" s="42"/>
      <c r="J51" s="67" t="b">
        <v>0</v>
      </c>
      <c r="K51" s="52" t="b">
        <v>0</v>
      </c>
      <c r="L51" s="52" t="b">
        <v>0</v>
      </c>
      <c r="M51" s="46" t="s">
        <v>1965</v>
      </c>
      <c r="N51" s="42" t="s">
        <v>1868</v>
      </c>
      <c r="O51" s="42" t="s">
        <v>1869</v>
      </c>
      <c r="P51" s="42" t="s">
        <v>1864</v>
      </c>
    </row>
    <row r="52" spans="1:17" ht="30" x14ac:dyDescent="0.25">
      <c r="A52" s="37" t="s">
        <v>1966</v>
      </c>
      <c r="B52" s="37"/>
      <c r="C52" s="33"/>
      <c r="D52" s="33" t="b">
        <v>0</v>
      </c>
      <c r="E52" s="33" t="b">
        <v>1</v>
      </c>
      <c r="F52" s="33" t="s">
        <v>1866</v>
      </c>
      <c r="G52" s="34" t="b">
        <v>1</v>
      </c>
      <c r="H52" s="37"/>
      <c r="I52" s="33"/>
      <c r="J52" s="67" t="b">
        <v>0</v>
      </c>
      <c r="K52" s="52" t="b">
        <v>0</v>
      </c>
      <c r="L52" s="52" t="b">
        <v>0</v>
      </c>
      <c r="M52" s="40" t="s">
        <v>1967</v>
      </c>
      <c r="N52" s="33" t="s">
        <v>1868</v>
      </c>
      <c r="O52" s="33" t="s">
        <v>1869</v>
      </c>
      <c r="P52" s="33" t="s">
        <v>1864</v>
      </c>
      <c r="Q52" s="41"/>
    </row>
    <row r="53" spans="1:17" ht="30" x14ac:dyDescent="0.25">
      <c r="A53" s="44" t="s">
        <v>1968</v>
      </c>
      <c r="B53" s="44"/>
      <c r="C53" s="42"/>
      <c r="D53" s="42" t="b">
        <v>0</v>
      </c>
      <c r="E53" s="42" t="b">
        <v>1</v>
      </c>
      <c r="F53" s="42" t="s">
        <v>1866</v>
      </c>
      <c r="G53" s="34" t="b">
        <v>1</v>
      </c>
      <c r="H53" s="44"/>
      <c r="I53" s="42"/>
      <c r="J53" s="67" t="b">
        <v>0</v>
      </c>
      <c r="K53" s="52" t="b">
        <v>0</v>
      </c>
      <c r="L53" s="52" t="b">
        <v>0</v>
      </c>
      <c r="M53" s="46" t="s">
        <v>1969</v>
      </c>
      <c r="N53" s="42" t="s">
        <v>1868</v>
      </c>
      <c r="O53" s="42" t="s">
        <v>1869</v>
      </c>
      <c r="P53" s="42" t="s">
        <v>1864</v>
      </c>
    </row>
    <row r="54" spans="1:17" x14ac:dyDescent="0.25">
      <c r="A54" s="37" t="s">
        <v>1970</v>
      </c>
      <c r="B54" s="37"/>
      <c r="C54" s="33"/>
      <c r="D54" s="33" t="b">
        <v>0</v>
      </c>
      <c r="E54" s="33" t="b">
        <v>1</v>
      </c>
      <c r="F54" s="33" t="s">
        <v>1866</v>
      </c>
      <c r="G54" s="34" t="b">
        <v>1</v>
      </c>
      <c r="H54" s="37"/>
      <c r="I54" s="33"/>
      <c r="J54" s="67" t="b">
        <v>0</v>
      </c>
      <c r="K54" s="52" t="b">
        <v>0</v>
      </c>
      <c r="L54" s="52" t="b">
        <v>0</v>
      </c>
      <c r="M54" s="40" t="s">
        <v>1971</v>
      </c>
      <c r="N54" s="33" t="s">
        <v>1868</v>
      </c>
      <c r="O54" s="33" t="s">
        <v>1869</v>
      </c>
      <c r="P54" s="33" t="s">
        <v>1864</v>
      </c>
      <c r="Q54" s="41"/>
    </row>
    <row r="55" spans="1:17" x14ac:dyDescent="0.25">
      <c r="A55" s="44" t="s">
        <v>1972</v>
      </c>
      <c r="B55" s="44"/>
      <c r="C55" s="42"/>
      <c r="D55" s="42" t="b">
        <v>0</v>
      </c>
      <c r="E55" s="42" t="b">
        <v>1</v>
      </c>
      <c r="F55" s="42" t="s">
        <v>1866</v>
      </c>
      <c r="G55" s="34" t="b">
        <v>1</v>
      </c>
      <c r="H55" s="44"/>
      <c r="I55" s="42"/>
      <c r="J55" s="67" t="b">
        <v>0</v>
      </c>
      <c r="K55" s="52" t="b">
        <v>0</v>
      </c>
      <c r="L55" s="52" t="b">
        <v>0</v>
      </c>
      <c r="M55" s="46" t="s">
        <v>1973</v>
      </c>
      <c r="N55" s="42" t="s">
        <v>1868</v>
      </c>
      <c r="O55" s="42" t="s">
        <v>1869</v>
      </c>
      <c r="P55" s="42" t="s">
        <v>1864</v>
      </c>
    </row>
    <row r="56" spans="1:17" ht="30" x14ac:dyDescent="0.25">
      <c r="A56" s="37" t="s">
        <v>1974</v>
      </c>
      <c r="B56" s="37"/>
      <c r="C56" s="33"/>
      <c r="D56" s="33" t="b">
        <v>0</v>
      </c>
      <c r="E56" s="33" t="b">
        <v>1</v>
      </c>
      <c r="F56" s="33" t="s">
        <v>1866</v>
      </c>
      <c r="G56" s="34" t="b">
        <v>1</v>
      </c>
      <c r="H56" s="37"/>
      <c r="I56" s="33"/>
      <c r="J56" s="67" t="b">
        <v>0</v>
      </c>
      <c r="K56" s="52" t="b">
        <v>0</v>
      </c>
      <c r="L56" s="52" t="b">
        <v>0</v>
      </c>
      <c r="M56" s="40" t="s">
        <v>1975</v>
      </c>
      <c r="N56" s="33" t="s">
        <v>1868</v>
      </c>
      <c r="O56" s="33" t="s">
        <v>1869</v>
      </c>
      <c r="P56" s="33" t="s">
        <v>1864</v>
      </c>
      <c r="Q56" s="41"/>
    </row>
    <row r="57" spans="1:17" ht="30" x14ac:dyDescent="0.25">
      <c r="A57" s="44" t="s">
        <v>1976</v>
      </c>
      <c r="B57" s="44"/>
      <c r="C57" s="42"/>
      <c r="D57" s="42" t="b">
        <v>0</v>
      </c>
      <c r="E57" s="42" t="b">
        <v>1</v>
      </c>
      <c r="F57" s="42" t="s">
        <v>1866</v>
      </c>
      <c r="G57" s="34" t="b">
        <v>1</v>
      </c>
      <c r="H57" s="44"/>
      <c r="I57" s="42"/>
      <c r="J57" s="67" t="b">
        <v>0</v>
      </c>
      <c r="K57" s="52" t="b">
        <v>0</v>
      </c>
      <c r="L57" s="52" t="b">
        <v>0</v>
      </c>
      <c r="M57" s="46" t="s">
        <v>1977</v>
      </c>
      <c r="N57" s="42" t="s">
        <v>1868</v>
      </c>
      <c r="O57" s="42" t="s">
        <v>1869</v>
      </c>
      <c r="P57" s="42" t="s">
        <v>1864</v>
      </c>
    </row>
    <row r="58" spans="1:17" x14ac:dyDescent="0.25">
      <c r="A58" s="37" t="s">
        <v>1978</v>
      </c>
      <c r="B58" s="37"/>
      <c r="C58" s="33"/>
      <c r="D58" s="33" t="b">
        <v>0</v>
      </c>
      <c r="E58" s="33" t="b">
        <v>1</v>
      </c>
      <c r="F58" s="33" t="s">
        <v>1866</v>
      </c>
      <c r="G58" s="34" t="b">
        <v>1</v>
      </c>
      <c r="H58" s="37"/>
      <c r="I58" s="33"/>
      <c r="J58" s="67" t="b">
        <v>0</v>
      </c>
      <c r="K58" s="52" t="b">
        <v>0</v>
      </c>
      <c r="L58" s="52" t="b">
        <v>0</v>
      </c>
      <c r="M58" s="40" t="s">
        <v>1979</v>
      </c>
      <c r="N58" s="33" t="s">
        <v>1868</v>
      </c>
      <c r="O58" s="33" t="s">
        <v>1869</v>
      </c>
      <c r="P58" s="33" t="s">
        <v>1864</v>
      </c>
      <c r="Q58" s="41"/>
    </row>
    <row r="59" spans="1:17" ht="30" x14ac:dyDescent="0.25">
      <c r="A59" s="44" t="s">
        <v>1980</v>
      </c>
      <c r="B59" s="44"/>
      <c r="C59" s="42"/>
      <c r="D59" s="42" t="b">
        <v>0</v>
      </c>
      <c r="E59" s="42" t="b">
        <v>1</v>
      </c>
      <c r="F59" s="42" t="s">
        <v>1866</v>
      </c>
      <c r="G59" s="34" t="b">
        <v>1</v>
      </c>
      <c r="H59" s="44"/>
      <c r="I59" s="42"/>
      <c r="J59" s="67" t="b">
        <v>0</v>
      </c>
      <c r="K59" s="52" t="b">
        <v>0</v>
      </c>
      <c r="L59" s="52" t="b">
        <v>0</v>
      </c>
      <c r="M59" s="46" t="s">
        <v>1981</v>
      </c>
      <c r="N59" s="42" t="s">
        <v>1868</v>
      </c>
      <c r="O59" s="42" t="s">
        <v>1869</v>
      </c>
      <c r="P59" s="42" t="s">
        <v>1864</v>
      </c>
    </row>
    <row r="60" spans="1:17" ht="30" customHeight="1" x14ac:dyDescent="0.25">
      <c r="A60" s="64" t="s">
        <v>1982</v>
      </c>
      <c r="B60" s="37" t="s">
        <v>218</v>
      </c>
      <c r="C60" s="33">
        <v>200</v>
      </c>
      <c r="D60" s="33" t="b">
        <v>1</v>
      </c>
      <c r="E60" s="33" t="b">
        <v>1</v>
      </c>
      <c r="F60" s="33" t="s">
        <v>1860</v>
      </c>
      <c r="G60" s="52" t="b">
        <v>0</v>
      </c>
      <c r="H60" s="37" t="b">
        <v>0</v>
      </c>
      <c r="I60" s="33" t="b">
        <v>0</v>
      </c>
      <c r="J60" s="67" t="b">
        <v>0</v>
      </c>
      <c r="K60" s="52" t="b">
        <v>0</v>
      </c>
      <c r="L60" s="52" t="b">
        <v>0</v>
      </c>
      <c r="M60" s="40" t="s">
        <v>1983</v>
      </c>
      <c r="N60" s="33" t="s">
        <v>1868</v>
      </c>
      <c r="O60" s="33" t="s">
        <v>1869</v>
      </c>
      <c r="P60" s="33" t="s">
        <v>1864</v>
      </c>
      <c r="Q60" s="41"/>
    </row>
    <row r="61" spans="1:17" ht="30" x14ac:dyDescent="0.25">
      <c r="A61" s="44" t="s">
        <v>1984</v>
      </c>
      <c r="B61" s="44"/>
      <c r="C61" s="42"/>
      <c r="D61" s="42" t="b">
        <v>0</v>
      </c>
      <c r="E61" s="42" t="b">
        <v>1</v>
      </c>
      <c r="F61" s="42" t="s">
        <v>1866</v>
      </c>
      <c r="G61" s="34" t="b">
        <v>1</v>
      </c>
      <c r="H61" s="44"/>
      <c r="I61" s="42"/>
      <c r="J61" s="67" t="b">
        <v>0</v>
      </c>
      <c r="K61" s="52" t="b">
        <v>0</v>
      </c>
      <c r="L61" s="52" t="b">
        <v>0</v>
      </c>
      <c r="M61" s="46" t="s">
        <v>1985</v>
      </c>
      <c r="N61" s="42" t="s">
        <v>1868</v>
      </c>
      <c r="O61" s="42" t="s">
        <v>1869</v>
      </c>
      <c r="P61" s="42" t="s">
        <v>1864</v>
      </c>
    </row>
    <row r="62" spans="1:17" x14ac:dyDescent="0.25">
      <c r="A62" s="37" t="s">
        <v>1986</v>
      </c>
      <c r="B62" s="37"/>
      <c r="C62" s="33"/>
      <c r="D62" s="33" t="b">
        <v>0</v>
      </c>
      <c r="E62" s="33" t="b">
        <v>1</v>
      </c>
      <c r="F62" s="33" t="s">
        <v>1866</v>
      </c>
      <c r="G62" s="34" t="b">
        <v>1</v>
      </c>
      <c r="H62" s="37"/>
      <c r="I62" s="33"/>
      <c r="J62" s="67" t="b">
        <v>0</v>
      </c>
      <c r="K62" s="52" t="b">
        <v>0</v>
      </c>
      <c r="L62" s="52" t="b">
        <v>0</v>
      </c>
      <c r="M62" s="40" t="s">
        <v>1987</v>
      </c>
      <c r="N62" s="33" t="s">
        <v>1868</v>
      </c>
      <c r="O62" s="33" t="s">
        <v>1869</v>
      </c>
      <c r="P62" s="33" t="s">
        <v>1864</v>
      </c>
      <c r="Q62" s="41"/>
    </row>
    <row r="63" spans="1:17" ht="30" x14ac:dyDescent="0.25">
      <c r="A63" s="44" t="s">
        <v>1988</v>
      </c>
      <c r="B63" s="44"/>
      <c r="C63" s="42"/>
      <c r="D63" s="42" t="b">
        <v>0</v>
      </c>
      <c r="E63" s="42" t="b">
        <v>1</v>
      </c>
      <c r="F63" s="42" t="s">
        <v>1866</v>
      </c>
      <c r="G63" s="34" t="b">
        <v>1</v>
      </c>
      <c r="H63" s="44"/>
      <c r="I63" s="42"/>
      <c r="J63" s="67" t="b">
        <v>0</v>
      </c>
      <c r="K63" s="52" t="b">
        <v>0</v>
      </c>
      <c r="L63" s="52" t="b">
        <v>0</v>
      </c>
      <c r="M63" s="46" t="s">
        <v>1989</v>
      </c>
      <c r="N63" s="42" t="s">
        <v>1868</v>
      </c>
      <c r="O63" s="42" t="s">
        <v>1869</v>
      </c>
      <c r="P63" s="42" t="s">
        <v>1864</v>
      </c>
    </row>
    <row r="64" spans="1:17" ht="30" customHeight="1" x14ac:dyDescent="0.25">
      <c r="A64" s="64" t="s">
        <v>1990</v>
      </c>
      <c r="B64" s="37" t="s">
        <v>210</v>
      </c>
      <c r="C64" s="33">
        <v>200</v>
      </c>
      <c r="D64" s="33" t="b">
        <v>1</v>
      </c>
      <c r="E64" s="33" t="b">
        <v>1</v>
      </c>
      <c r="F64" s="33" t="s">
        <v>1860</v>
      </c>
      <c r="G64" s="52" t="b">
        <v>0</v>
      </c>
      <c r="H64" s="37" t="b">
        <v>0</v>
      </c>
      <c r="I64" s="33" t="b">
        <v>0</v>
      </c>
      <c r="J64" s="67" t="b">
        <v>0</v>
      </c>
      <c r="K64" s="52" t="b">
        <v>0</v>
      </c>
      <c r="L64" s="52" t="b">
        <v>0</v>
      </c>
      <c r="M64" s="40" t="s">
        <v>1991</v>
      </c>
      <c r="N64" s="33" t="s">
        <v>1868</v>
      </c>
      <c r="O64" s="33" t="s">
        <v>1869</v>
      </c>
      <c r="P64" s="33" t="s">
        <v>1864</v>
      </c>
      <c r="Q64" s="41"/>
    </row>
    <row r="65" spans="1:17" ht="30" customHeight="1" x14ac:dyDescent="0.25">
      <c r="A65" s="64" t="s">
        <v>1992</v>
      </c>
      <c r="B65" s="44" t="s">
        <v>217</v>
      </c>
      <c r="C65" s="42">
        <v>200</v>
      </c>
      <c r="D65" s="42" t="b">
        <v>1</v>
      </c>
      <c r="E65" s="42" t="b">
        <v>1</v>
      </c>
      <c r="F65" s="42" t="s">
        <v>1860</v>
      </c>
      <c r="G65" s="52" t="b">
        <v>0</v>
      </c>
      <c r="H65" s="44" t="b">
        <v>0</v>
      </c>
      <c r="I65" s="42" t="b">
        <v>0</v>
      </c>
      <c r="J65" s="67" t="b">
        <v>0</v>
      </c>
      <c r="K65" s="52" t="b">
        <v>0</v>
      </c>
      <c r="L65" s="52" t="b">
        <v>0</v>
      </c>
      <c r="M65" s="46" t="s">
        <v>1993</v>
      </c>
      <c r="N65" s="42" t="s">
        <v>1868</v>
      </c>
      <c r="O65" s="42" t="s">
        <v>1869</v>
      </c>
      <c r="P65" s="42" t="s">
        <v>1864</v>
      </c>
    </row>
    <row r="66" spans="1:17" ht="30" customHeight="1" x14ac:dyDescent="0.25">
      <c r="A66" s="64" t="s">
        <v>1994</v>
      </c>
      <c r="B66" s="37" t="s">
        <v>215</v>
      </c>
      <c r="C66" s="33">
        <v>200</v>
      </c>
      <c r="D66" s="33" t="b">
        <v>1</v>
      </c>
      <c r="E66" s="33" t="b">
        <v>1</v>
      </c>
      <c r="F66" s="33" t="s">
        <v>1860</v>
      </c>
      <c r="G66" s="52" t="b">
        <v>0</v>
      </c>
      <c r="H66" s="37" t="b">
        <v>0</v>
      </c>
      <c r="I66" s="33" t="b">
        <v>0</v>
      </c>
      <c r="J66" s="67" t="b">
        <v>0</v>
      </c>
      <c r="K66" s="52" t="b">
        <v>0</v>
      </c>
      <c r="L66" s="52" t="b">
        <v>0</v>
      </c>
      <c r="M66" s="40" t="s">
        <v>1995</v>
      </c>
      <c r="N66" s="33" t="s">
        <v>1868</v>
      </c>
      <c r="O66" s="33" t="s">
        <v>1869</v>
      </c>
      <c r="P66" s="33" t="s">
        <v>1864</v>
      </c>
      <c r="Q66" s="41"/>
    </row>
    <row r="67" spans="1:17" ht="30" customHeight="1" x14ac:dyDescent="0.25">
      <c r="A67" s="64" t="s">
        <v>1996</v>
      </c>
      <c r="B67" s="44" t="s">
        <v>219</v>
      </c>
      <c r="C67" s="42">
        <v>200</v>
      </c>
      <c r="D67" s="42" t="b">
        <v>1</v>
      </c>
      <c r="E67" s="42" t="b">
        <v>1</v>
      </c>
      <c r="F67" s="42" t="s">
        <v>1860</v>
      </c>
      <c r="G67" s="52" t="b">
        <v>0</v>
      </c>
      <c r="H67" s="44" t="b">
        <v>0</v>
      </c>
      <c r="I67" s="42" t="b">
        <v>0</v>
      </c>
      <c r="J67" s="67" t="b">
        <v>0</v>
      </c>
      <c r="K67" s="52" t="b">
        <v>0</v>
      </c>
      <c r="L67" s="52" t="b">
        <v>0</v>
      </c>
      <c r="M67" s="46" t="s">
        <v>1997</v>
      </c>
      <c r="N67" s="42" t="s">
        <v>1868</v>
      </c>
      <c r="O67" s="42" t="s">
        <v>1869</v>
      </c>
      <c r="P67" s="42" t="s">
        <v>1864</v>
      </c>
    </row>
    <row r="68" spans="1:17" ht="30" x14ac:dyDescent="0.25">
      <c r="A68" s="37" t="s">
        <v>1998</v>
      </c>
      <c r="B68" s="37"/>
      <c r="C68" s="33"/>
      <c r="D68" s="33" t="b">
        <v>0</v>
      </c>
      <c r="E68" s="33" t="b">
        <v>1</v>
      </c>
      <c r="F68" s="33" t="s">
        <v>1866</v>
      </c>
      <c r="G68" s="34" t="b">
        <v>1</v>
      </c>
      <c r="H68" s="37"/>
      <c r="I68" s="33"/>
      <c r="J68" s="67" t="b">
        <v>0</v>
      </c>
      <c r="K68" s="52" t="b">
        <v>0</v>
      </c>
      <c r="L68" s="52" t="b">
        <v>0</v>
      </c>
      <c r="M68" s="40" t="s">
        <v>1999</v>
      </c>
      <c r="N68" s="33" t="s">
        <v>1868</v>
      </c>
      <c r="O68" s="33" t="s">
        <v>1869</v>
      </c>
      <c r="P68" s="33" t="s">
        <v>1864</v>
      </c>
      <c r="Q68" s="41"/>
    </row>
    <row r="69" spans="1:17" ht="30" customHeight="1" x14ac:dyDescent="0.25">
      <c r="A69" s="64" t="s">
        <v>2000</v>
      </c>
      <c r="B69" s="44" t="s">
        <v>157</v>
      </c>
      <c r="C69" s="42">
        <v>200</v>
      </c>
      <c r="D69" s="42" t="b">
        <v>1</v>
      </c>
      <c r="E69" s="42" t="b">
        <v>1</v>
      </c>
      <c r="F69" s="42" t="s">
        <v>1860</v>
      </c>
      <c r="G69" s="52" t="b">
        <v>0</v>
      </c>
      <c r="H69" s="44" t="b">
        <v>0</v>
      </c>
      <c r="I69" s="42" t="b">
        <v>0</v>
      </c>
      <c r="J69" s="67" t="b">
        <v>0</v>
      </c>
      <c r="K69" s="52" t="b">
        <v>0</v>
      </c>
      <c r="L69" s="52" t="b">
        <v>0</v>
      </c>
      <c r="M69" s="46" t="s">
        <v>2001</v>
      </c>
      <c r="N69" s="42" t="s">
        <v>1868</v>
      </c>
      <c r="O69" s="42" t="s">
        <v>1869</v>
      </c>
      <c r="P69" s="42" t="s">
        <v>1864</v>
      </c>
    </row>
    <row r="70" spans="1:17" ht="30" customHeight="1" x14ac:dyDescent="0.25">
      <c r="A70" s="64" t="s">
        <v>2002</v>
      </c>
      <c r="B70" s="37" t="s">
        <v>212</v>
      </c>
      <c r="C70" s="33">
        <v>200</v>
      </c>
      <c r="D70" s="33" t="b">
        <v>1</v>
      </c>
      <c r="E70" s="33" t="b">
        <v>1</v>
      </c>
      <c r="F70" s="33" t="s">
        <v>1860</v>
      </c>
      <c r="G70" s="52" t="b">
        <v>0</v>
      </c>
      <c r="H70" s="37" t="b">
        <v>0</v>
      </c>
      <c r="I70" s="33" t="b">
        <v>0</v>
      </c>
      <c r="J70" s="67" t="b">
        <v>0</v>
      </c>
      <c r="K70" s="52" t="b">
        <v>0</v>
      </c>
      <c r="L70" s="52" t="b">
        <v>0</v>
      </c>
      <c r="M70" s="40" t="s">
        <v>2003</v>
      </c>
      <c r="N70" s="33" t="s">
        <v>1868</v>
      </c>
      <c r="O70" s="33" t="s">
        <v>1869</v>
      </c>
      <c r="P70" s="33" t="s">
        <v>1864</v>
      </c>
      <c r="Q70" s="41"/>
    </row>
    <row r="71" spans="1:17" ht="30" customHeight="1" x14ac:dyDescent="0.25">
      <c r="A71" s="64" t="s">
        <v>2004</v>
      </c>
      <c r="B71" s="44" t="s">
        <v>213</v>
      </c>
      <c r="C71" s="42">
        <v>200</v>
      </c>
      <c r="D71" s="42" t="b">
        <v>1</v>
      </c>
      <c r="E71" s="42" t="b">
        <v>1</v>
      </c>
      <c r="F71" s="42" t="s">
        <v>1860</v>
      </c>
      <c r="G71" s="52" t="b">
        <v>0</v>
      </c>
      <c r="H71" s="44" t="b">
        <v>0</v>
      </c>
      <c r="I71" s="42" t="b">
        <v>0</v>
      </c>
      <c r="J71" s="67" t="b">
        <v>0</v>
      </c>
      <c r="K71" s="52" t="b">
        <v>0</v>
      </c>
      <c r="L71" s="52" t="b">
        <v>0</v>
      </c>
      <c r="M71" s="46" t="s">
        <v>2005</v>
      </c>
      <c r="N71" s="42" t="s">
        <v>1868</v>
      </c>
      <c r="O71" s="42" t="s">
        <v>1869</v>
      </c>
      <c r="P71" s="42" t="s">
        <v>1864</v>
      </c>
    </row>
    <row r="72" spans="1:17" ht="30" customHeight="1" x14ac:dyDescent="0.25">
      <c r="A72" s="64" t="s">
        <v>2006</v>
      </c>
      <c r="B72" s="37" t="s">
        <v>211</v>
      </c>
      <c r="C72" s="33">
        <v>200</v>
      </c>
      <c r="D72" s="33" t="b">
        <v>1</v>
      </c>
      <c r="E72" s="33" t="b">
        <v>1</v>
      </c>
      <c r="F72" s="33" t="s">
        <v>1860</v>
      </c>
      <c r="G72" s="52" t="b">
        <v>0</v>
      </c>
      <c r="H72" s="37" t="b">
        <v>0</v>
      </c>
      <c r="I72" s="33" t="b">
        <v>0</v>
      </c>
      <c r="J72" s="67" t="b">
        <v>0</v>
      </c>
      <c r="K72" s="52" t="b">
        <v>0</v>
      </c>
      <c r="L72" s="52" t="b">
        <v>0</v>
      </c>
      <c r="M72" s="40" t="s">
        <v>2007</v>
      </c>
      <c r="N72" s="33" t="s">
        <v>1868</v>
      </c>
      <c r="O72" s="33" t="s">
        <v>1869</v>
      </c>
      <c r="P72" s="33" t="s">
        <v>1864</v>
      </c>
      <c r="Q72" s="41"/>
    </row>
    <row r="73" spans="1:17" ht="30" x14ac:dyDescent="0.25">
      <c r="A73" s="44" t="s">
        <v>2008</v>
      </c>
      <c r="B73" s="44"/>
      <c r="C73" s="42"/>
      <c r="D73" s="42" t="b">
        <v>0</v>
      </c>
      <c r="E73" s="42" t="b">
        <v>1</v>
      </c>
      <c r="F73" s="42" t="s">
        <v>1866</v>
      </c>
      <c r="G73" s="34" t="b">
        <v>1</v>
      </c>
      <c r="H73" s="44"/>
      <c r="I73" s="42"/>
      <c r="J73" s="67" t="b">
        <v>0</v>
      </c>
      <c r="K73" s="52" t="b">
        <v>0</v>
      </c>
      <c r="L73" s="52" t="b">
        <v>0</v>
      </c>
      <c r="M73" s="46" t="s">
        <v>2009</v>
      </c>
      <c r="N73" s="42" t="s">
        <v>1868</v>
      </c>
      <c r="O73" s="42" t="s">
        <v>1869</v>
      </c>
      <c r="P73" s="42" t="s">
        <v>1864</v>
      </c>
    </row>
    <row r="74" spans="1:17" x14ac:dyDescent="0.25">
      <c r="A74" s="37" t="s">
        <v>2010</v>
      </c>
      <c r="B74" s="37"/>
      <c r="C74" s="33"/>
      <c r="D74" s="33" t="b">
        <v>0</v>
      </c>
      <c r="E74" s="33" t="b">
        <v>1</v>
      </c>
      <c r="F74" s="33" t="s">
        <v>1866</v>
      </c>
      <c r="G74" s="34" t="b">
        <v>1</v>
      </c>
      <c r="H74" s="37"/>
      <c r="I74" s="33"/>
      <c r="J74" s="67" t="b">
        <v>0</v>
      </c>
      <c r="K74" s="52" t="b">
        <v>0</v>
      </c>
      <c r="L74" s="52" t="b">
        <v>0</v>
      </c>
      <c r="M74" s="40" t="s">
        <v>2011</v>
      </c>
      <c r="N74" s="33" t="s">
        <v>1868</v>
      </c>
      <c r="O74" s="33" t="s">
        <v>1869</v>
      </c>
      <c r="P74" s="33" t="s">
        <v>1864</v>
      </c>
      <c r="Q74" s="41"/>
    </row>
    <row r="75" spans="1:17" ht="30" x14ac:dyDescent="0.25">
      <c r="A75" s="44" t="s">
        <v>2012</v>
      </c>
      <c r="B75" s="44"/>
      <c r="C75" s="42"/>
      <c r="D75" s="42" t="b">
        <v>0</v>
      </c>
      <c r="E75" s="42" t="b">
        <v>1</v>
      </c>
      <c r="F75" s="42" t="s">
        <v>1866</v>
      </c>
      <c r="G75" s="34" t="b">
        <v>1</v>
      </c>
      <c r="H75" s="44"/>
      <c r="I75" s="42"/>
      <c r="J75" s="67" t="b">
        <v>0</v>
      </c>
      <c r="K75" s="52" t="b">
        <v>0</v>
      </c>
      <c r="L75" s="52" t="b">
        <v>0</v>
      </c>
      <c r="M75" s="46" t="s">
        <v>2013</v>
      </c>
      <c r="N75" s="42" t="s">
        <v>1868</v>
      </c>
      <c r="O75" s="42" t="s">
        <v>1869</v>
      </c>
      <c r="P75" s="42" t="s">
        <v>1864</v>
      </c>
    </row>
    <row r="76" spans="1:17" ht="30" x14ac:dyDescent="0.25">
      <c r="A76" s="37" t="s">
        <v>2014</v>
      </c>
      <c r="B76" s="37"/>
      <c r="C76" s="33"/>
      <c r="D76" s="33" t="b">
        <v>0</v>
      </c>
      <c r="E76" s="33" t="b">
        <v>1</v>
      </c>
      <c r="F76" s="33" t="s">
        <v>1866</v>
      </c>
      <c r="G76" s="34" t="b">
        <v>1</v>
      </c>
      <c r="H76" s="37"/>
      <c r="I76" s="33"/>
      <c r="J76" s="67" t="b">
        <v>0</v>
      </c>
      <c r="K76" s="52" t="b">
        <v>0</v>
      </c>
      <c r="L76" s="52" t="b">
        <v>0</v>
      </c>
      <c r="M76" s="40" t="s">
        <v>2015</v>
      </c>
      <c r="N76" s="33" t="s">
        <v>1868</v>
      </c>
      <c r="O76" s="33" t="s">
        <v>1869</v>
      </c>
      <c r="P76" s="33" t="s">
        <v>1864</v>
      </c>
      <c r="Q76" s="41"/>
    </row>
    <row r="77" spans="1:17" x14ac:dyDescent="0.25">
      <c r="A77" s="44" t="s">
        <v>2016</v>
      </c>
      <c r="B77" s="44"/>
      <c r="C77" s="42"/>
      <c r="D77" s="42" t="b">
        <v>0</v>
      </c>
      <c r="E77" s="42" t="b">
        <v>1</v>
      </c>
      <c r="F77" s="42" t="s">
        <v>1866</v>
      </c>
      <c r="G77" s="34" t="b">
        <v>1</v>
      </c>
      <c r="H77" s="44"/>
      <c r="I77" s="42"/>
      <c r="J77" s="67" t="b">
        <v>0</v>
      </c>
      <c r="K77" s="52" t="b">
        <v>0</v>
      </c>
      <c r="L77" s="52" t="b">
        <v>0</v>
      </c>
      <c r="M77" s="46" t="s">
        <v>2017</v>
      </c>
      <c r="N77" s="42" t="s">
        <v>1868</v>
      </c>
      <c r="O77" s="42" t="s">
        <v>1869</v>
      </c>
      <c r="P77" s="42" t="s">
        <v>1864</v>
      </c>
    </row>
    <row r="78" spans="1:17" ht="30" x14ac:dyDescent="0.25">
      <c r="A78" s="37" t="s">
        <v>2018</v>
      </c>
      <c r="B78" s="37"/>
      <c r="C78" s="33"/>
      <c r="D78" s="33" t="b">
        <v>0</v>
      </c>
      <c r="E78" s="33" t="b">
        <v>1</v>
      </c>
      <c r="F78" s="33" t="s">
        <v>1866</v>
      </c>
      <c r="G78" s="34" t="b">
        <v>1</v>
      </c>
      <c r="H78" s="37"/>
      <c r="I78" s="33"/>
      <c r="J78" s="67" t="b">
        <v>0</v>
      </c>
      <c r="K78" s="52" t="b">
        <v>0</v>
      </c>
      <c r="L78" s="52" t="b">
        <v>0</v>
      </c>
      <c r="M78" s="40" t="s">
        <v>2019</v>
      </c>
      <c r="N78" s="33" t="s">
        <v>1868</v>
      </c>
      <c r="O78" s="33" t="s">
        <v>1869</v>
      </c>
      <c r="P78" s="33" t="s">
        <v>1864</v>
      </c>
      <c r="Q78" s="41"/>
    </row>
    <row r="79" spans="1:17" ht="30" x14ac:dyDescent="0.25">
      <c r="A79" s="44" t="s">
        <v>2020</v>
      </c>
      <c r="B79" s="44"/>
      <c r="C79" s="42"/>
      <c r="D79" s="42" t="b">
        <v>0</v>
      </c>
      <c r="E79" s="42" t="b">
        <v>1</v>
      </c>
      <c r="F79" s="42" t="s">
        <v>1866</v>
      </c>
      <c r="G79" s="34" t="b">
        <v>1</v>
      </c>
      <c r="H79" s="44"/>
      <c r="I79" s="42"/>
      <c r="J79" s="67" t="b">
        <v>0</v>
      </c>
      <c r="K79" s="52" t="b">
        <v>0</v>
      </c>
      <c r="L79" s="52" t="b">
        <v>0</v>
      </c>
      <c r="M79" s="46" t="s">
        <v>2021</v>
      </c>
      <c r="N79" s="42" t="s">
        <v>1868</v>
      </c>
      <c r="O79" s="42" t="s">
        <v>1869</v>
      </c>
      <c r="P79" s="42" t="s">
        <v>1864</v>
      </c>
    </row>
    <row r="80" spans="1:17" ht="30" x14ac:dyDescent="0.25">
      <c r="A80" s="37" t="s">
        <v>2022</v>
      </c>
      <c r="B80" s="37"/>
      <c r="C80" s="33"/>
      <c r="D80" s="33" t="b">
        <v>0</v>
      </c>
      <c r="E80" s="33" t="b">
        <v>1</v>
      </c>
      <c r="F80" s="33" t="s">
        <v>1866</v>
      </c>
      <c r="G80" s="34" t="b">
        <v>1</v>
      </c>
      <c r="H80" s="37"/>
      <c r="I80" s="33"/>
      <c r="J80" s="67" t="b">
        <v>0</v>
      </c>
      <c r="K80" s="52" t="b">
        <v>0</v>
      </c>
      <c r="L80" s="52" t="b">
        <v>0</v>
      </c>
      <c r="M80" s="40" t="s">
        <v>2023</v>
      </c>
      <c r="N80" s="33" t="s">
        <v>1868</v>
      </c>
      <c r="O80" s="33" t="s">
        <v>1869</v>
      </c>
      <c r="P80" s="33" t="s">
        <v>1864</v>
      </c>
      <c r="Q80" s="41"/>
    </row>
    <row r="81" spans="1:17" x14ac:dyDescent="0.25">
      <c r="A81" s="44" t="s">
        <v>2024</v>
      </c>
      <c r="B81" s="44"/>
      <c r="C81" s="42"/>
      <c r="D81" s="42" t="b">
        <v>0</v>
      </c>
      <c r="E81" s="42" t="b">
        <v>1</v>
      </c>
      <c r="F81" s="42" t="s">
        <v>1866</v>
      </c>
      <c r="G81" s="34" t="b">
        <v>1</v>
      </c>
      <c r="H81" s="44"/>
      <c r="I81" s="42"/>
      <c r="J81" s="67" t="b">
        <v>0</v>
      </c>
      <c r="K81" s="52" t="b">
        <v>0</v>
      </c>
      <c r="L81" s="52" t="b">
        <v>0</v>
      </c>
      <c r="M81" s="46" t="s">
        <v>2025</v>
      </c>
      <c r="N81" s="42" t="s">
        <v>1868</v>
      </c>
      <c r="O81" s="42" t="s">
        <v>1869</v>
      </c>
      <c r="P81" s="42" t="s">
        <v>1864</v>
      </c>
    </row>
    <row r="82" spans="1:17" x14ac:dyDescent="0.25">
      <c r="A82" s="37" t="s">
        <v>2026</v>
      </c>
      <c r="B82" s="37"/>
      <c r="C82" s="33"/>
      <c r="D82" s="33" t="b">
        <v>0</v>
      </c>
      <c r="E82" s="33" t="b">
        <v>1</v>
      </c>
      <c r="F82" s="33" t="s">
        <v>1866</v>
      </c>
      <c r="G82" s="34" t="b">
        <v>1</v>
      </c>
      <c r="H82" s="37"/>
      <c r="I82" s="33"/>
      <c r="J82" s="67" t="b">
        <v>0</v>
      </c>
      <c r="K82" s="52" t="b">
        <v>0</v>
      </c>
      <c r="L82" s="52" t="b">
        <v>0</v>
      </c>
      <c r="M82" s="40" t="s">
        <v>2027</v>
      </c>
      <c r="N82" s="33" t="s">
        <v>1868</v>
      </c>
      <c r="O82" s="33" t="s">
        <v>1869</v>
      </c>
      <c r="P82" s="33" t="s">
        <v>1864</v>
      </c>
      <c r="Q82" s="41"/>
    </row>
    <row r="83" spans="1:17" ht="30" x14ac:dyDescent="0.25">
      <c r="A83" s="44" t="s">
        <v>2028</v>
      </c>
      <c r="B83" s="44"/>
      <c r="C83" s="42"/>
      <c r="D83" s="42" t="b">
        <v>0</v>
      </c>
      <c r="E83" s="42" t="b">
        <v>1</v>
      </c>
      <c r="F83" s="42" t="s">
        <v>1866</v>
      </c>
      <c r="G83" s="34" t="b">
        <v>1</v>
      </c>
      <c r="H83" s="44"/>
      <c r="I83" s="42"/>
      <c r="J83" s="67" t="b">
        <v>0</v>
      </c>
      <c r="K83" s="52" t="b">
        <v>0</v>
      </c>
      <c r="L83" s="52" t="b">
        <v>0</v>
      </c>
      <c r="M83" s="46" t="s">
        <v>2029</v>
      </c>
      <c r="N83" s="42" t="s">
        <v>1868</v>
      </c>
      <c r="O83" s="42" t="s">
        <v>1869</v>
      </c>
      <c r="P83" s="42" t="s">
        <v>1864</v>
      </c>
    </row>
    <row r="84" spans="1:17" ht="30" customHeight="1" x14ac:dyDescent="0.25">
      <c r="A84" s="64" t="s">
        <v>2030</v>
      </c>
      <c r="B84" s="37" t="s">
        <v>206</v>
      </c>
      <c r="C84" s="33">
        <v>200</v>
      </c>
      <c r="D84" s="33" t="b">
        <v>1</v>
      </c>
      <c r="E84" s="33" t="b">
        <v>1</v>
      </c>
      <c r="F84" s="33" t="s">
        <v>1860</v>
      </c>
      <c r="G84" s="52" t="b">
        <v>0</v>
      </c>
      <c r="H84" s="37" t="b">
        <v>0</v>
      </c>
      <c r="I84" s="33" t="b">
        <v>0</v>
      </c>
      <c r="J84" s="67" t="b">
        <v>0</v>
      </c>
      <c r="K84" s="52" t="b">
        <v>0</v>
      </c>
      <c r="L84" s="52" t="b">
        <v>0</v>
      </c>
      <c r="M84" s="40" t="s">
        <v>2031</v>
      </c>
      <c r="N84" s="33" t="s">
        <v>1868</v>
      </c>
      <c r="O84" s="33" t="s">
        <v>1869</v>
      </c>
      <c r="P84" s="33" t="s">
        <v>1864</v>
      </c>
      <c r="Q84" s="41"/>
    </row>
    <row r="85" spans="1:17" x14ac:dyDescent="0.25">
      <c r="A85" s="44" t="s">
        <v>2032</v>
      </c>
      <c r="B85" s="44"/>
      <c r="C85" s="42"/>
      <c r="D85" s="42" t="b">
        <v>0</v>
      </c>
      <c r="E85" s="42" t="b">
        <v>1</v>
      </c>
      <c r="F85" s="42" t="s">
        <v>1866</v>
      </c>
      <c r="G85" s="34" t="b">
        <v>1</v>
      </c>
      <c r="H85" s="44"/>
      <c r="I85" s="42"/>
      <c r="J85" s="67" t="b">
        <v>0</v>
      </c>
      <c r="K85" s="52" t="b">
        <v>0</v>
      </c>
      <c r="L85" s="52" t="b">
        <v>0</v>
      </c>
      <c r="M85" s="46" t="s">
        <v>2033</v>
      </c>
      <c r="N85" s="42" t="s">
        <v>1868</v>
      </c>
      <c r="O85" s="42" t="s">
        <v>1869</v>
      </c>
      <c r="P85" s="42" t="s">
        <v>1864</v>
      </c>
    </row>
    <row r="86" spans="1:17" x14ac:dyDescent="0.25">
      <c r="A86" s="37" t="s">
        <v>2034</v>
      </c>
      <c r="B86" s="37"/>
      <c r="C86" s="33"/>
      <c r="D86" s="33" t="b">
        <v>0</v>
      </c>
      <c r="E86" s="33" t="b">
        <v>1</v>
      </c>
      <c r="F86" s="33" t="s">
        <v>1866</v>
      </c>
      <c r="G86" s="34" t="b">
        <v>1</v>
      </c>
      <c r="H86" s="37"/>
      <c r="I86" s="33"/>
      <c r="J86" s="67" t="b">
        <v>0</v>
      </c>
      <c r="K86" s="52" t="b">
        <v>0</v>
      </c>
      <c r="L86" s="52" t="b">
        <v>0</v>
      </c>
      <c r="M86" s="40" t="s">
        <v>2035</v>
      </c>
      <c r="N86" s="33" t="s">
        <v>1868</v>
      </c>
      <c r="O86" s="33" t="s">
        <v>1869</v>
      </c>
      <c r="P86" s="33" t="s">
        <v>1864</v>
      </c>
      <c r="Q86" s="41"/>
    </row>
  </sheetData>
  <autoFilter ref="A1:Q86" xr:uid="{00000000-0009-0000-0000-00000D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31" t="s">
        <v>349</v>
      </c>
      <c r="B1" s="31" t="s">
        <v>346</v>
      </c>
      <c r="C1" s="31" t="s">
        <v>78</v>
      </c>
      <c r="D1" s="31" t="s">
        <v>93</v>
      </c>
      <c r="E1" s="32" t="s">
        <v>95</v>
      </c>
    </row>
    <row r="2" spans="1:5" x14ac:dyDescent="0.25">
      <c r="A2" s="52"/>
      <c r="B2" s="33" t="s">
        <v>2036</v>
      </c>
      <c r="C2" s="37"/>
      <c r="D2" s="41" t="str">
        <f>IFERROR(HYPERLINK("#'Main'!B"&amp;MATCH(TRIM(C2),Main!B:B,0),"Open"),HYPERLINK("#'Main'!B1","Open"))</f>
        <v>Open</v>
      </c>
      <c r="E2" s="41"/>
    </row>
  </sheetData>
  <hyperlinks>
    <hyperlink ref="E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31" t="s">
        <v>2037</v>
      </c>
      <c r="B1" s="31" t="s">
        <v>26</v>
      </c>
      <c r="C1" s="32" t="s">
        <v>95</v>
      </c>
    </row>
    <row r="2" spans="1:3" x14ac:dyDescent="0.25">
      <c r="A2" s="52" t="s">
        <v>2038</v>
      </c>
      <c r="B2" s="33">
        <v>141</v>
      </c>
      <c r="C2" s="41"/>
    </row>
    <row r="3" spans="1:3" x14ac:dyDescent="0.25">
      <c r="A3" s="52" t="s">
        <v>2039</v>
      </c>
      <c r="B3" s="42">
        <v>0</v>
      </c>
    </row>
    <row r="4" spans="1:3" x14ac:dyDescent="0.25">
      <c r="A4" s="52" t="s">
        <v>2040</v>
      </c>
      <c r="B4" s="33">
        <v>0</v>
      </c>
      <c r="C4" s="41"/>
    </row>
    <row r="5" spans="1:3" x14ac:dyDescent="0.25">
      <c r="A5" s="52" t="s">
        <v>2041</v>
      </c>
      <c r="B5" s="42">
        <v>0</v>
      </c>
    </row>
    <row r="6" spans="1:3" x14ac:dyDescent="0.25">
      <c r="A6" s="52" t="s">
        <v>2042</v>
      </c>
      <c r="B6" s="33">
        <v>0</v>
      </c>
      <c r="C6" s="41"/>
    </row>
    <row r="7" spans="1:3" x14ac:dyDescent="0.25">
      <c r="A7" s="52" t="s">
        <v>2043</v>
      </c>
      <c r="B7" s="42">
        <v>0</v>
      </c>
    </row>
    <row r="8" spans="1:3" x14ac:dyDescent="0.25">
      <c r="A8" s="52" t="s">
        <v>2044</v>
      </c>
      <c r="B8" s="33">
        <v>0</v>
      </c>
      <c r="C8" s="41"/>
    </row>
    <row r="9" spans="1:3" x14ac:dyDescent="0.25">
      <c r="A9" s="52" t="s">
        <v>2045</v>
      </c>
      <c r="B9" s="42">
        <v>0</v>
      </c>
    </row>
    <row r="10" spans="1:3" x14ac:dyDescent="0.25">
      <c r="A10" s="52" t="s">
        <v>2046</v>
      </c>
      <c r="B10" s="33">
        <v>0</v>
      </c>
      <c r="C10" s="41"/>
    </row>
    <row r="11" spans="1:3" x14ac:dyDescent="0.25">
      <c r="A11" s="52" t="s">
        <v>2047</v>
      </c>
      <c r="B11" s="42">
        <v>0</v>
      </c>
    </row>
    <row r="12" spans="1:3" x14ac:dyDescent="0.25">
      <c r="A12" s="52" t="s">
        <v>2048</v>
      </c>
      <c r="B12" s="33">
        <v>0</v>
      </c>
      <c r="C12" s="41"/>
    </row>
    <row r="13" spans="1:3" x14ac:dyDescent="0.25">
      <c r="A13" s="52" t="s">
        <v>2049</v>
      </c>
      <c r="B13" s="42">
        <v>0</v>
      </c>
    </row>
    <row r="14" spans="1:3" x14ac:dyDescent="0.25">
      <c r="A14" s="52" t="s">
        <v>2050</v>
      </c>
      <c r="B14" s="33">
        <v>1</v>
      </c>
      <c r="C14" s="41"/>
    </row>
    <row r="15" spans="1:3" x14ac:dyDescent="0.25">
      <c r="A15" s="52" t="s">
        <v>2051</v>
      </c>
      <c r="B15" s="42">
        <v>5</v>
      </c>
    </row>
    <row r="16" spans="1:3" x14ac:dyDescent="0.25">
      <c r="A16" s="52" t="s">
        <v>2052</v>
      </c>
      <c r="B16" s="33">
        <v>5</v>
      </c>
      <c r="C16" s="41"/>
    </row>
    <row r="17" spans="1:3" x14ac:dyDescent="0.25">
      <c r="A17" s="52" t="s">
        <v>2053</v>
      </c>
      <c r="B17" s="42">
        <v>0</v>
      </c>
    </row>
    <row r="18" spans="1:3" x14ac:dyDescent="0.25">
      <c r="A18" s="52" t="s">
        <v>2054</v>
      </c>
      <c r="B18" s="33">
        <v>0</v>
      </c>
      <c r="C18" s="41"/>
    </row>
    <row r="19" spans="1:3" x14ac:dyDescent="0.25">
      <c r="A19" s="52" t="s">
        <v>2055</v>
      </c>
      <c r="B19" s="42">
        <v>0</v>
      </c>
    </row>
    <row r="20" spans="1:3" x14ac:dyDescent="0.25">
      <c r="A20" s="52" t="s">
        <v>2056</v>
      </c>
      <c r="B20" s="33">
        <v>16</v>
      </c>
      <c r="C20" s="41"/>
    </row>
    <row r="21" spans="1:3" x14ac:dyDescent="0.25">
      <c r="A21" s="52" t="s">
        <v>2057</v>
      </c>
      <c r="B21" s="42">
        <v>0</v>
      </c>
    </row>
    <row r="22" spans="1:3" x14ac:dyDescent="0.25">
      <c r="A22" s="52" t="s">
        <v>2058</v>
      </c>
      <c r="B22" s="33">
        <v>0</v>
      </c>
      <c r="C22" s="41"/>
    </row>
    <row r="23" spans="1:3" x14ac:dyDescent="0.25">
      <c r="A23" s="52" t="s">
        <v>2059</v>
      </c>
      <c r="B23" s="42">
        <v>0</v>
      </c>
    </row>
    <row r="24" spans="1:3" x14ac:dyDescent="0.25">
      <c r="A24" s="52" t="s">
        <v>2060</v>
      </c>
      <c r="B24" s="33">
        <v>0</v>
      </c>
      <c r="C24" s="41"/>
    </row>
    <row r="25" spans="1:3" x14ac:dyDescent="0.25">
      <c r="A25" s="52" t="s">
        <v>2061</v>
      </c>
      <c r="B25" s="42">
        <v>1</v>
      </c>
    </row>
    <row r="26" spans="1:3" x14ac:dyDescent="0.25">
      <c r="A26" s="52" t="s">
        <v>2062</v>
      </c>
      <c r="B26" s="33">
        <v>1</v>
      </c>
      <c r="C26" s="41"/>
    </row>
    <row r="27" spans="1:3" x14ac:dyDescent="0.25">
      <c r="A27" s="52" t="s">
        <v>2063</v>
      </c>
      <c r="B27" s="42">
        <v>0</v>
      </c>
    </row>
    <row r="28" spans="1:3" x14ac:dyDescent="0.25">
      <c r="A28" s="52" t="s">
        <v>2064</v>
      </c>
      <c r="B28" s="33">
        <v>0</v>
      </c>
      <c r="C28" s="41"/>
    </row>
    <row r="29" spans="1:3" x14ac:dyDescent="0.25">
      <c r="A29" s="52" t="s">
        <v>2065</v>
      </c>
      <c r="B29" s="42">
        <v>20</v>
      </c>
    </row>
    <row r="30" spans="1:3" x14ac:dyDescent="0.25">
      <c r="A30" s="52" t="s">
        <v>2066</v>
      </c>
      <c r="B30" s="33">
        <v>12</v>
      </c>
      <c r="C30" s="41"/>
    </row>
    <row r="31" spans="1:3" x14ac:dyDescent="0.25">
      <c r="A31" s="52" t="s">
        <v>2067</v>
      </c>
      <c r="B31" s="42">
        <v>20</v>
      </c>
    </row>
    <row r="32" spans="1:3" x14ac:dyDescent="0.25">
      <c r="A32" s="52" t="s">
        <v>2068</v>
      </c>
      <c r="B32" s="33">
        <v>20</v>
      </c>
      <c r="C32" s="41"/>
    </row>
    <row r="33" spans="1:3" x14ac:dyDescent="0.25">
      <c r="A33" s="52" t="s">
        <v>2069</v>
      </c>
      <c r="B33" s="42">
        <v>0</v>
      </c>
    </row>
    <row r="34" spans="1:3" x14ac:dyDescent="0.25">
      <c r="A34" s="52" t="s">
        <v>2070</v>
      </c>
      <c r="B34" s="33">
        <v>20</v>
      </c>
      <c r="C34" s="41"/>
    </row>
    <row r="35" spans="1:3" x14ac:dyDescent="0.25">
      <c r="A35" s="52" t="s">
        <v>2071</v>
      </c>
      <c r="B35" s="42">
        <v>0</v>
      </c>
    </row>
    <row r="36" spans="1:3" x14ac:dyDescent="0.25">
      <c r="A36" s="52" t="s">
        <v>2072</v>
      </c>
      <c r="B36" s="33">
        <v>0</v>
      </c>
      <c r="C36" s="41"/>
    </row>
    <row r="37" spans="1:3" x14ac:dyDescent="0.25">
      <c r="A37" s="52" t="s">
        <v>2073</v>
      </c>
      <c r="B37" s="42">
        <v>0</v>
      </c>
    </row>
    <row r="38" spans="1:3" x14ac:dyDescent="0.25">
      <c r="A38" s="52" t="s">
        <v>2074</v>
      </c>
      <c r="B38" s="33">
        <v>0</v>
      </c>
      <c r="C38" s="41"/>
    </row>
    <row r="39" spans="1:3" x14ac:dyDescent="0.25">
      <c r="A39" s="52" t="s">
        <v>2075</v>
      </c>
      <c r="B39" s="42">
        <v>20</v>
      </c>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3"/>
  <sheetViews>
    <sheetView workbookViewId="0">
      <pane xSplit="2" ySplit="1" topLeftCell="C2" activePane="bottomRight" state="frozen"/>
      <selection pane="topRight"/>
      <selection pane="bottomLeft"/>
      <selection pane="bottomRight"/>
    </sheetView>
  </sheetViews>
  <sheetFormatPr defaultRowHeight="15" x14ac:dyDescent="0.25"/>
  <cols>
    <col min="1" max="1" width="34" customWidth="1"/>
    <col min="2" max="2" width="21" customWidth="1"/>
  </cols>
  <sheetData>
    <row r="1" spans="1:3" ht="45" x14ac:dyDescent="0.25">
      <c r="A1" s="31" t="s">
        <v>2076</v>
      </c>
      <c r="B1" s="31" t="s">
        <v>24</v>
      </c>
      <c r="C1" s="32" t="s">
        <v>95</v>
      </c>
    </row>
    <row r="2" spans="1:3" x14ac:dyDescent="0.25">
      <c r="A2" s="52" t="s">
        <v>2077</v>
      </c>
      <c r="B2" s="36" t="s">
        <v>2078</v>
      </c>
      <c r="C2" s="41"/>
    </row>
    <row r="3" spans="1:3" x14ac:dyDescent="0.25">
      <c r="A3" s="52" t="s">
        <v>2079</v>
      </c>
      <c r="B3" s="43">
        <v>20</v>
      </c>
    </row>
    <row r="4" spans="1:3" x14ac:dyDescent="0.25">
      <c r="A4" s="52" t="s">
        <v>2080</v>
      </c>
      <c r="B4" s="36" t="s">
        <v>2081</v>
      </c>
      <c r="C4" s="41"/>
    </row>
    <row r="5" spans="1:3" x14ac:dyDescent="0.25">
      <c r="A5" s="52" t="s">
        <v>2082</v>
      </c>
      <c r="B5" s="43">
        <v>4</v>
      </c>
    </row>
    <row r="6" spans="1:3" x14ac:dyDescent="0.25">
      <c r="A6" s="52" t="s">
        <v>2083</v>
      </c>
      <c r="B6" s="36">
        <v>1.5</v>
      </c>
      <c r="C6" s="41"/>
    </row>
    <row r="7" spans="1:3" x14ac:dyDescent="0.25">
      <c r="A7" s="52" t="s">
        <v>2084</v>
      </c>
      <c r="B7" s="43">
        <v>3</v>
      </c>
    </row>
    <row r="8" spans="1:3" x14ac:dyDescent="0.25">
      <c r="A8" s="52" t="s">
        <v>2085</v>
      </c>
      <c r="B8" s="36">
        <v>20</v>
      </c>
      <c r="C8" s="41"/>
    </row>
    <row r="9" spans="1:3" x14ac:dyDescent="0.25">
      <c r="A9" s="52" t="s">
        <v>2086</v>
      </c>
      <c r="B9" s="43">
        <v>0</v>
      </c>
    </row>
    <row r="10" spans="1:3" x14ac:dyDescent="0.25">
      <c r="A10" s="52" t="s">
        <v>2087</v>
      </c>
      <c r="B10" s="36" t="s">
        <v>2088</v>
      </c>
      <c r="C10" s="41"/>
    </row>
    <row r="11" spans="1:3" x14ac:dyDescent="0.25">
      <c r="A11" s="52" t="s">
        <v>2089</v>
      </c>
      <c r="B11" s="43">
        <v>67</v>
      </c>
    </row>
    <row r="12" spans="1:3" x14ac:dyDescent="0.25">
      <c r="A12" s="52" t="s">
        <v>2090</v>
      </c>
      <c r="B12" s="36">
        <v>60</v>
      </c>
      <c r="C12" s="41"/>
    </row>
    <row r="13" spans="1:3" x14ac:dyDescent="0.25">
      <c r="A13" s="52" t="s">
        <v>2091</v>
      </c>
      <c r="B13" s="43">
        <v>1</v>
      </c>
    </row>
  </sheetData>
  <hyperlinks>
    <hyperlink ref="C1" location="'Dashboard'!A1" display="BACK TO DASHBOARD" xr:uid="{00000000-0004-0000-1000-000000000000}"/>
  </hyperlinks>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D2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22" hidden="1" customWidth="1" outlineLevel="1"/>
    <col min="43" max="43" width="20"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49" width="18" hidden="1" customWidth="1" outlineLevel="1"/>
    <col min="50" max="50" width="60" hidden="1" customWidth="1" outlineLevel="1"/>
    <col min="51" max="51" width="12" hidden="1" customWidth="1" outlineLevel="1"/>
    <col min="52" max="52" width="11" hidden="1" customWidth="1" outlineLevel="1"/>
    <col min="53" max="53" width="60" hidden="1" customWidth="1" outlineLevel="1"/>
    <col min="54" max="54" width="19" customWidth="1"/>
  </cols>
  <sheetData>
    <row r="1" spans="1:56" ht="45" x14ac:dyDescent="0.25">
      <c r="A1" s="31" t="s">
        <v>2092</v>
      </c>
      <c r="B1" s="31" t="s">
        <v>78</v>
      </c>
      <c r="C1" s="31" t="s">
        <v>535</v>
      </c>
      <c r="D1" s="31" t="s">
        <v>60</v>
      </c>
      <c r="E1" s="31" t="s">
        <v>2093</v>
      </c>
      <c r="F1" s="31" t="s">
        <v>1835</v>
      </c>
      <c r="G1" s="31" t="s">
        <v>1514</v>
      </c>
      <c r="H1" s="31" t="s">
        <v>2094</v>
      </c>
      <c r="I1" s="31" t="s">
        <v>192</v>
      </c>
      <c r="J1" s="31" t="s">
        <v>191</v>
      </c>
      <c r="K1" s="31" t="s">
        <v>89</v>
      </c>
      <c r="L1" s="31" t="s">
        <v>537</v>
      </c>
      <c r="M1" s="31" t="s">
        <v>538</v>
      </c>
      <c r="N1" s="31" t="s">
        <v>2095</v>
      </c>
      <c r="O1" s="31" t="s">
        <v>2096</v>
      </c>
      <c r="P1" s="31" t="s">
        <v>2097</v>
      </c>
      <c r="Q1" s="31" t="s">
        <v>2098</v>
      </c>
      <c r="R1" s="31" t="s">
        <v>2099</v>
      </c>
      <c r="S1" s="31" t="s">
        <v>2100</v>
      </c>
      <c r="T1" s="31" t="s">
        <v>2101</v>
      </c>
      <c r="U1" s="31" t="s">
        <v>2102</v>
      </c>
      <c r="V1" s="31" t="s">
        <v>2103</v>
      </c>
      <c r="W1" s="31" t="s">
        <v>2104</v>
      </c>
      <c r="X1" s="31" t="s">
        <v>2105</v>
      </c>
      <c r="Y1" s="31" t="s">
        <v>2106</v>
      </c>
      <c r="Z1" s="31" t="s">
        <v>2107</v>
      </c>
      <c r="AA1" s="31" t="s">
        <v>2108</v>
      </c>
      <c r="AB1" s="31" t="s">
        <v>2109</v>
      </c>
      <c r="AC1" s="31" t="s">
        <v>2110</v>
      </c>
      <c r="AD1" s="31" t="s">
        <v>2111</v>
      </c>
      <c r="AE1" s="31" t="s">
        <v>2112</v>
      </c>
      <c r="AF1" s="31" t="s">
        <v>2113</v>
      </c>
      <c r="AG1" s="31" t="s">
        <v>2114</v>
      </c>
      <c r="AH1" s="31" t="s">
        <v>2115</v>
      </c>
      <c r="AI1" s="31" t="s">
        <v>544</v>
      </c>
      <c r="AJ1" s="31" t="s">
        <v>545</v>
      </c>
      <c r="AK1" s="31" t="s">
        <v>546</v>
      </c>
      <c r="AL1" s="31" t="s">
        <v>547</v>
      </c>
      <c r="AM1" s="31" t="s">
        <v>548</v>
      </c>
      <c r="AN1" s="31" t="s">
        <v>2116</v>
      </c>
      <c r="AO1" s="31" t="s">
        <v>193</v>
      </c>
      <c r="AP1" s="31" t="s">
        <v>194</v>
      </c>
      <c r="AQ1" s="31" t="s">
        <v>2117</v>
      </c>
      <c r="AR1" s="31" t="s">
        <v>592</v>
      </c>
      <c r="AS1" s="31" t="s">
        <v>2118</v>
      </c>
      <c r="AT1" s="31" t="s">
        <v>593</v>
      </c>
      <c r="AU1" s="31" t="s">
        <v>1848</v>
      </c>
      <c r="AV1" s="31" t="s">
        <v>1847</v>
      </c>
      <c r="AW1" s="31" t="s">
        <v>1849</v>
      </c>
      <c r="AX1" s="31" t="s">
        <v>224</v>
      </c>
      <c r="AY1" s="31" t="s">
        <v>225</v>
      </c>
      <c r="AZ1" s="31" t="s">
        <v>223</v>
      </c>
      <c r="BA1" s="31" t="s">
        <v>2119</v>
      </c>
      <c r="BB1" s="32" t="s">
        <v>95</v>
      </c>
      <c r="BC1" s="31" t="s">
        <v>2120</v>
      </c>
      <c r="BD1" s="32" t="s">
        <v>2121</v>
      </c>
    </row>
    <row r="2" spans="1:56" ht="31.5" x14ac:dyDescent="0.25">
      <c r="A2" s="33" t="s">
        <v>2122</v>
      </c>
      <c r="B2" s="50" t="s">
        <v>176</v>
      </c>
      <c r="C2" s="52">
        <v>200</v>
      </c>
      <c r="D2" s="33" t="s">
        <v>204</v>
      </c>
      <c r="E2" s="33">
        <v>0.114</v>
      </c>
      <c r="F2" s="33" t="s">
        <v>248</v>
      </c>
      <c r="G2" s="33" t="s">
        <v>249</v>
      </c>
      <c r="H2" s="33">
        <v>37</v>
      </c>
      <c r="I2" s="55">
        <v>60</v>
      </c>
      <c r="J2" s="47" t="s">
        <v>51</v>
      </c>
      <c r="K2" s="33" t="s">
        <v>105</v>
      </c>
      <c r="L2" s="33" t="s">
        <v>555</v>
      </c>
      <c r="M2" s="33" t="s">
        <v>556</v>
      </c>
      <c r="N2" s="33">
        <v>66</v>
      </c>
      <c r="O2" s="33">
        <v>152</v>
      </c>
      <c r="P2" s="33" t="s">
        <v>2123</v>
      </c>
      <c r="Q2" s="33" t="b">
        <v>0</v>
      </c>
      <c r="R2" s="33"/>
      <c r="S2" s="33"/>
      <c r="T2" s="33">
        <v>0</v>
      </c>
      <c r="U2" s="33"/>
      <c r="V2" s="33">
        <v>0</v>
      </c>
      <c r="W2" s="33"/>
      <c r="X2" s="33">
        <v>0</v>
      </c>
      <c r="Y2" s="33"/>
      <c r="Z2" s="33">
        <v>0</v>
      </c>
      <c r="AA2" s="33"/>
      <c r="AB2" s="33">
        <v>0</v>
      </c>
      <c r="AC2" s="33"/>
      <c r="AD2" s="33">
        <v>0</v>
      </c>
      <c r="AE2" s="33">
        <v>0</v>
      </c>
      <c r="AF2" s="33"/>
      <c r="AG2" s="33" t="s">
        <v>2124</v>
      </c>
      <c r="AH2" s="33">
        <v>100</v>
      </c>
      <c r="AI2" s="33">
        <v>0</v>
      </c>
      <c r="AJ2" s="33">
        <v>0</v>
      </c>
      <c r="AK2" s="33">
        <v>0</v>
      </c>
      <c r="AL2" s="33">
        <v>0</v>
      </c>
      <c r="AM2" s="33">
        <v>0</v>
      </c>
      <c r="AN2" s="33">
        <v>73</v>
      </c>
      <c r="AO2" s="33">
        <v>1257</v>
      </c>
      <c r="AP2" s="33">
        <v>5.8074781225139219E-2</v>
      </c>
      <c r="AQ2" s="33">
        <v>5.7430389817024663</v>
      </c>
      <c r="AR2" s="33">
        <v>0</v>
      </c>
      <c r="AS2" s="33" t="b">
        <v>0</v>
      </c>
      <c r="AT2" s="33">
        <v>0.188917</v>
      </c>
      <c r="AU2" s="33" t="b">
        <v>1</v>
      </c>
      <c r="AV2" s="33" t="b">
        <v>1</v>
      </c>
      <c r="AW2" s="33" t="s">
        <v>1860</v>
      </c>
      <c r="AX2" s="34">
        <f>IFERROR(VLOOKUP(B2,'Technical Diagnostics'!$A:$E,5,FALSE),"")</f>
        <v>60</v>
      </c>
      <c r="AY2" s="47">
        <v>78.08</v>
      </c>
      <c r="AZ2" s="34">
        <v>64.52</v>
      </c>
      <c r="BA2" s="33" t="str">
        <f>IFERROR(HYPERLINK("#'Technical Diagnostics'!A"&amp;MATCH(B2,'Technical Diagnostics'!A:A,0),"Open Technical"),HYPERLINK("#'Technical Diagnostics'!A1","Open Technical"))</f>
        <v>Open Technical</v>
      </c>
      <c r="BB2" s="33"/>
      <c r="BC2" s="41" t="str">
        <f>IFERROR(HYPERLINK("#'Technical Diagnostics'!A"&amp;MATCH(B2,'Technical Diagnostics'!A:A,0),"Open Technical"),HYPERLINK("#'Technical Diagnostics'!A1","Open Technical"))</f>
        <v>Open Technical</v>
      </c>
      <c r="BD2" s="41"/>
    </row>
    <row r="3" spans="1:56" ht="30" customHeight="1" x14ac:dyDescent="0.25">
      <c r="A3" s="42" t="s">
        <v>2122</v>
      </c>
      <c r="B3" s="51" t="s">
        <v>178</v>
      </c>
      <c r="C3" s="52">
        <v>200</v>
      </c>
      <c r="D3" s="42" t="s">
        <v>204</v>
      </c>
      <c r="E3" s="42">
        <v>9.1999999999999998E-2</v>
      </c>
      <c r="F3" s="42" t="s">
        <v>253</v>
      </c>
      <c r="G3" s="42" t="s">
        <v>254</v>
      </c>
      <c r="H3" s="42">
        <v>235</v>
      </c>
      <c r="I3" s="56">
        <v>70</v>
      </c>
      <c r="J3" s="47" t="s">
        <v>51</v>
      </c>
      <c r="K3" s="42" t="s">
        <v>105</v>
      </c>
      <c r="L3" s="42" t="s">
        <v>555</v>
      </c>
      <c r="M3" s="42" t="s">
        <v>556</v>
      </c>
      <c r="N3" s="42">
        <v>107</v>
      </c>
      <c r="O3" s="42">
        <v>405</v>
      </c>
      <c r="P3" s="42" t="s">
        <v>2123</v>
      </c>
      <c r="Q3" s="42" t="b">
        <v>0</v>
      </c>
      <c r="R3" s="42"/>
      <c r="S3" s="42"/>
      <c r="T3" s="42">
        <v>0</v>
      </c>
      <c r="U3" s="42"/>
      <c r="V3" s="42">
        <v>0</v>
      </c>
      <c r="W3" s="42"/>
      <c r="X3" s="42">
        <v>0</v>
      </c>
      <c r="Y3" s="42"/>
      <c r="Z3" s="42">
        <v>0</v>
      </c>
      <c r="AA3" s="42"/>
      <c r="AB3" s="42">
        <v>0</v>
      </c>
      <c r="AC3" s="42"/>
      <c r="AD3" s="42">
        <v>0</v>
      </c>
      <c r="AE3" s="42">
        <v>0</v>
      </c>
      <c r="AF3" s="42"/>
      <c r="AG3" s="42" t="s">
        <v>2124</v>
      </c>
      <c r="AH3" s="42">
        <v>70</v>
      </c>
      <c r="AI3" s="42">
        <v>0</v>
      </c>
      <c r="AJ3" s="42">
        <v>0</v>
      </c>
      <c r="AK3" s="42">
        <v>0</v>
      </c>
      <c r="AL3" s="42">
        <v>0</v>
      </c>
      <c r="AM3" s="42">
        <v>0</v>
      </c>
      <c r="AN3" s="42">
        <v>10</v>
      </c>
      <c r="AO3" s="42">
        <v>235</v>
      </c>
      <c r="AP3" s="42">
        <v>4.2553191489361701E-2</v>
      </c>
      <c r="AQ3" s="42">
        <v>3.0595744680851058</v>
      </c>
      <c r="AR3" s="42">
        <v>1</v>
      </c>
      <c r="AS3" s="42" t="b">
        <v>0</v>
      </c>
      <c r="AT3" s="42">
        <v>0.147311</v>
      </c>
      <c r="AU3" s="42" t="b">
        <v>1</v>
      </c>
      <c r="AV3" s="42" t="b">
        <v>1</v>
      </c>
      <c r="AW3" s="42" t="s">
        <v>1860</v>
      </c>
      <c r="AX3" s="47">
        <f>IFERROR(VLOOKUP(B3,'Technical Diagnostics'!$A:$E,5,FALSE),"")</f>
        <v>70</v>
      </c>
      <c r="AY3" s="52">
        <v>94.58</v>
      </c>
      <c r="AZ3" s="47">
        <v>76.150000000000006</v>
      </c>
      <c r="BA3" s="42" t="str">
        <f>IFERROR(HYPERLINK("#'Technical Diagnostics'!A"&amp;MATCH(B3,'Technical Diagnostics'!A:A,0),"Open Technical"),HYPERLINK("#'Technical Diagnostics'!A1","Open Technical"))</f>
        <v>Open Technical</v>
      </c>
      <c r="BB3" s="42"/>
      <c r="BC3" t="str">
        <f>IFERROR(HYPERLINK("#'Technical Diagnostics'!A"&amp;MATCH(B3,'Technical Diagnostics'!A:A,0),"Open Technical"),HYPERLINK("#'Technical Diagnostics'!A1","Open Technical"))</f>
        <v>Open Technical</v>
      </c>
    </row>
    <row r="4" spans="1:56" ht="30" customHeight="1" x14ac:dyDescent="0.25">
      <c r="A4" s="33" t="s">
        <v>2122</v>
      </c>
      <c r="B4" s="50" t="s">
        <v>208</v>
      </c>
      <c r="C4" s="52">
        <v>200</v>
      </c>
      <c r="D4" s="33" t="s">
        <v>204</v>
      </c>
      <c r="E4" s="33">
        <v>9.9000000000000005E-2</v>
      </c>
      <c r="F4" s="33" t="s">
        <v>259</v>
      </c>
      <c r="G4" s="33" t="s">
        <v>260</v>
      </c>
      <c r="H4" s="33">
        <v>355</v>
      </c>
      <c r="I4" s="55">
        <v>70</v>
      </c>
      <c r="J4" s="47" t="s">
        <v>51</v>
      </c>
      <c r="K4" s="33" t="s">
        <v>105</v>
      </c>
      <c r="L4" s="33" t="s">
        <v>555</v>
      </c>
      <c r="M4" s="33" t="s">
        <v>556</v>
      </c>
      <c r="N4" s="33">
        <v>81</v>
      </c>
      <c r="O4" s="33">
        <v>423</v>
      </c>
      <c r="P4" s="33" t="s">
        <v>2123</v>
      </c>
      <c r="Q4" s="33" t="b">
        <v>0</v>
      </c>
      <c r="R4" s="33"/>
      <c r="S4" s="33"/>
      <c r="T4" s="33">
        <v>0</v>
      </c>
      <c r="U4" s="33"/>
      <c r="V4" s="33">
        <v>0</v>
      </c>
      <c r="W4" s="33"/>
      <c r="X4" s="33">
        <v>0</v>
      </c>
      <c r="Y4" s="33"/>
      <c r="Z4" s="33">
        <v>0</v>
      </c>
      <c r="AA4" s="33"/>
      <c r="AB4" s="33">
        <v>0</v>
      </c>
      <c r="AC4" s="33"/>
      <c r="AD4" s="33">
        <v>0</v>
      </c>
      <c r="AE4" s="33">
        <v>0</v>
      </c>
      <c r="AF4" s="33"/>
      <c r="AG4" s="33" t="s">
        <v>2124</v>
      </c>
      <c r="AH4" s="33">
        <v>60</v>
      </c>
      <c r="AI4" s="33">
        <v>0</v>
      </c>
      <c r="AJ4" s="33">
        <v>0</v>
      </c>
      <c r="AK4" s="33">
        <v>0</v>
      </c>
      <c r="AL4" s="33">
        <v>0</v>
      </c>
      <c r="AM4" s="33">
        <v>0</v>
      </c>
      <c r="AN4" s="33">
        <v>0</v>
      </c>
      <c r="AO4" s="33">
        <v>18</v>
      </c>
      <c r="AP4" s="33">
        <v>0</v>
      </c>
      <c r="AQ4" s="33">
        <v>5.1111111111111107</v>
      </c>
      <c r="AR4" s="33">
        <v>1</v>
      </c>
      <c r="AS4" s="33" t="b">
        <v>0</v>
      </c>
      <c r="AT4" s="33">
        <v>0.147311</v>
      </c>
      <c r="AU4" s="33" t="b">
        <v>1</v>
      </c>
      <c r="AV4" s="33" t="b">
        <v>1</v>
      </c>
      <c r="AW4" s="33" t="s">
        <v>1860</v>
      </c>
      <c r="AX4" s="47">
        <f>IFERROR(VLOOKUP(B4,'Technical Diagnostics'!$A:$E,5,FALSE),"")</f>
        <v>70</v>
      </c>
      <c r="AY4" s="52">
        <v>100</v>
      </c>
      <c r="AZ4" s="47">
        <v>77.5</v>
      </c>
      <c r="BA4" s="33" t="str">
        <f>IFERROR(HYPERLINK("#'Technical Diagnostics'!A"&amp;MATCH(B4,'Technical Diagnostics'!A:A,0),"Open Technical"),HYPERLINK("#'Technical Diagnostics'!A1","Open Technical"))</f>
        <v>Open Technical</v>
      </c>
      <c r="BB4" s="33"/>
      <c r="BC4" s="41" t="str">
        <f>IFERROR(HYPERLINK("#'Technical Diagnostics'!A"&amp;MATCH(B4,'Technical Diagnostics'!A:A,0),"Open Technical"),HYPERLINK("#'Technical Diagnostics'!A1","Open Technical"))</f>
        <v>Open Technical</v>
      </c>
      <c r="BD4" s="41"/>
    </row>
    <row r="5" spans="1:56" ht="30" customHeight="1" x14ac:dyDescent="0.25">
      <c r="A5" s="42" t="s">
        <v>2122</v>
      </c>
      <c r="B5" s="51" t="s">
        <v>146</v>
      </c>
      <c r="C5" s="52">
        <v>200</v>
      </c>
      <c r="D5" s="42" t="s">
        <v>204</v>
      </c>
      <c r="E5" s="42">
        <v>9.6000000000000002E-2</v>
      </c>
      <c r="F5" s="42" t="s">
        <v>265</v>
      </c>
      <c r="G5" s="42" t="s">
        <v>266</v>
      </c>
      <c r="H5" s="42">
        <v>1668</v>
      </c>
      <c r="I5" s="56">
        <v>60</v>
      </c>
      <c r="J5" s="47" t="s">
        <v>51</v>
      </c>
      <c r="K5" s="42" t="s">
        <v>105</v>
      </c>
      <c r="L5" s="42" t="s">
        <v>555</v>
      </c>
      <c r="M5" s="42" t="s">
        <v>556</v>
      </c>
      <c r="N5" s="42">
        <v>49</v>
      </c>
      <c r="O5" s="42">
        <v>406</v>
      </c>
      <c r="P5" s="42" t="s">
        <v>2125</v>
      </c>
      <c r="Q5" s="42" t="b">
        <v>0</v>
      </c>
      <c r="R5" s="42"/>
      <c r="S5" s="42"/>
      <c r="T5" s="42">
        <v>0</v>
      </c>
      <c r="U5" s="42"/>
      <c r="V5" s="42">
        <v>0</v>
      </c>
      <c r="W5" s="42"/>
      <c r="X5" s="42">
        <v>0</v>
      </c>
      <c r="Y5" s="42"/>
      <c r="Z5" s="42">
        <v>0</v>
      </c>
      <c r="AA5" s="42"/>
      <c r="AB5" s="42">
        <v>0</v>
      </c>
      <c r="AC5" s="42"/>
      <c r="AD5" s="42">
        <v>0</v>
      </c>
      <c r="AE5" s="42">
        <v>0</v>
      </c>
      <c r="AF5" s="42"/>
      <c r="AG5" s="42" t="s">
        <v>2124</v>
      </c>
      <c r="AH5" s="42">
        <v>100</v>
      </c>
      <c r="AI5" s="42">
        <v>0</v>
      </c>
      <c r="AJ5" s="42">
        <v>0</v>
      </c>
      <c r="AK5" s="42">
        <v>0</v>
      </c>
      <c r="AL5" s="42">
        <v>0</v>
      </c>
      <c r="AM5" s="42">
        <v>0</v>
      </c>
      <c r="AN5" s="42">
        <v>0</v>
      </c>
      <c r="AO5" s="42">
        <v>0</v>
      </c>
      <c r="AP5" s="42">
        <v>0</v>
      </c>
      <c r="AQ5" s="42">
        <v>0</v>
      </c>
      <c r="AR5" s="42"/>
      <c r="AS5" s="42" t="b">
        <v>1</v>
      </c>
      <c r="AT5" s="42">
        <v>1.1213000000000001E-2</v>
      </c>
      <c r="AU5" s="42" t="b">
        <v>1</v>
      </c>
      <c r="AV5" s="42" t="b">
        <v>1</v>
      </c>
      <c r="AW5" s="42" t="s">
        <v>1860</v>
      </c>
      <c r="AX5" s="34">
        <f>IFERROR(VLOOKUP(B5,'Technical Diagnostics'!$A:$E,5,FALSE),"")</f>
        <v>60</v>
      </c>
      <c r="AY5" s="52">
        <v>100</v>
      </c>
      <c r="AZ5" s="47">
        <v>70</v>
      </c>
      <c r="BA5" s="42" t="str">
        <f>IFERROR(HYPERLINK("#'Technical Diagnostics'!A"&amp;MATCH(B5,'Technical Diagnostics'!A:A,0),"Open Technical"),HYPERLINK("#'Technical Diagnostics'!A1","Open Technical"))</f>
        <v>Open Technical</v>
      </c>
      <c r="BB5" s="42"/>
      <c r="BC5" t="str">
        <f>IFERROR(HYPERLINK("#'Technical Diagnostics'!A"&amp;MATCH(B5,'Technical Diagnostics'!A:A,0),"Open Technical"),HYPERLINK("#'Technical Diagnostics'!A1","Open Technical"))</f>
        <v>Open Technical</v>
      </c>
    </row>
    <row r="6" spans="1:56" ht="30" customHeight="1" x14ac:dyDescent="0.25">
      <c r="A6" s="33" t="s">
        <v>2122</v>
      </c>
      <c r="B6" s="50" t="s">
        <v>207</v>
      </c>
      <c r="C6" s="52">
        <v>200</v>
      </c>
      <c r="D6" s="33" t="s">
        <v>204</v>
      </c>
      <c r="E6" s="33">
        <v>4.8000000000000001E-2</v>
      </c>
      <c r="F6" s="33" t="s">
        <v>270</v>
      </c>
      <c r="G6" s="33" t="s">
        <v>271</v>
      </c>
      <c r="H6" s="33">
        <v>32</v>
      </c>
      <c r="I6" s="55">
        <v>60</v>
      </c>
      <c r="J6" s="47" t="s">
        <v>51</v>
      </c>
      <c r="K6" s="33" t="s">
        <v>105</v>
      </c>
      <c r="L6" s="33" t="s">
        <v>555</v>
      </c>
      <c r="M6" s="33" t="s">
        <v>556</v>
      </c>
      <c r="N6" s="33">
        <v>53</v>
      </c>
      <c r="O6" s="33">
        <v>387</v>
      </c>
      <c r="P6" s="33" t="s">
        <v>2123</v>
      </c>
      <c r="Q6" s="33" t="b">
        <v>0</v>
      </c>
      <c r="R6" s="33"/>
      <c r="S6" s="33"/>
      <c r="T6" s="33">
        <v>0</v>
      </c>
      <c r="U6" s="33"/>
      <c r="V6" s="33">
        <v>0</v>
      </c>
      <c r="W6" s="33"/>
      <c r="X6" s="33">
        <v>0</v>
      </c>
      <c r="Y6" s="33"/>
      <c r="Z6" s="33">
        <v>0</v>
      </c>
      <c r="AA6" s="33"/>
      <c r="AB6" s="33">
        <v>0</v>
      </c>
      <c r="AC6" s="33"/>
      <c r="AD6" s="33">
        <v>0</v>
      </c>
      <c r="AE6" s="33">
        <v>0</v>
      </c>
      <c r="AF6" s="33"/>
      <c r="AG6" s="33" t="s">
        <v>2124</v>
      </c>
      <c r="AH6" s="33">
        <v>100</v>
      </c>
      <c r="AI6" s="33">
        <v>0</v>
      </c>
      <c r="AJ6" s="33">
        <v>0</v>
      </c>
      <c r="AK6" s="33">
        <v>0</v>
      </c>
      <c r="AL6" s="33">
        <v>0</v>
      </c>
      <c r="AM6" s="33">
        <v>0</v>
      </c>
      <c r="AN6" s="33">
        <v>0</v>
      </c>
      <c r="AO6" s="33">
        <v>11</v>
      </c>
      <c r="AP6" s="33">
        <v>0</v>
      </c>
      <c r="AQ6" s="33">
        <v>20.81818181818182</v>
      </c>
      <c r="AR6" s="33"/>
      <c r="AS6" s="33" t="b">
        <v>1</v>
      </c>
      <c r="AT6" s="33">
        <v>1.1213000000000001E-2</v>
      </c>
      <c r="AU6" s="33" t="b">
        <v>1</v>
      </c>
      <c r="AV6" s="33" t="b">
        <v>1</v>
      </c>
      <c r="AW6" s="33" t="s">
        <v>1860</v>
      </c>
      <c r="AX6" s="34">
        <f>IFERROR(VLOOKUP(B6,'Technical Diagnostics'!$A:$E,5,FALSE),"")</f>
        <v>60</v>
      </c>
      <c r="AY6" s="34">
        <v>47.67</v>
      </c>
      <c r="AZ6" s="34">
        <v>56.92</v>
      </c>
      <c r="BA6" s="33" t="str">
        <f>IFERROR(HYPERLINK("#'Technical Diagnostics'!A"&amp;MATCH(B6,'Technical Diagnostics'!A:A,0),"Open Technical"),HYPERLINK("#'Technical Diagnostics'!A1","Open Technical"))</f>
        <v>Open Technical</v>
      </c>
      <c r="BB6" s="33"/>
      <c r="BC6" s="41" t="str">
        <f>IFERROR(HYPERLINK("#'Technical Diagnostics'!A"&amp;MATCH(B6,'Technical Diagnostics'!A:A,0),"Open Technical"),HYPERLINK("#'Technical Diagnostics'!A1","Open Technical"))</f>
        <v>Open Technical</v>
      </c>
      <c r="BD6" s="41"/>
    </row>
    <row r="7" spans="1:56" ht="30" customHeight="1" x14ac:dyDescent="0.25">
      <c r="A7" s="42" t="s">
        <v>2122</v>
      </c>
      <c r="B7" s="51" t="s">
        <v>155</v>
      </c>
      <c r="C7" s="52">
        <v>200</v>
      </c>
      <c r="D7" s="42" t="s">
        <v>204</v>
      </c>
      <c r="E7" s="42">
        <v>0.20899999999999999</v>
      </c>
      <c r="F7" s="42" t="s">
        <v>275</v>
      </c>
      <c r="G7" s="42" t="s">
        <v>276</v>
      </c>
      <c r="H7" s="42">
        <v>120</v>
      </c>
      <c r="I7" s="56">
        <v>60</v>
      </c>
      <c r="J7" s="47" t="s">
        <v>51</v>
      </c>
      <c r="K7" s="42" t="s">
        <v>105</v>
      </c>
      <c r="L7" s="42" t="s">
        <v>555</v>
      </c>
      <c r="M7" s="42" t="s">
        <v>556</v>
      </c>
      <c r="N7" s="42">
        <v>66</v>
      </c>
      <c r="O7" s="42">
        <v>335</v>
      </c>
      <c r="P7" s="42" t="s">
        <v>2123</v>
      </c>
      <c r="Q7" s="42" t="b">
        <v>0</v>
      </c>
      <c r="R7" s="42"/>
      <c r="S7" s="42"/>
      <c r="T7" s="42">
        <v>0</v>
      </c>
      <c r="U7" s="42"/>
      <c r="V7" s="42">
        <v>0</v>
      </c>
      <c r="W7" s="42"/>
      <c r="X7" s="42">
        <v>0</v>
      </c>
      <c r="Y7" s="42"/>
      <c r="Z7" s="42">
        <v>0</v>
      </c>
      <c r="AA7" s="42"/>
      <c r="AB7" s="42">
        <v>0</v>
      </c>
      <c r="AC7" s="42"/>
      <c r="AD7" s="42">
        <v>0</v>
      </c>
      <c r="AE7" s="42">
        <v>0</v>
      </c>
      <c r="AF7" s="42"/>
      <c r="AG7" s="42" t="s">
        <v>2124</v>
      </c>
      <c r="AH7" s="42">
        <v>30</v>
      </c>
      <c r="AI7" s="42">
        <v>0</v>
      </c>
      <c r="AJ7" s="42">
        <v>0</v>
      </c>
      <c r="AK7" s="42">
        <v>0</v>
      </c>
      <c r="AL7" s="42">
        <v>0</v>
      </c>
      <c r="AM7" s="42">
        <v>0</v>
      </c>
      <c r="AN7" s="42">
        <v>0</v>
      </c>
      <c r="AO7" s="42">
        <v>0</v>
      </c>
      <c r="AP7" s="42">
        <v>0</v>
      </c>
      <c r="AQ7" s="42">
        <v>0</v>
      </c>
      <c r="AR7" s="42"/>
      <c r="AS7" s="42" t="b">
        <v>1</v>
      </c>
      <c r="AT7" s="42">
        <v>1.1213000000000001E-2</v>
      </c>
      <c r="AU7" s="42" t="b">
        <v>1</v>
      </c>
      <c r="AV7" s="42" t="b">
        <v>1</v>
      </c>
      <c r="AW7" s="42" t="s">
        <v>1860</v>
      </c>
      <c r="AX7" s="34">
        <f>IFERROR(VLOOKUP(B7,'Technical Diagnostics'!$A:$E,5,FALSE),"")</f>
        <v>60</v>
      </c>
      <c r="AY7" s="34">
        <v>55</v>
      </c>
      <c r="AZ7" s="34">
        <v>58.75</v>
      </c>
      <c r="BA7" s="42" t="str">
        <f>IFERROR(HYPERLINK("#'Technical Diagnostics'!A"&amp;MATCH(B7,'Technical Diagnostics'!A:A,0),"Open Technical"),HYPERLINK("#'Technical Diagnostics'!A1","Open Technical"))</f>
        <v>Open Technical</v>
      </c>
      <c r="BB7" s="42"/>
      <c r="BC7" t="str">
        <f>IFERROR(HYPERLINK("#'Technical Diagnostics'!A"&amp;MATCH(B7,'Technical Diagnostics'!A:A,0),"Open Technical"),HYPERLINK("#'Technical Diagnostics'!A1","Open Technical"))</f>
        <v>Open Technical</v>
      </c>
    </row>
    <row r="8" spans="1:56" ht="30" customHeight="1" x14ac:dyDescent="0.25">
      <c r="A8" s="33" t="s">
        <v>2122</v>
      </c>
      <c r="B8" s="50" t="s">
        <v>206</v>
      </c>
      <c r="C8" s="52">
        <v>200</v>
      </c>
      <c r="D8" s="33" t="s">
        <v>204</v>
      </c>
      <c r="E8" s="33">
        <v>0.161</v>
      </c>
      <c r="F8" s="33" t="s">
        <v>279</v>
      </c>
      <c r="G8" s="33" t="s">
        <v>280</v>
      </c>
      <c r="H8" s="33">
        <v>367</v>
      </c>
      <c r="I8" s="55">
        <v>60</v>
      </c>
      <c r="J8" s="47" t="s">
        <v>51</v>
      </c>
      <c r="K8" s="33" t="s">
        <v>105</v>
      </c>
      <c r="L8" s="33" t="s">
        <v>555</v>
      </c>
      <c r="M8" s="33" t="s">
        <v>556</v>
      </c>
      <c r="N8" s="33">
        <v>65</v>
      </c>
      <c r="O8" s="33">
        <v>337</v>
      </c>
      <c r="P8" s="33" t="s">
        <v>2123</v>
      </c>
      <c r="Q8" s="33" t="b">
        <v>0</v>
      </c>
      <c r="R8" s="33"/>
      <c r="S8" s="33"/>
      <c r="T8" s="33">
        <v>0</v>
      </c>
      <c r="U8" s="33"/>
      <c r="V8" s="33">
        <v>0</v>
      </c>
      <c r="W8" s="33"/>
      <c r="X8" s="33">
        <v>0</v>
      </c>
      <c r="Y8" s="33"/>
      <c r="Z8" s="33">
        <v>0</v>
      </c>
      <c r="AA8" s="33"/>
      <c r="AB8" s="33">
        <v>0</v>
      </c>
      <c r="AC8" s="33"/>
      <c r="AD8" s="33">
        <v>0</v>
      </c>
      <c r="AE8" s="33">
        <v>0</v>
      </c>
      <c r="AF8" s="33"/>
      <c r="AG8" s="33" t="s">
        <v>2124</v>
      </c>
      <c r="AH8" s="33">
        <v>100</v>
      </c>
      <c r="AI8" s="33">
        <v>0</v>
      </c>
      <c r="AJ8" s="33">
        <v>0</v>
      </c>
      <c r="AK8" s="33">
        <v>0</v>
      </c>
      <c r="AL8" s="33">
        <v>0</v>
      </c>
      <c r="AM8" s="33">
        <v>0</v>
      </c>
      <c r="AN8" s="33">
        <v>0</v>
      </c>
      <c r="AO8" s="33">
        <v>0</v>
      </c>
      <c r="AP8" s="33">
        <v>0</v>
      </c>
      <c r="AQ8" s="33">
        <v>0</v>
      </c>
      <c r="AR8" s="33"/>
      <c r="AS8" s="33" t="b">
        <v>1</v>
      </c>
      <c r="AT8" s="33">
        <v>1.1213000000000001E-2</v>
      </c>
      <c r="AU8" s="33" t="b">
        <v>1</v>
      </c>
      <c r="AV8" s="33" t="b">
        <v>1</v>
      </c>
      <c r="AW8" s="33" t="s">
        <v>1860</v>
      </c>
      <c r="AX8" s="34">
        <f>IFERROR(VLOOKUP(B8,'Technical Diagnostics'!$A:$E,5,FALSE),"")</f>
        <v>60</v>
      </c>
      <c r="AY8" s="47">
        <v>70</v>
      </c>
      <c r="AZ8" s="34">
        <v>62.5</v>
      </c>
      <c r="BA8" s="33" t="str">
        <f>IFERROR(HYPERLINK("#'Technical Diagnostics'!A"&amp;MATCH(B8,'Technical Diagnostics'!A:A,0),"Open Technical"),HYPERLINK("#'Technical Diagnostics'!A1","Open Technical"))</f>
        <v>Open Technical</v>
      </c>
      <c r="BB8" s="33"/>
      <c r="BC8" s="41" t="str">
        <f>IFERROR(HYPERLINK("#'Technical Diagnostics'!A"&amp;MATCH(B8,'Technical Diagnostics'!A:A,0),"Open Technical"),HYPERLINK("#'Technical Diagnostics'!A1","Open Technical"))</f>
        <v>Open Technical</v>
      </c>
      <c r="BD8" s="41"/>
    </row>
    <row r="9" spans="1:56" ht="30" customHeight="1" x14ac:dyDescent="0.25">
      <c r="A9" s="42" t="s">
        <v>2122</v>
      </c>
      <c r="B9" s="51" t="s">
        <v>209</v>
      </c>
      <c r="C9" s="52">
        <v>200</v>
      </c>
      <c r="D9" s="42" t="s">
        <v>204</v>
      </c>
      <c r="E9" s="42">
        <v>0.11</v>
      </c>
      <c r="F9" s="42" t="s">
        <v>284</v>
      </c>
      <c r="G9" s="42" t="s">
        <v>285</v>
      </c>
      <c r="H9" s="42">
        <v>415</v>
      </c>
      <c r="I9" s="56">
        <v>70</v>
      </c>
      <c r="J9" s="47" t="s">
        <v>51</v>
      </c>
      <c r="K9" s="42" t="s">
        <v>105</v>
      </c>
      <c r="L9" s="42" t="s">
        <v>555</v>
      </c>
      <c r="M9" s="42" t="s">
        <v>556</v>
      </c>
      <c r="N9" s="42">
        <v>53</v>
      </c>
      <c r="O9" s="42">
        <v>398</v>
      </c>
      <c r="P9" s="42" t="s">
        <v>2125</v>
      </c>
      <c r="Q9" s="42" t="b">
        <v>0</v>
      </c>
      <c r="R9" s="42"/>
      <c r="S9" s="42"/>
      <c r="T9" s="42">
        <v>0</v>
      </c>
      <c r="U9" s="42"/>
      <c r="V9" s="42">
        <v>0</v>
      </c>
      <c r="W9" s="42"/>
      <c r="X9" s="42">
        <v>0</v>
      </c>
      <c r="Y9" s="42"/>
      <c r="Z9" s="42">
        <v>0</v>
      </c>
      <c r="AA9" s="42"/>
      <c r="AB9" s="42">
        <v>0</v>
      </c>
      <c r="AC9" s="42"/>
      <c r="AD9" s="42">
        <v>0</v>
      </c>
      <c r="AE9" s="42">
        <v>0</v>
      </c>
      <c r="AF9" s="42"/>
      <c r="AG9" s="42" t="s">
        <v>2124</v>
      </c>
      <c r="AH9" s="42">
        <v>80</v>
      </c>
      <c r="AI9" s="42">
        <v>0</v>
      </c>
      <c r="AJ9" s="42">
        <v>0</v>
      </c>
      <c r="AK9" s="42">
        <v>0</v>
      </c>
      <c r="AL9" s="42">
        <v>0</v>
      </c>
      <c r="AM9" s="42">
        <v>0</v>
      </c>
      <c r="AN9" s="42">
        <v>1</v>
      </c>
      <c r="AO9" s="42">
        <v>24</v>
      </c>
      <c r="AP9" s="42">
        <v>4.1666666666666657E-2</v>
      </c>
      <c r="AQ9" s="42">
        <v>24.25</v>
      </c>
      <c r="AR9" s="42"/>
      <c r="AS9" s="42" t="b">
        <v>0</v>
      </c>
      <c r="AT9" s="42">
        <v>5.2818999999999998E-2</v>
      </c>
      <c r="AU9" s="42" t="b">
        <v>1</v>
      </c>
      <c r="AV9" s="42" t="b">
        <v>1</v>
      </c>
      <c r="AW9" s="42" t="s">
        <v>1860</v>
      </c>
      <c r="AX9" s="47">
        <f>IFERROR(VLOOKUP(B9,'Technical Diagnostics'!$A:$E,5,FALSE),"")</f>
        <v>70</v>
      </c>
      <c r="AY9" s="52">
        <v>100</v>
      </c>
      <c r="AZ9" s="47">
        <v>77.5</v>
      </c>
      <c r="BA9" s="42" t="str">
        <f>IFERROR(HYPERLINK("#'Technical Diagnostics'!A"&amp;MATCH(B9,'Technical Diagnostics'!A:A,0),"Open Technical"),HYPERLINK("#'Technical Diagnostics'!A1","Open Technical"))</f>
        <v>Open Technical</v>
      </c>
      <c r="BB9" s="42"/>
      <c r="BC9" t="str">
        <f>IFERROR(HYPERLINK("#'Technical Diagnostics'!A"&amp;MATCH(B9,'Technical Diagnostics'!A:A,0),"Open Technical"),HYPERLINK("#'Technical Diagnostics'!A1","Open Technical"))</f>
        <v>Open Technical</v>
      </c>
    </row>
    <row r="10" spans="1:56" ht="30" customHeight="1" x14ac:dyDescent="0.25">
      <c r="A10" s="33" t="s">
        <v>2122</v>
      </c>
      <c r="B10" s="50" t="s">
        <v>210</v>
      </c>
      <c r="C10" s="52">
        <v>200</v>
      </c>
      <c r="D10" s="33" t="s">
        <v>204</v>
      </c>
      <c r="E10" s="33">
        <v>8.3000000000000004E-2</v>
      </c>
      <c r="F10" s="33" t="s">
        <v>290</v>
      </c>
      <c r="G10" s="33" t="s">
        <v>291</v>
      </c>
      <c r="H10" s="33">
        <v>326</v>
      </c>
      <c r="I10" s="55">
        <v>70</v>
      </c>
      <c r="J10" s="47" t="s">
        <v>51</v>
      </c>
      <c r="K10" s="33" t="s">
        <v>105</v>
      </c>
      <c r="L10" s="33" t="s">
        <v>555</v>
      </c>
      <c r="M10" s="33" t="s">
        <v>556</v>
      </c>
      <c r="N10" s="33">
        <v>44</v>
      </c>
      <c r="O10" s="33">
        <v>432</v>
      </c>
      <c r="P10" s="33" t="s">
        <v>2125</v>
      </c>
      <c r="Q10" s="33" t="b">
        <v>0</v>
      </c>
      <c r="R10" s="33"/>
      <c r="S10" s="33"/>
      <c r="T10" s="33">
        <v>0</v>
      </c>
      <c r="U10" s="33"/>
      <c r="V10" s="33">
        <v>0</v>
      </c>
      <c r="W10" s="33"/>
      <c r="X10" s="33">
        <v>0</v>
      </c>
      <c r="Y10" s="33"/>
      <c r="Z10" s="33">
        <v>0</v>
      </c>
      <c r="AA10" s="33"/>
      <c r="AB10" s="33">
        <v>0</v>
      </c>
      <c r="AC10" s="33"/>
      <c r="AD10" s="33">
        <v>0</v>
      </c>
      <c r="AE10" s="33">
        <v>0</v>
      </c>
      <c r="AF10" s="33"/>
      <c r="AG10" s="33" t="s">
        <v>2124</v>
      </c>
      <c r="AH10" s="33">
        <v>40</v>
      </c>
      <c r="AI10" s="33">
        <v>0</v>
      </c>
      <c r="AJ10" s="33">
        <v>0</v>
      </c>
      <c r="AK10" s="33">
        <v>0</v>
      </c>
      <c r="AL10" s="33">
        <v>0</v>
      </c>
      <c r="AM10" s="33">
        <v>0</v>
      </c>
      <c r="AN10" s="33">
        <v>1</v>
      </c>
      <c r="AO10" s="33">
        <v>30</v>
      </c>
      <c r="AP10" s="33">
        <v>3.3333333333333333E-2</v>
      </c>
      <c r="AQ10" s="33">
        <v>4.5999999999999996</v>
      </c>
      <c r="AR10" s="33"/>
      <c r="AS10" s="33" t="b">
        <v>0</v>
      </c>
      <c r="AT10" s="33">
        <v>5.2818999999999998E-2</v>
      </c>
      <c r="AU10" s="33" t="b">
        <v>1</v>
      </c>
      <c r="AV10" s="33" t="b">
        <v>1</v>
      </c>
      <c r="AW10" s="33" t="s">
        <v>1860</v>
      </c>
      <c r="AX10" s="47">
        <f>IFERROR(VLOOKUP(B10,'Technical Diagnostics'!$A:$E,5,FALSE),"")</f>
        <v>70</v>
      </c>
      <c r="AY10" s="52">
        <v>100</v>
      </c>
      <c r="AZ10" s="47">
        <v>77.5</v>
      </c>
      <c r="BA10" s="33" t="str">
        <f>IFERROR(HYPERLINK("#'Technical Diagnostics'!A"&amp;MATCH(B10,'Technical Diagnostics'!A:A,0),"Open Technical"),HYPERLINK("#'Technical Diagnostics'!A1","Open Technical"))</f>
        <v>Open Technical</v>
      </c>
      <c r="BB10" s="33"/>
      <c r="BC10" s="41" t="str">
        <f>IFERROR(HYPERLINK("#'Technical Diagnostics'!A"&amp;MATCH(B10,'Technical Diagnostics'!A:A,0),"Open Technical"),HYPERLINK("#'Technical Diagnostics'!A1","Open Technical"))</f>
        <v>Open Technical</v>
      </c>
      <c r="BD10" s="41"/>
    </row>
    <row r="11" spans="1:56" ht="30" customHeight="1" x14ac:dyDescent="0.25">
      <c r="A11" s="42" t="s">
        <v>2122</v>
      </c>
      <c r="B11" s="51" t="s">
        <v>157</v>
      </c>
      <c r="C11" s="52">
        <v>200</v>
      </c>
      <c r="D11" s="42" t="s">
        <v>204</v>
      </c>
      <c r="E11" s="42">
        <v>0.21</v>
      </c>
      <c r="F11" s="42" t="s">
        <v>295</v>
      </c>
      <c r="G11" s="42"/>
      <c r="H11" s="42">
        <v>31</v>
      </c>
      <c r="I11" s="56">
        <v>50</v>
      </c>
      <c r="J11" s="47" t="s">
        <v>51</v>
      </c>
      <c r="K11" s="42" t="s">
        <v>105</v>
      </c>
      <c r="L11" s="42" t="s">
        <v>555</v>
      </c>
      <c r="M11" s="42" t="s">
        <v>556</v>
      </c>
      <c r="N11" s="42">
        <v>55</v>
      </c>
      <c r="O11" s="42">
        <v>0</v>
      </c>
      <c r="P11" s="42" t="s">
        <v>2125</v>
      </c>
      <c r="Q11" s="42" t="b">
        <v>0</v>
      </c>
      <c r="R11" s="42"/>
      <c r="S11" s="42"/>
      <c r="T11" s="42">
        <v>0</v>
      </c>
      <c r="U11" s="42"/>
      <c r="V11" s="42">
        <v>0</v>
      </c>
      <c r="W11" s="42"/>
      <c r="X11" s="42">
        <v>0</v>
      </c>
      <c r="Y11" s="42"/>
      <c r="Z11" s="42">
        <v>0</v>
      </c>
      <c r="AA11" s="42"/>
      <c r="AB11" s="42">
        <v>0</v>
      </c>
      <c r="AC11" s="42"/>
      <c r="AD11" s="42">
        <v>0</v>
      </c>
      <c r="AE11" s="42">
        <v>0</v>
      </c>
      <c r="AF11" s="42"/>
      <c r="AG11" s="42" t="s">
        <v>2124</v>
      </c>
      <c r="AH11" s="42">
        <v>30</v>
      </c>
      <c r="AI11" s="42">
        <v>0</v>
      </c>
      <c r="AJ11" s="42">
        <v>0</v>
      </c>
      <c r="AK11" s="42">
        <v>0</v>
      </c>
      <c r="AL11" s="42">
        <v>0</v>
      </c>
      <c r="AM11" s="42">
        <v>0</v>
      </c>
      <c r="AN11" s="42">
        <v>0</v>
      </c>
      <c r="AO11" s="42">
        <v>0</v>
      </c>
      <c r="AP11" s="42">
        <v>0</v>
      </c>
      <c r="AQ11" s="42">
        <v>0</v>
      </c>
      <c r="AR11" s="42"/>
      <c r="AS11" s="42" t="b">
        <v>1</v>
      </c>
      <c r="AT11" s="42">
        <v>1.1213000000000001E-2</v>
      </c>
      <c r="AU11" s="42" t="b">
        <v>1</v>
      </c>
      <c r="AV11" s="42" t="b">
        <v>1</v>
      </c>
      <c r="AW11" s="42" t="s">
        <v>1860</v>
      </c>
      <c r="AX11" s="34">
        <f>IFERROR(VLOOKUP(B11,'Technical Diagnostics'!$A:$E,5,FALSE),"")</f>
        <v>50</v>
      </c>
      <c r="AY11" s="34">
        <v>27.58</v>
      </c>
      <c r="AZ11" s="34">
        <v>44.4</v>
      </c>
      <c r="BA11" s="42" t="str">
        <f>IFERROR(HYPERLINK("#'Technical Diagnostics'!A"&amp;MATCH(B11,'Technical Diagnostics'!A:A,0),"Open Technical"),HYPERLINK("#'Technical Diagnostics'!A1","Open Technical"))</f>
        <v>Open Technical</v>
      </c>
      <c r="BB11" s="42"/>
      <c r="BC11" t="str">
        <f>IFERROR(HYPERLINK("#'Technical Diagnostics'!A"&amp;MATCH(B11,'Technical Diagnostics'!A:A,0),"Open Technical"),HYPERLINK("#'Technical Diagnostics'!A1","Open Technical"))</f>
        <v>Open Technical</v>
      </c>
    </row>
    <row r="12" spans="1:56" ht="30" customHeight="1" x14ac:dyDescent="0.25">
      <c r="A12" s="33" t="s">
        <v>2122</v>
      </c>
      <c r="B12" s="50" t="s">
        <v>212</v>
      </c>
      <c r="C12" s="52">
        <v>200</v>
      </c>
      <c r="D12" s="33" t="s">
        <v>204</v>
      </c>
      <c r="E12" s="33">
        <v>0.08</v>
      </c>
      <c r="F12" s="33" t="s">
        <v>298</v>
      </c>
      <c r="G12" s="33" t="s">
        <v>299</v>
      </c>
      <c r="H12" s="33">
        <v>195</v>
      </c>
      <c r="I12" s="55">
        <v>70</v>
      </c>
      <c r="J12" s="47" t="s">
        <v>51</v>
      </c>
      <c r="K12" s="33" t="s">
        <v>105</v>
      </c>
      <c r="L12" s="33" t="s">
        <v>555</v>
      </c>
      <c r="M12" s="33" t="s">
        <v>556</v>
      </c>
      <c r="N12" s="33">
        <v>42</v>
      </c>
      <c r="O12" s="33">
        <v>316</v>
      </c>
      <c r="P12" s="33" t="s">
        <v>2125</v>
      </c>
      <c r="Q12" s="33" t="b">
        <v>0</v>
      </c>
      <c r="R12" s="33"/>
      <c r="S12" s="33"/>
      <c r="T12" s="33">
        <v>0</v>
      </c>
      <c r="U12" s="33"/>
      <c r="V12" s="33">
        <v>0</v>
      </c>
      <c r="W12" s="33"/>
      <c r="X12" s="33">
        <v>0</v>
      </c>
      <c r="Y12" s="33"/>
      <c r="Z12" s="33">
        <v>0</v>
      </c>
      <c r="AA12" s="33"/>
      <c r="AB12" s="33">
        <v>0</v>
      </c>
      <c r="AC12" s="33"/>
      <c r="AD12" s="33">
        <v>0</v>
      </c>
      <c r="AE12" s="33">
        <v>0</v>
      </c>
      <c r="AF12" s="33"/>
      <c r="AG12" s="33" t="s">
        <v>2124</v>
      </c>
      <c r="AH12" s="33">
        <v>30</v>
      </c>
      <c r="AI12" s="33">
        <v>0</v>
      </c>
      <c r="AJ12" s="33">
        <v>0</v>
      </c>
      <c r="AK12" s="33">
        <v>0</v>
      </c>
      <c r="AL12" s="33">
        <v>0</v>
      </c>
      <c r="AM12" s="33">
        <v>0</v>
      </c>
      <c r="AN12" s="33">
        <v>0</v>
      </c>
      <c r="AO12" s="33">
        <v>0</v>
      </c>
      <c r="AP12" s="33">
        <v>0</v>
      </c>
      <c r="AQ12" s="33">
        <v>0</v>
      </c>
      <c r="AR12" s="33"/>
      <c r="AS12" s="33" t="b">
        <v>1</v>
      </c>
      <c r="AT12" s="33">
        <v>1.1213000000000001E-2</v>
      </c>
      <c r="AU12" s="33" t="b">
        <v>1</v>
      </c>
      <c r="AV12" s="33" t="b">
        <v>1</v>
      </c>
      <c r="AW12" s="33" t="s">
        <v>1860</v>
      </c>
      <c r="AX12" s="47">
        <f>IFERROR(VLOOKUP(B12,'Technical Diagnostics'!$A:$E,5,FALSE),"")</f>
        <v>70</v>
      </c>
      <c r="AY12" s="52">
        <v>91.25</v>
      </c>
      <c r="AZ12" s="47">
        <v>75.31</v>
      </c>
      <c r="BA12" s="33" t="str">
        <f>IFERROR(HYPERLINK("#'Technical Diagnostics'!A"&amp;MATCH(B12,'Technical Diagnostics'!A:A,0),"Open Technical"),HYPERLINK("#'Technical Diagnostics'!A1","Open Technical"))</f>
        <v>Open Technical</v>
      </c>
      <c r="BB12" s="33"/>
      <c r="BC12" s="41" t="str">
        <f>IFERROR(HYPERLINK("#'Technical Diagnostics'!A"&amp;MATCH(B12,'Technical Diagnostics'!A:A,0),"Open Technical"),HYPERLINK("#'Technical Diagnostics'!A1","Open Technical"))</f>
        <v>Open Technical</v>
      </c>
      <c r="BD12" s="41"/>
    </row>
    <row r="13" spans="1:56" ht="30" customHeight="1" x14ac:dyDescent="0.25">
      <c r="A13" s="42" t="s">
        <v>2122</v>
      </c>
      <c r="B13" s="51" t="s">
        <v>211</v>
      </c>
      <c r="C13" s="52">
        <v>200</v>
      </c>
      <c r="D13" s="42" t="s">
        <v>204</v>
      </c>
      <c r="E13" s="42">
        <v>0.10100000000000001</v>
      </c>
      <c r="F13" s="42" t="s">
        <v>303</v>
      </c>
      <c r="G13" s="42" t="s">
        <v>304</v>
      </c>
      <c r="H13" s="42">
        <v>97</v>
      </c>
      <c r="I13" s="56">
        <v>70</v>
      </c>
      <c r="J13" s="47" t="s">
        <v>51</v>
      </c>
      <c r="K13" s="42" t="s">
        <v>105</v>
      </c>
      <c r="L13" s="42" t="s">
        <v>555</v>
      </c>
      <c r="M13" s="42" t="s">
        <v>556</v>
      </c>
      <c r="N13" s="42">
        <v>54</v>
      </c>
      <c r="O13" s="42">
        <v>379</v>
      </c>
      <c r="P13" s="42" t="s">
        <v>2125</v>
      </c>
      <c r="Q13" s="42" t="b">
        <v>0</v>
      </c>
      <c r="R13" s="42"/>
      <c r="S13" s="42"/>
      <c r="T13" s="42">
        <v>0</v>
      </c>
      <c r="U13" s="42"/>
      <c r="V13" s="42">
        <v>0</v>
      </c>
      <c r="W13" s="42"/>
      <c r="X13" s="42">
        <v>0</v>
      </c>
      <c r="Y13" s="42"/>
      <c r="Z13" s="42">
        <v>0</v>
      </c>
      <c r="AA13" s="42"/>
      <c r="AB13" s="42">
        <v>0</v>
      </c>
      <c r="AC13" s="42"/>
      <c r="AD13" s="42">
        <v>0</v>
      </c>
      <c r="AE13" s="42">
        <v>0</v>
      </c>
      <c r="AF13" s="42"/>
      <c r="AG13" s="42" t="s">
        <v>2124</v>
      </c>
      <c r="AH13" s="42">
        <v>30</v>
      </c>
      <c r="AI13" s="42">
        <v>0</v>
      </c>
      <c r="AJ13" s="42">
        <v>0</v>
      </c>
      <c r="AK13" s="42">
        <v>0</v>
      </c>
      <c r="AL13" s="42">
        <v>0</v>
      </c>
      <c r="AM13" s="42">
        <v>0</v>
      </c>
      <c r="AN13" s="42">
        <v>0</v>
      </c>
      <c r="AO13" s="42">
        <v>0</v>
      </c>
      <c r="AP13" s="42">
        <v>0</v>
      </c>
      <c r="AQ13" s="42">
        <v>0</v>
      </c>
      <c r="AR13" s="42"/>
      <c r="AS13" s="42" t="b">
        <v>1</v>
      </c>
      <c r="AT13" s="42">
        <v>1.1213000000000001E-2</v>
      </c>
      <c r="AU13" s="42" t="b">
        <v>1</v>
      </c>
      <c r="AV13" s="42" t="b">
        <v>1</v>
      </c>
      <c r="AW13" s="42" t="s">
        <v>1860</v>
      </c>
      <c r="AX13" s="47">
        <f>IFERROR(VLOOKUP(B13,'Technical Diagnostics'!$A:$E,5,FALSE),"")</f>
        <v>70</v>
      </c>
      <c r="AY13" s="34">
        <v>53.08</v>
      </c>
      <c r="AZ13" s="34">
        <v>65.77</v>
      </c>
      <c r="BA13" s="42" t="str">
        <f>IFERROR(HYPERLINK("#'Technical Diagnostics'!A"&amp;MATCH(B13,'Technical Diagnostics'!A:A,0),"Open Technical"),HYPERLINK("#'Technical Diagnostics'!A1","Open Technical"))</f>
        <v>Open Technical</v>
      </c>
      <c r="BB13" s="42"/>
      <c r="BC13" t="str">
        <f>IFERROR(HYPERLINK("#'Technical Diagnostics'!A"&amp;MATCH(B13,'Technical Diagnostics'!A:A,0),"Open Technical"),HYPERLINK("#'Technical Diagnostics'!A1","Open Technical"))</f>
        <v>Open Technical</v>
      </c>
    </row>
    <row r="14" spans="1:56" ht="30" customHeight="1" x14ac:dyDescent="0.25">
      <c r="A14" s="33" t="s">
        <v>2122</v>
      </c>
      <c r="B14" s="50" t="s">
        <v>213</v>
      </c>
      <c r="C14" s="52">
        <v>200</v>
      </c>
      <c r="D14" s="33" t="s">
        <v>204</v>
      </c>
      <c r="E14" s="33">
        <v>0.11899999999999999</v>
      </c>
      <c r="F14" s="33" t="s">
        <v>307</v>
      </c>
      <c r="G14" s="33" t="s">
        <v>308</v>
      </c>
      <c r="H14" s="33">
        <v>111</v>
      </c>
      <c r="I14" s="55">
        <v>70</v>
      </c>
      <c r="J14" s="47" t="s">
        <v>51</v>
      </c>
      <c r="K14" s="33" t="s">
        <v>105</v>
      </c>
      <c r="L14" s="33" t="s">
        <v>555</v>
      </c>
      <c r="M14" s="33" t="s">
        <v>556</v>
      </c>
      <c r="N14" s="33">
        <v>53</v>
      </c>
      <c r="O14" s="33">
        <v>340</v>
      </c>
      <c r="P14" s="33" t="s">
        <v>2126</v>
      </c>
      <c r="Q14" s="33" t="b">
        <v>0</v>
      </c>
      <c r="R14" s="33"/>
      <c r="S14" s="33"/>
      <c r="T14" s="33">
        <v>0</v>
      </c>
      <c r="U14" s="33"/>
      <c r="V14" s="33">
        <v>0</v>
      </c>
      <c r="W14" s="33"/>
      <c r="X14" s="33">
        <v>0</v>
      </c>
      <c r="Y14" s="33"/>
      <c r="Z14" s="33">
        <v>0</v>
      </c>
      <c r="AA14" s="33"/>
      <c r="AB14" s="33">
        <v>0</v>
      </c>
      <c r="AC14" s="33"/>
      <c r="AD14" s="33">
        <v>0</v>
      </c>
      <c r="AE14" s="33">
        <v>0</v>
      </c>
      <c r="AF14" s="33"/>
      <c r="AG14" s="33" t="s">
        <v>2124</v>
      </c>
      <c r="AH14" s="33">
        <v>30</v>
      </c>
      <c r="AI14" s="33">
        <v>0</v>
      </c>
      <c r="AJ14" s="33">
        <v>0</v>
      </c>
      <c r="AK14" s="33">
        <v>0</v>
      </c>
      <c r="AL14" s="33">
        <v>0</v>
      </c>
      <c r="AM14" s="33">
        <v>0</v>
      </c>
      <c r="AN14" s="33">
        <v>0</v>
      </c>
      <c r="AO14" s="33">
        <v>0</v>
      </c>
      <c r="AP14" s="33">
        <v>0</v>
      </c>
      <c r="AQ14" s="33">
        <v>0</v>
      </c>
      <c r="AR14" s="33"/>
      <c r="AS14" s="33" t="b">
        <v>1</v>
      </c>
      <c r="AT14" s="33">
        <v>1.1213000000000001E-2</v>
      </c>
      <c r="AU14" s="33" t="b">
        <v>1</v>
      </c>
      <c r="AV14" s="33" t="b">
        <v>1</v>
      </c>
      <c r="AW14" s="33" t="s">
        <v>1860</v>
      </c>
      <c r="AX14" s="47">
        <f>IFERROR(VLOOKUP(B14,'Technical Diagnostics'!$A:$E,5,FALSE),"")</f>
        <v>70</v>
      </c>
      <c r="AY14" s="47">
        <v>84.25</v>
      </c>
      <c r="AZ14" s="47">
        <v>73.56</v>
      </c>
      <c r="BA14" s="33" t="str">
        <f>IFERROR(HYPERLINK("#'Technical Diagnostics'!A"&amp;MATCH(B14,'Technical Diagnostics'!A:A,0),"Open Technical"),HYPERLINK("#'Technical Diagnostics'!A1","Open Technical"))</f>
        <v>Open Technical</v>
      </c>
      <c r="BB14" s="33"/>
      <c r="BC14" s="41" t="str">
        <f>IFERROR(HYPERLINK("#'Technical Diagnostics'!A"&amp;MATCH(B14,'Technical Diagnostics'!A:A,0),"Open Technical"),HYPERLINK("#'Technical Diagnostics'!A1","Open Technical"))</f>
        <v>Open Technical</v>
      </c>
      <c r="BD14" s="41"/>
    </row>
    <row r="15" spans="1:56" ht="30" customHeight="1" x14ac:dyDescent="0.25">
      <c r="A15" s="42" t="s">
        <v>2122</v>
      </c>
      <c r="B15" s="51" t="s">
        <v>214</v>
      </c>
      <c r="C15" s="52">
        <v>200</v>
      </c>
      <c r="D15" s="42" t="s">
        <v>204</v>
      </c>
      <c r="E15" s="42">
        <v>0.1</v>
      </c>
      <c r="F15" s="42" t="s">
        <v>311</v>
      </c>
      <c r="G15" s="42" t="s">
        <v>312</v>
      </c>
      <c r="H15" s="42">
        <v>46</v>
      </c>
      <c r="I15" s="56">
        <v>70</v>
      </c>
      <c r="J15" s="47" t="s">
        <v>51</v>
      </c>
      <c r="K15" s="42" t="s">
        <v>105</v>
      </c>
      <c r="L15" s="42" t="s">
        <v>555</v>
      </c>
      <c r="M15" s="42" t="s">
        <v>556</v>
      </c>
      <c r="N15" s="42">
        <v>41</v>
      </c>
      <c r="O15" s="42">
        <v>88</v>
      </c>
      <c r="P15" s="42" t="s">
        <v>2125</v>
      </c>
      <c r="Q15" s="42" t="b">
        <v>0</v>
      </c>
      <c r="R15" s="42"/>
      <c r="S15" s="42"/>
      <c r="T15" s="42">
        <v>0</v>
      </c>
      <c r="U15" s="42"/>
      <c r="V15" s="42">
        <v>0</v>
      </c>
      <c r="W15" s="42"/>
      <c r="X15" s="42">
        <v>0</v>
      </c>
      <c r="Y15" s="42"/>
      <c r="Z15" s="42">
        <v>0</v>
      </c>
      <c r="AA15" s="42"/>
      <c r="AB15" s="42">
        <v>0</v>
      </c>
      <c r="AC15" s="42"/>
      <c r="AD15" s="42">
        <v>0</v>
      </c>
      <c r="AE15" s="42">
        <v>0</v>
      </c>
      <c r="AF15" s="42"/>
      <c r="AG15" s="42" t="s">
        <v>2124</v>
      </c>
      <c r="AH15" s="42">
        <v>30</v>
      </c>
      <c r="AI15" s="42">
        <v>0</v>
      </c>
      <c r="AJ15" s="42">
        <v>0</v>
      </c>
      <c r="AK15" s="42">
        <v>0</v>
      </c>
      <c r="AL15" s="42">
        <v>0</v>
      </c>
      <c r="AM15" s="42">
        <v>0</v>
      </c>
      <c r="AN15" s="42">
        <v>0</v>
      </c>
      <c r="AO15" s="42">
        <v>0</v>
      </c>
      <c r="AP15" s="42">
        <v>0</v>
      </c>
      <c r="AQ15" s="42">
        <v>0</v>
      </c>
      <c r="AR15" s="42"/>
      <c r="AS15" s="42" t="b">
        <v>0</v>
      </c>
      <c r="AT15" s="42">
        <v>6.7784999999999998E-2</v>
      </c>
      <c r="AU15" s="42" t="b">
        <v>1</v>
      </c>
      <c r="AV15" s="42" t="b">
        <v>1</v>
      </c>
      <c r="AW15" s="42" t="s">
        <v>1860</v>
      </c>
      <c r="AX15" s="47">
        <f>IFERROR(VLOOKUP(B15,'Technical Diagnostics'!$A:$E,5,FALSE),"")</f>
        <v>70</v>
      </c>
      <c r="AY15" s="47">
        <v>78.83</v>
      </c>
      <c r="AZ15" s="47">
        <v>72.209999999999994</v>
      </c>
      <c r="BA15" s="42" t="str">
        <f>IFERROR(HYPERLINK("#'Technical Diagnostics'!A"&amp;MATCH(B15,'Technical Diagnostics'!A:A,0),"Open Technical"),HYPERLINK("#'Technical Diagnostics'!A1","Open Technical"))</f>
        <v>Open Technical</v>
      </c>
      <c r="BB15" s="42"/>
      <c r="BC15" t="str">
        <f>IFERROR(HYPERLINK("#'Technical Diagnostics'!A"&amp;MATCH(B15,'Technical Diagnostics'!A:A,0),"Open Technical"),HYPERLINK("#'Technical Diagnostics'!A1","Open Technical"))</f>
        <v>Open Technical</v>
      </c>
    </row>
    <row r="16" spans="1:56" ht="30" customHeight="1" x14ac:dyDescent="0.25">
      <c r="A16" s="33" t="s">
        <v>2122</v>
      </c>
      <c r="B16" s="50" t="s">
        <v>215</v>
      </c>
      <c r="C16" s="52">
        <v>200</v>
      </c>
      <c r="D16" s="33" t="s">
        <v>204</v>
      </c>
      <c r="E16" s="33">
        <v>6.7000000000000004E-2</v>
      </c>
      <c r="F16" s="33" t="s">
        <v>315</v>
      </c>
      <c r="G16" s="33" t="s">
        <v>316</v>
      </c>
      <c r="H16" s="33">
        <v>36</v>
      </c>
      <c r="I16" s="55">
        <v>70</v>
      </c>
      <c r="J16" s="47" t="s">
        <v>51</v>
      </c>
      <c r="K16" s="33" t="s">
        <v>105</v>
      </c>
      <c r="L16" s="33" t="s">
        <v>555</v>
      </c>
      <c r="M16" s="33" t="s">
        <v>556</v>
      </c>
      <c r="N16" s="33">
        <v>42</v>
      </c>
      <c r="O16" s="33">
        <v>37</v>
      </c>
      <c r="P16" s="33" t="s">
        <v>2125</v>
      </c>
      <c r="Q16" s="33" t="b">
        <v>0</v>
      </c>
      <c r="R16" s="33"/>
      <c r="S16" s="33"/>
      <c r="T16" s="33">
        <v>0</v>
      </c>
      <c r="U16" s="33"/>
      <c r="V16" s="33">
        <v>0</v>
      </c>
      <c r="W16" s="33"/>
      <c r="X16" s="33">
        <v>0</v>
      </c>
      <c r="Y16" s="33"/>
      <c r="Z16" s="33">
        <v>0</v>
      </c>
      <c r="AA16" s="33"/>
      <c r="AB16" s="33">
        <v>0</v>
      </c>
      <c r="AC16" s="33"/>
      <c r="AD16" s="33">
        <v>0</v>
      </c>
      <c r="AE16" s="33">
        <v>0</v>
      </c>
      <c r="AF16" s="33"/>
      <c r="AG16" s="33" t="s">
        <v>2124</v>
      </c>
      <c r="AH16" s="33">
        <v>30</v>
      </c>
      <c r="AI16" s="33">
        <v>0</v>
      </c>
      <c r="AJ16" s="33">
        <v>0</v>
      </c>
      <c r="AK16" s="33">
        <v>0</v>
      </c>
      <c r="AL16" s="33">
        <v>0</v>
      </c>
      <c r="AM16" s="33">
        <v>0</v>
      </c>
      <c r="AN16" s="33">
        <v>0</v>
      </c>
      <c r="AO16" s="33">
        <v>1</v>
      </c>
      <c r="AP16" s="33">
        <v>0</v>
      </c>
      <c r="AQ16" s="33">
        <v>11</v>
      </c>
      <c r="AR16" s="33"/>
      <c r="AS16" s="33" t="b">
        <v>0</v>
      </c>
      <c r="AT16" s="33">
        <v>5.2818999999999998E-2</v>
      </c>
      <c r="AU16" s="33" t="b">
        <v>1</v>
      </c>
      <c r="AV16" s="33" t="b">
        <v>1</v>
      </c>
      <c r="AW16" s="33" t="s">
        <v>1860</v>
      </c>
      <c r="AX16" s="47">
        <f>IFERROR(VLOOKUP(B16,'Technical Diagnostics'!$A:$E,5,FALSE),"")</f>
        <v>70</v>
      </c>
      <c r="AY16" s="47">
        <v>78</v>
      </c>
      <c r="AZ16" s="47">
        <v>72</v>
      </c>
      <c r="BA16" s="33" t="str">
        <f>IFERROR(HYPERLINK("#'Technical Diagnostics'!A"&amp;MATCH(B16,'Technical Diagnostics'!A:A,0),"Open Technical"),HYPERLINK("#'Technical Diagnostics'!A1","Open Technical"))</f>
        <v>Open Technical</v>
      </c>
      <c r="BB16" s="33"/>
      <c r="BC16" s="41" t="str">
        <f>IFERROR(HYPERLINK("#'Technical Diagnostics'!A"&amp;MATCH(B16,'Technical Diagnostics'!A:A,0),"Open Technical"),HYPERLINK("#'Technical Diagnostics'!A1","Open Technical"))</f>
        <v>Open Technical</v>
      </c>
      <c r="BD16" s="41"/>
    </row>
    <row r="17" spans="1:56" ht="30" customHeight="1" x14ac:dyDescent="0.25">
      <c r="A17" s="42" t="s">
        <v>2122</v>
      </c>
      <c r="B17" s="51" t="s">
        <v>217</v>
      </c>
      <c r="C17" s="52">
        <v>200</v>
      </c>
      <c r="D17" s="42" t="s">
        <v>204</v>
      </c>
      <c r="E17" s="42">
        <v>0.13300000000000001</v>
      </c>
      <c r="F17" s="42" t="s">
        <v>319</v>
      </c>
      <c r="G17" s="42" t="s">
        <v>320</v>
      </c>
      <c r="H17" s="42">
        <v>694</v>
      </c>
      <c r="I17" s="56">
        <v>70</v>
      </c>
      <c r="J17" s="47" t="s">
        <v>51</v>
      </c>
      <c r="K17" s="42" t="s">
        <v>105</v>
      </c>
      <c r="L17" s="42" t="s">
        <v>555</v>
      </c>
      <c r="M17" s="42" t="s">
        <v>556</v>
      </c>
      <c r="N17" s="42">
        <v>43</v>
      </c>
      <c r="O17" s="42">
        <v>362</v>
      </c>
      <c r="P17" s="42" t="s">
        <v>2125</v>
      </c>
      <c r="Q17" s="42" t="b">
        <v>0</v>
      </c>
      <c r="R17" s="42"/>
      <c r="S17" s="42"/>
      <c r="T17" s="42">
        <v>0</v>
      </c>
      <c r="U17" s="42"/>
      <c r="V17" s="42">
        <v>0</v>
      </c>
      <c r="W17" s="42"/>
      <c r="X17" s="42">
        <v>0</v>
      </c>
      <c r="Y17" s="42"/>
      <c r="Z17" s="42">
        <v>0</v>
      </c>
      <c r="AA17" s="42"/>
      <c r="AB17" s="42">
        <v>0</v>
      </c>
      <c r="AC17" s="42"/>
      <c r="AD17" s="42">
        <v>0</v>
      </c>
      <c r="AE17" s="42">
        <v>0</v>
      </c>
      <c r="AF17" s="42"/>
      <c r="AG17" s="42" t="s">
        <v>2124</v>
      </c>
      <c r="AH17" s="42">
        <v>90</v>
      </c>
      <c r="AI17" s="42">
        <v>0</v>
      </c>
      <c r="AJ17" s="42">
        <v>0</v>
      </c>
      <c r="AK17" s="42">
        <v>0</v>
      </c>
      <c r="AL17" s="42">
        <v>0</v>
      </c>
      <c r="AM17" s="42">
        <v>0</v>
      </c>
      <c r="AN17" s="42">
        <v>0</v>
      </c>
      <c r="AO17" s="42">
        <v>5</v>
      </c>
      <c r="AP17" s="42">
        <v>0</v>
      </c>
      <c r="AQ17" s="42">
        <v>9.1999999999999993</v>
      </c>
      <c r="AR17" s="42"/>
      <c r="AS17" s="42" t="b">
        <v>0</v>
      </c>
      <c r="AT17" s="42">
        <v>6.7784999999999998E-2</v>
      </c>
      <c r="AU17" s="42" t="b">
        <v>1</v>
      </c>
      <c r="AV17" s="42" t="b">
        <v>1</v>
      </c>
      <c r="AW17" s="42" t="s">
        <v>1860</v>
      </c>
      <c r="AX17" s="47">
        <f>IFERROR(VLOOKUP(B17,'Technical Diagnostics'!$A:$E,5,FALSE),"")</f>
        <v>70</v>
      </c>
      <c r="AY17" s="52">
        <v>100</v>
      </c>
      <c r="AZ17" s="47">
        <v>77.5</v>
      </c>
      <c r="BA17" s="42" t="str">
        <f>IFERROR(HYPERLINK("#'Technical Diagnostics'!A"&amp;MATCH(B17,'Technical Diagnostics'!A:A,0),"Open Technical"),HYPERLINK("#'Technical Diagnostics'!A1","Open Technical"))</f>
        <v>Open Technical</v>
      </c>
      <c r="BB17" s="42"/>
      <c r="BC17" t="str">
        <f>IFERROR(HYPERLINK("#'Technical Diagnostics'!A"&amp;MATCH(B17,'Technical Diagnostics'!A:A,0),"Open Technical"),HYPERLINK("#'Technical Diagnostics'!A1","Open Technical"))</f>
        <v>Open Technical</v>
      </c>
    </row>
    <row r="18" spans="1:56" ht="30" customHeight="1" x14ac:dyDescent="0.25">
      <c r="A18" s="33" t="s">
        <v>2122</v>
      </c>
      <c r="B18" s="50" t="s">
        <v>219</v>
      </c>
      <c r="C18" s="52">
        <v>200</v>
      </c>
      <c r="D18" s="33" t="s">
        <v>204</v>
      </c>
      <c r="E18" s="33">
        <v>0.09</v>
      </c>
      <c r="F18" s="33" t="s">
        <v>325</v>
      </c>
      <c r="G18" s="33" t="s">
        <v>326</v>
      </c>
      <c r="H18" s="33">
        <v>193</v>
      </c>
      <c r="I18" s="55">
        <v>80</v>
      </c>
      <c r="J18" s="47" t="s">
        <v>51</v>
      </c>
      <c r="K18" s="33" t="s">
        <v>105</v>
      </c>
      <c r="L18" s="33" t="s">
        <v>555</v>
      </c>
      <c r="M18" s="33" t="s">
        <v>556</v>
      </c>
      <c r="N18" s="33">
        <v>42</v>
      </c>
      <c r="O18" s="33">
        <v>354</v>
      </c>
      <c r="P18" s="33" t="s">
        <v>2125</v>
      </c>
      <c r="Q18" s="33" t="b">
        <v>0</v>
      </c>
      <c r="R18" s="33"/>
      <c r="S18" s="33"/>
      <c r="T18" s="33">
        <v>0</v>
      </c>
      <c r="U18" s="33"/>
      <c r="V18" s="33">
        <v>0</v>
      </c>
      <c r="W18" s="33"/>
      <c r="X18" s="33">
        <v>0</v>
      </c>
      <c r="Y18" s="33"/>
      <c r="Z18" s="33">
        <v>0</v>
      </c>
      <c r="AA18" s="33"/>
      <c r="AB18" s="33">
        <v>0</v>
      </c>
      <c r="AC18" s="33"/>
      <c r="AD18" s="33">
        <v>0</v>
      </c>
      <c r="AE18" s="33">
        <v>0</v>
      </c>
      <c r="AF18" s="33"/>
      <c r="AG18" s="33" t="s">
        <v>2124</v>
      </c>
      <c r="AH18" s="33">
        <v>100</v>
      </c>
      <c r="AI18" s="33">
        <v>0</v>
      </c>
      <c r="AJ18" s="33">
        <v>0</v>
      </c>
      <c r="AK18" s="33">
        <v>0</v>
      </c>
      <c r="AL18" s="33">
        <v>0</v>
      </c>
      <c r="AM18" s="33">
        <v>0</v>
      </c>
      <c r="AN18" s="33">
        <v>0</v>
      </c>
      <c r="AO18" s="33">
        <v>29</v>
      </c>
      <c r="AP18" s="33">
        <v>0</v>
      </c>
      <c r="AQ18" s="33">
        <v>10.72413793103448</v>
      </c>
      <c r="AR18" s="33"/>
      <c r="AS18" s="33" t="b">
        <v>0</v>
      </c>
      <c r="AT18" s="33">
        <v>6.7784999999999998E-2</v>
      </c>
      <c r="AU18" s="33" t="b">
        <v>1</v>
      </c>
      <c r="AV18" s="33" t="b">
        <v>1</v>
      </c>
      <c r="AW18" s="33" t="s">
        <v>1860</v>
      </c>
      <c r="AX18" s="47">
        <f>IFERROR(VLOOKUP(B18,'Technical Diagnostics'!$A:$E,5,FALSE),"")</f>
        <v>80</v>
      </c>
      <c r="AY18" s="52">
        <v>91.08</v>
      </c>
      <c r="AZ18" s="47">
        <v>82.77</v>
      </c>
      <c r="BA18" s="33" t="str">
        <f>IFERROR(HYPERLINK("#'Technical Diagnostics'!A"&amp;MATCH(B18,'Technical Diagnostics'!A:A,0),"Open Technical"),HYPERLINK("#'Technical Diagnostics'!A1","Open Technical"))</f>
        <v>Open Technical</v>
      </c>
      <c r="BB18" s="33"/>
      <c r="BC18" s="41" t="str">
        <f>IFERROR(HYPERLINK("#'Technical Diagnostics'!A"&amp;MATCH(B18,'Technical Diagnostics'!A:A,0),"Open Technical"),HYPERLINK("#'Technical Diagnostics'!A1","Open Technical"))</f>
        <v>Open Technical</v>
      </c>
      <c r="BD18" s="41"/>
    </row>
    <row r="19" spans="1:56" ht="30" customHeight="1" x14ac:dyDescent="0.25">
      <c r="A19" s="42" t="s">
        <v>2122</v>
      </c>
      <c r="B19" s="51" t="s">
        <v>216</v>
      </c>
      <c r="C19" s="52">
        <v>200</v>
      </c>
      <c r="D19" s="42" t="s">
        <v>204</v>
      </c>
      <c r="E19" s="42">
        <v>0.112</v>
      </c>
      <c r="F19" s="42" t="s">
        <v>331</v>
      </c>
      <c r="G19" s="42" t="s">
        <v>332</v>
      </c>
      <c r="H19" s="42">
        <v>1418</v>
      </c>
      <c r="I19" s="56">
        <v>70</v>
      </c>
      <c r="J19" s="47" t="s">
        <v>51</v>
      </c>
      <c r="K19" s="42" t="s">
        <v>105</v>
      </c>
      <c r="L19" s="42" t="s">
        <v>555</v>
      </c>
      <c r="M19" s="42" t="s">
        <v>556</v>
      </c>
      <c r="N19" s="42">
        <v>59</v>
      </c>
      <c r="O19" s="42">
        <v>377</v>
      </c>
      <c r="P19" s="42" t="s">
        <v>2125</v>
      </c>
      <c r="Q19" s="42" t="b">
        <v>0</v>
      </c>
      <c r="R19" s="42"/>
      <c r="S19" s="42"/>
      <c r="T19" s="42">
        <v>0</v>
      </c>
      <c r="U19" s="42"/>
      <c r="V19" s="42">
        <v>0</v>
      </c>
      <c r="W19" s="42"/>
      <c r="X19" s="42">
        <v>0</v>
      </c>
      <c r="Y19" s="42"/>
      <c r="Z19" s="42">
        <v>0</v>
      </c>
      <c r="AA19" s="42"/>
      <c r="AB19" s="42">
        <v>0</v>
      </c>
      <c r="AC19" s="42"/>
      <c r="AD19" s="42">
        <v>0</v>
      </c>
      <c r="AE19" s="42">
        <v>0</v>
      </c>
      <c r="AF19" s="42"/>
      <c r="AG19" s="42" t="s">
        <v>2124</v>
      </c>
      <c r="AH19" s="42">
        <v>100</v>
      </c>
      <c r="AI19" s="42">
        <v>0</v>
      </c>
      <c r="AJ19" s="42">
        <v>0</v>
      </c>
      <c r="AK19" s="42">
        <v>0</v>
      </c>
      <c r="AL19" s="42">
        <v>0</v>
      </c>
      <c r="AM19" s="42">
        <v>0</v>
      </c>
      <c r="AN19" s="42">
        <v>0</v>
      </c>
      <c r="AO19" s="42">
        <v>7</v>
      </c>
      <c r="AP19" s="42">
        <v>0</v>
      </c>
      <c r="AQ19" s="42">
        <v>3.8571428571428572</v>
      </c>
      <c r="AR19" s="42"/>
      <c r="AS19" s="42" t="b">
        <v>1</v>
      </c>
      <c r="AT19" s="42">
        <v>1.1213000000000001E-2</v>
      </c>
      <c r="AU19" s="42" t="b">
        <v>1</v>
      </c>
      <c r="AV19" s="42" t="b">
        <v>1</v>
      </c>
      <c r="AW19" s="42" t="s">
        <v>1860</v>
      </c>
      <c r="AX19" s="47">
        <f>IFERROR(VLOOKUP(B19,'Technical Diagnostics'!$A:$E,5,FALSE),"")</f>
        <v>70</v>
      </c>
      <c r="AY19" s="52">
        <v>100</v>
      </c>
      <c r="AZ19" s="47">
        <v>77.5</v>
      </c>
      <c r="BA19" s="42" t="str">
        <f>IFERROR(HYPERLINK("#'Technical Diagnostics'!A"&amp;MATCH(B19,'Technical Diagnostics'!A:A,0),"Open Technical"),HYPERLINK("#'Technical Diagnostics'!A1","Open Technical"))</f>
        <v>Open Technical</v>
      </c>
      <c r="BB19" s="42"/>
      <c r="BC19" t="str">
        <f>IFERROR(HYPERLINK("#'Technical Diagnostics'!A"&amp;MATCH(B19,'Technical Diagnostics'!A:A,0),"Open Technical"),HYPERLINK("#'Technical Diagnostics'!A1","Open Technical"))</f>
        <v>Open Technical</v>
      </c>
    </row>
    <row r="20" spans="1:56" ht="30" customHeight="1" x14ac:dyDescent="0.25">
      <c r="A20" s="33" t="s">
        <v>2122</v>
      </c>
      <c r="B20" s="50" t="s">
        <v>218</v>
      </c>
      <c r="C20" s="52">
        <v>200</v>
      </c>
      <c r="D20" s="33" t="s">
        <v>204</v>
      </c>
      <c r="E20" s="33">
        <v>0.3</v>
      </c>
      <c r="F20" s="33" t="s">
        <v>336</v>
      </c>
      <c r="G20" s="33" t="s">
        <v>337</v>
      </c>
      <c r="H20" s="33">
        <v>126</v>
      </c>
      <c r="I20" s="55">
        <v>70</v>
      </c>
      <c r="J20" s="47" t="s">
        <v>51</v>
      </c>
      <c r="K20" s="33" t="s">
        <v>105</v>
      </c>
      <c r="L20" s="33" t="s">
        <v>555</v>
      </c>
      <c r="M20" s="33" t="s">
        <v>556</v>
      </c>
      <c r="N20" s="33">
        <v>51</v>
      </c>
      <c r="O20" s="33">
        <v>339</v>
      </c>
      <c r="P20" s="33" t="s">
        <v>2125</v>
      </c>
      <c r="Q20" s="33" t="b">
        <v>0</v>
      </c>
      <c r="R20" s="33"/>
      <c r="S20" s="33"/>
      <c r="T20" s="33">
        <v>0</v>
      </c>
      <c r="U20" s="33"/>
      <c r="V20" s="33">
        <v>0</v>
      </c>
      <c r="W20" s="33"/>
      <c r="X20" s="33">
        <v>0</v>
      </c>
      <c r="Y20" s="33"/>
      <c r="Z20" s="33">
        <v>0</v>
      </c>
      <c r="AA20" s="33"/>
      <c r="AB20" s="33">
        <v>0</v>
      </c>
      <c r="AC20" s="33"/>
      <c r="AD20" s="33">
        <v>0</v>
      </c>
      <c r="AE20" s="33">
        <v>0</v>
      </c>
      <c r="AF20" s="33"/>
      <c r="AG20" s="33" t="s">
        <v>2124</v>
      </c>
      <c r="AH20" s="33">
        <v>40</v>
      </c>
      <c r="AI20" s="33">
        <v>0</v>
      </c>
      <c r="AJ20" s="33">
        <v>0</v>
      </c>
      <c r="AK20" s="33">
        <v>0</v>
      </c>
      <c r="AL20" s="33">
        <v>0</v>
      </c>
      <c r="AM20" s="33">
        <v>0</v>
      </c>
      <c r="AN20" s="33">
        <v>0</v>
      </c>
      <c r="AO20" s="33">
        <v>0</v>
      </c>
      <c r="AP20" s="33">
        <v>0</v>
      </c>
      <c r="AQ20" s="33">
        <v>0</v>
      </c>
      <c r="AR20" s="33"/>
      <c r="AS20" s="33" t="b">
        <v>1</v>
      </c>
      <c r="AT20" s="33">
        <v>1.1213000000000001E-2</v>
      </c>
      <c r="AU20" s="33" t="b">
        <v>1</v>
      </c>
      <c r="AV20" s="33" t="b">
        <v>1</v>
      </c>
      <c r="AW20" s="33" t="s">
        <v>1860</v>
      </c>
      <c r="AX20" s="47">
        <f>IFERROR(VLOOKUP(B20,'Technical Diagnostics'!$A:$E,5,FALSE),"")</f>
        <v>70</v>
      </c>
      <c r="AY20" s="47">
        <v>85.5</v>
      </c>
      <c r="AZ20" s="47">
        <v>73.88</v>
      </c>
      <c r="BA20" s="33" t="str">
        <f>IFERROR(HYPERLINK("#'Technical Diagnostics'!A"&amp;MATCH(B20,'Technical Diagnostics'!A:A,0),"Open Technical"),HYPERLINK("#'Technical Diagnostics'!A1","Open Technical"))</f>
        <v>Open Technical</v>
      </c>
      <c r="BB20" s="33"/>
      <c r="BC20" s="41" t="str">
        <f>IFERROR(HYPERLINK("#'Technical Diagnostics'!A"&amp;MATCH(B20,'Technical Diagnostics'!A:A,0),"Open Technical"),HYPERLINK("#'Technical Diagnostics'!A1","Open Technical"))</f>
        <v>Open Technical</v>
      </c>
      <c r="BD20" s="41"/>
    </row>
    <row r="21" spans="1:56" ht="30" customHeight="1" x14ac:dyDescent="0.25">
      <c r="A21" s="42" t="s">
        <v>2122</v>
      </c>
      <c r="B21" s="51" t="s">
        <v>189</v>
      </c>
      <c r="C21" s="52">
        <v>200</v>
      </c>
      <c r="D21" s="42" t="s">
        <v>204</v>
      </c>
      <c r="E21" s="42">
        <v>0.28599999999999998</v>
      </c>
      <c r="F21" s="42" t="s">
        <v>342</v>
      </c>
      <c r="G21" s="42" t="s">
        <v>343</v>
      </c>
      <c r="H21" s="42">
        <v>1869</v>
      </c>
      <c r="I21" s="56">
        <v>60</v>
      </c>
      <c r="J21" s="47" t="s">
        <v>51</v>
      </c>
      <c r="K21" s="42" t="s">
        <v>105</v>
      </c>
      <c r="L21" s="42" t="s">
        <v>555</v>
      </c>
      <c r="M21" s="42" t="s">
        <v>556</v>
      </c>
      <c r="N21" s="42">
        <v>64</v>
      </c>
      <c r="O21" s="42">
        <v>437</v>
      </c>
      <c r="P21" s="42" t="s">
        <v>2125</v>
      </c>
      <c r="Q21" s="42" t="b">
        <v>0</v>
      </c>
      <c r="R21" s="42"/>
      <c r="S21" s="42"/>
      <c r="T21" s="42">
        <v>0</v>
      </c>
      <c r="U21" s="42"/>
      <c r="V21" s="42">
        <v>0</v>
      </c>
      <c r="W21" s="42"/>
      <c r="X21" s="42">
        <v>0</v>
      </c>
      <c r="Y21" s="42"/>
      <c r="Z21" s="42">
        <v>0</v>
      </c>
      <c r="AA21" s="42"/>
      <c r="AB21" s="42">
        <v>0</v>
      </c>
      <c r="AC21" s="42"/>
      <c r="AD21" s="42">
        <v>0</v>
      </c>
      <c r="AE21" s="42">
        <v>0</v>
      </c>
      <c r="AF21" s="42"/>
      <c r="AG21" s="42" t="s">
        <v>2124</v>
      </c>
      <c r="AH21" s="42">
        <v>90</v>
      </c>
      <c r="AI21" s="42">
        <v>0</v>
      </c>
      <c r="AJ21" s="42">
        <v>0</v>
      </c>
      <c r="AK21" s="42">
        <v>0</v>
      </c>
      <c r="AL21" s="42">
        <v>0</v>
      </c>
      <c r="AM21" s="42">
        <v>0</v>
      </c>
      <c r="AN21" s="42">
        <v>0</v>
      </c>
      <c r="AO21" s="42">
        <v>32</v>
      </c>
      <c r="AP21" s="42">
        <v>0</v>
      </c>
      <c r="AQ21" s="42">
        <v>8.25</v>
      </c>
      <c r="AR21" s="42">
        <v>2</v>
      </c>
      <c r="AS21" s="42" t="b">
        <v>0</v>
      </c>
      <c r="AT21" s="42">
        <v>4.2515999999999998E-2</v>
      </c>
      <c r="AU21" s="42" t="b">
        <v>1</v>
      </c>
      <c r="AV21" s="42" t="b">
        <v>1</v>
      </c>
      <c r="AW21" s="42" t="s">
        <v>1860</v>
      </c>
      <c r="AX21" s="34">
        <f>IFERROR(VLOOKUP(B21,'Technical Diagnostics'!$A:$E,5,FALSE),"")</f>
        <v>60</v>
      </c>
      <c r="AY21" s="52">
        <v>100</v>
      </c>
      <c r="AZ21" s="47">
        <v>70</v>
      </c>
      <c r="BA21" s="42" t="str">
        <f>IFERROR(HYPERLINK("#'Technical Diagnostics'!A"&amp;MATCH(B21,'Technical Diagnostics'!A:A,0),"Open Technical"),HYPERLINK("#'Technical Diagnostics'!A1","Open Technical"))</f>
        <v>Open Technical</v>
      </c>
      <c r="BB21" s="42"/>
      <c r="BC21" t="str">
        <f>IFERROR(HYPERLINK("#'Technical Diagnostics'!A"&amp;MATCH(B21,'Technical Diagnostics'!A:A,0),"Open Technical"),HYPERLINK("#'Technical Diagnostics'!A1","Open Technical"))</f>
        <v>Open Technical</v>
      </c>
    </row>
  </sheetData>
  <autoFilter ref="A1:BD21" xr:uid="{00000000-0009-0000-0000-000011000000}"/>
  <conditionalFormatting sqref="C2:C2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2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2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2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2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2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21">
    <cfRule type="cellIs" dxfId="0" priority="15" operator="greaterThan">
      <formula>160</formula>
    </cfRule>
  </conditionalFormatting>
  <hyperlinks>
    <hyperlink ref="BB1" location="'Dashboard'!A1" display="BACK TO DASHBOARD" xr:uid="{00000000-0004-0000-1100-000000000000}"/>
    <hyperlink ref="BD1" location="'Dashboard'!A1" display="BACK TO DASHBOARD_1" xr:uid="{00000000-0004-0000-1100-000001000000}"/>
    <hyperlink ref="B2" r:id="rId1" xr:uid="{00000000-0004-0000-1100-000002000000}"/>
    <hyperlink ref="B3" r:id="rId2" xr:uid="{00000000-0004-0000-1100-000003000000}"/>
    <hyperlink ref="B4" r:id="rId3" xr:uid="{00000000-0004-0000-1100-000004000000}"/>
    <hyperlink ref="B5" r:id="rId4" xr:uid="{00000000-0004-0000-1100-000005000000}"/>
    <hyperlink ref="B6" r:id="rId5" xr:uid="{00000000-0004-0000-1100-000006000000}"/>
    <hyperlink ref="B7" r:id="rId6" xr:uid="{00000000-0004-0000-1100-000007000000}"/>
    <hyperlink ref="B8" r:id="rId7" xr:uid="{00000000-0004-0000-1100-000008000000}"/>
    <hyperlink ref="B9" r:id="rId8" xr:uid="{00000000-0004-0000-1100-000009000000}"/>
    <hyperlink ref="B10" r:id="rId9" xr:uid="{00000000-0004-0000-1100-00000A000000}"/>
    <hyperlink ref="B11" r:id="rId10" xr:uid="{00000000-0004-0000-1100-00000B000000}"/>
    <hyperlink ref="B12" r:id="rId11" xr:uid="{00000000-0004-0000-1100-00000C000000}"/>
    <hyperlink ref="B13" r:id="rId12" xr:uid="{00000000-0004-0000-1100-00000D000000}"/>
    <hyperlink ref="B14" r:id="rId13" xr:uid="{00000000-0004-0000-1100-00000E000000}"/>
    <hyperlink ref="B15" r:id="rId14" xr:uid="{00000000-0004-0000-1100-00000F000000}"/>
    <hyperlink ref="B16" r:id="rId15" xr:uid="{00000000-0004-0000-1100-000010000000}"/>
    <hyperlink ref="B17" r:id="rId16" xr:uid="{00000000-0004-0000-1100-000011000000}"/>
    <hyperlink ref="B18" r:id="rId17" xr:uid="{00000000-0004-0000-1100-000012000000}"/>
    <hyperlink ref="B19" r:id="rId18" xr:uid="{00000000-0004-0000-1100-000013000000}"/>
    <hyperlink ref="B20" r:id="rId19" xr:uid="{00000000-0004-0000-1100-000014000000}"/>
    <hyperlink ref="B21" r:id="rId20" xr:uid="{00000000-0004-0000-1100-000015000000}"/>
  </hyperlinks>
  <pageMargins left="0.75" right="0.75" top="1" bottom="1" header="0.5" footer="0.5"/>
  <legacy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Link Inventory</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2026-05-09T12:58:03Z</dcterms:created>
  <dcterms:modified xsi:type="dcterms:W3CDTF">2026-05-09T12:58:36Z</dcterms:modified>
</cp:coreProperties>
</file>