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F2A1B8E9-8854-4C93-91BD-44D9B75AA8A3}" xr6:coauthVersionLast="47" xr6:coauthVersionMax="47" xr10:uidLastSave="{00000000-0000-0000-0000-000000000000}"/>
  <bookViews>
    <workbookView xWindow="-120" yWindow="-120" windowWidth="29040" windowHeight="16440" activeTab="1" xr2:uid="{00000000-000D-0000-FFFF-FFFF00000000}"/>
  </bookViews>
  <sheets>
    <sheet name="Table of Contents" sheetId="1" r:id="rId1"/>
    <sheet name="Dashboard" sheetId="2" r:id="rId2"/>
    <sheet name="Content Optimization Hub" sheetId="3" r:id="rId3"/>
    <sheet name="Quick Reference Guide" sheetId="4" r:id="rId4"/>
    <sheet name="FixPlan" sheetId="5" r:id="rId5"/>
    <sheet name="Main" sheetId="6" r:id="rId6"/>
    <sheet name="Technical" sheetId="7" r:id="rId7"/>
    <sheet name="Content" sheetId="8" r:id="rId8"/>
    <sheet name="AEO" sheetId="9" r:id="rId9"/>
    <sheet name="Schema &amp; Metadata" sheetId="10" r:id="rId10"/>
    <sheet name="Links" sheetId="11" r:id="rId11"/>
    <sheet name="Indexability" sheetId="12" r:id="rId12"/>
    <sheet name="Redirects" sheetId="13" r:id="rId13"/>
    <sheet name="Priority URLs" sheetId="14" r:id="rId14"/>
    <sheet name="AIOSEO" sheetId="15" r:id="rId15"/>
    <sheet name="Security" sheetId="16" r:id="rId16"/>
    <sheet name="Summary" sheetId="17" r:id="rId17"/>
    <sheet name="LinksDetail" sheetId="18" r:id="rId18"/>
    <sheet name="Media" sheetId="19" r:id="rId19"/>
    <sheet name="Duplicates" sheetId="20" r:id="rId20"/>
    <sheet name="Pattern and Template Issues" sheetId="21" r:id="rId21"/>
    <sheet name="PSI Performance" sheetId="22" r:id="rId22"/>
    <sheet name="IssueInventory" sheetId="23" r:id="rId23"/>
    <sheet name="CrawlGraph" sheetId="24" r:id="rId24"/>
    <sheet name="SitemapQA" sheetId="25" r:id="rId25"/>
    <sheet name="DeltaFromPreviousRun" sheetId="26" state="hidden" r:id="rId26"/>
    <sheet name="RunMetadata" sheetId="27" state="hidden" r:id="rId27"/>
    <sheet name="ResolvedIssues" sheetId="28" r:id="rId28"/>
    <sheet name="Glossary &amp; Legend" sheetId="29" r:id="rId29"/>
  </sheets>
  <definedNames>
    <definedName name="_xlnm._FilterDatabase" localSheetId="8" hidden="1">AEO!$A$1:$S$11</definedName>
    <definedName name="_xlnm._FilterDatabase" localSheetId="14" hidden="1">AIOSEO!$A$1:$U$97</definedName>
    <definedName name="_xlnm._FilterDatabase" localSheetId="7" hidden="1">Content!$A$1:$N$11</definedName>
    <definedName name="_xlnm._FilterDatabase" localSheetId="2" hidden="1">'Content Optimization Hub'!$A$2:$Y$12</definedName>
    <definedName name="_xlnm._FilterDatabase" localSheetId="23" hidden="1">CrawlGraph!$A$1:$H$11</definedName>
    <definedName name="_xlnm._FilterDatabase" localSheetId="1" hidden="1">Dashboard!$A$1:$K$69</definedName>
    <definedName name="_xlnm._FilterDatabase" localSheetId="19" hidden="1">Duplicates!$A$1:$G$11</definedName>
    <definedName name="_xlnm._FilterDatabase" localSheetId="4" hidden="1">FixPlan!$A$1:$AF$35</definedName>
    <definedName name="_xlnm._FilterDatabase" localSheetId="28" hidden="1">'Glossary &amp; Legend'!$A$1:$F$24</definedName>
    <definedName name="_xlnm._FilterDatabase" localSheetId="11" hidden="1">Indexability!$A$1:$M$11</definedName>
    <definedName name="_xlnm._FilterDatabase" localSheetId="22" hidden="1">IssueInventory!$A$1:$K$95</definedName>
    <definedName name="_xlnm._FilterDatabase" localSheetId="10" hidden="1">Links!$A$1:$L$11</definedName>
    <definedName name="_xlnm._FilterDatabase" localSheetId="17" hidden="1">LinksDetail!$A$1:$I$454</definedName>
    <definedName name="_xlnm._FilterDatabase" localSheetId="5" hidden="1">Main!$A$1:$BA$11</definedName>
    <definedName name="_xlnm._FilterDatabase" localSheetId="18" hidden="1">Media!$A$1:$L$11</definedName>
    <definedName name="_xlnm._FilterDatabase" localSheetId="13" hidden="1">'Priority URLs'!$A$1:$T$11</definedName>
    <definedName name="_xlnm._FilterDatabase" localSheetId="21" hidden="1">'PSI Performance'!$A$1:$H$11</definedName>
    <definedName name="_xlnm._FilterDatabase" localSheetId="3" hidden="1">'Quick Reference Guide'!$A$1:$E$20</definedName>
    <definedName name="_xlnm._FilterDatabase" localSheetId="12" hidden="1">Redirects!$A$1:$J$11</definedName>
    <definedName name="_xlnm._FilterDatabase" localSheetId="9" hidden="1">'Schema &amp; Metadata'!$A$1:$K$11</definedName>
    <definedName name="_xlnm._FilterDatabase" localSheetId="15" hidden="1">Security!$A$1:$M$11</definedName>
    <definedName name="_xlnm._FilterDatabase" localSheetId="24" hidden="1">SitemapQA!$A$1:$Q$86</definedName>
    <definedName name="_xlnm._FilterDatabase" localSheetId="16" hidden="1">Summary!$A$1:$G$74</definedName>
    <definedName name="_xlnm._FilterDatabase" localSheetId="6" hidden="1">Technical!$A$1:$CP$11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8" l="1"/>
  <c r="G11" i="24"/>
  <c r="G10" i="24"/>
  <c r="G9" i="24"/>
  <c r="G8" i="24"/>
  <c r="G7" i="24"/>
  <c r="G6" i="24"/>
  <c r="G5" i="24"/>
  <c r="G4" i="24"/>
  <c r="G3" i="24"/>
  <c r="G2" i="24"/>
  <c r="I95" i="23"/>
  <c r="I94" i="23"/>
  <c r="I93" i="23"/>
  <c r="I92" i="23"/>
  <c r="I91" i="23"/>
  <c r="I90" i="23"/>
  <c r="I89" i="23"/>
  <c r="I88" i="23"/>
  <c r="I87" i="23"/>
  <c r="I86" i="23"/>
  <c r="I85" i="23"/>
  <c r="I84" i="23"/>
  <c r="I83" i="23"/>
  <c r="I82" i="23"/>
  <c r="I81" i="23"/>
  <c r="I80" i="23"/>
  <c r="I79" i="23"/>
  <c r="I78" i="23"/>
  <c r="I77" i="23"/>
  <c r="I76" i="23"/>
  <c r="I75" i="23"/>
  <c r="I74" i="23"/>
  <c r="I73" i="23"/>
  <c r="I72" i="23"/>
  <c r="I71" i="23"/>
  <c r="I70" i="23"/>
  <c r="I69" i="23"/>
  <c r="I68" i="23"/>
  <c r="I67" i="23"/>
  <c r="I66" i="23"/>
  <c r="I65" i="23"/>
  <c r="I64" i="23"/>
  <c r="I63" i="23"/>
  <c r="I62" i="23"/>
  <c r="I61" i="23"/>
  <c r="I60" i="23"/>
  <c r="I59" i="23"/>
  <c r="I58" i="23"/>
  <c r="I57" i="23"/>
  <c r="I56" i="23"/>
  <c r="I55" i="23"/>
  <c r="I54" i="23"/>
  <c r="I53" i="23"/>
  <c r="I52" i="23"/>
  <c r="I51" i="23"/>
  <c r="I50" i="23"/>
  <c r="I49" i="23"/>
  <c r="I48" i="23"/>
  <c r="I47" i="23"/>
  <c r="I46" i="23"/>
  <c r="I45" i="23"/>
  <c r="I44" i="23"/>
  <c r="I43" i="23"/>
  <c r="I42" i="23"/>
  <c r="I41" i="23"/>
  <c r="I40" i="23"/>
  <c r="I39" i="23"/>
  <c r="I38" i="23"/>
  <c r="I37" i="23"/>
  <c r="I36" i="23"/>
  <c r="I35" i="23"/>
  <c r="I34" i="23"/>
  <c r="I33" i="23"/>
  <c r="I32" i="23"/>
  <c r="I31" i="23"/>
  <c r="I30" i="23"/>
  <c r="I29" i="23"/>
  <c r="I28" i="23"/>
  <c r="I27" i="23"/>
  <c r="I26" i="23"/>
  <c r="I25" i="23"/>
  <c r="I24" i="23"/>
  <c r="I23" i="23"/>
  <c r="I22" i="23"/>
  <c r="I21" i="23"/>
  <c r="I20" i="23"/>
  <c r="I19" i="23"/>
  <c r="I18" i="23"/>
  <c r="I17" i="23"/>
  <c r="I16" i="23"/>
  <c r="I15" i="23"/>
  <c r="I14" i="23"/>
  <c r="I13" i="23"/>
  <c r="I12" i="23"/>
  <c r="I11" i="23"/>
  <c r="I10" i="23"/>
  <c r="I9" i="23"/>
  <c r="I8" i="23"/>
  <c r="I7" i="23"/>
  <c r="I6" i="23"/>
  <c r="I5" i="23"/>
  <c r="I4" i="23"/>
  <c r="I3" i="23"/>
  <c r="I2" i="23"/>
  <c r="G11" i="22"/>
  <c r="G10" i="22"/>
  <c r="G9" i="22"/>
  <c r="G8" i="22"/>
  <c r="G7" i="22"/>
  <c r="G6" i="22"/>
  <c r="G5" i="22"/>
  <c r="G4" i="22"/>
  <c r="G3" i="22"/>
  <c r="G2" i="22"/>
  <c r="F11" i="20"/>
  <c r="F10" i="20"/>
  <c r="F9" i="20"/>
  <c r="F8" i="20"/>
  <c r="F7" i="20"/>
  <c r="F6" i="20"/>
  <c r="F5" i="20"/>
  <c r="F4" i="20"/>
  <c r="F3" i="20"/>
  <c r="F2" i="20"/>
  <c r="K11" i="19"/>
  <c r="K10" i="19"/>
  <c r="K9" i="19"/>
  <c r="K8" i="19"/>
  <c r="K7" i="19"/>
  <c r="K6" i="19"/>
  <c r="K5" i="19"/>
  <c r="K4" i="19"/>
  <c r="K3" i="19"/>
  <c r="K2" i="19"/>
  <c r="L11" i="16"/>
  <c r="L10" i="16"/>
  <c r="L9" i="16"/>
  <c r="L8" i="16"/>
  <c r="L7" i="16"/>
  <c r="L6" i="16"/>
  <c r="L5" i="16"/>
  <c r="L4" i="16"/>
  <c r="L3" i="16"/>
  <c r="L2" i="16"/>
  <c r="T97" i="15"/>
  <c r="S97" i="15"/>
  <c r="T96" i="15"/>
  <c r="S96" i="15"/>
  <c r="T95" i="15"/>
  <c r="S95" i="15"/>
  <c r="T94" i="15"/>
  <c r="S94" i="15"/>
  <c r="T93" i="15"/>
  <c r="S93" i="15"/>
  <c r="T92" i="15"/>
  <c r="S92" i="15"/>
  <c r="T91" i="15"/>
  <c r="S91" i="15"/>
  <c r="T90" i="15"/>
  <c r="S90" i="15"/>
  <c r="T89" i="15"/>
  <c r="S89" i="15"/>
  <c r="T88" i="15"/>
  <c r="S88" i="15"/>
  <c r="T87" i="15"/>
  <c r="S87" i="15"/>
  <c r="T86" i="15"/>
  <c r="S86" i="15"/>
  <c r="T85" i="15"/>
  <c r="S85" i="15"/>
  <c r="T84" i="15"/>
  <c r="S84" i="15"/>
  <c r="T83" i="15"/>
  <c r="S83" i="15"/>
  <c r="T82" i="15"/>
  <c r="S82" i="15"/>
  <c r="T81" i="15"/>
  <c r="S81" i="15"/>
  <c r="T80" i="15"/>
  <c r="S80" i="15"/>
  <c r="T79" i="15"/>
  <c r="S79" i="15"/>
  <c r="T78" i="15"/>
  <c r="S78" i="15"/>
  <c r="T77" i="15"/>
  <c r="S77" i="15"/>
  <c r="T76" i="15"/>
  <c r="S76" i="15"/>
  <c r="T75" i="15"/>
  <c r="S75" i="15"/>
  <c r="T74" i="15"/>
  <c r="S74" i="15"/>
  <c r="T73" i="15"/>
  <c r="S73" i="15"/>
  <c r="T72" i="15"/>
  <c r="S72" i="15"/>
  <c r="T71" i="15"/>
  <c r="S71" i="15"/>
  <c r="T70" i="15"/>
  <c r="S70" i="15"/>
  <c r="T69" i="15"/>
  <c r="S69" i="15"/>
  <c r="T68" i="15"/>
  <c r="S68" i="15"/>
  <c r="T67" i="15"/>
  <c r="S67" i="15"/>
  <c r="T66" i="15"/>
  <c r="S66" i="15"/>
  <c r="T65" i="15"/>
  <c r="S65" i="15"/>
  <c r="T64" i="15"/>
  <c r="S64" i="15"/>
  <c r="T63" i="15"/>
  <c r="S63" i="15"/>
  <c r="T62" i="15"/>
  <c r="S62" i="15"/>
  <c r="T61" i="15"/>
  <c r="S61" i="15"/>
  <c r="T60" i="15"/>
  <c r="S60" i="15"/>
  <c r="T59" i="15"/>
  <c r="S59" i="15"/>
  <c r="T58" i="15"/>
  <c r="S58" i="15"/>
  <c r="T57" i="15"/>
  <c r="S57" i="15"/>
  <c r="T56" i="15"/>
  <c r="S56" i="15"/>
  <c r="T55" i="15"/>
  <c r="S55" i="15"/>
  <c r="T54" i="15"/>
  <c r="S54" i="15"/>
  <c r="T53" i="15"/>
  <c r="S53" i="15"/>
  <c r="T52" i="15"/>
  <c r="S52" i="15"/>
  <c r="T51" i="15"/>
  <c r="S51" i="15"/>
  <c r="T50" i="15"/>
  <c r="S50" i="15"/>
  <c r="T49" i="15"/>
  <c r="S49" i="15"/>
  <c r="T48" i="15"/>
  <c r="S48" i="15"/>
  <c r="T47" i="15"/>
  <c r="S47" i="15"/>
  <c r="T46" i="15"/>
  <c r="S46" i="15"/>
  <c r="T45" i="15"/>
  <c r="S45" i="15"/>
  <c r="T44" i="15"/>
  <c r="S44" i="15"/>
  <c r="T43" i="15"/>
  <c r="S43" i="15"/>
  <c r="T42" i="15"/>
  <c r="S42" i="15"/>
  <c r="T41" i="15"/>
  <c r="S41" i="15"/>
  <c r="T40" i="15"/>
  <c r="S40" i="15"/>
  <c r="T39" i="15"/>
  <c r="S39" i="15"/>
  <c r="T38" i="15"/>
  <c r="S38" i="15"/>
  <c r="T37" i="15"/>
  <c r="S37" i="15"/>
  <c r="T36" i="15"/>
  <c r="S36" i="15"/>
  <c r="T35" i="15"/>
  <c r="S35" i="15"/>
  <c r="T34" i="15"/>
  <c r="S34" i="15"/>
  <c r="T33" i="15"/>
  <c r="S33" i="15"/>
  <c r="T32" i="15"/>
  <c r="S32" i="15"/>
  <c r="T31" i="15"/>
  <c r="S31" i="15"/>
  <c r="T30" i="15"/>
  <c r="S30" i="15"/>
  <c r="T29" i="15"/>
  <c r="S29" i="15"/>
  <c r="T28" i="15"/>
  <c r="S28" i="15"/>
  <c r="T27" i="15"/>
  <c r="S27" i="15"/>
  <c r="T26" i="15"/>
  <c r="S26" i="15"/>
  <c r="T25" i="15"/>
  <c r="S25" i="15"/>
  <c r="T24" i="15"/>
  <c r="S24" i="15"/>
  <c r="T23" i="15"/>
  <c r="S23" i="15"/>
  <c r="T22" i="15"/>
  <c r="S22" i="15"/>
  <c r="T21" i="15"/>
  <c r="S21" i="15"/>
  <c r="T20" i="15"/>
  <c r="S20" i="15"/>
  <c r="T19" i="15"/>
  <c r="S19" i="15"/>
  <c r="T18" i="15"/>
  <c r="S18" i="15"/>
  <c r="T17" i="15"/>
  <c r="S17" i="15"/>
  <c r="T16" i="15"/>
  <c r="S16" i="15"/>
  <c r="T15" i="15"/>
  <c r="S15" i="15"/>
  <c r="T14" i="15"/>
  <c r="S14" i="15"/>
  <c r="T13" i="15"/>
  <c r="S13" i="15"/>
  <c r="T12" i="15"/>
  <c r="S12" i="15"/>
  <c r="T11" i="15"/>
  <c r="S11" i="15"/>
  <c r="T10" i="15"/>
  <c r="S10" i="15"/>
  <c r="T9" i="15"/>
  <c r="S9" i="15"/>
  <c r="T8" i="15"/>
  <c r="S8" i="15"/>
  <c r="T7" i="15"/>
  <c r="S7" i="15"/>
  <c r="T6" i="15"/>
  <c r="S6" i="15"/>
  <c r="T5" i="15"/>
  <c r="S5" i="15"/>
  <c r="T4" i="15"/>
  <c r="S4" i="15"/>
  <c r="T3" i="15"/>
  <c r="S3" i="15"/>
  <c r="T2" i="15"/>
  <c r="S2" i="15"/>
  <c r="S11" i="14"/>
  <c r="R11" i="14"/>
  <c r="S10" i="14"/>
  <c r="R10" i="14"/>
  <c r="S9" i="14"/>
  <c r="R9" i="14"/>
  <c r="S8" i="14"/>
  <c r="R8" i="14"/>
  <c r="S7" i="14"/>
  <c r="R7" i="14"/>
  <c r="S6" i="14"/>
  <c r="R6" i="14"/>
  <c r="S5" i="14"/>
  <c r="R5" i="14"/>
  <c r="S4" i="14"/>
  <c r="R4" i="14"/>
  <c r="S3" i="14"/>
  <c r="R3" i="14"/>
  <c r="S2" i="14"/>
  <c r="R2" i="14"/>
  <c r="I11" i="13"/>
  <c r="I10" i="13"/>
  <c r="I9" i="13"/>
  <c r="I8" i="13"/>
  <c r="I7" i="13"/>
  <c r="I6" i="13"/>
  <c r="I5" i="13"/>
  <c r="I4" i="13"/>
  <c r="I3" i="13"/>
  <c r="I2" i="13"/>
  <c r="L11" i="12"/>
  <c r="L10" i="12"/>
  <c r="L9" i="12"/>
  <c r="L8" i="12"/>
  <c r="L7" i="12"/>
  <c r="L6" i="12"/>
  <c r="L5" i="12"/>
  <c r="L4" i="12"/>
  <c r="L3" i="12"/>
  <c r="L2" i="12"/>
  <c r="K11" i="11"/>
  <c r="K10" i="11"/>
  <c r="K9" i="11"/>
  <c r="K8" i="11"/>
  <c r="K7" i="11"/>
  <c r="K6" i="11"/>
  <c r="K5" i="11"/>
  <c r="K4" i="11"/>
  <c r="K3" i="11"/>
  <c r="K2" i="11"/>
  <c r="J11" i="10"/>
  <c r="J10" i="10"/>
  <c r="J9" i="10"/>
  <c r="J8" i="10"/>
  <c r="J7" i="10"/>
  <c r="J6" i="10"/>
  <c r="J5" i="10"/>
  <c r="J4" i="10"/>
  <c r="J3" i="10"/>
  <c r="J2" i="10"/>
  <c r="R11" i="9"/>
  <c r="R10" i="9"/>
  <c r="R9" i="9"/>
  <c r="R8" i="9"/>
  <c r="R7" i="9"/>
  <c r="R6" i="9"/>
  <c r="R5" i="9"/>
  <c r="R4" i="9"/>
  <c r="R3" i="9"/>
  <c r="R2" i="9"/>
  <c r="M11" i="8"/>
  <c r="M10" i="8"/>
  <c r="M9" i="8"/>
  <c r="M8" i="8"/>
  <c r="M7" i="8"/>
  <c r="M6" i="8"/>
  <c r="M5" i="8"/>
  <c r="M4" i="8"/>
  <c r="M3" i="8"/>
  <c r="M2" i="8"/>
  <c r="CO11" i="7"/>
  <c r="CO10" i="7"/>
  <c r="CO9" i="7"/>
  <c r="CO8" i="7"/>
  <c r="CO7" i="7"/>
  <c r="CO6" i="7"/>
  <c r="CO5" i="7"/>
  <c r="CO4" i="7"/>
  <c r="CO3" i="7"/>
  <c r="CO2" i="7"/>
  <c r="AZ11" i="6"/>
  <c r="AZ10" i="6"/>
  <c r="AZ9" i="6"/>
  <c r="AZ8" i="6"/>
  <c r="AZ7" i="6"/>
  <c r="AZ6" i="6"/>
  <c r="AZ5" i="6"/>
  <c r="AZ4" i="6"/>
  <c r="AZ3" i="6"/>
  <c r="AZ2" i="6"/>
  <c r="AE35" i="5"/>
  <c r="AD35" i="5"/>
  <c r="AE34" i="5"/>
  <c r="AD34" i="5"/>
  <c r="AE33" i="5"/>
  <c r="AD33" i="5"/>
  <c r="AE32" i="5"/>
  <c r="AD32" i="5"/>
  <c r="AE31" i="5"/>
  <c r="AD31" i="5"/>
  <c r="AE30" i="5"/>
  <c r="AD30" i="5"/>
  <c r="AE29" i="5"/>
  <c r="AD29" i="5"/>
  <c r="AE28" i="5"/>
  <c r="AD28" i="5"/>
  <c r="AE27" i="5"/>
  <c r="AD27" i="5"/>
  <c r="AE26" i="5"/>
  <c r="AD26" i="5"/>
  <c r="AE25" i="5"/>
  <c r="AD25" i="5"/>
  <c r="AE24" i="5"/>
  <c r="AD24" i="5"/>
  <c r="AE23" i="5"/>
  <c r="AD23" i="5"/>
  <c r="AE22" i="5"/>
  <c r="AD22" i="5"/>
  <c r="AE21" i="5"/>
  <c r="AD21" i="5"/>
  <c r="AE20" i="5"/>
  <c r="AD20" i="5"/>
  <c r="AE19" i="5"/>
  <c r="AD19" i="5"/>
  <c r="AE18" i="5"/>
  <c r="AD18" i="5"/>
  <c r="AE17" i="5"/>
  <c r="AD17" i="5"/>
  <c r="AE16" i="5"/>
  <c r="AD16" i="5"/>
  <c r="AE15" i="5"/>
  <c r="AD15" i="5"/>
  <c r="AE14" i="5"/>
  <c r="AD14" i="5"/>
  <c r="AE13" i="5"/>
  <c r="AD13" i="5"/>
  <c r="AE12" i="5"/>
  <c r="AD12" i="5"/>
  <c r="AE11" i="5"/>
  <c r="AD11" i="5"/>
  <c r="AE10" i="5"/>
  <c r="AD10" i="5"/>
  <c r="AE9" i="5"/>
  <c r="AD9" i="5"/>
  <c r="AE8" i="5"/>
  <c r="AD8" i="5"/>
  <c r="AE7" i="5"/>
  <c r="AD7" i="5"/>
  <c r="AE6" i="5"/>
  <c r="AD6" i="5"/>
  <c r="AE5" i="5"/>
  <c r="AD5" i="5"/>
  <c r="AE4" i="5"/>
  <c r="AD4" i="5"/>
  <c r="AE3" i="5"/>
  <c r="AD3" i="5"/>
  <c r="AE2" i="5"/>
  <c r="AD2" i="5"/>
  <c r="Y12" i="3"/>
  <c r="T12" i="3"/>
  <c r="Y11" i="3"/>
  <c r="T11" i="3"/>
  <c r="Y10" i="3"/>
  <c r="T10" i="3"/>
  <c r="Y9" i="3"/>
  <c r="T9" i="3"/>
  <c r="Y8" i="3"/>
  <c r="T8" i="3"/>
  <c r="Y7" i="3"/>
  <c r="T7" i="3"/>
  <c r="Y6" i="3"/>
  <c r="T6" i="3"/>
  <c r="Y5" i="3"/>
  <c r="T5" i="3"/>
  <c r="Y4" i="3"/>
  <c r="T4" i="3"/>
  <c r="Y3" i="3"/>
  <c r="T3" i="3"/>
  <c r="B49" i="2"/>
  <c r="B48" i="2"/>
  <c r="B47" i="2"/>
  <c r="B46" i="2"/>
  <c r="B45" i="2"/>
  <c r="A19" i="2"/>
  <c r="K18" i="2"/>
  <c r="A18" i="2"/>
  <c r="K17" i="2"/>
  <c r="B17" i="2"/>
  <c r="A17" i="2"/>
  <c r="K16" i="2"/>
  <c r="K15" i="2"/>
  <c r="K14" i="2"/>
  <c r="B14" i="2"/>
  <c r="A14" i="2"/>
  <c r="K13" i="2"/>
  <c r="B13" i="2"/>
  <c r="A13" i="2"/>
  <c r="B12" i="2"/>
  <c r="A12" i="2"/>
  <c r="B11" i="2"/>
  <c r="A11" i="2"/>
  <c r="A10" i="2"/>
  <c r="A9" i="2"/>
  <c r="G8" i="2"/>
  <c r="A8" i="2"/>
  <c r="G7" i="2"/>
  <c r="A7" i="2"/>
  <c r="G6" i="2"/>
  <c r="B6" i="2"/>
  <c r="A6" i="2"/>
  <c r="A5" i="2"/>
  <c r="B30" i="1"/>
  <c r="B29" i="1"/>
  <c r="B28" i="1"/>
  <c r="B27" i="1"/>
  <c r="B26" i="1"/>
  <c r="B25" i="1"/>
  <c r="B24" i="1"/>
  <c r="B23" i="1"/>
  <c r="B22" i="1"/>
  <c r="B21" i="1"/>
  <c r="B20" i="1"/>
  <c r="B19" i="1"/>
  <c r="B18" i="1"/>
  <c r="B17" i="1"/>
  <c r="B16" i="1"/>
  <c r="B15" i="1"/>
  <c r="B14" i="1"/>
  <c r="B13" i="1"/>
  <c r="B12" i="1"/>
  <c r="B11" i="1"/>
  <c r="B10" i="1"/>
  <c r="B9" i="1"/>
  <c r="B8" i="1"/>
  <c r="B7" i="1"/>
  <c r="B6" i="1"/>
  <c r="B5" i="1"/>
  <c r="B4" i="1"/>
  <c r="B3" i="1"/>
  <c r="J84" i="23"/>
  <c r="J68" i="23"/>
  <c r="J52" i="23"/>
  <c r="J36" i="23"/>
  <c r="J20" i="23"/>
  <c r="J4" i="23"/>
  <c r="J83" i="23"/>
  <c r="J67" i="23"/>
  <c r="J51" i="23"/>
  <c r="J35" i="23"/>
  <c r="J19" i="23"/>
  <c r="J3" i="23"/>
  <c r="J82" i="23"/>
  <c r="J66" i="23"/>
  <c r="J50" i="23"/>
  <c r="J34" i="23"/>
  <c r="J18" i="23"/>
  <c r="J2" i="23"/>
  <c r="J81" i="23"/>
  <c r="J65" i="23"/>
  <c r="J49" i="23"/>
  <c r="J33" i="23"/>
  <c r="J17" i="23"/>
  <c r="J80" i="23"/>
  <c r="J64" i="23"/>
  <c r="J48" i="23"/>
  <c r="J32" i="23"/>
  <c r="J16" i="23"/>
  <c r="J76" i="23"/>
  <c r="J60" i="23"/>
  <c r="J44" i="23"/>
  <c r="J28" i="23"/>
  <c r="J12" i="23"/>
  <c r="J95" i="23"/>
  <c r="J79" i="23"/>
  <c r="J63" i="23"/>
  <c r="J47" i="23"/>
  <c r="J31" i="23"/>
  <c r="J15" i="23"/>
  <c r="J62" i="23"/>
  <c r="J46" i="23"/>
  <c r="J14" i="23"/>
  <c r="J77" i="23"/>
  <c r="J29" i="23"/>
  <c r="J78" i="23"/>
  <c r="J30" i="23"/>
  <c r="J61" i="23"/>
  <c r="J45" i="23"/>
  <c r="J13" i="23"/>
  <c r="J94" i="23"/>
  <c r="J93" i="23"/>
  <c r="J92" i="23"/>
  <c r="J91" i="23"/>
  <c r="J75" i="23"/>
  <c r="J59" i="23"/>
  <c r="J43" i="23"/>
  <c r="J27" i="23"/>
  <c r="J11" i="23"/>
  <c r="J90" i="23"/>
  <c r="J74" i="23"/>
  <c r="J58" i="23"/>
  <c r="J42" i="23"/>
  <c r="J26" i="23"/>
  <c r="J10" i="23"/>
  <c r="J89" i="23"/>
  <c r="J73" i="23"/>
  <c r="J57" i="23"/>
  <c r="J41" i="23"/>
  <c r="J25" i="23"/>
  <c r="J9" i="23"/>
  <c r="J70" i="23"/>
  <c r="J54" i="23"/>
  <c r="J38" i="23"/>
  <c r="J22" i="23"/>
  <c r="J6" i="23"/>
  <c r="J88" i="23"/>
  <c r="J72" i="23"/>
  <c r="J56" i="23"/>
  <c r="J40" i="23"/>
  <c r="J24" i="23"/>
  <c r="J8" i="23"/>
  <c r="J87" i="23"/>
  <c r="J71" i="23"/>
  <c r="J55" i="23"/>
  <c r="J39" i="23"/>
  <c r="J23" i="23"/>
  <c r="J7" i="23"/>
  <c r="J86" i="23"/>
  <c r="J85" i="23"/>
  <c r="J69" i="23"/>
  <c r="J53" i="23"/>
  <c r="J37" i="23"/>
  <c r="J21" i="23"/>
  <c r="J5"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SEO Audit Bot</author>
  </authors>
  <commentList>
    <comment ref="D1" authorId="0" shapeId="0" xr:uid="{00000000-0006-0000-1500-000001000000}">
      <text>
        <r>
          <rPr>
            <sz val="11"/>
            <color theme="1"/>
            <rFont val="Calibri"/>
            <family val="2"/>
            <scheme val="minor"/>
          </rPr>
          <t>Largest Contentful Paint. Target: &lt; 2.5 seconds.</t>
        </r>
      </text>
    </comment>
    <comment ref="E1" authorId="0" shapeId="0" xr:uid="{00000000-0006-0000-1500-000002000000}">
      <text>
        <r>
          <rPr>
            <sz val="11"/>
            <color theme="1"/>
            <rFont val="Calibri"/>
            <family val="2"/>
            <scheme val="minor"/>
          </rPr>
          <t>Cumulative Layout Shift. Target: &lt; 0.1.</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<sst xmlns="http://schemas.openxmlformats.org/spreadsheetml/2006/main" count="6851" uniqueCount="1487">
  <si>
    <t>Table of Contents</t>
  </si>
  <si>
    <t>Section</t>
  </si>
  <si>
    <t>Open</t>
  </si>
  <si>
    <t>Description</t>
  </si>
  <si>
    <t>Dashboard</t>
  </si>
  <si>
    <t>Executive overview of site-wide SEO performance and critical alerts.</t>
  </si>
  <si>
    <t>Content Optimization Hub</t>
  </si>
  <si>
    <t>Interactive workspace for drafting SEO titles, descriptions, and AEO content.</t>
  </si>
  <si>
    <t>Quick Reference Guide</t>
  </si>
  <si>
    <t>In-workbook SEO and AEO copy standards and guardrails.</t>
  </si>
  <si>
    <t>FixPlan</t>
  </si>
  <si>
    <t>Prioritized list of technical and content fixes with estimated effort.</t>
  </si>
  <si>
    <t>Main</t>
  </si>
  <si>
    <t>Primary URL inventory with titles, meta descriptions, and crawl signals.</t>
  </si>
  <si>
    <t>Technical</t>
  </si>
  <si>
    <t>Deep-dive diagnostic data for every crawled URL (Status, Load Time, etc.).</t>
  </si>
  <si>
    <t>PSI Performance</t>
  </si>
  <si>
    <t>Lab PageSpeed scores and mobile CWV-related proxies.</t>
  </si>
  <si>
    <t>Content</t>
  </si>
  <si>
    <t>Content depth, readability, headings, and thin-content flags per URL.</t>
  </si>
  <si>
    <t>AEO</t>
  </si>
  <si>
    <t>Answer Engine Optimization readiness scores and answer-block candidates.</t>
  </si>
  <si>
    <t>Schema &amp; Metadata</t>
  </si>
  <si>
    <t>JSON-LD, microdata, Open Graph, and Twitter card signals.</t>
  </si>
  <si>
    <t>Links</t>
  </si>
  <si>
    <t>Internal and external link counts and anchor-text quality per URL.</t>
  </si>
  <si>
    <t>Indexability</t>
  </si>
  <si>
    <t>Robots directives, canonicals, and indexability classification.</t>
  </si>
  <si>
    <t>Redirects</t>
  </si>
  <si>
    <t>Redirect chains, hop lists, HTTPS upgrades, and loop detection.</t>
  </si>
  <si>
    <t>Priority URLs</t>
  </si>
  <si>
    <t>High-value pages requiring immediate attention based on business risk.</t>
  </si>
  <si>
    <t>AIOSEO</t>
  </si>
  <si>
    <t>Plugin-aligned recommendations and edit links for AIOSEO users.</t>
  </si>
  <si>
    <t>Security</t>
  </si>
  <si>
    <t>Transport and hardening headers (HSTS, CSP, XFO, referrer policy, etc.).</t>
  </si>
  <si>
    <t>Summary</t>
  </si>
  <si>
    <t>Aggregated issue counts, AEO opportunities, and top critical URLs from the run.</t>
  </si>
  <si>
    <t>LinksDetail</t>
  </si>
  <si>
    <t>Row-level outbound internal links with crawl resolution status.</t>
  </si>
  <si>
    <t>Media</t>
  </si>
  <si>
    <t>Image inventory, alt coverage, filename quality, and mixed content flags.</t>
  </si>
  <si>
    <t>Pattern and Template Issues</t>
  </si>
  <si>
    <t>Folder-level clusters and template-wide systemic issue patterns.</t>
  </si>
  <si>
    <t>Duplicates</t>
  </si>
  <si>
    <t>Near-duplicate titles and meta descriptions across the crawl set.</t>
  </si>
  <si>
    <t>IssueInventory</t>
  </si>
  <si>
    <t>Flattened issue log with severity, owner seed, and stable IDs.</t>
  </si>
  <si>
    <t>RunMetadata</t>
  </si>
  <si>
    <t>Run configuration, timestamps, and environment notes.</t>
  </si>
  <si>
    <t>DeltaFromPreviousRun</t>
  </si>
  <si>
    <t>New, fixed, and persistent issues compared to a prior audit workbook.</t>
  </si>
  <si>
    <t>ResolvedIssues</t>
  </si>
  <si>
    <t>Issues marked resolved when compared to the previous export.</t>
  </si>
  <si>
    <t>Glossary &amp; Legend</t>
  </si>
  <si>
    <t>Definitions for metrics, badges, and workbook conventions.</t>
  </si>
  <si>
    <t>CrawlGraph</t>
  </si>
  <si>
    <t>Derived link graph metrics (click depth, inlinks, PageRank proxy).</t>
  </si>
  <si>
    <t>SitemapQA</t>
  </si>
  <si>
    <t>Sitemap coverage, URL membership checks, and sitemap metadata QA.</t>
  </si>
  <si>
    <t>Executive SEO &amp; AEO Performance Report</t>
  </si>
  <si>
    <t>Executive SEO &amp; AEO Dashboard</t>
  </si>
  <si>
    <t>EXECUTIVE METRICS</t>
  </si>
  <si>
    <t>Value</t>
  </si>
  <si>
    <t>Status</t>
  </si>
  <si>
    <t>Count</t>
  </si>
  <si>
    <t>OWNER ISSUE SUMMARY</t>
  </si>
  <si>
    <t>200 OK</t>
  </si>
  <si>
    <t>Owner</t>
  </si>
  <si>
    <t>Issue Rows</t>
  </si>
  <si>
    <t>Affected URLs</t>
  </si>
  <si>
    <t>Critical</t>
  </si>
  <si>
    <t>Warning</t>
  </si>
  <si>
    <t>3xx Redirects</t>
  </si>
  <si>
    <t>4xx Errors</t>
  </si>
  <si>
    <t>5xx Errors</t>
  </si>
  <si>
    <t>Other</t>
  </si>
  <si>
    <t>Severity</t>
  </si>
  <si>
    <t>Quick Navigation</t>
  </si>
  <si>
    <t>Fix Plan</t>
  </si>
  <si>
    <t>Main URL Data</t>
  </si>
  <si>
    <t>Projected Health Score % (if all To Do done)</t>
  </si>
  <si>
    <t>Medium</t>
  </si>
  <si>
    <t>Technical Diagnostics</t>
  </si>
  <si>
    <t>Projected Pass Rate % (if all To Do done)</t>
  </si>
  <si>
    <t>Low</t>
  </si>
  <si>
    <t>AEO Opportunities</t>
  </si>
  <si>
    <t>AIOSEO Action Queue</t>
  </si>
  <si>
    <t>Traditional SEO vs. 2026 AEO Readiness</t>
  </si>
  <si>
    <t>BUSINESS IMPACT SUMMARY</t>
  </si>
  <si>
    <t>Dimension</t>
  </si>
  <si>
    <t>Score</t>
  </si>
  <si>
    <t>0 error URLs detected (0 4xx / 0 5xx). Critical issue volume is 10 URLs and warning volume is 0. Top blocker: Broken Internal Links affecting 10 URLs.</t>
  </si>
  <si>
    <t>Traditional SEO</t>
  </si>
  <si>
    <t>2026 AEO Readiness</t>
  </si>
  <si>
    <t>Strategic Narrative</t>
  </si>
  <si>
    <t>SEO and AEO signals are moving together; continue balancing crawl health with answer-first content.</t>
  </si>
  <si>
    <t>TOP ISSUES TO FIX FIRST</t>
  </si>
  <si>
    <t>CONTENT HUB INSTRUCTIONS: 1. Draft in 'Proposed' columns. | 2. Watch 'Count' for Green. | 3. Click 'Elementor' link. | 4. Mark 'Status' as 'Completed'. | NOTE: If images show '#BLOCKED!', click the 'Security Warning' bar at the top of Excel and select 'Enable Content'.</t>
  </si>
  <si>
    <t>Action Required</t>
  </si>
  <si>
    <t>Assigned Owner</t>
  </si>
  <si>
    <t>Content Cluster ID</t>
  </si>
  <si>
    <t>URL</t>
  </si>
  <si>
    <t>Elementor Builder Link</t>
  </si>
  <si>
    <t>Target Keywords</t>
  </si>
  <si>
    <t>Current Page Copy Snippet</t>
  </si>
  <si>
    <t>Current Title</t>
  </si>
  <si>
    <t>Proposed Title (50-60 Chars)</t>
  </si>
  <si>
    <t>Title Count</t>
  </si>
  <si>
    <t>Current Meta Desc</t>
  </si>
  <si>
    <t>Proposed Meta Desc (120-160 Chars)</t>
  </si>
  <si>
    <t>Desc Count</t>
  </si>
  <si>
    <t>Current H-Tag Structure</t>
  </si>
  <si>
    <t>Proposed H-Tag Fixes</t>
  </si>
  <si>
    <t>AEO Answer Block Draft</t>
  </si>
  <si>
    <t>FAQ/QA Draft</t>
  </si>
  <si>
    <t>Current OG-Image URL</t>
  </si>
  <si>
    <t>OG Image Preview</t>
  </si>
  <si>
    <t>Social Share Note</t>
  </si>
  <si>
    <t>SEO Score</t>
  </si>
  <si>
    <t>Technical Health</t>
  </si>
  <si>
    <t>Copy Score</t>
  </si>
  <si>
    <t>Open in Main</t>
  </si>
  <si>
    <t>Needs Copy</t>
  </si>
  <si>
    <t>To Do</t>
  </si>
  <si>
    <t>Unassigned</t>
  </si>
  <si>
    <t>home-african-marketing-confed</t>
  </si>
  <si>
    <t>https://africanmarketingconfederation.org/</t>
  </si>
  <si>
    <t>https://africanmarketingconfederation.org/wp-admin/post.php?post=8&amp;action=elementor</t>
  </si>
  <si>
    <t>European marketers gather to choose their top achievers for 2026 Marketing associations from across Europe nominated national champions, with 10 finalists competing for the Marketer of the Year title. Read More » April 30, 2026</t>
  </si>
  <si>
    <t>African Marketing Confederation - Uniting Marketers for Excellence</t>
  </si>
  <si>
    <t>The African Marketing Confederation is the ground-breaking Pan-African body driving the development of top marketing standards across Africa and beyond.</t>
  </si>
  <si>
    <t>H1: ABOUT The African Marketing Confederation
H2: The 2026 AMC Conference
H2: Meets the Mighty Victoria Falls
H2: 23-25 September | Livingstone, Zambia
H2: The 2026 AMC Conference
H2: Meets the Mighty Victoria Falls</t>
  </si>
  <si>
    <t>https://africanmarketingconfederation.org/wp-content/uploads/2026/03/og-image.png</t>
  </si>
  <si>
    <t>about-us-african-marketing-confed</t>
  </si>
  <si>
    <t>https://africanmarketingconfederation.org/about-us</t>
  </si>
  <si>
    <t>https://africanmarketingconfederation.org/wp-admin/post.php?post=84&amp;action=elementor</t>
  </si>
  <si>
    <t>About Us</t>
  </si>
  <si>
    <t>Skip to content ABOUT The African Marketing Confederation The African Marketing Confederation is the ground-breaking Pan African body of marketing professionals spearheading the ongoing development of the highest possible standards of marketing acro...</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</si>
  <si>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</si>
  <si>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</si>
  <si>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H1: ABOUT The African Marketing Confederation
H3: African Marketing Confederation  PRESIDENT’S COUNCIL
H2: Helen McIntee
H2: President and  Co-founder
H2: David Balikuddembe
H2: Secretary General</t>
  </si>
  <si>
    <t>Needs Optimization</t>
  </si>
  <si>
    <t>african-marketing-confederation-tourism-chapter-african-marketing-confed</t>
  </si>
  <si>
    <t>https://africanmarketingconfederation.org/african-marketing-confederation-tourism-chapter</t>
  </si>
  <si>
    <t>https://africanmarketingconfederation.org/wp-admin/post.php?post=28165&amp;action=elementor</t>
  </si>
  <si>
    <t>African Marketing Confederation Tourism Chapter</t>
  </si>
  <si>
    <t>Skip to content African Marketing Confederation Tourism Chapter Shaping Africa’s Tourism Narrative Through Strategic Marketing Tourism is one of Africa’s most powerful economic engines – generating jobs, stimulating investment, and fostering cultural...</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</si>
  <si>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</si>
  <si>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</si>
  <si>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H1: African Marketing Confederation Tourism Chapter
H3: Shaping Africa’s Tourism Narrative Through Strategic Marketing
H2: Charting the Course: Purpose, Mission &amp; Vision for Africa’s Tourism Future
H2: Our Goals and Objectives:</t>
  </si>
  <si>
    <t>amc-awards-2024-amc-awards-{n}-–-african</t>
  </si>
  <si>
    <t>https://africanmarketingconfederation.org/amc-awards-2024</t>
  </si>
  <si>
    <t>https://africanmarketingconfederation.org/wp-admin/post.php?post=16125&amp;action=elementor</t>
  </si>
  <si>
    <t>Amc Awards 2024</t>
  </si>
  <si>
    <t>English Français Português Español Igbo Deutsch Kiswahili ພາສາລາວ العربية Afsoomaali Sesotho 简体中文 Русский Zulu en NOMINATIONS are Open ! AMC Awards The African Marketing Confederation Awards event is held annually as part of the African Marketing Con...</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</si>
  <si>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</si>
  <si>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</si>
  <si>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H1: NOMINATIONS are Open !
H2: Awards Categories
H2: Tourism &amp; Destination Marketing Campaign
H2: of the Year
H2: Best Social Media Campaign
of the Year
H2: Best Social Media Campaign</t>
  </si>
  <si>
    <t>https://africanmarketingconfederation.org/wp-content/uploads/2021/08/amc_faw.png</t>
  </si>
  <si>
    <t>amc-conference-2022-amc-conference-{n}-–-afr</t>
  </si>
  <si>
    <t>https://africanmarketingconfederation.org/amc-conference-2022</t>
  </si>
  <si>
    <t>https://africanmarketingconfederation.org/wp-admin/post.php?post=4494&amp;action=elementor</t>
  </si>
  <si>
    <t>Amc Conference 2022</t>
  </si>
  <si>
    <t>AMC officially welcomes new member associations into the fold October 8, 2024 No Comments Angola, Botswana, Ethiopia, Mozambique and Tanzania receive their membership certificates. AMC now has 16 members. Read More »</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</si>
  <si>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</si>
  <si>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</si>
  <si>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</si>
  <si>
    <t>amc-conference-2022-prospectus-amc-conference-{n}-–-pro</t>
  </si>
  <si>
    <t>https://africanmarketingconfederation.org/amc-conference-2022-prospectus</t>
  </si>
  <si>
    <t>https://africanmarketingconfederation.org/wp-admin/post.php?post=5619&amp;action=elementor</t>
  </si>
  <si>
    <t>Amc Conference 2022 Prospectus</t>
  </si>
  <si>
    <t>Skip to content AMC Conference 2022 23 - 24 March 2022 Navigating Africa’s Unique Marketing Mix BOOK NOW 00 Days 00 Hours 00 Minutes 00 Seconds download prospectus To download the AMC 2022 Conference Prospectus please complete the form below: First ...</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</si>
  <si>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</si>
  <si>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</si>
  <si>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H2: AMC Conference 2022
H2: download prospectus
H2: BOOK NOW FOR THE AMC CONFERENCE 2022</t>
  </si>
  <si>
    <t>amc-conference-2022-thank-you-amc-conference-{n}-–-tha</t>
  </si>
  <si>
    <t>https://africanmarketingconfederation.org/amc-conference-2022-thank-you</t>
  </si>
  <si>
    <t>https://africanmarketingconfederation.org/wp-admin/post.php?post=4941&amp;action=elementor</t>
  </si>
  <si>
    <t>Amc Conference 2022 Thank You</t>
  </si>
  <si>
    <t>Skip to content AMC Conference 2022 23 - 24 March 2022 Navigating Africa’s Unique Marketing Mix ENQUIRE NOW 00 Days 00 Hours 00 Minutes 00 Seconds Success! Thank you for completing the enquiry form. Our team will contact you shortly! × The AMC Confer...</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</si>
  <si>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</si>
  <si>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</si>
  <si>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H2: AMC Conference 2022
H2: WHO SHOULD ATTEND
H2: Countries Participating
H3: South Africa
H3: Nigeria
H3: Morocco</t>
  </si>
  <si>
    <t>Complete</t>
  </si>
  <si>
    <t>amc-conference-2023-amc-conference-{n}-–-afr</t>
  </si>
  <si>
    <t>https://africanmarketingconfederation.org/amc-conference-2023</t>
  </si>
  <si>
    <t>https://africanmarketingconfederation.org/wp-admin/post.php?post=12371&amp;action=elementor</t>
  </si>
  <si>
    <t>Amc Conference 2023</t>
  </si>
  <si>
    <t>AMC Conference 6 - 9 September 2023 Imperial Botanical Beach Hotel, Entebbe, Uganda Thank you for joining us! View Presentations 2nd Annual African Marketing Confederation Conference Africa's $3.4 trillion Economy: Opportunities for Marketers Welcome...</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</si>
  <si>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</si>
  <si>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</si>
  <si>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H1: AMC Conference
H2: Africa's $3.4 trillion Economy: Opportunities for Marketers
H2: Thank you for joining us!
H2: Topics covered
H3: Africa Free Trade Area
H3: Business Intelligence</t>
  </si>
  <si>
    <t>amc-conference-2023-amc-awards-–-african-mar</t>
  </si>
  <si>
    <t>https://africanmarketingconfederation.org/amc-conference-2023/amc-awards</t>
  </si>
  <si>
    <t>https://africanmarketingconfederation.org/wp-admin/post.php?post=12954&amp;action=elementor</t>
  </si>
  <si>
    <t>Amc Awards</t>
  </si>
  <si>
    <t>Skip to content AMC Awards Welcome to the prestigious African Marketing Confederation Awards, a distinguished event that celebrates and acknowledges the remarkable achievements, cutting-edge innovations, and exceptional leadership demonstrated by out...</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</si>
  <si>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</si>
  <si>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</si>
  <si>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H1: AMC Awards
H2: AMC AWARD Winners</t>
  </si>
  <si>
    <t>amc-conference-2023-amc-awards-|-book-now-–-</t>
  </si>
  <si>
    <t>https://africanmarketingconfederation.org/amc-conference-2023/amc-awards-book-now</t>
  </si>
  <si>
    <t>https://africanmarketingconfederation.org/wp-admin/post.php?post=13164&amp;action=elementor</t>
  </si>
  <si>
    <t>Amc Awards Book Now</t>
  </si>
  <si>
    <t>Skip to content English Français Português Español Igbo Deutsch Kiswahili ພາສາລາວ العربية Afsoomaali Sesotho 简体中文 Русский Zulu en 0 Your Cart Your cart is empty Return to Shop Continue Shopping Notifications</t>
  </si>
  <si>
    <t>AMC Awards | Book Now – African Marketing Confederation</t>
  </si>
  <si>
    <t>MISSING DESCRIPTION</t>
  </si>
  <si>
    <t>Item</t>
  </si>
  <si>
    <t>Guideline</t>
  </si>
  <si>
    <t>Why It Matters</t>
  </si>
  <si>
    <t>BACK TO DASHBOARD</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</si>
  <si>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</si>
  <si>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</si>
  <si>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</si>
  <si>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</si>
  <si>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</si>
  <si>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</si>
  <si>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</si>
  <si>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</si>
  <si>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</si>
  <si>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</si>
  <si>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</si>
  <si>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</si>
  <si>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</si>
  <si>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</si>
  <si>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</si>
  <si>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</si>
  <si>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</si>
  <si>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</si>
  <si>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</si>
  <si>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</si>
  <si>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</si>
  <si>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</si>
  <si>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Optimization) &amp; Content]</t>
  </si>
  <si>
    <t>AEO Answer Blocks</t>
  </si>
  <si>
    <t>40-60 words. Placed directly beneath an H2 question. Must be factual, objective, and devoid of marketing fluff (e.g., 'The best way to...').</t>
  </si>
  <si>
    <t>Optimizes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</si>
  <si>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</si>
  <si>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</si>
  <si>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</si>
  <si>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</si>
  <si>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</si>
  <si>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</si>
  <si>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</si>
  <si>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</si>
  <si>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</si>
  <si>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</si>
  <si>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Customize the message for the platform. LinkedIn = Professional insight. X (Twitter) = Quick hook. Facebook = Conversational.</t>
  </si>
  <si>
    <t>Improves engagement by matching platform context.</t>
  </si>
  <si>
    <t>Issue Type</t>
  </si>
  <si>
    <t>Priority Score</t>
  </si>
  <si>
    <t>Affected Count</t>
  </si>
  <si>
    <t>Detail Reference Tab</t>
  </si>
  <si>
    <t>Resolution Type</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</si>
  <si>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</si>
  <si>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</si>
  <si>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</si>
  <si>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</si>
  <si>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</si>
  <si>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</si>
  <si>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</si>
  <si>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</si>
  <si>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</si>
  <si>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</si>
  <si>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</si>
  <si>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</si>
  <si>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</si>
  <si>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</si>
  <si>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Fix Type</t>
  </si>
  <si>
    <t>Estimated Traffic Impact</t>
  </si>
  <si>
    <t>Fix Effort</t>
  </si>
  <si>
    <t>ROI Score</t>
  </si>
  <si>
    <t>Exact Action</t>
  </si>
  <si>
    <t>Hub Status (Content Hub)</t>
  </si>
  <si>
    <t>Non-200 Status</t>
  </si>
  <si>
    <t>Manual Content</t>
  </si>
  <si>
    <t>Fix status code, restore page, or implement correct redirect to canonical destination.</t>
  </si>
  <si>
    <t>URL returns 4xx/5xx or equivalent failure.</t>
  </si>
  <si>
    <t>Server/Host</t>
  </si>
  <si>
    <t>M</t>
  </si>
  <si>
    <t>Immediate (Current Sprint)</t>
  </si>
  <si>
    <t>High Risk</t>
  </si>
  <si>
    <t>Yes</t>
  </si>
  <si>
    <t>Open in Main Tab</t>
  </si>
  <si>
    <t>SEO</t>
  </si>
  <si>
    <t>Resolve 'Non-200 Status' using technical best practices and validate in the related detail tab.</t>
  </si>
  <si>
    <t>Missing Title</t>
  </si>
  <si>
    <t>Add unique descriptive title on affected template/page type.</t>
  </si>
  <si>
    <t>Template/page missing title tag.</t>
  </si>
  <si>
    <t>Copy Writer</t>
  </si>
  <si>
    <t>Resolve 'Missing Title' using content best practices and validate in the related detail tab.</t>
  </si>
  <si>
    <t>Noindex Directive</t>
  </si>
  <si>
    <t>Remove unintended noindex directives on index-worthy URLs.</t>
  </si>
  <si>
    <t>Meta robots or X-Robots-Tag contains noindex.</t>
  </si>
  <si>
    <t>Dev</t>
  </si>
  <si>
    <t>Resolve 'Noindex Directive' using technical best practices and validate in the related detail tab.</t>
  </si>
  <si>
    <t>Canonical Points Elsewhere</t>
  </si>
  <si>
    <t>Global Template</t>
  </si>
  <si>
    <t>Align canonical to preferred final URL and ensure internal links use canonical target.</t>
  </si>
  <si>
    <t>Canonical targets a different URL variant.</t>
  </si>
  <si>
    <t>Resolve 'Canonical Points Elsewhere' using technical best practices and validate in the related detail tab.</t>
  </si>
  <si>
    <t>Robots.txt Disallow Root</t>
  </si>
  <si>
    <t>Apply fix based on issue type and re-run audit.</t>
  </si>
  <si>
    <t>Template/technical implementation quality issue.</t>
  </si>
  <si>
    <t>Resolve 'Robots.txt Disallow Root' using content best practices and validate in the related detail tab.</t>
  </si>
  <si>
    <t>CWV LCP Above 4.0s</t>
  </si>
  <si>
    <t>Resolve 'CWV LCP Above 4.0s' using content best practices and validate in the related detail tab.</t>
  </si>
  <si>
    <t>Broken Internal Links</t>
  </si>
  <si>
    <t>https://africanmarketingconfederation.org/african-marketing-confederation-tourism-chapter
https://africanmarketingconfederation.org/
https://africanmarketingconfederation.org/about-us
https://africanmarketingconfederation.org/amc-awards-2024
https://africanmarketingconfederation.org/amc-conference-2022-prospectus
https://africanmarketingconfederation.org/amc-conference-2022
https://africanmarketingconfederation.org/amc-conference-2022-thank-you
https://africanmarketingconfederation.org/amc-conference-2023
https://africanmarketingconfederation.org/amc-conference-2023/amc-awards
https://africanmarketingconfederation.org/amc-conference-2023/amc-awards-book-now</t>
  </si>
  <si>
    <t>Update internal links to valid URLs and remove dead references.</t>
  </si>
  <si>
    <t>Internal links resolve to missing or error pages.</t>
  </si>
  <si>
    <t>Resolve 'Broken Internal Links' using content best practices and validate in the related detail tab.</t>
  </si>
  <si>
    <t>Redirect Chains</t>
  </si>
  <si>
    <t>S</t>
  </si>
  <si>
    <t>Next Sprint</t>
  </si>
  <si>
    <t>Medium Risk</t>
  </si>
  <si>
    <t>Resolve 'Redirect Chains' using technical best practices and validate in the related detail tab.</t>
  </si>
  <si>
    <t>CWV LCP Needs Improvement (2.5-4.0s)</t>
  </si>
  <si>
    <t>Resolve 'CWV LCP Needs Improvement (2.5-4.0s)' using content best practices and validate in the related detail tab.</t>
  </si>
  <si>
    <t>Missing FAQ/QA Schema</t>
  </si>
  <si>
    <t>Add valid FAQPage or QAPage JSON-LD where appropriate and ensure on-page parity.</t>
  </si>
  <si>
    <t>No FAQPage/QAPage schema found for likely Q&amp;A style content.</t>
  </si>
  <si>
    <t>Resolve 'Missing FAQ/QA Schema' using content best practices and validate in the related detail tab.</t>
  </si>
  <si>
    <t>Deep URL (&gt;3 clicks)</t>
  </si>
  <si>
    <t>Resolve 'Deep URL (&gt;3 clicks)' using content best practices and validate in the related detail tab.</t>
  </si>
  <si>
    <t>Mixed Content</t>
  </si>
  <si>
    <t>Serve all assets over HTTPS and update hardcoded URLs.</t>
  </si>
  <si>
    <t>HTTPS page references insecure HTTP assets.</t>
  </si>
  <si>
    <t>Resolve 'Mixed Content' using content best practices and validate in the related detail tab.</t>
  </si>
  <si>
    <t>Canonical Missing</t>
  </si>
  <si>
    <t>Resolve 'Canonical Missing' using technical best practices and validate in the related detail tab.</t>
  </si>
  <si>
    <t>Hreflang Without Reciprocity</t>
  </si>
  <si>
    <t>Resolve 'Hreflang Without Reciprocity' using content best practices and validate in the related detail tab.</t>
  </si>
  <si>
    <t>Low Image Alt Coverage</t>
  </si>
  <si>
    <t>Resolve 'Low Image Alt Coverage' using content best practices and validate in the related detail tab.</t>
  </si>
  <si>
    <t>Low AEO Readiness Score</t>
  </si>
  <si>
    <t>Add short direct answer blocks, question-led headings, and answer-ready formatting.</t>
  </si>
  <si>
    <t>Page lacks concise answer-oriented signals and structured answer patterns.</t>
  </si>
  <si>
    <t>Resolve 'Low AEO Readiness Score' using content best practices and validate in the related detail tab.</t>
  </si>
  <si>
    <t>Multiple H1</t>
  </si>
  <si>
    <t>https://africanmarketingconfederation.org/african-marketing-confederation-tourism-chapter
https://africanmarketingconfederation.org/
https://africanmarketingconfederation.org/amc-awards-2024</t>
  </si>
  <si>
    <t>Resolve 'Multiple H1' using content best practices and validate in the related detail tab.</t>
  </si>
  <si>
    <t>Missing H1</t>
  </si>
  <si>
    <t>https://africanmarketingconfederation.org/amc-conference-2022-prospectus
https://africanmarketingconfederation.org/amc-conference-2022
https://africanmarketingconfederation.org/amc-conference-2022-thank-you
https://africanmarketingconfederation.org/amc-conference-2023/amc-awards-book-now</t>
  </si>
  <si>
    <t>Resolve 'Missing H1' using content best practices and validate in the related detail tab.</t>
  </si>
  <si>
    <t>Missing Meta Description</t>
  </si>
  <si>
    <t>Add concise unique description aligned with user intent.</t>
  </si>
  <si>
    <t>Meta description missing or empty.</t>
  </si>
  <si>
    <t>Resolve 'Missing Meta Description' using content best practices and validate in the related detail tab.</t>
  </si>
  <si>
    <t>Uses URL Parameters</t>
  </si>
  <si>
    <t>Observation</t>
  </si>
  <si>
    <t>Backlog</t>
  </si>
  <si>
    <t>In Review</t>
  </si>
  <si>
    <t>Monitor</t>
  </si>
  <si>
    <t>No</t>
  </si>
  <si>
    <t>Resolve 'Uses URL Parameters' using content best practices and validate in the related detail tab.</t>
  </si>
  <si>
    <t>Image Filename Quality Issues</t>
  </si>
  <si>
    <t>Resolve 'Image Filename Quality Issues' using content best practices and validate in the related detail tab.</t>
  </si>
  <si>
    <t>No Compression Header</t>
  </si>
  <si>
    <t>Resolve 'No Compression Header' using content best practices and validate in the related detail tab.</t>
  </si>
  <si>
    <t>No Cache-Control Header</t>
  </si>
  <si>
    <t>Resolve 'No Cache-Control Header' using content best practices and validate in the related detail tab.</t>
  </si>
  <si>
    <t>INP Above 100ms</t>
  </si>
  <si>
    <t>Resolve 'INP Above 100ms' using content best practices and validate in the related detail tab.</t>
  </si>
  <si>
    <t>CLS Above 0.1</t>
  </si>
  <si>
    <t>Resolve 'CLS Above 0.1' using content best practices and validate in the related detail tab.</t>
  </si>
  <si>
    <t>Low Regional Authority</t>
  </si>
  <si>
    <t>Resolve 'Low Regional Authority' using content best practices and validate in the related detail tab.</t>
  </si>
  <si>
    <t>llms.txt Missing</t>
  </si>
  <si>
    <t>Resolve 'llms.txt Missing' using content best practices and validate in the related detail tab.</t>
  </si>
  <si>
    <t>Thin Content</t>
  </si>
  <si>
    <t>https://africanmarketingconfederation.org/
https://africanmarketingconfederation.org/about-us
https://africanmarketingconfederation.org/amc-conference-2022-prospectus
https://africanmarketingconfederation.org/amc-conference-2022
https://africanmarketingconfederation.org/amc-conference-2023/amc-awards-book-now</t>
  </si>
  <si>
    <t>Expand page with helpful, unique, intent-matching content.</t>
  </si>
  <si>
    <t>Insufficient body content for indexing confidence.</t>
  </si>
  <si>
    <t>Resolve 'Thin Content' using content best practices and validate in the related detail tab.</t>
  </si>
  <si>
    <t>Generic Anchor Text Present</t>
  </si>
  <si>
    <t>Resolve 'Generic Anchor Text Present' using content best practices and validate in the related detail tab.</t>
  </si>
  <si>
    <t>No ETag Header</t>
  </si>
  <si>
    <t>Resolve 'No ETag Header' using content best practices and validate in the related detail tab.</t>
  </si>
  <si>
    <t>No Question Headings</t>
  </si>
  <si>
    <t>Add clear question-style headings (especially H2/H3) for key intents.</t>
  </si>
  <si>
    <t>Headings are not phrased as user questions.</t>
  </si>
  <si>
    <t>Resolve 'No Question Headings' using content best practices and validate in the related detail tab.</t>
  </si>
  <si>
    <t>No Answer-Friendly Structure</t>
  </si>
  <si>
    <t>Introduce structured bullets, ordered steps, or tables for key answers.</t>
  </si>
  <si>
    <t>Page lacks lists/tables that help concise answer extraction.</t>
  </si>
  <si>
    <t>Resolve 'No Answer-Friendly Structure' using content best practices and validate in the related detail tab.</t>
  </si>
  <si>
    <t>No 40-60 Word Answer Paragraphs</t>
  </si>
  <si>
    <t>Add a direct 30-60 word answer summary near question headings.</t>
  </si>
  <si>
    <t>No concise answer-length paragraph detected.</t>
  </si>
  <si>
    <t>Resolve 'No 40-60 Word Answer Paragraphs' using content best practices and validate in the related detail tab.</t>
  </si>
  <si>
    <t>AI Crawlers Not Explicitly Allowed</t>
  </si>
  <si>
    <t>Resolve 'AI Crawlers Not Explicitly Allowed' using content best practices and validate in the related detail tab.</t>
  </si>
  <si>
    <t>Health Icon</t>
  </si>
  <si>
    <t>Status Code</t>
  </si>
  <si>
    <t>Load Time (s)</t>
  </si>
  <si>
    <t>Title</t>
  </si>
  <si>
    <t>Word Count (Body)</t>
  </si>
  <si>
    <t>SEO Health Score</t>
  </si>
  <si>
    <t>Severity Badge</t>
  </si>
  <si>
    <t>Extraction State</t>
  </si>
  <si>
    <t>Extraction Source</t>
  </si>
  <si>
    <t>Title Length</t>
  </si>
  <si>
    <t>Meta Desc Length</t>
  </si>
  <si>
    <t>OG-Image</t>
  </si>
  <si>
    <t>Has Valid JSON-LD</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</si>
  <si>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</si>
  <si>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</si>
  <si>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</si>
  <si>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</si>
  <si>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</si>
  <si>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</si>
  <si>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</si>
  <si>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</si>
  <si>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</si>
  <si>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</si>
  <si>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</si>
  <si>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</si>
  <si>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</si>
  <si>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</si>
  <si>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</si>
  <si>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</si>
  <si>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Desktop PSI Score</t>
  </si>
  <si>
    <t>Mobile PSI Score</t>
  </si>
  <si>
    <t>Mobile LCP (s)</t>
  </si>
  <si>
    <t>Mobile CLS</t>
  </si>
  <si>
    <t>Mobile TTFB (s)</t>
  </si>
  <si>
    <t>GSC Clicks</t>
  </si>
  <si>
    <t>GSC Impressions</t>
  </si>
  <si>
    <t>GSC CTR</t>
  </si>
  <si>
    <t>GSC Avg Position</t>
  </si>
  <si>
    <t>Click Depth</t>
  </si>
  <si>
    <t>Orphan Pages</t>
  </si>
  <si>
    <t>Internal PageRank</t>
  </si>
  <si>
    <t>Found via Sitemap</t>
  </si>
  <si>
    <t>Found via Crawl</t>
  </si>
  <si>
    <t>Discovery Source</t>
  </si>
  <si>
    <t>Technical View</t>
  </si>
  <si>
    <t>FAIL 🔴</t>
  </si>
  <si>
    <t>Indexable</t>
  </si>
  <si>
    <t>partial</t>
  </si>
  <si>
    <t>rendered_browser</t>
  </si>
  <si>
    <t>Lab</t>
  </si>
  <si>
    <t>Both</t>
  </si>
  <si>
    <t>Status Class</t>
  </si>
  <si>
    <t>Indexability Reason</t>
  </si>
  <si>
    <t>TTFB (ms)</t>
  </si>
  <si>
    <t>Total Request Time (ms)</t>
  </si>
  <si>
    <t>Final URL</t>
  </si>
  <si>
    <t>Canonical URL</t>
  </si>
  <si>
    <t>Canonical Type</t>
  </si>
  <si>
    <t>Protocol</t>
  </si>
  <si>
    <t>Redirect Chain Length</t>
  </si>
  <si>
    <t>Redirect Target</t>
  </si>
  <si>
    <t>Redirect Hops</t>
  </si>
  <si>
    <t>HTTP-&gt;HTTPS Redirect</t>
  </si>
  <si>
    <t>Content-Type</t>
  </si>
  <si>
    <t>HTTP Version</t>
  </si>
  <si>
    <t>HTML Size (KB)</t>
  </si>
  <si>
    <t>Compression Enabled</t>
  </si>
  <si>
    <t>Cache-Control</t>
  </si>
  <si>
    <t>ETag</t>
  </si>
  <si>
    <t>X-Robots-Tag</t>
  </si>
  <si>
    <t>Meta Robots Raw</t>
  </si>
  <si>
    <t>Canonical Matches Final URL</t>
  </si>
  <si>
    <t>Canonical Absolute URL</t>
  </si>
  <si>
    <t>Canonical in Sitemap Match</t>
  </si>
  <si>
    <t>Hreflang Present</t>
  </si>
  <si>
    <t>Hreflang Count</t>
  </si>
  <si>
    <t>Hreflang Self Reference</t>
  </si>
  <si>
    <t>Hreflang Reciprocal Check</t>
  </si>
  <si>
    <t>Hreflang Canonical Consistency</t>
  </si>
  <si>
    <t>x-default Present</t>
  </si>
  <si>
    <t>Pagination rel=next</t>
  </si>
  <si>
    <t>Pagination rel=prev</t>
  </si>
  <si>
    <t>Last-Modified</t>
  </si>
  <si>
    <t>Published Date</t>
  </si>
  <si>
    <t>Modified Date</t>
  </si>
  <si>
    <t>Last Updated</t>
  </si>
  <si>
    <t>Change Frequency</t>
  </si>
  <si>
    <t>Priority</t>
  </si>
  <si>
    <t>Schema Types Count</t>
  </si>
  <si>
    <t>Schema Types Found</t>
  </si>
  <si>
    <t>Internal Links Count</t>
  </si>
  <si>
    <t>Unique Internal Links Count</t>
  </si>
  <si>
    <t>External Links Count</t>
  </si>
  <si>
    <t>AI Crawlers Allowed (GPTBot/ClaudeBot/PerplexityBot)</t>
  </si>
  <si>
    <t>llms.txt Present</t>
  </si>
  <si>
    <t>CWV Data Source</t>
  </si>
  <si>
    <t>Internal Inlinks</t>
  </si>
  <si>
    <t>Regional Entity Hits</t>
  </si>
  <si>
    <t>Answer Block Detected (First 60 Words)</t>
  </si>
  <si>
    <t>AEO Extractability Score</t>
  </si>
  <si>
    <t>Critical Issues Count</t>
  </si>
  <si>
    <t>Warning Issues Count</t>
  </si>
  <si>
    <t>Observation Issues Count</t>
  </si>
  <si>
    <t>Inlinks Bucket</t>
  </si>
  <si>
    <t>Important But Underlinked</t>
  </si>
  <si>
    <t>SERP Title Truncation Risk</t>
  </si>
  <si>
    <t>SERP Meta Truncation Risk</t>
  </si>
  <si>
    <t>SERP Title Pixel Approx</t>
  </si>
  <si>
    <t>SERP Meta Pixel Approx</t>
  </si>
  <si>
    <t>Cannibalization Hint</t>
  </si>
  <si>
    <t>Stable Issue IDs</t>
  </si>
  <si>
    <t>URL Depth</t>
  </si>
  <si>
    <t>Param URL Flag</t>
  </si>
  <si>
    <t>2xx</t>
  </si>
  <si>
    <t>self</t>
  </si>
  <si>
    <t>https</t>
  </si>
  <si>
    <t>text/html; charset=UTF-8</t>
  </si>
  <si>
    <t>HTTP/1.1</t>
  </si>
  <si>
    <t>max-age=0</t>
  </si>
  <si>
    <t>max-image-preview:large</t>
  </si>
  <si>
    <t>2026-04-29T08:23:06+00:00</t>
  </si>
  <si>
    <t>always</t>
  </si>
  <si>
    <t>1</t>
  </si>
  <si>
    <t>3-10</t>
  </si>
  <si>
    <t>https://africanmarketingconfederation.org/::broken_internal_links | https://africanmarketingconfederation.org/::multiple_h1 | https://africanmarketingconfederation.org/::low_image_alt_coverage | https://africanmarketingconfederation.org/::low_aeo_readiness_score | https://africanmarketingconfederation.org/::generic_anchor_text_present | https://africanmarketingconfederation.org/::no_etag_header | https://africanmarketingconfederation.org/::thin_content | https://africanmarketingconfederation.org/::no_question_headings | https://africanmarketingconfederation.org/::no_answer-friendly_structure | https://africanmarketingconfederation.org/::no_40-60_word_answer_paragraphs | https://africanmarketingconfederation.org/::ai_crawlers_not_explicitly_allowed</t>
  </si>
  <si>
    <t>2026-04-17T08:53:24+00:00</t>
  </si>
  <si>
    <t>weekly</t>
  </si>
  <si>
    <t>0.7</t>
  </si>
  <si>
    <t>https://africanmarketingconfederation.org/about-us::broken_internal_links | https://africanmarketingconfederation.org/about-us::low_image_alt_coverage | https://africanmarketingconfederation.org/about-us::low_aeo_readiness_score | https://africanmarketingconfederation.org/about-us::no_etag_header | https://africanmarketingconfederation.org/about-us::thin_content | https://africanmarketingconfederation.org/about-us::no_question_headings | https://africanmarketingconfederation.org/about-us::no_answer-friendly_structure | https://africanmarketingconfederation.org/about-us::no_40-60_word_answer_paragraphs | https://africanmarketingconfederation.org/about-us::ai_crawlers_not_explicitly_allowed</t>
  </si>
  <si>
    <t>2026-04-17T08:55:48+00:00</t>
  </si>
  <si>
    <t>https://africanmarketingconfederation.org/african-marketing-confederation-tourism-chapter::broken_internal_links | https://africanmarketingconfederation.org/african-marketing-confederation-tourism-chapter::multiple_h1 | https://africanmarketingconfederation.org/african-marketing-confederation-tourism-chapter::low_image_alt_coverage | https://africanmarketingconfederation.org/african-marketing-confederation-tourism-chapter::low_aeo_readiness_score | https://africanmarketingconfederation.org/african-marketing-confederation-tourism-chapter::no_etag_header | https://africanmarketingconfederation.org/african-marketing-confederation-tourism-chapter::no_question_headings | https://africanmarketingconfederation.org/african-marketing-confederation-tourism-chapter::no_answer-friendly_structure | https://africanmarketingconfederation.org/african-marketing-confederation-tourism-chapter::no_40-60_word_answer_paragraphs | https://africanmarketingconfederation.org/african-marketing-confederation-tourism-chapter::ai_crawlers_not_explicitly_allowed</t>
  </si>
  <si>
    <t>2025-04-24T13:54:46+00:00</t>
  </si>
  <si>
    <t>0</t>
  </si>
  <si>
    <t>https://africanmarketingconfederation.org/amc-awards-2024::broken_internal_links | https://africanmarketingconfederation.org/amc-awards-2024::multiple_h1 | https://africanmarketingconfederation.org/amc-awards-2024::low_image_alt_coverage | https://africanmarketingconfederation.org/amc-awards-2024::low_aeo_readiness_score | https://africanmarketingconfederation.org/amc-awards-2024::no_etag_header | https://africanmarketingconfederation.org/amc-awards-2024::no_question_headings | https://africanmarketingconfederation.org/amc-awards-2024::no_answer-friendly_structure | https://africanmarketingconfederation.org/amc-awards-2024::no_40-60_word_answer_paragraphs | https://africanmarketingconfederation.org/amc-awards-2024::ai_crawlers_not_explicitly_allowed</t>
  </si>
  <si>
    <t>2026-01-21T00:07:32+00:00</t>
  </si>
  <si>
    <t>https://africanmarketingconfederation.org/amc-conference-2022::broken_internal_links | https://africanmarketingconfederation.org/amc-conference-2022::missing_h1 | https://africanmarketingconfederation.org/amc-conference-2022::low_image_alt_coverage | https://africanmarketingconfederation.org/amc-conference-2022::low_aeo_readiness_score | https://africanmarketingconfederation.org/amc-conference-2022::no_etag_header | https://africanmarketingconfederation.org/amc-conference-2022::thin_content | https://africanmarketingconfederation.org/amc-conference-2022::no_question_headings | https://africanmarketingconfederation.org/amc-conference-2022::no_answer-friendly_structure | https://africanmarketingconfederation.org/amc-conference-2022::no_40-60_word_answer_paragraphs | https://africanmarketingconfederation.org/amc-conference-2022::ai_crawlers_not_explicitly_allowed</t>
  </si>
  <si>
    <t>2025-07-14T07:22:03+00:00</t>
  </si>
  <si>
    <t>https://africanmarketingconfederation.org/amc-conference-2022-prospectus::broken_internal_links | https://africanmarketingconfederation.org/amc-conference-2022-prospectus::missing_h1 | https://africanmarketingconfederation.org/amc-conference-2022-prospectus::low_image_alt_coverage | https://africanmarketingconfederation.org/amc-conference-2022-prospectus::low_aeo_readiness_score | https://africanmarketingconfederation.org/amc-conference-2022-prospectus::no_etag_header | https://africanmarketingconfederation.org/amc-conference-2022-prospectus::thin_content | https://africanmarketingconfederation.org/amc-conference-2022-prospectus::no_question_headings | https://africanmarketingconfederation.org/amc-conference-2022-prospectus::no_answer-friendly_structure | https://africanmarketingconfederation.org/amc-conference-2022-prospectus::no_40-60_word_answer_paragraphs | https://africanmarketingconfederation.org/amc-conference-2022-prospectus::ai_crawlers_not_explicitly_allowed</t>
  </si>
  <si>
    <t>2021-11-26T08:41:00+00:00</t>
  </si>
  <si>
    <t>https://africanmarketingconfederation.org/amc-conference-2022-thank-you::broken_internal_links | https://africanmarketingconfederation.org/amc-conference-2022-thank-you::missing_h1 | https://africanmarketingconfederation.org/amc-conference-2022-thank-you::low_image_alt_coverage | https://africanmarketingconfederation.org/amc-conference-2022-thank-you::low_aeo_readiness_score | https://africanmarketingconfederation.org/amc-conference-2022-thank-you::no_etag_header | https://africanmarketingconfederation.org/amc-conference-2022-thank-you::no_question_headings | https://africanmarketingconfederation.org/amc-conference-2022-thank-you::no_answer-friendly_structure | https://africanmarketingconfederation.org/amc-conference-2022-thank-you::no_40-60_word_answer_paragraphs | https://africanmarketingconfederation.org/amc-conference-2022-thank-you::ai_crawlers_not_explicitly_allowed</t>
  </si>
  <si>
    <t>2025-03-03T07:59:34+00:00</t>
  </si>
  <si>
    <t>1-2</t>
  </si>
  <si>
    <t>https://africanmarketingconfederation.org/amc-conference-2023::broken_internal_links | https://africanmarketingconfederation.org/amc-conference-2023::low_image_alt_coverage | https://africanmarketingconfederation.org/amc-conference-2023::low_aeo_readiness_score | https://africanmarketingconfederation.org/amc-conference-2023::no_etag_header | https://africanmarketingconfederation.org/amc-conference-2023::no_question_headings | https://africanmarketingconfederation.org/amc-conference-2023::no_answer-friendly_structure | https://africanmarketingconfederation.org/amc-conference-2023::no_40-60_word_answer_paragraphs | https://africanmarketingconfederation.org/amc-conference-2023::ai_crawlers_not_explicitly_allowed</t>
  </si>
  <si>
    <t>2023-11-23T11:51:22+00:00</t>
  </si>
  <si>
    <t>https://africanmarketingconfederation.org/amc-conference-2023/amc-awards::broken_internal_links | https://africanmarketingconfederation.org/amc-conference-2023/amc-awards::low_image_alt_coverage | https://africanmarketingconfederation.org/amc-conference-2023/amc-awards::low_aeo_readiness_score | https://africanmarketingconfederation.org/amc-conference-2023/amc-awards::no_etag_header | https://africanmarketingconfederation.org/amc-conference-2023/amc-awards::no_question_headings | https://africanmarketingconfederation.org/amc-conference-2023/amc-awards::no_answer-friendly_structure | https://africanmarketingconfederation.org/amc-conference-2023/amc-awards::no_40-60_word_answer_paragraphs | https://africanmarketingconfederation.org/amc-conference-2023/amc-awards::ai_crawlers_not_explicitly_allowed</t>
  </si>
  <si>
    <t>2023-08-22T14:14:41+00:00</t>
  </si>
  <si>
    <t>https://africanmarketingconfederation.org/amc-conference-2023/amc-awards-book-now::broken_internal_links | https://africanmarketingconfederation.org/amc-conference-2023/amc-awards-book-now::missing_meta_description | https://africanmarketingconfederation.org/amc-conference-2023/amc-awards-book-now::missing_h1 | https://africanmarketingconfederation.org/amc-conference-2023/amc-awards-book-now::low_image_alt_coverage | https://africanmarketingconfederation.org/amc-conference-2023/amc-awards-book-now::low_aeo_readiness_score | https://africanmarketingconfederation.org/amc-conference-2023/amc-awards-book-now::no_etag_header | https://africanmarketingconfederation.org/amc-conference-2023/amc-awards-book-now::thin_content | https://africanmarketingconfederation.org/amc-conference-2023/amc-awards-book-now::no_question_headings | https://africanmarketingconfederation.org/amc-conference-2023/amc-awards-book-now::no_answer-friendly_structure | https://africanmarketingconfederation.org/amc-conference-2023/amc-awards-book-now::no_40-60_word_answer_paragraphs | https://africanmarketingconfederation.org/amc-conference-2023/amc-awards-book-now::ai_crawlers_not_explicitly_allowed</t>
  </si>
  <si>
    <t>Word Count</t>
  </si>
  <si>
    <t>Word Count Band</t>
  </si>
  <si>
    <t>Readability (Rough Flesch)</t>
  </si>
  <si>
    <t>H1 Count</t>
  </si>
  <si>
    <t>Missing H1 Flag</t>
  </si>
  <si>
    <t>Multiple H1 Flag</t>
  </si>
  <si>
    <t>Title Missing</t>
  </si>
  <si>
    <t>Meta Description Missing</t>
  </si>
  <si>
    <t>Thin Content Flag</t>
  </si>
  <si>
    <t>Sentence Count</t>
  </si>
  <si>
    <t>Body Text-to-HTML Ratio</t>
  </si>
  <si>
    <t>OK</t>
  </si>
  <si>
    <t>Thin</t>
  </si>
  <si>
    <t>Strong</t>
  </si>
  <si>
    <t>AEO Readiness Score</t>
  </si>
  <si>
    <t>AEO Badge</t>
  </si>
  <si>
    <t>FAQ Section Count</t>
  </si>
  <si>
    <t>Question Heading Count</t>
  </si>
  <si>
    <t>Paragraphs 40-60 Words Count</t>
  </si>
  <si>
    <t>QAPage/FAQ Schema Present</t>
  </si>
  <si>
    <t>Speakable Schema Present</t>
  </si>
  <si>
    <t>HowTo Signal</t>
  </si>
  <si>
    <t>Definition Signal</t>
  </si>
  <si>
    <t>List/Table Answer Signal</t>
  </si>
  <si>
    <t>Snippet Preview Mockup</t>
  </si>
  <si>
    <t>Needs Work</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</si>
  <si>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</si>
  <si>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</si>
  <si>
    <t>Schema Parse Errors</t>
  </si>
  <si>
    <t>OG Title</t>
  </si>
  <si>
    <t>OG Description</t>
  </si>
  <si>
    <t>Open Graph Complete</t>
  </si>
  <si>
    <t>Twitter Card Type</t>
  </si>
  <si>
    <t>summary_large_image</t>
  </si>
  <si>
    <t>Home page of the african marketing confederation</t>
  </si>
  <si>
    <t>The 2026 AMC Conference Meets the Mighty Victoria Falls 23-25 September | Livingstone, Zambia Sign Up for Updates The 2026 AMC Conference Meets the Mighty Victoria Falls 23-25 September | Livingstone, Zambia Sign Up for Updates Certified Professional Marketer (Africa) - CPM(A) The designation where global marketing standards meet African realities Learn More ABOUT The</t>
  </si>
  <si>
    <t>Broken Internal Links Count</t>
  </si>
  <si>
    <t>Unresolved Internal Links Count</t>
  </si>
  <si>
    <t>Generic Anchor Text Count</t>
  </si>
  <si>
    <t>Nofollow Internal Links Count</t>
  </si>
  <si>
    <t>Nofollow External Links Count</t>
  </si>
  <si>
    <t>Internal Link Statuses</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</si>
  <si>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</si>
  <si>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https://africanmarketingconfederation.org/chatgpt-ads-in-africa-a-game-changer-or-a-trust-gamble =&gt; 200 | https://africanmarketingconfederation.org/contact-us =&gt; 200 | https://africanmarketingconfederation.org/education =&gt; 200 | https://africanmarketingconfederation.org/european-marketers-gather-to-choose-their-top-achievers-for-2026 =&gt; 200 | https://africanmarketingconfederation.org/members =&gt; 200 | https://africanmarketingconfederation.org/namibia-bets-on-walvis-bay-port-as-increasingly-viable-alternative =&gt; 200 | https://africanmarketingconfederation.org/news-articles =&gt; 200 | https://africanmarketingconfederation.org/omnicom-media-study-warns-negative-reach-can-undermine-ad-campaigns =&gt; 200 | https://africanmarketingconfederation.org/out-now-new-issue-brings-latest-news-and-insights-for-africas-marketers =&gt; 200 | https://africanmarketingconfederation.org/privacy-policy =&gt; 200 | https://africanmarketingconfederation.org/publications-2 =&gt; 200 | https://africanmarketingconfederation.org/report-identifies-five-forces-influencing-global-purchasing-decisions =&gt; 200 | https://africanmarketingconfederation.org/sub-committees =&gt; 200 | https://africanmarketingconfederation.org/subscribe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</si>
  <si>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</si>
  <si>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</si>
  <si>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</si>
  <si>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</si>
  <si>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</si>
  <si>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</si>
  <si>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Redirect Loop Flag</t>
  </si>
  <si>
    <t>Business Risk Score</t>
  </si>
  <si>
    <t>Revenue Intent</t>
  </si>
  <si>
    <t>Why Prioritized</t>
  </si>
  <si>
    <t>Open in Technical</t>
  </si>
  <si>
    <t>Standard</t>
  </si>
  <si>
    <t>Has critical issues | Broken internal links</t>
  </si>
  <si>
    <t>WordPress Post ID</t>
  </si>
  <si>
    <t>Direct Edit Link</t>
  </si>
  <si>
    <t>AIOSEO Panel</t>
  </si>
  <si>
    <t>Issue</t>
  </si>
  <si>
    <t>Current Value</t>
  </si>
  <si>
    <t>Recommended Target</t>
  </si>
  <si>
    <t>How to Fix in AIOSEO</t>
  </si>
  <si>
    <t>Reference Tab</t>
  </si>
  <si>
    <t>Reference Field</t>
  </si>
  <si>
    <t>Stable Issue ID</t>
  </si>
  <si>
    <t>https://africanmarketingconfederation.org/wp-admin/post.php?post=8&amp;action=edit</t>
  </si>
  <si>
    <t>Broken internal links</t>
  </si>
  <si>
    <t>Replace dead links with live targets, or remove them in the page editor.</t>
  </si>
  <si>
    <t>https://africanmarketingconfederation.org/::aioseo_broken_internal_links</t>
  </si>
  <si>
    <t>Broken links waste crawl budget and degrade user experience.</t>
  </si>
  <si>
    <t>https://africanmarketingconfederation.org/wp-admin/post.php?post=84&amp;action=edit</t>
  </si>
  <si>
    <t>https://africanmarketingconfederation.org/about-us::aioseo_broken_internal_links</t>
  </si>
  <si>
    <t>https://africanmarketingconfederation.org/wp-admin/post.php?post=28165&amp;action=edit</t>
  </si>
  <si>
    <t>https://africanmarketingconfederation.org/african-marketing-confederation-tourism-chapter::aioseo_broken_internal_links</t>
  </si>
  <si>
    <t>https://africanmarketingconfederation.org/wp-admin/post.php?post=16125&amp;action=edit</t>
  </si>
  <si>
    <t>https://africanmarketingconfederation.org/amc-awards-2024::aioseo_broken_internal_links</t>
  </si>
  <si>
    <t>https://africanmarketingconfederation.org/wp-admin/post.php?post=4494&amp;action=edit</t>
  </si>
  <si>
    <t>https://africanmarketingconfederation.org/amc-conference-2022::aioseo_broken_internal_links</t>
  </si>
  <si>
    <t>https://africanmarketingconfederation.org/wp-admin/post.php?post=5619&amp;action=edit</t>
  </si>
  <si>
    <t>https://africanmarketingconfederation.org/amc-conference-2022-prospectus::aioseo_broken_internal_links</t>
  </si>
  <si>
    <t>https://africanmarketingconfederation.org/wp-admin/post.php?post=4941&amp;action=edit</t>
  </si>
  <si>
    <t>https://africanmarketingconfederation.org/amc-conference-2022-thank-you::aioseo_broken_internal_links</t>
  </si>
  <si>
    <t>https://africanmarketingconfederation.org/wp-admin/post.php?post=12371&amp;action=edit</t>
  </si>
  <si>
    <t>https://africanmarketingconfederation.org/amc-conference-2023::aioseo_broken_internal_links</t>
  </si>
  <si>
    <t>https://africanmarketingconfederation.org/wp-admin/post.php?post=12954&amp;action=edit</t>
  </si>
  <si>
    <t>https://africanmarketingconfederation.org/amc-conference-2023/amc-awards::aioseo_broken_internal_links</t>
  </si>
  <si>
    <t>https://africanmarketingconfederation.org/wp-admin/post.php?post=13164&amp;action=edit</t>
  </si>
  <si>
    <t>https://africanmarketingconfederation.org/amc-conference-2023/amc-awards-book-now::aioseo_broken_internal_links</t>
  </si>
  <si>
    <t>Basic SEO</t>
  </si>
  <si>
    <t>Missing meta description</t>
  </si>
  <si>
    <t>Missing</t>
  </si>
  <si>
    <t>120-160 characters</t>
  </si>
  <si>
    <t>In AIOSEO snippet settings, add a concise, unique meta description aligned to page intent.</t>
  </si>
  <si>
    <t>https://africanmarketingconfederation.org/amc-conference-2023/amc-awards-book-now::aioseo_missing_meta_description</t>
  </si>
  <si>
    <t>Missing descriptions reduce control over search snippet messaging.</t>
  </si>
  <si>
    <t>Low AEO readiness score</t>
  </si>
  <si>
    <t>&gt;=60</t>
  </si>
  <si>
    <t>Add concise answer blocks, question-led subheadings, and clear structured sections.</t>
  </si>
  <si>
    <t>https://africanmarketingconfederation.org/::aioseo_low_aeo_readiness_score</t>
  </si>
  <si>
    <t>Weak answer-style structure lowers AI/answer-engine retrieval potential.</t>
  </si>
  <si>
    <t>https://africanmarketingconfederation.org/about-us::aioseo_low_aeo_readiness_score</t>
  </si>
  <si>
    <t>https://africanmarketingconfederation.org/african-marketing-confederation-tourism-chapter::aioseo_low_aeo_readiness_score</t>
  </si>
  <si>
    <t>https://africanmarketingconfederation.org/amc-awards-2024::aioseo_low_aeo_readiness_score</t>
  </si>
  <si>
    <t>https://africanmarketingconfederation.org/amc-conference-2022::aioseo_low_aeo_readiness_score</t>
  </si>
  <si>
    <t>https://africanmarketingconfederation.org/amc-conference-2022-prospectus::aioseo_low_aeo_readiness_score</t>
  </si>
  <si>
    <t>https://africanmarketingconfederation.org/amc-conference-2022-thank-you::aioseo_low_aeo_readiness_score</t>
  </si>
  <si>
    <t>https://africanmarketingconfederation.org/amc-conference-2023::aioseo_low_aeo_readiness_score</t>
  </si>
  <si>
    <t>https://africanmarketingconfederation.org/amc-conference-2023/amc-awards::aioseo_low_aeo_readiness_score</t>
  </si>
  <si>
    <t>https://africanmarketingconfederation.org/amc-conference-2023/amc-awards-book-now::aioseo_low_aeo_readiness_score</t>
  </si>
  <si>
    <t>Readability</t>
  </si>
  <si>
    <t>Low image alt coverage</t>
  </si>
  <si>
    <t>&gt;=80%</t>
  </si>
  <si>
    <t>Add descriptive alt text to meaningful images in the page editor/media fields.</t>
  </si>
  <si>
    <t>Image Alt Coverage (%)</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</si>
  <si>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</si>
  <si>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</si>
  <si>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</si>
  <si>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</si>
  <si>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</si>
  <si>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</si>
  <si>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</si>
  <si>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</si>
  <si>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</si>
  <si>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https://africanmarketingconfederation.org/african-marketing-confederation-tourism-chapter::aioseo_low_image_alt_coverage</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</si>
  <si>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</si>
  <si>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</si>
  <si>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</si>
  <si>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</si>
  <si>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</si>
  <si>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</si>
  <si>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</si>
  <si>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</si>
  <si>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</si>
  <si>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</si>
  <si>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</si>
  <si>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</si>
  <si>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</si>
  <si>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</si>
  <si>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</si>
  <si>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</si>
  <si>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</si>
  <si>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</si>
  <si>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Schema</t>
  </si>
  <si>
    <t>No schema markup detected</t>
  </si>
  <si>
    <t>At least one relevant schema type</t>
  </si>
  <si>
    <t>In AIOSEO schema settings for the page, add the most relevant type (Article/FAQ/HowTo/Product, etc.).</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</si>
  <si>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</si>
  <si>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</si>
  <si>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</si>
  <si>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</si>
  <si>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</si>
  <si>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</si>
  <si>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</si>
  <si>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</si>
  <si>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</si>
  <si>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</si>
  <si>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</si>
  <si>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</si>
  <si>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</si>
  <si>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</si>
  <si>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</si>
  <si>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</si>
  <si>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</si>
  <si>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</si>
  <si>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</si>
  <si>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</si>
  <si>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</si>
  <si>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</si>
  <si>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No concise answer paragraph (40-60 words)</t>
  </si>
  <si>
    <t>&gt;=1 concise answer block</t>
  </si>
  <si>
    <t>Add a direct 40-60 word answer immediately below key question headings.</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</si>
  <si>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</si>
  <si>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</si>
  <si>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</si>
  <si>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</si>
  <si>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</si>
  <si>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</si>
  <si>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</si>
  <si>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</si>
  <si>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</si>
  <si>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</si>
  <si>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</si>
  <si>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Multiple H1 headings</t>
  </si>
  <si>
    <t>Exactly 1 H1</t>
  </si>
  <si>
    <t>Keep one primary H1, convert remaining top-level headings to H2/H3 where appropriate.</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</si>
  <si>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</si>
  <si>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</si>
  <si>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</si>
  <si>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</si>
  <si>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</si>
  <si>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</si>
  <si>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</si>
  <si>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</si>
  <si>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</si>
  <si>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</si>
  <si>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</si>
  <si>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</si>
  <si>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</si>
  <si>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</si>
  <si>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</si>
  <si>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</si>
  <si>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</si>
  <si>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</si>
  <si>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No FAQ/QA schema</t>
  </si>
  <si>
    <t>True when page has Q&amp;A intent</t>
  </si>
  <si>
    <t>If content is Q&amp;A style, add FAQPage/QAPage schema in AIOSEO and keep markup aligned with on-page content.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</si>
  <si>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</si>
  <si>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</si>
  <si>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</si>
  <si>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</si>
  <si>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</si>
  <si>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</si>
  <si>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</si>
  <si>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</si>
  <si>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</si>
  <si>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</si>
  <si>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</si>
  <si>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</si>
  <si>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</si>
  <si>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</si>
  <si>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</si>
  <si>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</si>
  <si>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</si>
  <si>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</si>
  <si>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</si>
  <si>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</si>
  <si>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Strict-Transport-Security</t>
  </si>
  <si>
    <t>Content-Security-Policy</t>
  </si>
  <si>
    <t>X-Content-Type-Options</t>
  </si>
  <si>
    <t>X-Frame-Options</t>
  </si>
  <si>
    <t>Referrer-Policy</t>
  </si>
  <si>
    <t>Permissions-Policy</t>
  </si>
  <si>
    <t>Robots.txt Accessible</t>
  </si>
  <si>
    <t>Sitemap in Robots.txt</t>
  </si>
  <si>
    <t>Robots.txt Crawl-Delay</t>
  </si>
  <si>
    <t>Robots.txt Disallow /</t>
  </si>
  <si>
    <t>Affected URL Count</t>
  </si>
  <si>
    <t>Affected URLs (sample)</t>
  </si>
  <si>
    <t>https://africanmarketingconfederation.org/african-marketing-confederation-tourism-chapter | https://africanmarketingconfederation.org/ | https://africanmarketingconfederation.org/about-us | https://africanmarketingconfederation.org/amc-awards-2024 | https://africanmarketingconfederation.org/amc-conference-2022-prospectus | https://africanmarketingconfederation.org/amc-conference-2022 | https://africanmarketingconfederation.org/amc-conference-2022-thank-you | https://africanmarketingconfederation.org/amc-conference-2023 | https://africanmarketingconfederation.org/amc-conference-2023/amc-awards | https://africanmarketingconfederation.org/amc-conference-2023/amc-awards-book-now || Full list: see AEO tab</t>
  </si>
  <si>
    <t xml:space="preserve"> || Full list: see AEO tab</t>
  </si>
  <si>
    <t>Detailed rows: see AEO tab</t>
  </si>
  <si>
    <t>Issue Counts</t>
  </si>
  <si>
    <t>https://africanmarketingconfederation.org/african-marketing-confederation-tourism-chapter | https://africanmarketingconfederation.org/ | https://africanmarketingconfederation.org/about-us | https://africanmarketingconfederation.org/amc-awards-2024 | https://africanmarketingconfederation.org/amc-conference-2022-prospectus | https://africanmarketingconfederation.org/amc-conference-2022 | https://africanmarketingconfederation.org/amc-conference-2022-thank-you | https://africanmarketingconfederation.org/amc-conference-2023 | https://africanmarketingconfederation.org/amc-conference-2023/amc-awards | https://africanmarketingconfederation.org/amc-conference-2023/amc-awards-book-now || Full list: see Technical/Links/Indexability tabs</t>
  </si>
  <si>
    <t xml:space="preserve"> || Full list: see Technical/Links/Indexability tabs</t>
  </si>
  <si>
    <t>https://africanmarketingconfederation.org/amc-conference-2022-prospectus | https://africanmarketingconfederation.org/amc-conference-2022 | https://africanmarketingconfederation.org/amc-conference-2022-thank-you | https://africanmarketingconfederation.org/amc-conference-2023/amc-awards-book-now || Full list: see Technical/Links/Indexability tabs</t>
  </si>
  <si>
    <t>https://africanmarketingconfederation.org/african-marketing-confederation-tourism-chapter | https://africanmarketingconfederation.org/ | https://africanmarketingconfederation.org/amc-awards-2024 || Full list: see Technical/Links/Indexability tabs</t>
  </si>
  <si>
    <t>https://africanmarketingconfederation.org/amc-conference-2023/amc-awards-book-now || Full list: see Technical/Links/Indexability tabs</t>
  </si>
  <si>
    <t>https://africanmarketingconfederation.org/ | https://africanmarketingconfederation.org/about-us | https://africanmarketingconfederation.org/amc-conference-2022-prospectus | https://africanmarketingconfederation.org/amc-conference-2022 | https://africanmarketingconfederation.org/amc-conference-2023/amc-awards-book-now || Full list: see Technical/Links/Indexability tabs</t>
  </si>
  <si>
    <t>https://africanmarketingconfederation.org/ || Full list: see Technical/Links/Indexability tabs</t>
  </si>
  <si>
    <t>Top 10 Critical URLs</t>
  </si>
  <si>
    <t>#1 https://africanmarketingconfederation.org/amc-conference-2023/amc-awards-book-now</t>
  </si>
  <si>
    <t>Broken Internal Links | Missing Meta Description | Missing H1 | Low Image Alt Coverage | Low AEO Readiness Score | No ETag Header | Thin Content | No Question Headings | No Answer-Friendly Structure | No 40-60 Word Answer Paragraphs | AI Crawlers Not Explicitly Allowed</t>
  </si>
  <si>
    <t>#2 https://africanmarketingconfederation.org/</t>
  </si>
  <si>
    <t>Broken Internal Links | Multiple H1 | Low Image Alt Coverage | Low AEO Readiness Score | Generic Anchor Text Present | No ETag Header | Thin Content | No Question Headings | No Answer-Friendly Structure | No 40-60 Word Answer Paragraphs | AI Crawlers Not Explicitly Allowed</t>
  </si>
  <si>
    <t>#3 https://africanmarketingconfederation.org/amc-conference-2022-prospectus</t>
  </si>
  <si>
    <t>Broken Internal Links | Missing H1 | Low Image Alt Coverage | Low AEO Readiness Score | No ETag Header | Thin Content | No Question Headings | No Answer-Friendly Structure | No 40-60 Word Answer Paragraphs | AI Crawlers Not Explicitly Allowed</t>
  </si>
  <si>
    <t>#4 https://africanmarketingconfederation.org/amc-conference-2022</t>
  </si>
  <si>
    <t>#5 https://africanmarketingconfederation.org/african-marketing-confederation-tourism-chapter</t>
  </si>
  <si>
    <t>Broken Internal Links | Multiple H1 | Low Image Alt Coverage | Low AEO Readiness Score | No ETag Header | No Question Headings | No Answer-Friendly Structure | No 40-60 Word Answer Paragraphs | AI Crawlers Not Explicitly Allowed</t>
  </si>
  <si>
    <t>#6 https://africanmarketingconfederation.org/amc-awards-2024</t>
  </si>
  <si>
    <t>#7 https://africanmarketingconfederation.org/amc-conference-2022-thank-you</t>
  </si>
  <si>
    <t>Broken Internal Links | Missing H1 | Low Image Alt Coverage | Low AEO Readiness Score | No ETag Header | No Question Headings | No Answer-Friendly Structure | No 40-60 Word Answer Paragraphs | AI Crawlers Not Explicitly Allowed</t>
  </si>
  <si>
    <t>#8 https://africanmarketingconfederation.org/about-us</t>
  </si>
  <si>
    <t>Broken Internal Links | Low Image Alt Coverage | Low AEO Readiness Score | No ETag Header | Thin Content | No Question Headings | No Answer-Friendly Structure | No 40-60 Word Answer Paragraphs | AI Crawlers Not Explicitly Allowed</t>
  </si>
  <si>
    <t>#9 https://africanmarketingconfederation.org/amc-conference-2023</t>
  </si>
  <si>
    <t>Broken Internal Links | Low Image Alt Coverage | Low AEO Readiness Score | No ETag Header | No Question Headings | No Answer-Friendly Structure | No 40-60 Word Answer Paragraphs | AI Crawlers Not Explicitly Allowed</t>
  </si>
  <si>
    <t>#10 https://africanmarketingconfederation.org/amc-conference-2023/amc-awards</t>
  </si>
  <si>
    <t>Top Issues by Template</t>
  </si>
  <si>
    <t>/amc-conference-2023/ -&gt; Broken Internal Links</t>
  </si>
  <si>
    <t>/amc-conference-2023/ -&gt; Low Image Alt Coverage</t>
  </si>
  <si>
    <t>/amc-conference-2023/ -&gt; Low AEO Readiness Score</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</si>
  <si>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</si>
  <si>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</si>
  <si>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</si>
  <si>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</si>
  <si>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</si>
  <si>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Missing Meta Description</t>
  </si>
  <si>
    <t>/amc-conference-2023/ -&gt; Missing H1</t>
  </si>
  <si>
    <t>/amc-conference-2023/ -&gt; Thin Content</t>
  </si>
  <si>
    <t>/african-marketing-confederation-tourism-chapter/ -&gt; Broken Internal Links</t>
  </si>
  <si>
    <t>/african-marketing-confederation-tourism-chapter/ -&gt; Multiple H1</t>
  </si>
  <si>
    <t>/african-marketing-confederation-tourism-chapter/ -&gt; Low Image Alt Coverage</t>
  </si>
  <si>
    <t>/african-marketing-confederation-tourism-chapter/ -&gt; Low AEO Readiness Score</t>
  </si>
  <si>
    <t>/african-marketing-confederation-tourism-chapter/ -&gt; No ETag Header</t>
  </si>
  <si>
    <t>/african-marketing-confederation-tourism-chapter/ -&gt; No Question Headings</t>
  </si>
  <si>
    <t>/african-marketing-confederation-tourism-chapter/ -&gt; No Answer-Friendly Structure</t>
  </si>
  <si>
    <t>/african-marketing-confederation-tourism-chapter/ -&gt; No 40-60 Word Answer Paragraphs</t>
  </si>
  <si>
    <t>/african-marketing-confederation-tourism-chapter/ -&gt; AI Crawlers Not Explicitly Allowed</t>
  </si>
  <si>
    <t>Source URL</t>
  </si>
  <si>
    <t>Target URL</t>
  </si>
  <si>
    <t>Anchor Text</t>
  </si>
  <si>
    <t>Rel</t>
  </si>
  <si>
    <t>Link Type</t>
  </si>
  <si>
    <t>Nofollow</t>
  </si>
  <si>
    <t>Target Status (if crawled)</t>
  </si>
  <si>
    <t>Crawlable</t>
  </si>
  <si>
    <t>Internal</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</si>
  <si>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</si>
  <si>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</si>
  <si>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</si>
  <si>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</si>
  <si>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</si>
  <si>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</si>
  <si>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</si>
  <si>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</si>
  <si>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</si>
  <si>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</si>
  <si>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</si>
  <si>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</si>
  <si>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</si>
  <si>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</si>
  <si>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</si>
  <si>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</si>
  <si>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https://africanmarketingconfederation.org/publications-2</t>
  </si>
  <si>
    <t>PUBLICATIONS</t>
  </si>
  <si>
    <t>https://africanmarketingconfederation.org/amc-conference-2026</t>
  </si>
  <si>
    <t>AMC Conference</t>
  </si>
  <si>
    <t>https://africanmarketingconfederation.org/contact-us</t>
  </si>
  <si>
    <t>CONTACT US</t>
  </si>
  <si>
    <t>http://www.africanmarketingconfederation.org/</t>
  </si>
  <si>
    <t>External</t>
  </si>
  <si>
    <t>https://africanmarketingconfederation.org/amc-conference-2025-highlights</t>
  </si>
  <si>
    <t>2025 Conference Highlights</t>
  </si>
  <si>
    <t>Strategic Marketing for AfricaMagazine</t>
  </si>
  <si>
    <t>https://www.facebook.com/The-African-Marketing-Confederation-108980418182403</t>
  </si>
  <si>
    <t>https://www.linkedin.com/company/african-marketing-confederation</t>
  </si>
  <si>
    <t>https://africanmarketingconfederation.org/privacy-policy</t>
  </si>
  <si>
    <t>© 2026 by African Marketing Confederation | Privacy Policy</t>
  </si>
  <si>
    <t>https://africanmarketingconfederation.org/amc-conference-2025-delegate-packages</t>
  </si>
  <si>
    <t>Return to Shop</t>
  </si>
  <si>
    <t>Continue Shopping</t>
  </si>
  <si>
    <t>Sign Up for Updates</t>
  </si>
  <si>
    <t>Learn More</t>
  </si>
  <si>
    <t>Read Now</t>
  </si>
  <si>
    <t>Sign Up for Updates Now</t>
  </si>
  <si>
    <t>https://africanmarketingconfederation.org/amc-conference-2025</t>
  </si>
  <si>
    <t>See all Events</t>
  </si>
  <si>
    <t>See all</t>
  </si>
  <si>
    <t>Read More</t>
  </si>
  <si>
    <t>https://africanmarketingconfederation.org/subscribe</t>
  </si>
  <si>
    <t>Subscribe</t>
  </si>
  <si>
    <t>https://africanmarketingconfederation.org/european-marketers-gather-to-choose-their-top-achievers-for-2026</t>
  </si>
  <si>
    <t>European marketers gather to choose their top achievers for 2026</t>
  </si>
  <si>
    <t>Read More »</t>
  </si>
  <si>
    <t>https://africanmarketingconfederation.org/namibia-bets-on-walvis-bay-port-as-increasingly-viable-alternative</t>
  </si>
  <si>
    <t>Namibia bets on Walvis Bay port as increasingly viable alternative</t>
  </si>
  <si>
    <t>https://africanmarketingconfederation.org/chatgpt-ads-in-africa-a-game-changer-or-a-trust-gamble</t>
  </si>
  <si>
    <t>ChatGPT ads in Africa: A game changer or a trust gamble?</t>
  </si>
  <si>
    <t>https://africanmarketingconfederation.org/report-identifies-five-forces-influencing-global-purchasing-decisions</t>
  </si>
  <si>
    <t>Report identifies five forces influencing global purchasing decisions</t>
  </si>
  <si>
    <t>https://africanmarketingconfederation.org/out-now-new-issue-brings-latest-news-and-insights-for-africas-marketers</t>
  </si>
  <si>
    <t>Out now! New issue brings latest news and insights for Africa’s marketers</t>
  </si>
  <si>
    <t>https://africanmarketingconfederation.org/omnicom-media-study-warns-negative-reach-can-undermine-ad-campaigns</t>
  </si>
  <si>
    <t>Omnicom Media study warns ‘negative reach’ can   undermine ad campaigns</t>
  </si>
  <si>
    <t>View all articles »</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</si>
  <si>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</si>
  <si>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</si>
  <si>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</si>
  <si>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</si>
  <si>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</si>
  <si>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</si>
  <si>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</si>
  <si>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GHANA 2025</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</si>
  <si>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</si>
  <si>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</si>
  <si>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</si>
  <si>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</si>
  <si>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</si>
  <si>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</si>
  <si>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</si>
  <si>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</si>
  <si>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</si>
  <si>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</si>
  <si>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https://twitter.com/connect_amc</t>
  </si>
  <si>
    <t>© 2021 by African Marketing Confederation | Privacy Policy</t>
  </si>
  <si>
    <t>https://www.formpl.us/form/2082446005</t>
  </si>
  <si>
    <t>BOOK NOW</t>
  </si>
  <si>
    <t>Privacy Policy</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</si>
  <si>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</si>
  <si>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</si>
  <si>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</si>
  <si>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</si>
  <si>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</si>
  <si>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</si>
  <si>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</si>
  <si>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</si>
  <si>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</si>
  <si>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</si>
  <si>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</si>
  <si>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</si>
  <si>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</si>
  <si>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</si>
  <si>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</si>
  <si>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</si>
  <si>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</si>
  <si>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</si>
  <si>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</si>
  <si>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</si>
  <si>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</si>
  <si>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</si>
  <si>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</si>
  <si>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</si>
  <si>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</si>
  <si>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</si>
  <si>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</si>
  <si>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</si>
  <si>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</si>
  <si>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</si>
  <si>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</si>
  <si>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</si>
  <si>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</si>
  <si>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</si>
  <si>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</si>
  <si>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</si>
  <si>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</si>
  <si>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</si>
  <si>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</si>
  <si>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</si>
  <si>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</si>
  <si>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</si>
  <si>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</si>
  <si>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</si>
  <si>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</si>
  <si>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</si>
  <si>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</si>
  <si>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</si>
  <si>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</si>
  <si>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</si>
  <si>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https://africanmarketingconfederation.org/wp-content/uploads/2021/11/AMC-2022_Prospectus-low-res.pdf</t>
  </si>
  <si>
    <t>Download the Partnership Prospectus</t>
  </si>
  <si>
    <t>https://africanmarketingconfederation.org/amc-conference-2023/programme</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</si>
  <si>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</si>
  <si>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</si>
  <si>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</si>
  <si>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</si>
  <si>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</si>
  <si>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</si>
  <si>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</si>
  <si>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</si>
  <si>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</si>
  <si>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</si>
  <si>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</si>
  <si>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</si>
  <si>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</si>
  <si>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</si>
  <si>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</si>
  <si>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</si>
  <si>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</si>
  <si>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</si>
  <si>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</si>
  <si>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</si>
  <si>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</si>
  <si>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https://africanmarketingconfederation.org/amc-conference-2023/gallery</t>
  </si>
  <si>
    <t>View Gallery</t>
  </si>
  <si>
    <t>https://africanmarketingconfederation.org/amc-conference-2023/speakers</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</si>
  <si>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</si>
  <si>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</si>
  <si>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</si>
  <si>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</si>
  <si>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</si>
  <si>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</si>
  <si>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</si>
  <si>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</si>
  <si>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</si>
  <si>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</si>
  <si>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</si>
  <si>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</si>
  <si>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</si>
  <si>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AMC Conference 2023</t>
  </si>
  <si>
    <t>Programme</t>
  </si>
  <si>
    <t>Speakers</t>
  </si>
  <si>
    <t>AMC Awards</t>
  </si>
  <si>
    <t>https://africanmarketingconfederation.org/amc-conference-2023/partners</t>
  </si>
  <si>
    <t>Partners</t>
  </si>
  <si>
    <t>Gallery</t>
  </si>
  <si>
    <t>Enquire Now</t>
  </si>
  <si>
    <t>Image Count</t>
  </si>
  <si>
    <t>Images</t>
  </si>
  <si>
    <t>Images Missing Alt</t>
  </si>
  <si>
    <t>Image Extension Distribution</t>
  </si>
  <si>
    <t>Likely Large Image Count</t>
  </si>
  <si>
    <t>Image On Canonical Domain (%)</t>
  </si>
  <si>
    <t>Mixed Content Detected</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</si>
  <si>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</si>
  <si>
    <t>jpg:1, other:2, png:20, svg:3</t>
  </si>
  <si>
    <t>/wp-content/plugins/gtranslate/flags/svg/en.svg | 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https://africanmarketingconfederation.org/wp-content/uploads/2026/04/30-April-Marketing-Awards-300x133.jpg | https://africanmarketingconfederation.org/wp-content/uploads/2026/04/30-April-Supply-Chain-300x200.jpg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</si>
  <si>
    <t>jpg:4, other:2, png:26, svg:3, webp:1</t>
  </si>
  <si>
    <t>/wp-content/plugins/gtranslate/flags/svg/en.svg | 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</si>
  <si>
    <t>other:2, png:19, svg:3</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</si>
  <si>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</si>
  <si>
    <t>jpg:11, other:2, png:27, svg:4</t>
  </si>
  <si>
    <t>/wp-content/plugins/gtranslate/flags/svg/en.svg | 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</si>
  <si>
    <t>other:2, png:4,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</si>
  <si>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</si>
  <si>
    <t>jpg:6, other:2, png:3, svg:3</t>
  </si>
  <si>
    <t>/wp-content/plugins/gtranslate/flags/svg/en.svg | 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</si>
  <si>
    <t>other:2, png:11, svg:3</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</si>
  <si>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</si>
  <si>
    <t>gif:1, jpg:23, other:2, png:12, svg:4</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</si>
  <si>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</si>
  <si>
    <t>jpg:2, other:2, png:4,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</si>
  <si>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</si>
  <si>
    <t>other:2, png:1, svg:3</t>
  </si>
  <si>
    <t>Title Duplicate Count</t>
  </si>
  <si>
    <t>Meta Description Duplicate Count</t>
  </si>
  <si>
    <t>Title Duplicate URLs</t>
  </si>
  <si>
    <t>Meta Duplicate URLs</t>
  </si>
  <si>
    <t>WHAT IS THIS? This tab detects structural flaws coded into your page templates. Fixing one template here can instantly fix hundreds of pages.</t>
  </si>
  <si>
    <t>Column_2</t>
  </si>
  <si>
    <t>Column_3</t>
  </si>
  <si>
    <t>Column_4</t>
  </si>
  <si>
    <t>Column_5</t>
  </si>
  <si>
    <t>Subfolder</t>
  </si>
  <si>
    <t>URL Count</t>
  </si>
  <si>
    <t>Systemic Issue</t>
  </si>
  <si>
    <t>Affected Ratio</t>
  </si>
  <si>
    <t>/amc-conference-2022-prospectus/</t>
  </si>
  <si>
    <t>Missing H1 is template-wide</t>
  </si>
  <si>
    <t>Update template to render exactly one descriptive H1 for each page based on page-specific title data.</t>
  </si>
  <si>
    <t>/amc-conference-2022/</t>
  </si>
  <si>
    <t>/amc-conference-2022-thank-you/</t>
  </si>
  <si>
    <t>Desktop Score</t>
  </si>
  <si>
    <t>Mobile Score</t>
  </si>
  <si>
    <t>Mobile LCP</t>
  </si>
  <si>
    <t>Mobile TTFB</t>
  </si>
  <si>
    <t>Open in Reference</t>
  </si>
  <si>
    <t>https://africanmarketingconfederation.org/african-marketing-confederation-tourism-chapter::broken_internal_links</t>
  </si>
  <si>
    <t>https://africanmarketingconfederation.org/african-marketing-confederation-tourism-chapter::multiple_h1</t>
  </si>
  <si>
    <t>https://africanmarketingconfederation.org/african-marketing-confederation-tourism-chapter::low_image_alt_coverage</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</si>
  <si>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</si>
  <si>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</si>
  <si>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</si>
  <si>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</si>
  <si>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</si>
  <si>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</si>
  <si>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https://africanmarketingconfederation.org/::broken_internal_links</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</si>
  <si>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</si>
  <si>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</si>
  <si>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</si>
  <si>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</si>
  <si>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</si>
  <si>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</si>
  <si>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</si>
  <si>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</si>
  <si>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</si>
  <si>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</si>
  <si>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https://africanmarketingconfederation.org/about-us::broken_internal_links</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</si>
  <si>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</si>
  <si>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</si>
  <si>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</si>
  <si>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</si>
  <si>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</si>
  <si>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</si>
  <si>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</si>
  <si>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</si>
  <si>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https://africanmarketingconfederation.org/amc-awards-2024::broken_internal_links</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</si>
  <si>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</si>
  <si>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</si>
  <si>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</si>
  <si>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</si>
  <si>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</si>
  <si>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</si>
  <si>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</si>
  <si>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</si>
  <si>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https://africanmarketingconfederation.org/amc-conference-2022-prospectus::broken_internal_links</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</si>
  <si>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</si>
  <si>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</si>
  <si>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</si>
  <si>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</si>
  <si>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</si>
  <si>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</si>
  <si>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</si>
  <si>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</si>
  <si>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</si>
  <si>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https://africanmarketingconfederation.org/amc-conference-2022::broken_internal_links</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</si>
  <si>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</si>
  <si>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</si>
  <si>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</si>
  <si>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</si>
  <si>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</si>
  <si>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</si>
  <si>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</si>
  <si>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</si>
  <si>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</si>
  <si>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https://africanmarketingconfederation.org/amc-conference-2022-thank-you::broken_internal_links</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</si>
  <si>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</si>
  <si>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</si>
  <si>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</si>
  <si>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</si>
  <si>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</si>
  <si>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</si>
  <si>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</si>
  <si>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</si>
  <si>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https://africanmarketingconfederation.org/amc-conference-2023::broken_internal_links</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</si>
  <si>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</si>
  <si>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</si>
  <si>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</si>
  <si>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</si>
  <si>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</si>
  <si>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</si>
  <si>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</si>
  <si>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https://africanmarketingconfederation.org/amc-conference-2023/amc-awards::broken_internal_links</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</si>
  <si>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</si>
  <si>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</si>
  <si>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</si>
  <si>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</si>
  <si>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</si>
  <si>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</si>
  <si>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</si>
  <si>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https://africanmarketingconfederation.org/amc-conference-2023/amc-awards-book-now::broken_internal_links</t>
  </si>
  <si>
    <t>https://africanmarketingconfederation.org/amc-conference-2023/amc-awards-book-now::missing_meta_description</t>
  </si>
  <si>
    <t>https://africanmarketingconfederation.org/amc-conference-2023/amc-awards-book-now::missing_h1</t>
  </si>
  <si>
    <t>https://africanmarketingconfederation.org/amc-conference-2023/amc-awards-book-now::low_image_alt_coverage</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</si>
  <si>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</si>
  <si>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</si>
  <si>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</si>
  <si>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</si>
  <si>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</si>
  <si>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</si>
  <si>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</si>
  <si>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Inlinks Count</t>
  </si>
  <si>
    <t>Inlinks URLs</t>
  </si>
  <si>
    <t>Orphan Candidate</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</si>
  <si>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</si>
  <si>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</si>
  <si>
    <t>https://africanmarketingconfederation.org/amc-conference-2023/amc-awards | https://africanmarketingconfederation.org/amc-conference-2023/amc-awards-book-now</t>
  </si>
  <si>
    <t>Sitemap URL</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</si>
  <si>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</si>
  <si>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</si>
  <si>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</si>
  <si>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</si>
  <si>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</si>
  <si>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</si>
  <si>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</si>
  <si>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</si>
  <si>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</si>
  <si>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</si>
  <si>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2026-04-29 08:23:06</t>
  </si>
  <si>
    <t>https://africanmarketingconfederation.org/page-sitemap.xml</t>
  </si>
  <si>
    <t>https://africanmarketingconfederation.org/publications-2/</t>
  </si>
  <si>
    <t>Sitemap</t>
  </si>
  <si>
    <t>2026-04-29 07:05:09</t>
  </si>
  <si>
    <t>https://africanmarketingconfederation.org/publication-download-list/</t>
  </si>
  <si>
    <t>2026-04-28 12:04:20</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</si>
  <si>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</si>
  <si>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</si>
  <si>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</si>
  <si>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</si>
  <si>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</si>
  <si>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</si>
  <si>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</si>
  <si>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</si>
  <si>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</si>
  <si>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</si>
  <si>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</si>
  <si>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</si>
  <si>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</si>
  <si>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</si>
  <si>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</si>
  <si>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</si>
  <si>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</si>
  <si>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</si>
  <si>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</si>
  <si>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</si>
  <si>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</si>
  <si>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</si>
  <si>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</si>
  <si>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</si>
  <si>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</si>
  <si>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</si>
  <si>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</si>
  <si>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</si>
  <si>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</si>
  <si>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</si>
  <si>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</si>
  <si>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</si>
  <si>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</si>
  <si>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</si>
  <si>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</si>
  <si>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</si>
  <si>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</si>
  <si>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</si>
  <si>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</si>
  <si>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</si>
  <si>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</si>
  <si>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</si>
  <si>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</si>
  <si>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</si>
  <si>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</si>
  <si>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</si>
  <si>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</si>
  <si>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</si>
  <si>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</si>
  <si>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</si>
  <si>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</si>
  <si>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</si>
  <si>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</si>
  <si>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</si>
  <si>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</si>
  <si>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</si>
  <si>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</si>
  <si>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</si>
  <si>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</si>
  <si>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</si>
  <si>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</si>
  <si>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</si>
  <si>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</si>
  <si>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</si>
  <si>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</si>
  <si>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</si>
  <si>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</si>
  <si>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</si>
  <si>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</si>
  <si>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</si>
  <si>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</si>
  <si>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</si>
  <si>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</si>
  <si>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</si>
  <si>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</si>
  <si>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</si>
  <si>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</si>
  <si>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</si>
  <si>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</si>
  <si>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</si>
  <si>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</si>
  <si>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</si>
  <si>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</si>
  <si>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</si>
  <si>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</si>
  <si>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</si>
  <si>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</si>
  <si>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</si>
  <si>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</si>
  <si>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</si>
  <si>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</si>
  <si>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</si>
  <si>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</si>
  <si>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</si>
  <si>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</si>
  <si>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</si>
  <si>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</si>
  <si>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</si>
  <si>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</si>
  <si>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</si>
  <si>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</si>
  <si>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</si>
  <si>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</si>
  <si>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</si>
  <si>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</si>
  <si>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</si>
  <si>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</si>
  <si>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</si>
  <si>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</si>
  <si>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</si>
  <si>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</si>
  <si>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</si>
  <si>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</si>
  <si>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</si>
  <si>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</si>
  <si>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</si>
  <si>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</si>
  <si>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</si>
  <si>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</si>
  <si>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</si>
  <si>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</si>
  <si>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</si>
  <si>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</si>
  <si>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</si>
  <si>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</si>
  <si>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</si>
  <si>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</si>
  <si>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</si>
  <si>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</si>
  <si>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</si>
  <si>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</si>
  <si>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</si>
  <si>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</si>
  <si>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</si>
  <si>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</si>
  <si>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</si>
  <si>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</si>
  <si>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</si>
  <si>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</si>
  <si>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</si>
  <si>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</si>
  <si>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</si>
  <si>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</si>
  <si>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</si>
  <si>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</si>
  <si>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</si>
  <si>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</si>
  <si>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</si>
  <si>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</si>
  <si>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</si>
  <si>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</si>
  <si>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</si>
  <si>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</si>
  <si>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</si>
  <si>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</si>
  <si>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</si>
  <si>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</si>
  <si>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</si>
  <si>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</si>
  <si>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</si>
  <si>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</si>
  <si>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</si>
  <si>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</si>
  <si>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</si>
  <si>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</si>
  <si>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</si>
  <si>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</si>
  <si>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</si>
  <si>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</si>
  <si>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</si>
  <si>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</si>
  <si>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</si>
  <si>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</si>
  <si>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</si>
  <si>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</si>
  <si>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</si>
  <si>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</si>
  <si>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</si>
  <si>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</si>
  <si>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</si>
  <si>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</si>
  <si>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</si>
  <si>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</si>
  <si>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</si>
  <si>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</si>
  <si>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</si>
  <si>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</si>
  <si>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</si>
  <si>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</si>
  <si>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</si>
  <si>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</si>
  <si>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</si>
  <si>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</si>
  <si>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</si>
  <si>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</si>
  <si>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</si>
  <si>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</si>
  <si>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</si>
  <si>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</si>
  <si>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</si>
  <si>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</si>
  <si>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</si>
  <si>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</si>
  <si>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</si>
  <si>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</si>
  <si>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2026-05-03 10:33:40</t>
  </si>
  <si>
    <t>Total URLs</t>
  </si>
  <si>
    <t>Mode</t>
  </si>
  <si>
    <t>Full Suite</t>
  </si>
  <si>
    <t>Workers</t>
  </si>
  <si>
    <t>Delay Seconds</t>
  </si>
  <si>
    <t>Retries</t>
  </si>
  <si>
    <t>Timeout Seconds</t>
  </si>
  <si>
    <t>Checkpoint Every</t>
  </si>
  <si>
    <t>Previous Audit Path</t>
  </si>
  <si>
    <t>Not supplied</t>
  </si>
  <si>
    <t>No resolved issues identified for this comparison run.</t>
  </si>
  <si>
    <t>Term</t>
  </si>
  <si>
    <t>Meaning</t>
  </si>
  <si>
    <t>Values/Threshold</t>
  </si>
  <si>
    <t>Related Tabs</t>
  </si>
  <si>
    <t>How To Use</t>
  </si>
  <si>
    <t>Step 1: Start on Dashboard</t>
  </si>
  <si>
    <t>Review pass rate, critical URL count, and Immediate Actions to understand overall risk first.</t>
  </si>
  <si>
    <t>5-minute executive scan</t>
  </si>
  <si>
    <t>Dashboard, Priority URLs</t>
  </si>
  <si>
    <t>Step 2: Prioritize and Assign</t>
  </si>
  <si>
    <t>Use Priority URLs and FixPlan to pick highest-impact items, assign owner, and set status/sprint.</t>
  </si>
  <si>
    <t>Work top-down by Business Risk Score</t>
  </si>
  <si>
    <t>Priority URLs, FixPlan</t>
  </si>
  <si>
    <t>Step 3: Execute and Validate</t>
  </si>
  <si>
    <t>Implement fixes, then verify by checking Technical/Indexability/AEO tabs and rerunning the audit.</t>
  </si>
  <si>
    <t>Close loop every sprint</t>
  </si>
  <si>
    <t>Technical, Indexability, AEO, AIOSEO</t>
  </si>
  <si>
    <t>Orientation</t>
  </si>
  <si>
    <t>Where to Start</t>
  </si>
  <si>
    <t>If you're short on time, work only Critical and Warning issues first, then return to Observation items.</t>
  </si>
  <si>
    <t>Critical &gt; Warning &gt; Observation</t>
  </si>
  <si>
    <t>Summary, FixPlan, Technical</t>
  </si>
  <si>
    <t>How to Track Progress</t>
  </si>
  <si>
    <t>Use Status and Owner columns as your project board; move from To Do -&gt; In Progress -&gt; Fixed.</t>
  </si>
  <si>
    <t>Update weekly</t>
  </si>
  <si>
    <t>FixPlan, AIOSEO, Priority URLs</t>
  </si>
  <si>
    <t>High-impact SEO blocker that should be fixed first.</t>
  </si>
  <si>
    <t>Immediate action</t>
  </si>
  <si>
    <t>Out-of-best-practice issue likely affecting performance.</t>
  </si>
  <si>
    <t>Plan next sprint</t>
  </si>
  <si>
    <t>Optimization opportunity or context signal.</t>
  </si>
  <si>
    <t>Backlog/monitor</t>
  </si>
  <si>
    <t>Summary, Technical</t>
  </si>
  <si>
    <t>Scoring</t>
  </si>
  <si>
    <t>Weighted technical SEO quality score per URL.</t>
  </si>
  <si>
    <t>&gt;=90 green, 70-89 orange, &lt;70 red</t>
  </si>
  <si>
    <t>Technical, Priority URLs, Dashboard</t>
  </si>
  <si>
    <t>Answer Engine Optimization readiness score per URL.</t>
  </si>
  <si>
    <t>&gt;=80 strong, 60-79 good, 40-59 fair</t>
  </si>
  <si>
    <t>Indexing</t>
  </si>
  <si>
    <t>Primary reason URL may not be indexed.</t>
  </si>
  <si>
    <t>Noindex, non-200, canonical mismatch</t>
  </si>
  <si>
    <t>Indexability, Technical</t>
  </si>
  <si>
    <t>Internal links returning 4xx/5xx or equivalent failures.</t>
  </si>
  <si>
    <t>&gt;0 flagged</t>
  </si>
  <si>
    <t>Links, LinksDetail, Priority URLs</t>
  </si>
  <si>
    <t>Body content depth class.</t>
  </si>
  <si>
    <t>Thin / OK / Strong</t>
  </si>
  <si>
    <t>Headings phrased as questions to match answer intent.</t>
  </si>
  <si>
    <t>Higher is generally better</t>
  </si>
  <si>
    <t>AEO &amp; Generative Search Terms</t>
  </si>
  <si>
    <t>Answer Engine Optimization</t>
  </si>
  <si>
    <t>The practice of structuring content so AI answer engines can reliably extract and cite direct answers.</t>
  </si>
  <si>
    <t>Answer-first formatting</t>
  </si>
  <si>
    <t>AEO, Content Optimization Hub</t>
  </si>
  <si>
    <t>Featured Snippet</t>
  </si>
  <si>
    <t>A concise answer block surfaced prominently in search results, often extracted from clear headings + short answer text.</t>
  </si>
  <si>
    <t>Direct question-answer format</t>
  </si>
  <si>
    <t>AEO, Content</t>
  </si>
  <si>
    <t>Structured data that marks up common questions and answers to improve machine readability and eligibility for rich results.</t>
  </si>
  <si>
    <t>Valid JSON-LD</t>
  </si>
  <si>
    <t>AEO, Schema &amp; Metadata</t>
  </si>
  <si>
    <t>llms.txt</t>
  </si>
  <si>
    <t>A guidance file for AI crawlers that can indicate allowed access and preferred content handling behavior.</t>
  </si>
  <si>
    <t>Present and reachable</t>
  </si>
  <si>
    <t>Technical, Security</t>
  </si>
  <si>
    <t>Entity-Based Search</t>
  </si>
  <si>
    <t>Search interpretation based on known entities (people, places, brands, topics) and their relationships, not only keywords.</t>
  </si>
  <si>
    <t>Clear entity context</t>
  </si>
  <si>
    <t>Color Key</t>
  </si>
  <si>
    <t>Green</t>
  </si>
  <si>
    <t>Pass / aligned with best practice or completed workflow item.</t>
  </si>
  <si>
    <t>Good</t>
  </si>
  <si>
    <t>All</t>
  </si>
  <si>
    <t>Orange</t>
  </si>
  <si>
    <t>Warning / in progress / medium-priority attention needed.</t>
  </si>
  <si>
    <t>Medium risk</t>
  </si>
  <si>
    <t>Red</t>
  </si>
  <si>
    <t>Failure / high-priority issue or to-do critical task.</t>
  </si>
  <si>
    <t>High risk</t>
  </si>
  <si>
    <t>Purple</t>
  </si>
  <si>
    <t>Informational edge-case or AEO category signal.</t>
  </si>
  <si>
    <t>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</si>
</sst>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4"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b/>
      <sz val="11"/>
      <color rgb="FF2F3A4A"/>
      <name val="Calibri"/>
    </font>
    <font>
      <b/>
      <u/>
      <sz val="11"/>
      <color rgb="FFFFFFFF"/>
      <name val="Calibri"/>
    </font>
  </fonts>
  <fills count="21">
    <fill>
      <patternFill patternType="none"/>
    </fill>
    <fill>
      <patternFill patternType="gray125"/>
    </fill>
    <fill>
      <patternFill patternType="solid">
        <fgColor rgb="FFD9EAD3"/>
        <bgColor rgb="FFD9EAD3"/>
      </patternFill>
    </fill>
    <fill>
      <patternFill patternType="solid">
        <fgColor rgb="FFF4CCCC"/>
        <bgColor rgb="FFF4CCCC"/>
      </patternFill>
    </fill>
    <fill>
      <patternFill patternType="solid">
        <fgColor rgb="FFF4B183"/>
        <bgColor rgb="FFF4B183"/>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BFE9E4"/>
        <bgColor rgb="FFBFE9E4"/>
      </patternFill>
    </fill>
    <fill>
      <patternFill patternType="solid">
        <fgColor rgb="FFD9D2E9"/>
        <bgColor rgb="FFD9D2E9"/>
      </patternFill>
    </fill>
    <fill>
      <patternFill patternType="solid">
        <fgColor rgb="FFFFF2CC"/>
        <bgColor rgb="FFFFF2CC"/>
      </patternFill>
    </fill>
    <fill>
      <patternFill patternType="solid">
        <fgColor rgb="FF1F4E78"/>
        <bgColor rgb="FF1F4E78"/>
      </patternFill>
    </fill>
  </fills>
  <borders count="1">
    <border>
      <left/>
      <right/>
      <top/>
      <bottom/>
      <diagonal/>
    </border>
  </borders>
  <cellStyleXfs count="2">
    <xf numFmtId="0" fontId="0" fillId="0" borderId="0"/>
    <xf numFmtId="0" fontId="1" fillId="0" borderId="0"/>
  </cellStyleXfs>
  <cellXfs count="69">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0" fillId="9" borderId="0" xfId="0" applyFont="1" applyFill="1" applyAlignment="1">
      <alignment horizontal="left" vertical="center" wrapText="1"/>
    </xf>
    <xf numFmtId="0" fontId="9" fillId="9" borderId="0" xfId="0" applyFont="1" applyFill="1" applyAlignment="1">
      <alignment horizontal="center" vertical="center" wrapText="1"/>
    </xf>
    <xf numFmtId="0" fontId="0" fillId="10" borderId="0" xfId="0" applyFill="1" applyAlignment="1">
      <alignment horizontal="center" vertical="center"/>
    </xf>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9" fillId="15" borderId="0" xfId="0" applyNumberFormat="1" applyFont="1" applyFill="1" applyAlignment="1">
      <alignment horizontal="center" vertical="center"/>
    </xf>
    <xf numFmtId="0" fontId="0" fillId="12" borderId="0" xfId="0" applyFill="1" applyAlignment="1">
      <alignment horizontal="center" vertical="center"/>
    </xf>
    <xf numFmtId="0" fontId="9" fillId="9" borderId="0" xfId="0" applyFont="1" applyFill="1" applyAlignment="1">
      <alignment horizontal="center" vertical="center"/>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0" fillId="13" borderId="0" xfId="0" applyFill="1"/>
    <xf numFmtId="0" fontId="2" fillId="13" borderId="0" xfId="0" applyFont="1" applyFill="1" applyAlignment="1">
      <alignment wrapText="1"/>
    </xf>
    <xf numFmtId="0" fontId="8" fillId="9" borderId="0" xfId="0" applyFont="1" applyFill="1" applyAlignment="1">
      <alignment horizontal="left" vertical="center" wrapText="1"/>
    </xf>
    <xf numFmtId="10" fontId="9" fillId="16" borderId="0" xfId="0" applyNumberFormat="1" applyFont="1" applyFill="1" applyAlignment="1">
      <alignment horizontal="center" vertical="center" wrapText="1"/>
    </xf>
    <xf numFmtId="0" fontId="0" fillId="10" borderId="0" xfId="0" applyFill="1"/>
    <xf numFmtId="10" fontId="0" fillId="13" borderId="0" xfId="0" applyNumberFormat="1" applyFill="1" applyAlignment="1">
      <alignment horizontal="center" vertical="center"/>
    </xf>
    <xf numFmtId="0" fontId="3" fillId="6" borderId="0" xfId="0" applyFont="1" applyFill="1" applyAlignment="1">
      <alignment horizontal="center" vertical="center" wrapText="1"/>
    </xf>
    <xf numFmtId="0" fontId="0" fillId="5" borderId="0" xfId="0" applyFill="1" applyAlignment="1">
      <alignment vertical="top"/>
    </xf>
    <xf numFmtId="0" fontId="0" fillId="3" borderId="0" xfId="0" applyFill="1" applyAlignment="1">
      <alignment vertical="top"/>
    </xf>
    <xf numFmtId="0" fontId="1" fillId="0" borderId="0" xfId="1" applyAlignment="1">
      <alignment vertical="top" wrapText="1"/>
    </xf>
    <xf numFmtId="0" fontId="0" fillId="5" borderId="0" xfId="0" applyFill="1" applyAlignment="1">
      <alignment vertical="top" wrapText="1"/>
    </xf>
    <xf numFmtId="0" fontId="0" fillId="4" borderId="0" xfId="0" applyFill="1" applyAlignment="1">
      <alignment vertical="top"/>
    </xf>
    <xf numFmtId="0" fontId="1" fillId="5" borderId="0" xfId="1" applyFill="1" applyAlignment="1">
      <alignment vertical="top" wrapText="1"/>
    </xf>
    <xf numFmtId="0" fontId="0" fillId="5" borderId="0" xfId="0" applyFill="1"/>
    <xf numFmtId="0" fontId="0" fillId="2" borderId="0" xfId="0" applyFill="1" applyAlignment="1">
      <alignment vertical="top"/>
    </xf>
    <xf numFmtId="0" fontId="3" fillId="6" borderId="0" xfId="1" applyFont="1" applyFill="1" applyAlignment="1">
      <alignment horizontal="center" vertical="center" wrapText="1"/>
    </xf>
    <xf numFmtId="0" fontId="0" fillId="0" borderId="0" xfId="0" applyAlignment="1">
      <alignment vertical="top"/>
    </xf>
    <xf numFmtId="165" fontId="0" fillId="3" borderId="0" xfId="0" applyNumberFormat="1" applyFill="1" applyAlignment="1">
      <alignment vertical="top"/>
    </xf>
    <xf numFmtId="165" fontId="0" fillId="5" borderId="0" xfId="0" applyNumberFormat="1" applyFill="1" applyAlignment="1">
      <alignment vertical="top"/>
    </xf>
    <xf numFmtId="165" fontId="0" fillId="19" borderId="0" xfId="0" applyNumberFormat="1" applyFill="1" applyAlignment="1">
      <alignment vertical="top"/>
    </xf>
    <xf numFmtId="166" fontId="0" fillId="5" borderId="0" xfId="0" applyNumberFormat="1" applyFill="1" applyAlignment="1">
      <alignment vertical="top"/>
    </xf>
    <xf numFmtId="165" fontId="0" fillId="0" borderId="0" xfId="0" applyNumberFormat="1" applyAlignment="1">
      <alignment vertical="top"/>
    </xf>
    <xf numFmtId="0" fontId="0" fillId="0" borderId="0" xfId="0" applyAlignment="1">
      <alignment vertical="top" wrapText="1"/>
    </xf>
    <xf numFmtId="166" fontId="0" fillId="0" borderId="0" xfId="0" applyNumberFormat="1" applyAlignment="1">
      <alignment vertical="top"/>
    </xf>
    <xf numFmtId="165" fontId="0" fillId="2" borderId="0" xfId="0" applyNumberFormat="1" applyFill="1" applyAlignment="1">
      <alignment vertical="top"/>
    </xf>
    <xf numFmtId="0" fontId="0" fillId="19" borderId="0" xfId="0" applyFill="1" applyAlignment="1">
      <alignment vertical="top"/>
    </xf>
    <xf numFmtId="0" fontId="0" fillId="18" borderId="0" xfId="0" applyFill="1" applyAlignment="1">
      <alignment vertical="top"/>
    </xf>
    <xf numFmtId="165" fontId="0" fillId="18" borderId="0" xfId="0" applyNumberFormat="1" applyFill="1" applyAlignment="1">
      <alignment vertical="top"/>
    </xf>
    <xf numFmtId="164" fontId="0" fillId="3" borderId="0" xfId="0" applyNumberFormat="1" applyFill="1" applyAlignment="1">
      <alignment vertical="top"/>
    </xf>
    <xf numFmtId="164" fontId="0" fillId="5" borderId="0" xfId="0" applyNumberFormat="1" applyFill="1" applyAlignment="1">
      <alignment vertical="top"/>
    </xf>
    <xf numFmtId="0" fontId="0" fillId="5" borderId="0" xfId="0" applyFill="1" applyAlignment="1">
      <alignment vertical="top" shrinkToFit="1"/>
    </xf>
    <xf numFmtId="0" fontId="0" fillId="2" borderId="0" xfId="0" applyFill="1" applyAlignment="1">
      <alignment vertical="top" shrinkToFit="1"/>
    </xf>
    <xf numFmtId="164" fontId="0" fillId="0" borderId="0" xfId="0" applyNumberFormat="1" applyAlignment="1">
      <alignment vertical="top"/>
    </xf>
    <xf numFmtId="0" fontId="0" fillId="0" borderId="0" xfId="0" applyAlignment="1">
      <alignment vertical="top" shrinkToFit="1"/>
    </xf>
    <xf numFmtId="0" fontId="0" fillId="2" borderId="0" xfId="0" applyFill="1" applyAlignment="1">
      <alignment vertical="top" wrapText="1"/>
    </xf>
    <xf numFmtId="0" fontId="13" fillId="20" borderId="0" xfId="1" applyFont="1" applyFill="1" applyAlignment="1">
      <alignment horizontal="center" vertical="center"/>
    </xf>
    <xf numFmtId="0" fontId="1" fillId="5" borderId="0" xfId="1" applyFill="1" applyAlignment="1">
      <alignment vertical="top"/>
    </xf>
    <xf numFmtId="0" fontId="1" fillId="0" borderId="0" xfId="1" applyAlignment="1">
      <alignment vertical="top"/>
    </xf>
    <xf numFmtId="0" fontId="1" fillId="5" borderId="0" xfId="1" applyFill="1"/>
    <xf numFmtId="0" fontId="1" fillId="0" borderId="0" xfId="1"/>
    <xf numFmtId="167" fontId="0" fillId="3" borderId="0" xfId="0" applyNumberFormat="1" applyFill="1" applyAlignment="1">
      <alignment vertical="top"/>
    </xf>
    <xf numFmtId="167" fontId="0" fillId="5" borderId="0" xfId="0" applyNumberFormat="1" applyFill="1" applyAlignment="1">
      <alignment vertical="top"/>
    </xf>
    <xf numFmtId="167" fontId="0" fillId="0" borderId="0" xfId="0" applyNumberFormat="1" applyAlignment="1">
      <alignment vertical="top"/>
    </xf>
    <xf numFmtId="166" fontId="0" fillId="2" borderId="0" xfId="0" applyNumberFormat="1" applyFill="1" applyAlignment="1">
      <alignment vertical="top"/>
    </xf>
    <xf numFmtId="0" fontId="0" fillId="13" borderId="0" xfId="0" applyFill="1" applyAlignment="1">
      <alignment horizontal="left" vertical="top" wrapText="1"/>
    </xf>
    <xf numFmtId="0" fontId="0" fillId="0" borderId="0" xfId="0"/>
    <xf numFmtId="0" fontId="11" fillId="8" borderId="0" xfId="0" applyFont="1" applyFill="1" applyAlignment="1">
      <alignment horizontal="center" vertical="center" wrapText="1"/>
    </xf>
    <xf numFmtId="0" fontId="11" fillId="14" borderId="0" xfId="0" applyFont="1" applyFill="1" applyAlignment="1">
      <alignment horizontal="center" vertical="center" wrapText="1"/>
    </xf>
    <xf numFmtId="0" fontId="12" fillId="17" borderId="0" xfId="0" applyFont="1" applyFill="1" applyAlignment="1">
      <alignment horizontal="left" vertical="center"/>
    </xf>
  </cellXfs>
  <cellStyles count="2">
    <cellStyle name="Hyperlink" xfId="1" builtinId="8"/>
    <cellStyle name="Normal" xfId="0" builtinId="0"/>
  </cellStyles>
  <dxfs count="75">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color rgb="FF9C0006"/>
      </font>
      <fill>
        <patternFill patternType="solid">
          <fgColor rgb="FFFFC7CE"/>
        </patternFill>
      </fill>
    </dxf>
    <dxf>
      <font>
        <color rgb="FF9C6500"/>
      </font>
      <fill>
        <patternFill patternType="solid">
          <fgColor rgb="FFFFEB9C"/>
        </patternFill>
      </fill>
    </dxf>
    <dxf>
      <font>
        <color rgb="FF006100"/>
      </font>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ont>
        <color rgb="FFFFFFFF"/>
      </font>
      <fill>
        <patternFill patternType="solid">
          <fgColor rgb="FFFF0000"/>
        </patternFill>
      </fill>
    </dxf>
    <dxf>
      <font>
        <color rgb="FF000000"/>
      </font>
      <fill>
        <patternFill patternType="solid">
          <fgColor rgb="FFFFC000"/>
        </patternFill>
      </fill>
    </dxf>
    <dxf>
      <font>
        <color rgb="FF000000"/>
      </font>
      <fill>
        <patternFill patternType="solid">
          <fgColor rgb="FFFFFF00"/>
        </patternFill>
      </fill>
    </dxf>
    <dxf>
      <font>
        <color rgb="FF000000"/>
      </font>
      <fill>
        <patternFill patternType="solid">
          <fgColor rgb="FF00B050"/>
        </patternFill>
      </fill>
    </dxf>
    <dxf>
      <fill>
        <patternFill patternType="solid">
          <fgColor rgb="FFFFF2CC"/>
        </patternFill>
      </fill>
    </dxf>
    <dxf>
      <fill>
        <patternFill patternType="solid">
          <fgColor rgb="FFD9EAD3"/>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Structure" Target="richData/rdrichvaluestructure.xml"/><Relationship Id="rId8" Type="http://schemas.openxmlformats.org/officeDocument/2006/relationships/worksheet" Target="worksheets/sheet8.xml"/><Relationship Id="rId3" Type="http://schemas.openxmlformats.org/officeDocument/2006/relationships/worksheet" Target="worksheets/sheet3.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10</v>
    <v>12</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fricanmarketingconfederation.org/" TargetMode="External"/><Relationship Id="rId13" Type="http://schemas.openxmlformats.org/officeDocument/2006/relationships/hyperlink" Target="https://africanmarketingconfederation.org/african-marketing-confederation-tourism-chapter"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 TargetMode="External"/><Relationship Id="rId12" Type="http://schemas.openxmlformats.org/officeDocument/2006/relationships/hyperlink" Target="https://africanmarketingconfederation.org/african-marketing-confederation-tourism-chapter" TargetMode="External"/><Relationship Id="rId2"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3/amc-awards-book-now" TargetMode="External"/><Relationship Id="rId11" Type="http://schemas.openxmlformats.org/officeDocument/2006/relationships/hyperlink" Target="https://africanmarketingconfederation.org/african-marketing-confederation-tourism-chapter"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frican-marketing-confederation-tourism-chapter" TargetMode="Externa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african-marketing-confederation-tourism-chapter"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3" Type="http://schemas.openxmlformats.org/officeDocument/2006/relationships/hyperlink" Target="https://africanmarketingconfederation.org/amc-conference-2022-prospec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mc-conference-2023/amc-awards-book-now" TargetMode="External"/><Relationship Id="rId6"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frican-marketing-confederation-tourism-chapter"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conference-2022" TargetMode="External"/><Relationship Id="rId9" Type="http://schemas.openxmlformats.org/officeDocument/2006/relationships/hyperlink" Target="https://africanmarketingconfederation.org/amc-conference-2023"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africanmarketingconfederation.org/" TargetMode="External"/><Relationship Id="rId21" Type="http://schemas.openxmlformats.org/officeDocument/2006/relationships/hyperlink" Target="https://africanmarketingconfederation.org/amc-conference-2023/amc-awards-book-now" TargetMode="External"/><Relationship Id="rId42" Type="http://schemas.openxmlformats.org/officeDocument/2006/relationships/hyperlink" Target="https://africanmarketingconfederation.org/wp-admin/post.php?post=13164&amp;action=edit" TargetMode="External"/><Relationship Id="rId63" Type="http://schemas.openxmlformats.org/officeDocument/2006/relationships/hyperlink" Target="https://africanmarketingconfederation.org/amc-conference-2022-prospectus" TargetMode="External"/><Relationship Id="rId84" Type="http://schemas.openxmlformats.org/officeDocument/2006/relationships/hyperlink" Target="https://africanmarketingconfederation.org/wp-admin/post.php?post=84&amp;action=edit" TargetMode="External"/><Relationship Id="rId138" Type="http://schemas.openxmlformats.org/officeDocument/2006/relationships/hyperlink" Target="https://africanmarketingconfederation.org/wp-admin/post.php?post=8&amp;action=edit" TargetMode="External"/><Relationship Id="rId159" Type="http://schemas.openxmlformats.org/officeDocument/2006/relationships/hyperlink" Target="https://africanmarketingconfederation.org/amc-conference-2023/amc-awards" TargetMode="External"/><Relationship Id="rId170" Type="http://schemas.openxmlformats.org/officeDocument/2006/relationships/hyperlink" Target="https://africanmarketingconfederation.org/wp-admin/post.php?post=16125&amp;action=edit" TargetMode="External"/><Relationship Id="rId191" Type="http://schemas.openxmlformats.org/officeDocument/2006/relationships/hyperlink" Target="https://africanmarketingconfederation.org/amc-conference-2022-thank-you" TargetMode="External"/><Relationship Id="rId107" Type="http://schemas.openxmlformats.org/officeDocument/2006/relationships/hyperlink" Target="https://africanmarketingconfederation.org/amc-conference-2022" TargetMode="External"/><Relationship Id="rId11" Type="http://schemas.openxmlformats.org/officeDocument/2006/relationships/hyperlink" Target="https://africanmarketingconfederation.org/amc-conference-2022-prospectus" TargetMode="External"/><Relationship Id="rId32" Type="http://schemas.openxmlformats.org/officeDocument/2006/relationships/hyperlink" Target="https://africanmarketingconfederation.org/wp-admin/post.php?post=4494&amp;action=edit" TargetMode="External"/><Relationship Id="rId53" Type="http://schemas.openxmlformats.org/officeDocument/2006/relationships/hyperlink" Target="https://africanmarketingconfederation.org/amc-awards-2024" TargetMode="External"/><Relationship Id="rId74" Type="http://schemas.openxmlformats.org/officeDocument/2006/relationships/hyperlink" Target="https://africanmarketingconfederation.org/wp-admin/post.php?post=12954&amp;action=edit" TargetMode="External"/><Relationship Id="rId128" Type="http://schemas.openxmlformats.org/officeDocument/2006/relationships/hyperlink" Target="https://africanmarketingconfederation.org/wp-admin/post.php?post=5619&amp;action=edit" TargetMode="External"/><Relationship Id="rId149"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frican-marketing-confederation-tourism-chapter" TargetMode="External"/><Relationship Id="rId95" Type="http://schemas.openxmlformats.org/officeDocument/2006/relationships/hyperlink" Target="https://africanmarketingconfederation.org/amc-conference-2023" TargetMode="External"/><Relationship Id="rId160" Type="http://schemas.openxmlformats.org/officeDocument/2006/relationships/hyperlink" Target="https://africanmarketingconfederation.org/wp-admin/post.php?post=12954&amp;action=edit" TargetMode="External"/><Relationship Id="rId181" Type="http://schemas.openxmlformats.org/officeDocument/2006/relationships/hyperlink" Target="https://africanmarketingconfederation.org/amc-conference-2023/amc-awards-book-now" TargetMode="External"/><Relationship Id="rId22" Type="http://schemas.openxmlformats.org/officeDocument/2006/relationships/hyperlink" Target="https://africanmarketingconfederation.org/wp-admin/post.php?post=13164&amp;action=edit" TargetMode="External"/><Relationship Id="rId43" Type="http://schemas.openxmlformats.org/officeDocument/2006/relationships/hyperlink" Target="https://africanmarketingconfederation.org/" TargetMode="External"/><Relationship Id="rId64" Type="http://schemas.openxmlformats.org/officeDocument/2006/relationships/hyperlink" Target="https://africanmarketingconfederation.org/wp-admin/post.php?post=5619&amp;action=edit" TargetMode="External"/><Relationship Id="rId118" Type="http://schemas.openxmlformats.org/officeDocument/2006/relationships/hyperlink" Target="https://africanmarketingconfederation.org/wp-admin/post.php?post=8&amp;action=edit" TargetMode="External"/><Relationship Id="rId139" Type="http://schemas.openxmlformats.org/officeDocument/2006/relationships/hyperlink" Target="https://africanmarketingconfederation.org/" TargetMode="External"/><Relationship Id="rId85" Type="http://schemas.openxmlformats.org/officeDocument/2006/relationships/hyperlink" Target="https://africanmarketingconfederation.org/african-marketing-confederation-tourism-chapter" TargetMode="External"/><Relationship Id="rId150" Type="http://schemas.openxmlformats.org/officeDocument/2006/relationships/hyperlink" Target="https://africanmarketingconfederation.org/wp-admin/post.php?post=16125&amp;action=edit" TargetMode="External"/><Relationship Id="rId171" Type="http://schemas.openxmlformats.org/officeDocument/2006/relationships/hyperlink" Target="https://africanmarketingconfederation.org/amc-conference-2022" TargetMode="External"/><Relationship Id="rId192" Type="http://schemas.openxmlformats.org/officeDocument/2006/relationships/hyperlink" Target="https://africanmarketingconfederation.org/wp-admin/post.php?post=4941&amp;action=edit" TargetMode="External"/><Relationship Id="rId12" Type="http://schemas.openxmlformats.org/officeDocument/2006/relationships/hyperlink" Target="https://africanmarketingconfederation.org/wp-admin/post.php?post=5619&amp;action=edit" TargetMode="External"/><Relationship Id="rId33" Type="http://schemas.openxmlformats.org/officeDocument/2006/relationships/hyperlink" Target="https://africanmarketingconfederation.org/amc-conference-2022-prospectus" TargetMode="External"/><Relationship Id="rId108" Type="http://schemas.openxmlformats.org/officeDocument/2006/relationships/hyperlink" Target="https://africanmarketingconfederation.org/wp-admin/post.php?post=4494&amp;action=edit" TargetMode="External"/><Relationship Id="rId129" Type="http://schemas.openxmlformats.org/officeDocument/2006/relationships/hyperlink" Target="https://africanmarketingconfederation.org/amc-conference-2022-thank-you" TargetMode="External"/><Relationship Id="rId54" Type="http://schemas.openxmlformats.org/officeDocument/2006/relationships/hyperlink" Target="https://africanmarketingconfederation.org/wp-admin/post.php?post=16125&amp;action=edit" TargetMode="External"/><Relationship Id="rId75" Type="http://schemas.openxmlformats.org/officeDocument/2006/relationships/hyperlink" Target="https://africanmarketingconfederation.org/amc-conference-2023/amc-awards-book-now" TargetMode="External"/><Relationship Id="rId96" Type="http://schemas.openxmlformats.org/officeDocument/2006/relationships/hyperlink" Target="https://africanmarketingconfederation.org/wp-admin/post.php?post=12371&amp;action=edit" TargetMode="External"/><Relationship Id="rId140" Type="http://schemas.openxmlformats.org/officeDocument/2006/relationships/hyperlink" Target="https://africanmarketingconfederation.org/wp-admin/post.php?post=8&amp;action=edit" TargetMode="External"/><Relationship Id="rId161" Type="http://schemas.openxmlformats.org/officeDocument/2006/relationships/hyperlink" Target="https://africanmarketingconfederation.org/amc-conference-2023/amc-awards-book-now" TargetMode="External"/><Relationship Id="rId182" Type="http://schemas.openxmlformats.org/officeDocument/2006/relationships/hyperlink" Target="https://africanmarketingconfederation.org/wp-admin/post.php?post=13164&amp;action=edit" TargetMode="External"/><Relationship Id="rId6" Type="http://schemas.openxmlformats.org/officeDocument/2006/relationships/hyperlink" Target="https://africanmarketingconfederation.org/wp-admin/post.php?post=28165&amp;action=edit" TargetMode="External"/><Relationship Id="rId23" Type="http://schemas.openxmlformats.org/officeDocument/2006/relationships/hyperlink" Target="https://africanmarketingconfederation.org/" TargetMode="External"/><Relationship Id="rId119" Type="http://schemas.openxmlformats.org/officeDocument/2006/relationships/hyperlink" Target="https://africanmarketingconfederation.org/about-us" TargetMode="External"/><Relationship Id="rId44" Type="http://schemas.openxmlformats.org/officeDocument/2006/relationships/hyperlink" Target="https://africanmarketingconfederation.org/wp-admin/post.php?post=8&amp;action=edit" TargetMode="External"/><Relationship Id="rId65" Type="http://schemas.openxmlformats.org/officeDocument/2006/relationships/hyperlink" Target="https://africanmarketingconfederation.org/amc-conference-2022-prospectus" TargetMode="External"/><Relationship Id="rId86" Type="http://schemas.openxmlformats.org/officeDocument/2006/relationships/hyperlink" Target="https://africanmarketingconfederation.org/wp-admin/post.php?post=28165&amp;action=edit" TargetMode="External"/><Relationship Id="rId130" Type="http://schemas.openxmlformats.org/officeDocument/2006/relationships/hyperlink" Target="https://africanmarketingconfederation.org/wp-admin/post.php?post=4941&amp;action=edit" TargetMode="External"/><Relationship Id="rId151" Type="http://schemas.openxmlformats.org/officeDocument/2006/relationships/hyperlink" Target="https://africanmarketingconfederation.org/amc-conference-2022" TargetMode="External"/><Relationship Id="rId172" Type="http://schemas.openxmlformats.org/officeDocument/2006/relationships/hyperlink" Target="https://africanmarketingconfederation.org/wp-admin/post.php?post=4494&amp;action=edit" TargetMode="External"/><Relationship Id="rId13" Type="http://schemas.openxmlformats.org/officeDocument/2006/relationships/hyperlink" Target="https://africanmarketingconfederation.org/amc-conference-2022-thank-you" TargetMode="External"/><Relationship Id="rId18" Type="http://schemas.openxmlformats.org/officeDocument/2006/relationships/hyperlink" Target="https://africanmarketingconfederation.org/wp-admin/post.php?post=12954&amp;action=edit" TargetMode="External"/><Relationship Id="rId39" Type="http://schemas.openxmlformats.org/officeDocument/2006/relationships/hyperlink" Target="https://africanmarketingconfederation.org/amc-conference-2023/amc-awards" TargetMode="External"/><Relationship Id="rId109" Type="http://schemas.openxmlformats.org/officeDocument/2006/relationships/hyperlink" Target="https://africanmarketingconfederation.org/amc-conference-2022-prospectus" TargetMode="External"/><Relationship Id="rId34" Type="http://schemas.openxmlformats.org/officeDocument/2006/relationships/hyperlink" Target="https://africanmarketingconfederation.org/wp-admin/post.php?post=5619&amp;action=edit" TargetMode="External"/><Relationship Id="rId50" Type="http://schemas.openxmlformats.org/officeDocument/2006/relationships/hyperlink" Target="https://africanmarketingconfederation.org/wp-admin/post.php?post=84&amp;action=edit" TargetMode="External"/><Relationship Id="rId55" Type="http://schemas.openxmlformats.org/officeDocument/2006/relationships/hyperlink" Target="https://africanmarketingconfederation.org/amc-conference-2022" TargetMode="External"/><Relationship Id="rId76" Type="http://schemas.openxmlformats.org/officeDocument/2006/relationships/hyperlink" Target="https://africanmarketingconfederation.org/wp-admin/post.php?post=13164&amp;action=edit" TargetMode="External"/><Relationship Id="rId97" Type="http://schemas.openxmlformats.org/officeDocument/2006/relationships/hyperlink" Target="https://africanmarketingconfederation.org/amc-conference-2023/amc-awards" TargetMode="External"/><Relationship Id="rId104" Type="http://schemas.openxmlformats.org/officeDocument/2006/relationships/hyperlink" Target="https://africanmarketingconfederation.org/wp-admin/post.php?post=28165&amp;action=edit" TargetMode="External"/><Relationship Id="rId120" Type="http://schemas.openxmlformats.org/officeDocument/2006/relationships/hyperlink" Target="https://africanmarketingconfederation.org/wp-admin/post.php?post=84&amp;action=edit" TargetMode="External"/><Relationship Id="rId125" Type="http://schemas.openxmlformats.org/officeDocument/2006/relationships/hyperlink" Target="https://africanmarketingconfederation.org/amc-conference-2022" TargetMode="External"/><Relationship Id="rId141" Type="http://schemas.openxmlformats.org/officeDocument/2006/relationships/hyperlink" Target="https://africanmarketingconfederation.org/about-us" TargetMode="External"/><Relationship Id="rId146" Type="http://schemas.openxmlformats.org/officeDocument/2006/relationships/hyperlink" Target="https://africanmarketingconfederation.org/wp-admin/post.php?post=28165&amp;action=edit" TargetMode="External"/><Relationship Id="rId167" Type="http://schemas.openxmlformats.org/officeDocument/2006/relationships/hyperlink" Target="https://africanmarketingconfederation.org/african-marketing-confederation-tourism-chapter" TargetMode="External"/><Relationship Id="rId188" Type="http://schemas.openxmlformats.org/officeDocument/2006/relationships/hyperlink" Target="https://africanmarketingconfederation.org/wp-admin/post.php?post=28165&amp;action=edit" TargetMode="External"/><Relationship Id="rId7" Type="http://schemas.openxmlformats.org/officeDocument/2006/relationships/hyperlink" Target="https://africanmarketingconfederation.org/amc-awards-2024" TargetMode="External"/><Relationship Id="rId71"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wp-admin/post.php?post=5619&amp;action=edit" TargetMode="External"/><Relationship Id="rId162" Type="http://schemas.openxmlformats.org/officeDocument/2006/relationships/hyperlink" Target="https://africanmarketingconfederation.org/wp-admin/post.php?post=13164&amp;action=edit" TargetMode="External"/><Relationship Id="rId183" Type="http://schemas.openxmlformats.org/officeDocument/2006/relationships/hyperlink" Target="https://africanmarketingconfederation.org/" TargetMode="External"/><Relationship Id="rId2" Type="http://schemas.openxmlformats.org/officeDocument/2006/relationships/hyperlink" Target="https://africanmarketingconfederation.org/wp-admin/post.php?post=8&amp;action=edit" TargetMode="External"/><Relationship Id="rId29" Type="http://schemas.openxmlformats.org/officeDocument/2006/relationships/hyperlink" Target="https://africanmarketingconfederation.org/amc-awards-2024"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wp-admin/post.php?post=12954&amp;action=edit" TargetMode="External"/><Relationship Id="rId45" Type="http://schemas.openxmlformats.org/officeDocument/2006/relationships/hyperlink" Target="https://africanmarketingconfederation.org/" TargetMode="External"/><Relationship Id="rId66" Type="http://schemas.openxmlformats.org/officeDocument/2006/relationships/hyperlink" Target="https://africanmarketingconfederation.org/wp-admin/post.php?post=5619&amp;action=edit" TargetMode="External"/><Relationship Id="rId87" Type="http://schemas.openxmlformats.org/officeDocument/2006/relationships/hyperlink" Target="https://africanmarketingconfederation.org/amc-awards-2024" TargetMode="External"/><Relationship Id="rId110" Type="http://schemas.openxmlformats.org/officeDocument/2006/relationships/hyperlink" Target="https://africanmarketingconfederation.org/wp-admin/post.php?post=5619&amp;action=edit" TargetMode="External"/><Relationship Id="rId115" Type="http://schemas.openxmlformats.org/officeDocument/2006/relationships/hyperlink" Target="https://africanmarketingconfederation.org/amc-conference-2023/amc-awards" TargetMode="External"/><Relationship Id="rId131" Type="http://schemas.openxmlformats.org/officeDocument/2006/relationships/hyperlink" Target="https://africanmarketingconfederation.org/amc-conference-2023" TargetMode="External"/><Relationship Id="rId136" Type="http://schemas.openxmlformats.org/officeDocument/2006/relationships/hyperlink" Target="https://africanmarketingconfederation.org/wp-admin/post.php?post=13164&amp;action=edit" TargetMode="External"/><Relationship Id="rId157" Type="http://schemas.openxmlformats.org/officeDocument/2006/relationships/hyperlink" Target="https://africanmarketingconfederation.org/amc-conference-2023" TargetMode="External"/><Relationship Id="rId178" Type="http://schemas.openxmlformats.org/officeDocument/2006/relationships/hyperlink" Target="https://africanmarketingconfederation.org/wp-admin/post.php?post=12371&amp;action=edit" TargetMode="External"/><Relationship Id="rId61" Type="http://schemas.openxmlformats.org/officeDocument/2006/relationships/hyperlink" Target="https://africanmarketingconfederation.org/amc-conference-2022-prospectus" TargetMode="External"/><Relationship Id="rId82" Type="http://schemas.openxmlformats.org/officeDocument/2006/relationships/hyperlink" Target="https://africanmarketingconfederation.org/wp-admin/post.php?post=8&amp;action=edit" TargetMode="External"/><Relationship Id="rId152" Type="http://schemas.openxmlformats.org/officeDocument/2006/relationships/hyperlink" Target="https://africanmarketingconfederation.org/wp-admin/post.php?post=4494&amp;action=edit" TargetMode="External"/><Relationship Id="rId173" Type="http://schemas.openxmlformats.org/officeDocument/2006/relationships/hyperlink" Target="https://africanmarketingconfederation.org/amc-conference-2022-prospectus" TargetMode="External"/><Relationship Id="rId19" Type="http://schemas.openxmlformats.org/officeDocument/2006/relationships/hyperlink" Target="https://africanmarketingconfederation.org/amc-conference-2023/amc-awards-book-now" TargetMode="External"/><Relationship Id="rId14" Type="http://schemas.openxmlformats.org/officeDocument/2006/relationships/hyperlink" Target="https://africanmarketingconfederation.org/wp-admin/post.php?post=4941&amp;action=edit" TargetMode="External"/><Relationship Id="rId30" Type="http://schemas.openxmlformats.org/officeDocument/2006/relationships/hyperlink" Target="https://africanmarketingconfederation.org/wp-admin/post.php?post=16125&amp;action=edit" TargetMode="External"/><Relationship Id="rId35" Type="http://schemas.openxmlformats.org/officeDocument/2006/relationships/hyperlink" Target="https://africanmarketingconfederation.org/amc-conference-2022-thank-you" TargetMode="External"/><Relationship Id="rId56" Type="http://schemas.openxmlformats.org/officeDocument/2006/relationships/hyperlink" Target="https://africanmarketingconfederation.org/wp-admin/post.php?post=4494&amp;action=edit" TargetMode="External"/><Relationship Id="rId77" Type="http://schemas.openxmlformats.org/officeDocument/2006/relationships/hyperlink" Target="https://africanmarketingconfederation.org/amc-conference-2023/amc-awards-book-now" TargetMode="External"/><Relationship Id="rId100" Type="http://schemas.openxmlformats.org/officeDocument/2006/relationships/hyperlink" Target="https://africanmarketingconfederation.org/wp-admin/post.php?post=13164&amp;action=edit" TargetMode="External"/><Relationship Id="rId105" Type="http://schemas.openxmlformats.org/officeDocument/2006/relationships/hyperlink" Target="https://africanmarketingconfederation.org/amc-awards-2024" TargetMode="External"/><Relationship Id="rId126" Type="http://schemas.openxmlformats.org/officeDocument/2006/relationships/hyperlink" Target="https://africanmarketingconfederation.org/wp-admin/post.php?post=4494&amp;action=edit" TargetMode="External"/><Relationship Id="rId147" Type="http://schemas.openxmlformats.org/officeDocument/2006/relationships/hyperlink" Target="https://africanmarketingconfederation.org/amc-awards-2024" TargetMode="External"/><Relationship Id="rId168" Type="http://schemas.openxmlformats.org/officeDocument/2006/relationships/hyperlink" Target="https://africanmarketingconfederation.org/wp-admin/post.php?post=28165&amp;action=edit" TargetMode="External"/><Relationship Id="rId8" Type="http://schemas.openxmlformats.org/officeDocument/2006/relationships/hyperlink" Target="https://africanmarketingconfederation.org/wp-admin/post.php?post=16125&amp;action=edit" TargetMode="External"/><Relationship Id="rId51" Type="http://schemas.openxmlformats.org/officeDocument/2006/relationships/hyperlink" Target="https://africanmarketingconfederation.org/african-marketing-confederation-tourism-chapter" TargetMode="External"/><Relationship Id="rId72" Type="http://schemas.openxmlformats.org/officeDocument/2006/relationships/hyperlink" Target="https://africanmarketingconfederation.org/wp-admin/post.php?post=12371&amp;action=edit" TargetMode="External"/><Relationship Id="rId93" Type="http://schemas.openxmlformats.org/officeDocument/2006/relationships/hyperlink" Target="https://africanmarketingconfederation.org/amc-conference-2022-thank-you" TargetMode="External"/><Relationship Id="rId98" Type="http://schemas.openxmlformats.org/officeDocument/2006/relationships/hyperlink" Target="https://africanmarketingconfederation.org/wp-admin/post.php?post=12954&amp;action=edit" TargetMode="External"/><Relationship Id="rId121" Type="http://schemas.openxmlformats.org/officeDocument/2006/relationships/hyperlink" Target="https://africanmarketingconfederation.org/african-marketing-confederation-tourism-chapter" TargetMode="External"/><Relationship Id="rId142" Type="http://schemas.openxmlformats.org/officeDocument/2006/relationships/hyperlink" Target="https://africanmarketingconfederation.org/wp-admin/post.php?post=84&amp;action=edit" TargetMode="External"/><Relationship Id="rId163" Type="http://schemas.openxmlformats.org/officeDocument/2006/relationships/hyperlink" Target="https://africanmarketingconfederation.org/" TargetMode="External"/><Relationship Id="rId184" Type="http://schemas.openxmlformats.org/officeDocument/2006/relationships/hyperlink" Target="https://africanmarketingconfederation.org/wp-admin/post.php?post=8&amp;action=edit" TargetMode="External"/><Relationship Id="rId189" Type="http://schemas.openxmlformats.org/officeDocument/2006/relationships/hyperlink" Target="https://africanmarketingconfederation.org/amc-conference-2022-prospectus" TargetMode="External"/><Relationship Id="rId3" Type="http://schemas.openxmlformats.org/officeDocument/2006/relationships/hyperlink" Target="https://africanmarketingconfederation.org/about-us" TargetMode="External"/><Relationship Id="rId25" Type="http://schemas.openxmlformats.org/officeDocument/2006/relationships/hyperlink" Target="https://africanmarketingconfederation.org/about-us" TargetMode="External"/><Relationship Id="rId46" Type="http://schemas.openxmlformats.org/officeDocument/2006/relationships/hyperlink" Target="https://africanmarketingconfederation.org/wp-admin/post.php?post=8&amp;action=edit" TargetMode="External"/><Relationship Id="rId67" Type="http://schemas.openxmlformats.org/officeDocument/2006/relationships/hyperlink" Target="https://africanmarketingconfederation.org/amc-conference-2022-thank-you" TargetMode="External"/><Relationship Id="rId116" Type="http://schemas.openxmlformats.org/officeDocument/2006/relationships/hyperlink" Target="https://africanmarketingconfederation.org/wp-admin/post.php?post=12954&amp;action=edit" TargetMode="External"/><Relationship Id="rId137" Type="http://schemas.openxmlformats.org/officeDocument/2006/relationships/hyperlink" Target="https://africanmarketingconfederation.org/" TargetMode="External"/><Relationship Id="rId158" Type="http://schemas.openxmlformats.org/officeDocument/2006/relationships/hyperlink" Target="https://africanmarketingconfederation.org/wp-admin/post.php?post=12371&amp;action=edit" TargetMode="External"/><Relationship Id="rId20" Type="http://schemas.openxmlformats.org/officeDocument/2006/relationships/hyperlink" Target="https://africanmarketingconfederation.org/wp-admin/post.php?post=13164&amp;action=edit" TargetMode="External"/><Relationship Id="rId41" Type="http://schemas.openxmlformats.org/officeDocument/2006/relationships/hyperlink" Target="https://africanmarketingconfederation.org/amc-conference-2023/amc-awards-book-now" TargetMode="External"/><Relationship Id="rId62" Type="http://schemas.openxmlformats.org/officeDocument/2006/relationships/hyperlink" Target="https://africanmarketingconfederation.org/wp-admin/post.php?post=5619&amp;action=edit" TargetMode="External"/><Relationship Id="rId83" Type="http://schemas.openxmlformats.org/officeDocument/2006/relationships/hyperlink" Target="https://africanmarketingconfederation.org/about-us" TargetMode="External"/><Relationship Id="rId88" Type="http://schemas.openxmlformats.org/officeDocument/2006/relationships/hyperlink" Target="https://africanmarketingconfederation.org/wp-admin/post.php?post=16125&amp;action=edit" TargetMode="External"/><Relationship Id="rId111" Type="http://schemas.openxmlformats.org/officeDocument/2006/relationships/hyperlink" Target="https://africanmarketingconfederation.org/amc-conference-2022-thank-you" TargetMode="External"/><Relationship Id="rId132" Type="http://schemas.openxmlformats.org/officeDocument/2006/relationships/hyperlink" Target="https://africanmarketingconfederation.org/wp-admin/post.php?post=12371&amp;action=edit" TargetMode="External"/><Relationship Id="rId153" Type="http://schemas.openxmlformats.org/officeDocument/2006/relationships/hyperlink" Target="https://africanmarketingconfederation.org/amc-conference-2022-prospectus" TargetMode="External"/><Relationship Id="rId174" Type="http://schemas.openxmlformats.org/officeDocument/2006/relationships/hyperlink" Target="https://africanmarketingconfederation.org/wp-admin/post.php?post=5619&amp;action=edit" TargetMode="External"/><Relationship Id="rId179" Type="http://schemas.openxmlformats.org/officeDocument/2006/relationships/hyperlink" Target="https://africanmarketingconfederation.org/amc-conference-2023/amc-awards" TargetMode="External"/><Relationship Id="rId190" Type="http://schemas.openxmlformats.org/officeDocument/2006/relationships/hyperlink" Target="https://africanmarketingconfederation.org/wp-admin/post.php?post=5619&amp;action=edit" TargetMode="External"/><Relationship Id="rId15" Type="http://schemas.openxmlformats.org/officeDocument/2006/relationships/hyperlink" Target="https://africanmarketingconfederation.org/amc-conference-2023" TargetMode="External"/><Relationship Id="rId36" Type="http://schemas.openxmlformats.org/officeDocument/2006/relationships/hyperlink" Target="https://africanmarketingconfederation.org/wp-admin/post.php?post=4941&amp;action=edit" TargetMode="External"/><Relationship Id="rId57" Type="http://schemas.openxmlformats.org/officeDocument/2006/relationships/hyperlink" Target="https://africanmarketingconfederation.org/amc-conference-2022" TargetMode="External"/><Relationship Id="rId106" Type="http://schemas.openxmlformats.org/officeDocument/2006/relationships/hyperlink" Target="https://africanmarketingconfederation.org/wp-admin/post.php?post=16125&amp;action=edit" TargetMode="External"/><Relationship Id="rId127"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wp-admin/post.php?post=4494&amp;action=edit" TargetMode="External"/><Relationship Id="rId31" Type="http://schemas.openxmlformats.org/officeDocument/2006/relationships/hyperlink" Target="https://africanmarketingconfederation.org/amc-conference-2022" TargetMode="External"/><Relationship Id="rId52" Type="http://schemas.openxmlformats.org/officeDocument/2006/relationships/hyperlink" Target="https://africanmarketingconfederation.org/wp-admin/post.php?post=28165&amp;action=edit" TargetMode="External"/><Relationship Id="rId73" Type="http://schemas.openxmlformats.org/officeDocument/2006/relationships/hyperlink" Target="https://africanmarketingconfederation.org/amc-conference-2023/amc-awards" TargetMode="External"/><Relationship Id="rId78" Type="http://schemas.openxmlformats.org/officeDocument/2006/relationships/hyperlink" Target="https://africanmarketingconfederation.org/wp-admin/post.php?post=13164&amp;action=edit" TargetMode="External"/><Relationship Id="rId94" Type="http://schemas.openxmlformats.org/officeDocument/2006/relationships/hyperlink" Target="https://africanmarketingconfederation.org/wp-admin/post.php?post=4941&amp;action=edit" TargetMode="External"/><Relationship Id="rId99" Type="http://schemas.openxmlformats.org/officeDocument/2006/relationships/hyperlink" Target="https://africanmarketingconfederation.org/amc-conference-2023/amc-awards-book-now" TargetMode="External"/><Relationship Id="rId101" Type="http://schemas.openxmlformats.org/officeDocument/2006/relationships/hyperlink" Target="https://africanmarketingconfederation.org/about-us" TargetMode="External"/><Relationship Id="rId122" Type="http://schemas.openxmlformats.org/officeDocument/2006/relationships/hyperlink" Target="https://africanmarketingconfederation.org/wp-admin/post.php?post=28165&amp;action=edit" TargetMode="External"/><Relationship Id="rId143" Type="http://schemas.openxmlformats.org/officeDocument/2006/relationships/hyperlink" Target="https://africanmarketingconfederation.org/african-marketing-confederation-tourism-chapter" TargetMode="External"/><Relationship Id="rId148" Type="http://schemas.openxmlformats.org/officeDocument/2006/relationships/hyperlink" Target="https://africanmarketingconfederation.org/wp-admin/post.php?post=16125&amp;action=edit" TargetMode="External"/><Relationship Id="rId164" Type="http://schemas.openxmlformats.org/officeDocument/2006/relationships/hyperlink" Target="https://africanmarketingconfederation.org/wp-admin/post.php?post=8&amp;action=edit" TargetMode="External"/><Relationship Id="rId169" Type="http://schemas.openxmlformats.org/officeDocument/2006/relationships/hyperlink" Target="https://africanmarketingconfederation.org/amc-awards-2024" TargetMode="External"/><Relationship Id="rId185" Type="http://schemas.openxmlformats.org/officeDocument/2006/relationships/hyperlink" Target="https://africanmarketingconfederation.org/about-us" TargetMode="External"/><Relationship Id="rId4" Type="http://schemas.openxmlformats.org/officeDocument/2006/relationships/hyperlink" Target="https://africanmarketingconfederation.org/wp-admin/post.php?post=84&amp;action=edit" TargetMode="External"/><Relationship Id="rId9" Type="http://schemas.openxmlformats.org/officeDocument/2006/relationships/hyperlink" Target="https://africanmarketingconfederation.org/amc-conference-2022" TargetMode="External"/><Relationship Id="rId180" Type="http://schemas.openxmlformats.org/officeDocument/2006/relationships/hyperlink" Target="https://africanmarketingconfederation.org/wp-admin/post.php?post=12954&amp;action=edit" TargetMode="External"/><Relationship Id="rId26" Type="http://schemas.openxmlformats.org/officeDocument/2006/relationships/hyperlink" Target="https://africanmarketingconfederation.org/wp-admin/post.php?post=84&amp;action=edit" TargetMode="External"/><Relationship Id="rId47" Type="http://schemas.openxmlformats.org/officeDocument/2006/relationships/hyperlink" Target="https://africanmarketingconfederation.org/about-us" TargetMode="External"/><Relationship Id="rId68" Type="http://schemas.openxmlformats.org/officeDocument/2006/relationships/hyperlink" Target="https://africanmarketingconfederation.org/wp-admin/post.php?post=4941&amp;action=edit" TargetMode="External"/><Relationship Id="rId89" Type="http://schemas.openxmlformats.org/officeDocument/2006/relationships/hyperlink" Target="https://africanmarketingconfederation.org/amc-conference-2022" TargetMode="External"/><Relationship Id="rId112" Type="http://schemas.openxmlformats.org/officeDocument/2006/relationships/hyperlink" Target="https://africanmarketingconfederation.org/wp-admin/post.php?post=4941&amp;action=edit" TargetMode="External"/><Relationship Id="rId133" Type="http://schemas.openxmlformats.org/officeDocument/2006/relationships/hyperlink" Target="https://africanmarketingconfederation.org/amc-conference-2023/amc-awards" TargetMode="External"/><Relationship Id="rId154" Type="http://schemas.openxmlformats.org/officeDocument/2006/relationships/hyperlink" Target="https://africanmarketingconfederation.org/wp-admin/post.php?post=5619&amp;action=edit" TargetMode="External"/><Relationship Id="rId175" Type="http://schemas.openxmlformats.org/officeDocument/2006/relationships/hyperlink" Target="https://africanmarketingconfederation.org/amc-conference-2022-thank-you" TargetMode="External"/><Relationship Id="rId16" Type="http://schemas.openxmlformats.org/officeDocument/2006/relationships/hyperlink" Target="https://africanmarketingconfederation.org/wp-admin/post.php?post=12371&amp;action=edit" TargetMode="External"/><Relationship Id="rId37"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wp-admin/post.php?post=4494&amp;action=edit" TargetMode="External"/><Relationship Id="rId79" Type="http://schemas.openxmlformats.org/officeDocument/2006/relationships/hyperlink" Target="https://africanmarketingconfederation.org/amc-conference-2023/amc-awards-book-now" TargetMode="External"/><Relationship Id="rId102" Type="http://schemas.openxmlformats.org/officeDocument/2006/relationships/hyperlink" Target="https://africanmarketingconfederation.org/wp-admin/post.php?post=84&amp;action=edit" TargetMode="External"/><Relationship Id="rId123" Type="http://schemas.openxmlformats.org/officeDocument/2006/relationships/hyperlink" Target="https://africanmarketingconfederation.org/amc-awards-2024" TargetMode="External"/><Relationship Id="rId144" Type="http://schemas.openxmlformats.org/officeDocument/2006/relationships/hyperlink" Target="https://africanmarketingconfederation.org/wp-admin/post.php?post=28165&amp;action=edit" TargetMode="External"/><Relationship Id="rId90" Type="http://schemas.openxmlformats.org/officeDocument/2006/relationships/hyperlink" Target="https://africanmarketingconfederation.org/wp-admin/post.php?post=4494&amp;action=edit" TargetMode="External"/><Relationship Id="rId165" Type="http://schemas.openxmlformats.org/officeDocument/2006/relationships/hyperlink" Target="https://africanmarketingconfederation.org/about-us" TargetMode="External"/><Relationship Id="rId186" Type="http://schemas.openxmlformats.org/officeDocument/2006/relationships/hyperlink" Target="https://africanmarketingconfederation.org/wp-admin/post.php?post=84&amp;action=edit" TargetMode="External"/><Relationship Id="rId27" Type="http://schemas.openxmlformats.org/officeDocument/2006/relationships/hyperlink" Target="https://africanmarketingconfederation.org/african-marketing-confederation-tourism-chapter" TargetMode="External"/><Relationship Id="rId48" Type="http://schemas.openxmlformats.org/officeDocument/2006/relationships/hyperlink" Target="https://africanmarketingconfederation.org/wp-admin/post.php?post=84&amp;action=edit" TargetMode="External"/><Relationship Id="rId69" Type="http://schemas.openxmlformats.org/officeDocument/2006/relationships/hyperlink" Target="https://africanmarketingconfederation.org/amc-conference-2022-thank-you" TargetMode="External"/><Relationship Id="rId113" Type="http://schemas.openxmlformats.org/officeDocument/2006/relationships/hyperlink" Target="https://africanmarketingconfederation.org/amc-conference-2023" TargetMode="External"/><Relationship Id="rId134" Type="http://schemas.openxmlformats.org/officeDocument/2006/relationships/hyperlink" Target="https://africanmarketingconfederation.org/wp-admin/post.php?post=12954&amp;action=edit" TargetMode="External"/><Relationship Id="rId80" Type="http://schemas.openxmlformats.org/officeDocument/2006/relationships/hyperlink" Target="https://africanmarketingconfederation.org/wp-admin/post.php?post=13164&amp;action=edit" TargetMode="External"/><Relationship Id="rId155" Type="http://schemas.openxmlformats.org/officeDocument/2006/relationships/hyperlink" Target="https://africanmarketingconfederation.org/amc-conference-2022-thank-you" TargetMode="External"/><Relationship Id="rId176" Type="http://schemas.openxmlformats.org/officeDocument/2006/relationships/hyperlink" Target="https://africanmarketingconfederation.org/wp-admin/post.php?post=4941&amp;action=edit" TargetMode="External"/><Relationship Id="rId17" Type="http://schemas.openxmlformats.org/officeDocument/2006/relationships/hyperlink" Target="https://africanmarketingconfederation.org/amc-conference-2023/amc-awards" TargetMode="External"/><Relationship Id="rId38" Type="http://schemas.openxmlformats.org/officeDocument/2006/relationships/hyperlink" Target="https://africanmarketingconfederation.org/wp-admin/post.php?post=12371&amp;action=edit" TargetMode="External"/><Relationship Id="rId59" Type="http://schemas.openxmlformats.org/officeDocument/2006/relationships/hyperlink" Target="https://africanmarketingconfederation.org/amc-conference-2022" TargetMode="External"/><Relationship Id="rId103" Type="http://schemas.openxmlformats.org/officeDocument/2006/relationships/hyperlink" Target="https://africanmarketingconfederation.org/african-marketing-confederation-tourism-chapter" TargetMode="External"/><Relationship Id="rId124" Type="http://schemas.openxmlformats.org/officeDocument/2006/relationships/hyperlink" Target="https://africanmarketingconfederation.org/wp-admin/post.php?post=16125&amp;action=edit" TargetMode="External"/><Relationship Id="rId70" Type="http://schemas.openxmlformats.org/officeDocument/2006/relationships/hyperlink" Target="https://africanmarketingconfederation.org/wp-admin/post.php?post=4941&amp;action=edit" TargetMode="External"/><Relationship Id="rId91" Type="http://schemas.openxmlformats.org/officeDocument/2006/relationships/hyperlink" Target="https://africanmarketingconfederation.org/amc-conference-2022-prospectus" TargetMode="External"/><Relationship Id="rId145" Type="http://schemas.openxmlformats.org/officeDocument/2006/relationships/hyperlink" Target="https://africanmarketingconfederation.org/african-marketing-confederation-tourism-chapter" TargetMode="External"/><Relationship Id="rId166" Type="http://schemas.openxmlformats.org/officeDocument/2006/relationships/hyperlink" Target="https://africanmarketingconfederation.org/wp-admin/post.php?post=84&amp;action=edit" TargetMode="External"/><Relationship Id="rId187" Type="http://schemas.openxmlformats.org/officeDocument/2006/relationships/hyperlink" Target="https://africanmarketingconfederation.org/african-marketing-confederation-tourism-chapter" TargetMode="External"/><Relationship Id="rId1"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28165&amp;action=edit" TargetMode="External"/><Relationship Id="rId49" Type="http://schemas.openxmlformats.org/officeDocument/2006/relationships/hyperlink" Target="https://africanmarketingconfederation.org/about-us" TargetMode="External"/><Relationship Id="rId114" Type="http://schemas.openxmlformats.org/officeDocument/2006/relationships/hyperlink" Target="https://africanmarketingconfederation.org/wp-admin/post.php?post=12371&amp;action=edit" TargetMode="External"/><Relationship Id="rId60" Type="http://schemas.openxmlformats.org/officeDocument/2006/relationships/hyperlink" Target="https://africanmarketingconfederation.org/wp-admin/post.php?post=4494&amp;action=edit" TargetMode="External"/><Relationship Id="rId81" Type="http://schemas.openxmlformats.org/officeDocument/2006/relationships/hyperlink" Target="https://africanmarketingconfederation.org/" TargetMode="External"/><Relationship Id="rId135" Type="http://schemas.openxmlformats.org/officeDocument/2006/relationships/hyperlink" Target="https://africanmarketingconfederation.org/amc-conference-2023/amc-awards-book-now" TargetMode="External"/><Relationship Id="rId156" Type="http://schemas.openxmlformats.org/officeDocument/2006/relationships/hyperlink" Target="https://africanmarketingconfederation.org/wp-admin/post.php?post=4941&amp;action=edit" TargetMode="External"/><Relationship Id="rId177" Type="http://schemas.openxmlformats.org/officeDocument/2006/relationships/hyperlink" Target="https://africanmarketingconfederation.org/amc-conference-2023"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1.xm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 TargetMode="External"/><Relationship Id="rId11" Type="http://schemas.openxmlformats.org/officeDocument/2006/relationships/vmlDrawing" Target="../drawings/vmlDrawing1.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23.xml.rels><?xml version="1.0" encoding="UTF-8" standalone="yes"?>
<Relationships xmlns="http://schemas.openxmlformats.org/package/2006/relationships"><Relationship Id="rId26" Type="http://schemas.openxmlformats.org/officeDocument/2006/relationships/hyperlink" Target="https://africanmarketingconfederation.org/about-us" TargetMode="External"/><Relationship Id="rId21" Type="http://schemas.openxmlformats.org/officeDocument/2006/relationships/hyperlink" Target="https://africanmarketingconfederation.org/about-us" TargetMode="External"/><Relationship Id="rId42" Type="http://schemas.openxmlformats.org/officeDocument/2006/relationships/hyperlink" Target="https://africanmarketingconfederation.org/amc-conference-2022-prospectus" TargetMode="External"/><Relationship Id="rId47" Type="http://schemas.openxmlformats.org/officeDocument/2006/relationships/hyperlink" Target="https://africanmarketingconfederation.org/amc-conference-2022-prospectus" TargetMode="External"/><Relationship Id="rId63" Type="http://schemas.openxmlformats.org/officeDocument/2006/relationships/hyperlink" Target="https://africanmarketingconfederation.org/amc-conference-2022-thank-you" TargetMode="External"/><Relationship Id="rId68" Type="http://schemas.openxmlformats.org/officeDocument/2006/relationships/hyperlink" Target="https://africanmarketingconfederation.org/amc-conference-2023" TargetMode="External"/><Relationship Id="rId84" Type="http://schemas.openxmlformats.org/officeDocument/2006/relationships/hyperlink" Target="https://africanmarketingconfederation.org/amc-conference-2023/amc-awards-book-now" TargetMode="External"/><Relationship Id="rId89" Type="http://schemas.openxmlformats.org/officeDocument/2006/relationships/hyperlink" Target="https://africanmarketingconfederation.org/amc-conference-2023/amc-awards-book-now" TargetMode="External"/><Relationship Id="rId16" Type="http://schemas.openxmlformats.org/officeDocument/2006/relationships/hyperlink" Target="https://africanmarketingconfederation.org/" TargetMode="External"/><Relationship Id="rId11" Type="http://schemas.openxmlformats.org/officeDocument/2006/relationships/hyperlink" Target="https://africanmarketingconfederation.org/" TargetMode="External"/><Relationship Id="rId32" Type="http://schemas.openxmlformats.org/officeDocument/2006/relationships/hyperlink" Target="https://africanmarketingconfederation.org/amc-awards-2024" TargetMode="External"/><Relationship Id="rId37" Type="http://schemas.openxmlformats.org/officeDocument/2006/relationships/hyperlink" Target="https://africanmarketingconfederation.org/amc-awards-2024" TargetMode="External"/><Relationship Id="rId53" Type="http://schemas.openxmlformats.org/officeDocument/2006/relationships/hyperlink" Target="https://africanmarketingconfederation.org/amc-conference-2022" TargetMode="External"/><Relationship Id="rId58" Type="http://schemas.openxmlformats.org/officeDocument/2006/relationships/hyperlink" Target="https://africanmarketingconfederation.org/amc-conference-2022" TargetMode="External"/><Relationship Id="rId74" Type="http://schemas.openxmlformats.org/officeDocument/2006/relationships/hyperlink" Target="https://africanmarketingconfederation.org/amc-conference-2023" TargetMode="External"/><Relationship Id="rId79" Type="http://schemas.openxmlformats.org/officeDocument/2006/relationships/hyperlink" Target="https://africanmarketingconfederation.org/amc-conference-2023/amc-awards" TargetMode="External"/><Relationship Id="rId5" Type="http://schemas.openxmlformats.org/officeDocument/2006/relationships/hyperlink" Target="https://africanmarketingconfederation.org/african-marketing-confederation-tourism-chapter" TargetMode="External"/><Relationship Id="rId90" Type="http://schemas.openxmlformats.org/officeDocument/2006/relationships/hyperlink" Target="https://africanmarketingconfederation.org/amc-conference-2023/amc-awards-book-now" TargetMode="External"/><Relationship Id="rId22" Type="http://schemas.openxmlformats.org/officeDocument/2006/relationships/hyperlink" Target="https://africanmarketingconfederation.org/about-us" TargetMode="External"/><Relationship Id="rId27" Type="http://schemas.openxmlformats.org/officeDocument/2006/relationships/hyperlink" Target="https://africanmarketingconfederation.org/about-us" TargetMode="External"/><Relationship Id="rId43" Type="http://schemas.openxmlformats.org/officeDocument/2006/relationships/hyperlink" Target="https://africanmarketingconfederation.org/amc-conference-2022-prospectus" TargetMode="External"/><Relationship Id="rId48" Type="http://schemas.openxmlformats.org/officeDocument/2006/relationships/hyperlink" Target="https://africanmarketingconfederation.org/amc-conference-2022-prospectus" TargetMode="External"/><Relationship Id="rId64" Type="http://schemas.openxmlformats.org/officeDocument/2006/relationships/hyperlink" Target="https://africanmarketingconfederation.org/amc-conference-2022-thank-you" TargetMode="External"/><Relationship Id="rId69" Type="http://schemas.openxmlformats.org/officeDocument/2006/relationships/hyperlink" Target="https://africanmarketingconfederation.org/amc-conference-2023" TargetMode="External"/><Relationship Id="rId8" Type="http://schemas.openxmlformats.org/officeDocument/2006/relationships/hyperlink" Target="https://africanmarketingconfederation.org/african-marketing-confederation-tourism-chapter" TargetMode="External"/><Relationship Id="rId51" Type="http://schemas.openxmlformats.org/officeDocument/2006/relationships/hyperlink" Target="https://africanmarketingconfederation.org/amc-conference-2022" TargetMode="External"/><Relationship Id="rId72" Type="http://schemas.openxmlformats.org/officeDocument/2006/relationships/hyperlink" Target="https://africanmarketingconfederation.org/amc-conference-2023" TargetMode="External"/><Relationship Id="rId80" Type="http://schemas.openxmlformats.org/officeDocument/2006/relationships/hyperlink" Target="https://africanmarketingconfederation.org/amc-conference-2023/amc-awards" TargetMode="External"/><Relationship Id="rId85" Type="http://schemas.openxmlformats.org/officeDocument/2006/relationships/hyperlink" Target="https://africanmarketingconfederation.org/amc-conference-2023/amc-awards-book-now" TargetMode="External"/><Relationship Id="rId93" Type="http://schemas.openxmlformats.org/officeDocument/2006/relationships/hyperlink" Target="https://africanmarketingconfederation.org/amc-conference-2023/amc-awards-book-now" TargetMode="External"/><Relationship Id="rId3" Type="http://schemas.openxmlformats.org/officeDocument/2006/relationships/hyperlink" Target="https://africanmarketingconfederation.org/african-marketing-confederation-tourism-chapter" TargetMode="External"/><Relationship Id="rId12" Type="http://schemas.openxmlformats.org/officeDocument/2006/relationships/hyperlink" Target="https://africanmarketingconfederation.org/" TargetMode="External"/><Relationship Id="rId17" Type="http://schemas.openxmlformats.org/officeDocument/2006/relationships/hyperlink" Target="https://africanmarketingconfederation.org/" TargetMode="External"/><Relationship Id="rId25" Type="http://schemas.openxmlformats.org/officeDocument/2006/relationships/hyperlink" Target="https://africanmarketingconfederation.org/about-us" TargetMode="External"/><Relationship Id="rId33" Type="http://schemas.openxmlformats.org/officeDocument/2006/relationships/hyperlink" Target="https://africanmarketingconfederation.org/amc-awards-2024" TargetMode="External"/><Relationship Id="rId38" Type="http://schemas.openxmlformats.org/officeDocument/2006/relationships/hyperlink" Target="https://africanmarketingconfederation.org/amc-awards-2024" TargetMode="External"/><Relationship Id="rId46" Type="http://schemas.openxmlformats.org/officeDocument/2006/relationships/hyperlink" Target="https://africanmarketingconfederation.org/amc-conference-2022-prospectus" TargetMode="External"/><Relationship Id="rId59" Type="http://schemas.openxmlformats.org/officeDocument/2006/relationships/hyperlink" Target="https://africanmarketingconfederation.org/amc-conference-2022-thank-you" TargetMode="External"/><Relationship Id="rId67" Type="http://schemas.openxmlformats.org/officeDocument/2006/relationships/hyperlink" Target="https://africanmarketingconfederation.org/amc-conference-2022-thank-you" TargetMode="External"/><Relationship Id="rId20" Type="http://schemas.openxmlformats.org/officeDocument/2006/relationships/hyperlink" Target="https://africanmarketingconfederation.org/" TargetMode="External"/><Relationship Id="rId41" Type="http://schemas.openxmlformats.org/officeDocument/2006/relationships/hyperlink" Target="https://africanmarketingconfederation.org/amc-conference-2022-prospectus" TargetMode="External"/><Relationship Id="rId54" Type="http://schemas.openxmlformats.org/officeDocument/2006/relationships/hyperlink" Target="https://africanmarketingconfederation.org/amc-conference-2022" TargetMode="External"/><Relationship Id="rId62" Type="http://schemas.openxmlformats.org/officeDocument/2006/relationships/hyperlink" Target="https://africanmarketingconfederation.org/amc-conference-2022-thank-you" TargetMode="External"/><Relationship Id="rId70" Type="http://schemas.openxmlformats.org/officeDocument/2006/relationships/hyperlink" Target="https://africanmarketingconfederation.org/amc-conference-2023" TargetMode="External"/><Relationship Id="rId75" Type="http://schemas.openxmlformats.org/officeDocument/2006/relationships/hyperlink" Target="https://africanmarketingconfederation.org/amc-conference-2023" TargetMode="External"/><Relationship Id="rId83" Type="http://schemas.openxmlformats.org/officeDocument/2006/relationships/hyperlink" Target="https://africanmarketingconfederation.org/amc-conference-2023/amc-awards" TargetMode="External"/><Relationship Id="rId88" Type="http://schemas.openxmlformats.org/officeDocument/2006/relationships/hyperlink" Target="https://africanmarketingconfederation.org/amc-conference-2023/amc-awards-book-now" TargetMode="External"/><Relationship Id="rId91" Type="http://schemas.openxmlformats.org/officeDocument/2006/relationships/hyperlink" Target="https://africanmarketingconfederation.org/amc-conference-2023/amc-awards-book-now"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frican-marketing-confederation-tourism-chapter" TargetMode="External"/><Relationship Id="rId15" Type="http://schemas.openxmlformats.org/officeDocument/2006/relationships/hyperlink" Target="https://africanmarketingconfederation.org/" TargetMode="External"/><Relationship Id="rId23" Type="http://schemas.openxmlformats.org/officeDocument/2006/relationships/hyperlink" Target="https://africanmarketingconfederation.org/about-us" TargetMode="External"/><Relationship Id="rId28" Type="http://schemas.openxmlformats.org/officeDocument/2006/relationships/hyperlink" Target="https://africanmarketingconfederation.org/about-us" TargetMode="External"/><Relationship Id="rId36" Type="http://schemas.openxmlformats.org/officeDocument/2006/relationships/hyperlink" Target="https://africanmarketingconfederation.org/amc-awards-2024" TargetMode="External"/><Relationship Id="rId49" Type="http://schemas.openxmlformats.org/officeDocument/2006/relationships/hyperlink" Target="https://africanmarketingconfederation.org/amc-conference-2022" TargetMode="External"/><Relationship Id="rId57"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 TargetMode="External"/><Relationship Id="rId31" Type="http://schemas.openxmlformats.org/officeDocument/2006/relationships/hyperlink" Target="https://africanmarketingconfederation.org/amc-awards-2024" TargetMode="External"/><Relationship Id="rId44" Type="http://schemas.openxmlformats.org/officeDocument/2006/relationships/hyperlink" Target="https://africanmarketingconfederation.org/amc-conference-2022-prospectus" TargetMode="External"/><Relationship Id="rId52" Type="http://schemas.openxmlformats.org/officeDocument/2006/relationships/hyperlink" Target="https://africanmarketingconfederation.org/amc-conference-2022" TargetMode="External"/><Relationship Id="rId60" Type="http://schemas.openxmlformats.org/officeDocument/2006/relationships/hyperlink" Target="https://africanmarketingconfederation.org/amc-conference-2022-thank-you" TargetMode="External"/><Relationship Id="rId65" Type="http://schemas.openxmlformats.org/officeDocument/2006/relationships/hyperlink" Target="https://africanmarketingconfederation.org/amc-conference-2022-thank-you" TargetMode="External"/><Relationship Id="rId73" Type="http://schemas.openxmlformats.org/officeDocument/2006/relationships/hyperlink" Target="https://africanmarketingconfederation.org/amc-conference-2023" TargetMode="External"/><Relationship Id="rId78" Type="http://schemas.openxmlformats.org/officeDocument/2006/relationships/hyperlink" Target="https://africanmarketingconfederation.org/amc-conference-2023/amc-awards" TargetMode="External"/><Relationship Id="rId81" Type="http://schemas.openxmlformats.org/officeDocument/2006/relationships/hyperlink" Target="https://africanmarketingconfederation.org/amc-conference-2023/amc-awards" TargetMode="External"/><Relationship Id="rId86" Type="http://schemas.openxmlformats.org/officeDocument/2006/relationships/hyperlink" Target="https://africanmarketingconfederation.org/amc-conference-2023/amc-awards-book-now" TargetMode="External"/><Relationship Id="rId94"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frican-marketing-confederation-tourism-chapter" TargetMode="External"/><Relationship Id="rId9" Type="http://schemas.openxmlformats.org/officeDocument/2006/relationships/hyperlink" Target="https://africanmarketingconfederation.org/african-marketing-confederation-tourism-chapter" TargetMode="External"/><Relationship Id="rId13" Type="http://schemas.openxmlformats.org/officeDocument/2006/relationships/hyperlink" Target="https://africanmarketingconfederation.org/" TargetMode="External"/><Relationship Id="rId18" Type="http://schemas.openxmlformats.org/officeDocument/2006/relationships/hyperlink" Target="https://africanmarketingconfederation.org/" TargetMode="External"/><Relationship Id="rId39" Type="http://schemas.openxmlformats.org/officeDocument/2006/relationships/hyperlink" Target="https://africanmarketingconfederation.org/amc-conference-2022-prospectus" TargetMode="External"/><Relationship Id="rId34" Type="http://schemas.openxmlformats.org/officeDocument/2006/relationships/hyperlink" Target="https://africanmarketingconfederation.org/amc-awards-2024" TargetMode="External"/><Relationship Id="rId50" Type="http://schemas.openxmlformats.org/officeDocument/2006/relationships/hyperlink" Target="https://africanmarketingconfederation.org/amc-conference-2022" TargetMode="External"/><Relationship Id="rId55" Type="http://schemas.openxmlformats.org/officeDocument/2006/relationships/hyperlink" Target="https://africanmarketingconfederation.org/amc-conference-2022" TargetMode="External"/><Relationship Id="rId76" Type="http://schemas.openxmlformats.org/officeDocument/2006/relationships/hyperlink" Target="https://africanmarketingconfederation.org/amc-conference-2023/amc-awards" TargetMode="External"/><Relationship Id="rId7" Type="http://schemas.openxmlformats.org/officeDocument/2006/relationships/hyperlink" Target="https://africanmarketingconfederation.org/african-marketing-confederation-tourism-chapter" TargetMode="External"/><Relationship Id="rId71" Type="http://schemas.openxmlformats.org/officeDocument/2006/relationships/hyperlink" Target="https://africanmarketingconfederation.org/amc-conference-2023" TargetMode="External"/><Relationship Id="rId92"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frican-marketing-confederation-tourism-chapter" TargetMode="External"/><Relationship Id="rId29" Type="http://schemas.openxmlformats.org/officeDocument/2006/relationships/hyperlink" Target="https://africanmarketingconfederation.org/about-us" TargetMode="External"/><Relationship Id="rId24" Type="http://schemas.openxmlformats.org/officeDocument/2006/relationships/hyperlink" Target="https://africanmarketingconfederation.org/about-us" TargetMode="External"/><Relationship Id="rId40" Type="http://schemas.openxmlformats.org/officeDocument/2006/relationships/hyperlink" Target="https://africanmarketingconfederation.org/amc-conference-2022-prospectus" TargetMode="External"/><Relationship Id="rId45" Type="http://schemas.openxmlformats.org/officeDocument/2006/relationships/hyperlink" Target="https://africanmarketingconfederation.org/amc-conference-2022-prospectus" TargetMode="External"/><Relationship Id="rId66" Type="http://schemas.openxmlformats.org/officeDocument/2006/relationships/hyperlink" Target="https://africanmarketingconfederation.org/amc-conference-2022-thank-you" TargetMode="External"/><Relationship Id="rId87" Type="http://schemas.openxmlformats.org/officeDocument/2006/relationships/hyperlink" Target="https://africanmarketingconfederation.org/amc-conference-2023/amc-awards-book-now" TargetMode="External"/><Relationship Id="rId61" Type="http://schemas.openxmlformats.org/officeDocument/2006/relationships/hyperlink" Target="https://africanmarketingconfederation.org/amc-conference-2022-thank-you" TargetMode="External"/><Relationship Id="rId82" Type="http://schemas.openxmlformats.org/officeDocument/2006/relationships/hyperlink" Target="https://africanmarketingconfederation.org/amc-conference-2023/amc-awards" TargetMode="External"/><Relationship Id="rId19" Type="http://schemas.openxmlformats.org/officeDocument/2006/relationships/hyperlink" Target="https://africanmarketingconfederation.org/" TargetMode="External"/><Relationship Id="rId14" Type="http://schemas.openxmlformats.org/officeDocument/2006/relationships/hyperlink" Target="https://africanmarketingconfederation.org/" TargetMode="External"/><Relationship Id="rId30" Type="http://schemas.openxmlformats.org/officeDocument/2006/relationships/hyperlink" Target="https://africanmarketingconfederation.org/amc-awards-2024" TargetMode="External"/><Relationship Id="rId35" Type="http://schemas.openxmlformats.org/officeDocument/2006/relationships/hyperlink" Target="https://africanmarketingconfederation.org/amc-awards-2024" TargetMode="External"/><Relationship Id="rId56" Type="http://schemas.openxmlformats.org/officeDocument/2006/relationships/hyperlink" Target="https://africanmarketingconfederation.org/amc-conference-2022" TargetMode="External"/><Relationship Id="rId77" Type="http://schemas.openxmlformats.org/officeDocument/2006/relationships/hyperlink" Target="https://africanmarketingconfederation.org/amc-conference-2023/amc-awards"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conference-2022-thank-you" TargetMode="External"/><Relationship Id="rId2" Type="http://schemas.openxmlformats.org/officeDocument/2006/relationships/hyperlink" Target="https://africanmarketingconfederation.org/" TargetMode="External"/><Relationship Id="rId1" Type="http://schemas.openxmlformats.org/officeDocument/2006/relationships/hyperlink" Target="https://africanmarketingconfederation.org/african-marketing-confederation-tourism-chapter" TargetMode="External"/><Relationship Id="rId6"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workbookViewId="0"/>
  </sheetViews>
  <sheetFormatPr defaultRowHeight="15" x14ac:dyDescent="0.25"/>
  <cols>
    <col min="1" max="1" width="35" customWidth="1"/>
    <col min="2" max="2" width="18" customWidth="1"/>
    <col min="3" max="3" width="70" customWidth="1"/>
  </cols>
  <sheetData>
    <row r="1" spans="1:3" ht="18.75" x14ac:dyDescent="0.3">
      <c r="A1" s="1" t="s">
        <v>0</v>
      </c>
    </row>
    <row r="2" spans="1:3" x14ac:dyDescent="0.25">
      <c r="A2" s="2" t="s">
        <v>1</v>
      </c>
      <c r="B2" s="2" t="s">
        <v>2</v>
      </c>
      <c r="C2" s="2" t="s">
        <v>3</v>
      </c>
    </row>
    <row r="3" spans="1:3" x14ac:dyDescent="0.25">
      <c r="A3" t="s">
        <v>4</v>
      </c>
      <c r="B3" s="3" t="str">
        <f>HYPERLINK("#'Dashboard'!A1","Open")</f>
        <v>Open</v>
      </c>
      <c r="C3" t="s">
        <v>5</v>
      </c>
    </row>
    <row r="4" spans="1:3" x14ac:dyDescent="0.25">
      <c r="A4" t="s">
        <v>6</v>
      </c>
      <c r="B4" s="3" t="str">
        <f>HYPERLINK("#'Content Optimization Hub'!A1","Open")</f>
        <v>Open</v>
      </c>
      <c r="C4" t="s">
        <v>7</v>
      </c>
    </row>
    <row r="5" spans="1:3" x14ac:dyDescent="0.25">
      <c r="A5" t="s">
        <v>8</v>
      </c>
      <c r="B5" s="3" t="str">
        <f>HYPERLINK("#'Quick Reference Guide'!A1","Open")</f>
        <v>Open</v>
      </c>
      <c r="C5" t="s">
        <v>9</v>
      </c>
    </row>
    <row r="6" spans="1:3" x14ac:dyDescent="0.25">
      <c r="A6" t="s">
        <v>10</v>
      </c>
      <c r="B6" s="3" t="str">
        <f>HYPERLINK("#'FixPlan'!A1","Open")</f>
        <v>Open</v>
      </c>
      <c r="C6" t="s">
        <v>11</v>
      </c>
    </row>
    <row r="7" spans="1:3" x14ac:dyDescent="0.25">
      <c r="A7" t="s">
        <v>12</v>
      </c>
      <c r="B7" s="3" t="str">
        <f>HYPERLINK("#'Main'!A1","Open")</f>
        <v>Open</v>
      </c>
      <c r="C7" t="s">
        <v>13</v>
      </c>
    </row>
    <row r="8" spans="1:3" x14ac:dyDescent="0.25">
      <c r="A8" t="s">
        <v>14</v>
      </c>
      <c r="B8" s="3" t="str">
        <f>HYPERLINK("#'Technical'!A1","Open")</f>
        <v>Open</v>
      </c>
      <c r="C8" t="s">
        <v>15</v>
      </c>
    </row>
    <row r="9" spans="1:3" x14ac:dyDescent="0.25">
      <c r="A9" t="s">
        <v>16</v>
      </c>
      <c r="B9" s="3" t="str">
        <f>HYPERLINK("#'PSI Performance'!A1","Open")</f>
        <v>Open</v>
      </c>
      <c r="C9" t="s">
        <v>17</v>
      </c>
    </row>
    <row r="10" spans="1:3" x14ac:dyDescent="0.25">
      <c r="A10" t="s">
        <v>18</v>
      </c>
      <c r="B10" s="3" t="str">
        <f>HYPERLINK("#'Content'!A1","Open")</f>
        <v>Open</v>
      </c>
      <c r="C10" t="s">
        <v>19</v>
      </c>
    </row>
    <row r="11" spans="1:3" x14ac:dyDescent="0.25">
      <c r="A11" t="s">
        <v>20</v>
      </c>
      <c r="B11" s="3" t="str">
        <f>HYPERLINK("#'AEO'!A1","Open")</f>
        <v>Open</v>
      </c>
      <c r="C11" t="s">
        <v>21</v>
      </c>
    </row>
    <row r="12" spans="1:3" x14ac:dyDescent="0.25">
      <c r="A12" t="s">
        <v>22</v>
      </c>
      <c r="B12" s="3" t="str">
        <f>HYPERLINK("#'Schema &amp; Metadata'!A1","Open")</f>
        <v>Open</v>
      </c>
      <c r="C12" t="s">
        <v>23</v>
      </c>
    </row>
    <row r="13" spans="1:3" x14ac:dyDescent="0.25">
      <c r="A13" t="s">
        <v>24</v>
      </c>
      <c r="B13" s="3" t="str">
        <f>HYPERLINK("#'Links'!A1","Open")</f>
        <v>Open</v>
      </c>
      <c r="C13" t="s">
        <v>25</v>
      </c>
    </row>
    <row r="14" spans="1:3" x14ac:dyDescent="0.25">
      <c r="A14" t="s">
        <v>26</v>
      </c>
      <c r="B14" s="3" t="str">
        <f>HYPERLINK("#'Indexability'!A1","Open")</f>
        <v>Open</v>
      </c>
      <c r="C14" t="s">
        <v>27</v>
      </c>
    </row>
    <row r="15" spans="1:3" x14ac:dyDescent="0.25">
      <c r="A15" t="s">
        <v>28</v>
      </c>
      <c r="B15" s="3" t="str">
        <f>HYPERLINK("#'Redirects'!A1","Open")</f>
        <v>Open</v>
      </c>
      <c r="C15" t="s">
        <v>29</v>
      </c>
    </row>
    <row r="16" spans="1:3" x14ac:dyDescent="0.25">
      <c r="A16" t="s">
        <v>30</v>
      </c>
      <c r="B16" s="3" t="str">
        <f>HYPERLINK("#'Priority URLs'!A1","Open")</f>
        <v>Open</v>
      </c>
      <c r="C16" t="s">
        <v>31</v>
      </c>
    </row>
    <row r="17" spans="1:3" x14ac:dyDescent="0.25">
      <c r="A17" t="s">
        <v>32</v>
      </c>
      <c r="B17" s="3" t="str">
        <f>HYPERLINK("#'AIOSEO'!A1","Open")</f>
        <v>Open</v>
      </c>
      <c r="C17" t="s">
        <v>33</v>
      </c>
    </row>
    <row r="18" spans="1:3" x14ac:dyDescent="0.25">
      <c r="A18" t="s">
        <v>34</v>
      </c>
      <c r="B18" s="3" t="str">
        <f>HYPERLINK("#'Security'!A1","Open")</f>
        <v>Open</v>
      </c>
      <c r="C18" t="s">
        <v>35</v>
      </c>
    </row>
    <row r="19" spans="1:3" x14ac:dyDescent="0.25">
      <c r="A19" t="s">
        <v>36</v>
      </c>
      <c r="B19" s="3" t="str">
        <f>HYPERLINK("#'Summary'!A1","Open")</f>
        <v>Open</v>
      </c>
      <c r="C19" t="s">
        <v>37</v>
      </c>
    </row>
    <row r="20" spans="1:3" x14ac:dyDescent="0.25">
      <c r="A20" t="s">
        <v>38</v>
      </c>
      <c r="B20" s="3" t="str">
        <f>HYPERLINK("#'LinksDetail'!A1","Open")</f>
        <v>Open</v>
      </c>
      <c r="C20" t="s">
        <v>39</v>
      </c>
    </row>
    <row r="21" spans="1:3" x14ac:dyDescent="0.25">
      <c r="A21" t="s">
        <v>40</v>
      </c>
      <c r="B21" s="3" t="str">
        <f>HYPERLINK("#'Media'!A1","Open")</f>
        <v>Open</v>
      </c>
      <c r="C21" t="s">
        <v>41</v>
      </c>
    </row>
    <row r="22" spans="1:3" x14ac:dyDescent="0.25">
      <c r="A22" t="s">
        <v>42</v>
      </c>
      <c r="B22" s="3" t="str">
        <f>HYPERLINK("#'Pattern and Template Issues'!A1","Open")</f>
        <v>Open</v>
      </c>
      <c r="C22" t="s">
        <v>43</v>
      </c>
    </row>
    <row r="23" spans="1:3" x14ac:dyDescent="0.25">
      <c r="A23" t="s">
        <v>44</v>
      </c>
      <c r="B23" s="3" t="str">
        <f>HYPERLINK("#'Duplicates'!A1","Open")</f>
        <v>Open</v>
      </c>
      <c r="C23" t="s">
        <v>45</v>
      </c>
    </row>
    <row r="24" spans="1:3" x14ac:dyDescent="0.25">
      <c r="A24" t="s">
        <v>46</v>
      </c>
      <c r="B24" s="3" t="str">
        <f>HYPERLINK("#'IssueInventory'!A1","Open")</f>
        <v>Open</v>
      </c>
      <c r="C24" t="s">
        <v>47</v>
      </c>
    </row>
    <row r="25" spans="1:3" x14ac:dyDescent="0.25">
      <c r="A25" t="s">
        <v>48</v>
      </c>
      <c r="B25" s="3" t="str">
        <f>HYPERLINK("#'RunMetadata'!A1","Open")</f>
        <v>Open</v>
      </c>
      <c r="C25" t="s">
        <v>49</v>
      </c>
    </row>
    <row r="26" spans="1:3" x14ac:dyDescent="0.25">
      <c r="A26" t="s">
        <v>50</v>
      </c>
      <c r="B26" s="3" t="str">
        <f>HYPERLINK("#'DeltaFromPreviousRun'!A1","Open")</f>
        <v>Open</v>
      </c>
      <c r="C26" t="s">
        <v>51</v>
      </c>
    </row>
    <row r="27" spans="1:3" x14ac:dyDescent="0.25">
      <c r="A27" t="s">
        <v>52</v>
      </c>
      <c r="B27" s="3" t="str">
        <f>HYPERLINK("#'ResolvedIssues'!A1","Open")</f>
        <v>Open</v>
      </c>
      <c r="C27" t="s">
        <v>53</v>
      </c>
    </row>
    <row r="28" spans="1:3" x14ac:dyDescent="0.25">
      <c r="A28" t="s">
        <v>54</v>
      </c>
      <c r="B28" s="3" t="str">
        <f>HYPERLINK("#'Glossary &amp; Legend'!A1","Open")</f>
        <v>Open</v>
      </c>
      <c r="C28" t="s">
        <v>55</v>
      </c>
    </row>
    <row r="29" spans="1:3" x14ac:dyDescent="0.25">
      <c r="A29" t="s">
        <v>56</v>
      </c>
      <c r="B29" s="3" t="str">
        <f>HYPERLINK("#'CrawlGraph'!A1","Open")</f>
        <v>Open</v>
      </c>
      <c r="C29" t="s">
        <v>57</v>
      </c>
    </row>
    <row r="30" spans="1:3" x14ac:dyDescent="0.25">
      <c r="A30" t="s">
        <v>58</v>
      </c>
      <c r="B30" s="3" t="str">
        <f>HYPERLINK("#'SitemapQA'!A1","Open")</f>
        <v>Open</v>
      </c>
      <c r="C30"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9"/>
  <sheetViews>
    <sheetView showGridLines="0" tabSelected="1" workbookViewId="0">
      <pane xSplit="2" ySplit="1" topLeftCell="C2" activePane="bottomRight" state="frozen"/>
      <selection pane="topRight"/>
      <selection pane="bottomLeft"/>
      <selection pane="bottomRight" activeCell="I15" sqref="I15"/>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11" width="15" customWidth="1"/>
  </cols>
  <sheetData>
    <row r="1" spans="1:11" ht="30" customHeight="1" x14ac:dyDescent="0.25">
      <c r="A1" s="4" t="s">
        <v>60</v>
      </c>
    </row>
    <row r="2" spans="1:11" ht="15.75" x14ac:dyDescent="0.25">
      <c r="A2" s="5" t="s">
        <v>61</v>
      </c>
    </row>
    <row r="4" spans="1:11" ht="20.100000000000001" customHeight="1" x14ac:dyDescent="0.25">
      <c r="A4" s="6" t="s">
        <v>62</v>
      </c>
      <c r="B4" s="6" t="s">
        <v>63</v>
      </c>
      <c r="D4" s="7" t="s">
        <v>64</v>
      </c>
      <c r="E4" s="7" t="s">
        <v>65</v>
      </c>
      <c r="G4" s="67" t="s">
        <v>66</v>
      </c>
      <c r="H4" s="65"/>
      <c r="I4" s="65"/>
      <c r="J4" s="65"/>
      <c r="K4" s="65"/>
    </row>
    <row r="5" spans="1:11" ht="20.100000000000001" customHeight="1" x14ac:dyDescent="0.25">
      <c r="A5" s="8" t="str">
        <f>HYPERLINK("#'Main'!A1","Total URLs")</f>
        <v>Total URLs</v>
      </c>
      <c r="B5" s="9">
        <v>10</v>
      </c>
      <c r="D5" s="10" t="s">
        <v>67</v>
      </c>
      <c r="E5" s="10">
        <v>10</v>
      </c>
      <c r="G5" s="7" t="s">
        <v>68</v>
      </c>
      <c r="H5" s="7" t="s">
        <v>69</v>
      </c>
      <c r="I5" s="7" t="s">
        <v>70</v>
      </c>
      <c r="J5" s="7" t="s">
        <v>71</v>
      </c>
      <c r="K5" s="7" t="s">
        <v>72</v>
      </c>
    </row>
    <row r="6" spans="1:11" ht="20.100000000000001" customHeight="1" x14ac:dyDescent="0.25">
      <c r="A6" s="8" t="str">
        <f>HYPERLINK("#'Summary'!A1","Overall Health Score")</f>
        <v>Overall Health Score</v>
      </c>
      <c r="B6" s="11">
        <f>IFERROR(30.2/100,0)</f>
        <v>0.30199999999999999</v>
      </c>
      <c r="D6" s="12" t="s">
        <v>73</v>
      </c>
      <c r="E6" s="12">
        <v>0</v>
      </c>
      <c r="G6" s="13" t="str">
        <f>HYPERLINK("#'FixPlan'!A1","Copy Writer")</f>
        <v>Copy Writer</v>
      </c>
      <c r="H6" s="13">
        <v>20</v>
      </c>
      <c r="I6" s="13">
        <v>74</v>
      </c>
      <c r="J6" s="13">
        <v>1</v>
      </c>
      <c r="K6" s="13">
        <v>8</v>
      </c>
    </row>
    <row r="7" spans="1:11" ht="20.100000000000001" customHeight="1" x14ac:dyDescent="0.25">
      <c r="A7" s="8" t="str">
        <f>HYPERLINK("#'Summary'!A1","SEO Pass Rate %")</f>
        <v>SEO Pass Rate %</v>
      </c>
      <c r="B7" s="14">
        <v>0</v>
      </c>
      <c r="D7" s="15" t="s">
        <v>74</v>
      </c>
      <c r="E7" s="15">
        <v>0</v>
      </c>
      <c r="G7" s="13" t="str">
        <f>HYPERLINK("#'FixPlan'!A1","Dev")</f>
        <v>Dev</v>
      </c>
      <c r="H7" s="13">
        <v>9</v>
      </c>
      <c r="I7" s="13">
        <v>10</v>
      </c>
      <c r="J7" s="13">
        <v>4</v>
      </c>
      <c r="K7" s="13">
        <v>4</v>
      </c>
    </row>
    <row r="8" spans="1:11" ht="20.100000000000001" customHeight="1" x14ac:dyDescent="0.25">
      <c r="A8" s="8" t="str">
        <f>HYPERLINK("#'Technical'!A1","Pass URLs")</f>
        <v>Pass URLs</v>
      </c>
      <c r="B8" s="16">
        <v>0</v>
      </c>
      <c r="D8" s="15" t="s">
        <v>75</v>
      </c>
      <c r="E8" s="15">
        <v>0</v>
      </c>
      <c r="G8" s="13" t="str">
        <f>HYPERLINK("#'FixPlan'!A1","Server/Host")</f>
        <v>Server/Host</v>
      </c>
      <c r="H8" s="13">
        <v>5</v>
      </c>
      <c r="I8" s="13">
        <v>10</v>
      </c>
      <c r="J8" s="13">
        <v>2</v>
      </c>
      <c r="K8" s="13">
        <v>0</v>
      </c>
    </row>
    <row r="9" spans="1:11" ht="20.100000000000001" customHeight="1" x14ac:dyDescent="0.25">
      <c r="A9" s="8" t="str">
        <f>HYPERLINK("#'FixPlan'!A1","Critical URLs")</f>
        <v>Critical URLs</v>
      </c>
      <c r="B9" s="9">
        <v>10</v>
      </c>
      <c r="D9" s="12" t="s">
        <v>76</v>
      </c>
      <c r="E9" s="12">
        <v>0</v>
      </c>
    </row>
    <row r="10" spans="1:11" ht="20.100000000000001" customHeight="1" x14ac:dyDescent="0.25">
      <c r="A10" s="8" t="str">
        <f>HYPERLINK("#'Technical'!A1","Warning URLs")</f>
        <v>Warning URLs</v>
      </c>
      <c r="B10" s="16">
        <v>0</v>
      </c>
      <c r="D10" s="17"/>
      <c r="E10" s="17"/>
    </row>
    <row r="11" spans="1:11" ht="20.100000000000001" customHeight="1" x14ac:dyDescent="0.25">
      <c r="A11" s="8" t="str">
        <f>HYPERLINK("#'Technical'!A1","Error Rate % (4xx/5xx)")</f>
        <v>Error Rate % (4xx/5xx)</v>
      </c>
      <c r="B11" s="18">
        <f>IFERROR(0/10,0)</f>
        <v>0</v>
      </c>
      <c r="D11" s="17"/>
      <c r="E11" s="17"/>
    </row>
    <row r="12" spans="1:11" ht="20.100000000000001" customHeight="1" x14ac:dyDescent="0.25">
      <c r="A12" s="8" t="str">
        <f>HYPERLINK("#'Technical'!A1","Crawl Success Rate % (2xx)")</f>
        <v>Crawl Success Rate % (2xx)</v>
      </c>
      <c r="B12" s="18">
        <f>IFERROR(10/10,0)</f>
        <v>1</v>
      </c>
      <c r="D12" s="7" t="s">
        <v>77</v>
      </c>
      <c r="E12" s="7" t="s">
        <v>65</v>
      </c>
      <c r="J12" s="19" t="s">
        <v>78</v>
      </c>
      <c r="K12" s="19" t="s">
        <v>2</v>
      </c>
    </row>
    <row r="13" spans="1:11" ht="20.100000000000001" customHeight="1" x14ac:dyDescent="0.25">
      <c r="A13" s="8" t="str">
        <f>HYPERLINK("#'Technical'!A1","Critical URL Rate %")</f>
        <v>Critical URL Rate %</v>
      </c>
      <c r="B13" s="11">
        <f>IFERROR(10/10,0)</f>
        <v>1</v>
      </c>
      <c r="D13" s="15" t="s">
        <v>71</v>
      </c>
      <c r="E13" s="15">
        <v>7</v>
      </c>
      <c r="J13" s="20" t="s">
        <v>79</v>
      </c>
      <c r="K13" s="21" t="str">
        <f>HYPERLINK("#FixPlan!A1","Open")</f>
        <v>Open</v>
      </c>
    </row>
    <row r="14" spans="1:11" ht="20.100000000000001" customHeight="1" x14ac:dyDescent="0.25">
      <c r="A14" s="8" t="str">
        <f>HYPERLINK("#'Technical'!A1","Warning URL Rate %")</f>
        <v>Warning URL Rate %</v>
      </c>
      <c r="B14" s="18">
        <f>IFERROR(0/10,0)</f>
        <v>0</v>
      </c>
      <c r="D14" s="12" t="s">
        <v>72</v>
      </c>
      <c r="E14" s="12">
        <v>12</v>
      </c>
      <c r="J14" s="20" t="s">
        <v>80</v>
      </c>
      <c r="K14" s="21" t="str">
        <f>HYPERLINK("#Main!A1","Open")</f>
        <v>Open</v>
      </c>
    </row>
    <row r="15" spans="1:11" ht="20.100000000000001" customHeight="1" x14ac:dyDescent="0.25">
      <c r="A15" s="22" t="s">
        <v>81</v>
      </c>
      <c r="B15" s="23">
        <v>0.93019999999999992</v>
      </c>
      <c r="D15" s="12" t="s">
        <v>82</v>
      </c>
      <c r="E15" s="12">
        <v>0</v>
      </c>
      <c r="J15" s="20" t="s">
        <v>83</v>
      </c>
      <c r="K15" s="21" t="str">
        <f>HYPERLINK("#Technical!A1","Open")</f>
        <v>Open</v>
      </c>
    </row>
    <row r="16" spans="1:11" ht="20.100000000000001" customHeight="1" x14ac:dyDescent="0.25">
      <c r="A16" s="22" t="s">
        <v>84</v>
      </c>
      <c r="B16" s="18">
        <v>0.85</v>
      </c>
      <c r="D16" s="24" t="s">
        <v>85</v>
      </c>
      <c r="E16" s="24">
        <v>15</v>
      </c>
      <c r="J16" s="20" t="s">
        <v>26</v>
      </c>
      <c r="K16" s="21" t="str">
        <f>HYPERLINK("#Indexability!A1","Open")</f>
        <v>Open</v>
      </c>
    </row>
    <row r="17" spans="1:11" ht="20.100000000000001" customHeight="1" x14ac:dyDescent="0.25">
      <c r="A17" s="8" t="str">
        <f>HYPERLINK("#'Content Optimization Hub'!A1","Content Hub Readiness (%)")</f>
        <v>Content Hub Readiness (%)</v>
      </c>
      <c r="B17" s="18">
        <f>IFERROR(COUNTIF('Content Optimization Hub'!A:A,"Complete")/COUNTA('Content Optimization Hub'!E:E),0)</f>
        <v>0.18181818181818182</v>
      </c>
      <c r="J17" s="20" t="s">
        <v>86</v>
      </c>
      <c r="K17" s="21" t="str">
        <f>HYPERLINK("#AEO!A1","Open")</f>
        <v>Open</v>
      </c>
    </row>
    <row r="18" spans="1:11" ht="20.100000000000001" customHeight="1" x14ac:dyDescent="0.25">
      <c r="A18" s="8" t="str">
        <f>HYPERLINK("#'Schema &amp; Metadata'!A1","URLs with Schema")</f>
        <v>URLs with Schema</v>
      </c>
      <c r="B18" s="16">
        <v>0</v>
      </c>
      <c r="J18" s="20" t="s">
        <v>87</v>
      </c>
      <c r="K18" s="21" t="str">
        <f>HYPERLINK("#AIOSEO!A1","Open")</f>
        <v>Open</v>
      </c>
    </row>
    <row r="19" spans="1:11" ht="20.100000000000001" customHeight="1" x14ac:dyDescent="0.25">
      <c r="A19" s="8" t="str">
        <f>HYPERLINK("#'Links'!A1","Broken Internal Links")</f>
        <v>Broken Internal Links</v>
      </c>
      <c r="B19" s="16">
        <v>0</v>
      </c>
    </row>
    <row r="20" spans="1:11" ht="20.100000000000001" customHeight="1" x14ac:dyDescent="0.25">
      <c r="E20" s="66" t="s">
        <v>88</v>
      </c>
      <c r="F20" s="65"/>
      <c r="J20" s="66" t="s">
        <v>89</v>
      </c>
      <c r="K20" s="65"/>
    </row>
    <row r="21" spans="1:11" ht="20.100000000000001" customHeight="1" x14ac:dyDescent="0.25">
      <c r="E21" s="7" t="s">
        <v>90</v>
      </c>
      <c r="F21" s="7" t="s">
        <v>91</v>
      </c>
      <c r="J21" s="64" t="s">
        <v>92</v>
      </c>
      <c r="K21" s="65"/>
    </row>
    <row r="22" spans="1:11" ht="20.100000000000001" customHeight="1" x14ac:dyDescent="0.25">
      <c r="E22" s="13" t="s">
        <v>93</v>
      </c>
      <c r="F22" s="25">
        <v>0.58119999999999994</v>
      </c>
      <c r="J22" s="65"/>
      <c r="K22" s="65"/>
    </row>
    <row r="23" spans="1:11" ht="20.100000000000001" customHeight="1" x14ac:dyDescent="0.25">
      <c r="E23" s="13" t="s">
        <v>94</v>
      </c>
      <c r="F23" s="25">
        <v>0</v>
      </c>
      <c r="J23" s="65"/>
      <c r="K23" s="65"/>
    </row>
    <row r="24" spans="1:11" ht="20.100000000000001" customHeight="1" x14ac:dyDescent="0.25">
      <c r="E24" s="7" t="s">
        <v>95</v>
      </c>
      <c r="J24" s="65"/>
      <c r="K24" s="65"/>
    </row>
    <row r="25" spans="1:11" ht="20.100000000000001" customHeight="1" x14ac:dyDescent="0.25">
      <c r="E25" s="64" t="s">
        <v>96</v>
      </c>
      <c r="F25" s="65"/>
    </row>
    <row r="26" spans="1:11" ht="20.100000000000001" customHeight="1" x14ac:dyDescent="0.25">
      <c r="E26" s="65"/>
      <c r="F26" s="65"/>
    </row>
    <row r="27" spans="1:11" ht="20.100000000000001" customHeight="1" x14ac:dyDescent="0.25">
      <c r="E27" s="65"/>
      <c r="F27" s="65"/>
    </row>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spans="2:3" ht="20.100000000000001" customHeight="1" x14ac:dyDescent="0.25"/>
    <row r="34" spans="2:3" ht="20.100000000000001" customHeight="1" x14ac:dyDescent="0.25"/>
    <row r="35" spans="2:3" ht="20.100000000000001" customHeight="1" x14ac:dyDescent="0.25"/>
    <row r="36" spans="2:3" ht="20.100000000000001" customHeight="1" x14ac:dyDescent="0.25"/>
    <row r="37" spans="2:3" ht="20.100000000000001" customHeight="1" x14ac:dyDescent="0.25"/>
    <row r="38" spans="2:3" ht="20.100000000000001" customHeight="1" x14ac:dyDescent="0.25"/>
    <row r="39" spans="2:3" ht="20.100000000000001" customHeight="1" x14ac:dyDescent="0.25"/>
    <row r="40" spans="2:3" ht="20.100000000000001" customHeight="1" x14ac:dyDescent="0.25"/>
    <row r="41" spans="2:3" ht="20.100000000000001" customHeight="1" x14ac:dyDescent="0.25"/>
    <row r="42" spans="2:3" ht="20.100000000000001" customHeight="1" x14ac:dyDescent="0.25"/>
    <row r="43" spans="2:3" ht="20.100000000000001" customHeight="1" x14ac:dyDescent="0.25"/>
    <row r="44" spans="2:3" ht="20.100000000000001" customHeight="1" x14ac:dyDescent="0.25">
      <c r="B44" s="7" t="s">
        <v>97</v>
      </c>
      <c r="C44" s="7" t="s">
        <v>70</v>
      </c>
    </row>
    <row r="45" spans="2:3" ht="20.100000000000001" customHeight="1" x14ac:dyDescent="0.25">
      <c r="B45" s="21" t="str">
        <f>HYPERLINK("#FixPlan!A2","Broken Internal Links")</f>
        <v>Broken Internal Links</v>
      </c>
      <c r="C45" s="20">
        <v>10</v>
      </c>
    </row>
    <row r="46" spans="2:3" ht="20.100000000000001" customHeight="1" x14ac:dyDescent="0.25">
      <c r="B46" s="21" t="str">
        <f>HYPERLINK("#FixPlan!A9","Low AEO Readiness Score")</f>
        <v>Low AEO Readiness Score</v>
      </c>
      <c r="C46" s="20">
        <v>10</v>
      </c>
    </row>
    <row r="47" spans="2:3" ht="20.100000000000001" customHeight="1" x14ac:dyDescent="0.25">
      <c r="B47" s="21" t="str">
        <f>HYPERLINK("#FixPlan!A8","Low Image Alt Coverage")</f>
        <v>Low Image Alt Coverage</v>
      </c>
      <c r="C47" s="20">
        <v>10</v>
      </c>
    </row>
    <row r="48" spans="2:3" ht="20.100000000000001" customHeight="1" x14ac:dyDescent="0.25">
      <c r="B48" s="21" t="str">
        <f>HYPERLINK("#FixPlan!A7","AI Crawlers Not Explicitly Allowed")</f>
        <v>AI Crawlers Not Explicitly Allowed</v>
      </c>
      <c r="C48" s="20">
        <v>10</v>
      </c>
    </row>
    <row r="49" spans="2:3" ht="20.100000000000001" customHeight="1" x14ac:dyDescent="0.25">
      <c r="B49" s="21" t="str">
        <f>HYPERLINK("#FixPlan!A6","No 40-60 Word Answer Paragraphs")</f>
        <v>No 40-60 Word Answer Paragraphs</v>
      </c>
      <c r="C49" s="20">
        <v>10</v>
      </c>
    </row>
    <row r="50" spans="2:3" ht="20.100000000000001" customHeight="1" x14ac:dyDescent="0.25"/>
    <row r="51" spans="2:3" ht="20.100000000000001" customHeight="1" x14ac:dyDescent="0.25"/>
    <row r="52" spans="2:3" ht="20.100000000000001" customHeight="1" x14ac:dyDescent="0.25"/>
    <row r="53" spans="2:3" ht="20.100000000000001" customHeight="1" x14ac:dyDescent="0.25"/>
    <row r="54" spans="2:3" ht="20.100000000000001" customHeight="1" x14ac:dyDescent="0.25"/>
    <row r="55" spans="2:3" ht="20.100000000000001" customHeight="1" x14ac:dyDescent="0.25"/>
    <row r="56" spans="2:3" ht="20.100000000000001" customHeight="1" x14ac:dyDescent="0.25"/>
    <row r="57" spans="2:3" ht="20.100000000000001" customHeight="1" x14ac:dyDescent="0.25"/>
    <row r="58" spans="2:3" ht="20.100000000000001" customHeight="1" x14ac:dyDescent="0.25"/>
    <row r="59" spans="2:3" ht="20.100000000000001" customHeight="1" x14ac:dyDescent="0.25"/>
  </sheetData>
  <autoFilter ref="A1:K69" xr:uid="{00000000-0009-0000-0000-000001000000}"/>
  <mergeCells count="5">
    <mergeCell ref="E25:F27"/>
    <mergeCell ref="E20:F20"/>
    <mergeCell ref="J20:K20"/>
    <mergeCell ref="J21:K24"/>
    <mergeCell ref="G4:K4"/>
  </mergeCells>
  <dataValidations count="30">
    <dataValidation type="custom" allowBlank="1" showInputMessage="1" promptTitle="Metric" prompt="Metric. Review this metric to identify risk, then use linked tabs for details and remediation." sqref="A1" xr:uid="{00000000-0002-0000-0100-000000000000}">
      <formula1>TRUE</formula1>
    </dataValidation>
    <dataValidation type="custom" allowBlank="1" showInputMessage="1" promptTitle="Value" prompt="Value. Review this metric to identify risk, then use linked tabs for details and remediation." sqref="B1" xr:uid="{00000000-0002-0000-0100-000001000000}">
      <formula1>TRUE</formula1>
    </dataValidation>
    <dataValidation type="custom" allowBlank="1" showInputMessage="1" promptTitle="KPI C5" prompt="Total URLs crawled in this run. Calculated as the number of audited URL rows." sqref="C5" xr:uid="{00000000-0002-0000-0100-000002000000}">
      <formula1>TRUE</formula1>
    </dataValidation>
    <dataValidation type="custom" allowBlank="1" showInputMessage="1" promptTitle="KPI C6" prompt="Overall Health Score. Calculated as average SEO Health Score across Technical URLs; fallback to SEO Pass Rate if score data is unavailable." sqref="C6" xr:uid="{00000000-0002-0000-0100-000003000000}">
      <formula1>TRUE</formula1>
    </dataValidation>
    <dataValidation type="custom" allowBlank="1" showInputMessage="1" promptTitle="KPI C7" prompt="SEO Pass Rate %. Calculated as Pass URLs divided by Total URLs." sqref="C7" xr:uid="{00000000-0002-0000-0100-000004000000}">
      <formula1>TRUE</formula1>
    </dataValidation>
    <dataValidation type="custom" allowBlank="1" showInputMessage="1" promptTitle="KPI C8" prompt="Pass URL count. URL is pass when it has no Critical and no Warning issues." sqref="C8" xr:uid="{00000000-0002-0000-0100-000005000000}">
      <formula1>TRUE</formula1>
    </dataValidation>
    <dataValidation type="custom" allowBlank="1" showInputMessage="1" promptTitle="KPI C9" prompt="Critical URL count from Technical severity badge." sqref="C9" xr:uid="{00000000-0002-0000-0100-000006000000}">
      <formula1>TRUE</formula1>
    </dataValidation>
    <dataValidation type="custom" allowBlank="1" showInputMessage="1" promptTitle="KPI C10" prompt="Warning URL count from Technical severity badge." sqref="C10" xr:uid="{00000000-0002-0000-0100-000007000000}">
      <formula1>TRUE</formula1>
    </dataValidation>
    <dataValidation type="custom" allowBlank="1" showInputMessage="1" promptTitle="KPI C11" prompt="HTTP Error Rate %. Calculated as (4xx URLs + 5xx URLs) / Total URLs." sqref="C11" xr:uid="{00000000-0002-0000-0100-000008000000}">
      <formula1>TRUE</formula1>
    </dataValidation>
    <dataValidation type="custom" allowBlank="1" showInputMessage="1" promptTitle="KPI C12" prompt="Crawl Success Rate %. Calculated as 2xx URLs / Total URLs." sqref="C12" xr:uid="{00000000-0002-0000-0100-000009000000}">
      <formula1>TRUE</formula1>
    </dataValidation>
    <dataValidation type="custom" allowBlank="1" showInputMessage="1" promptTitle="KPI C13" prompt="Critical URL Rate %. Calculated as Critical URLs / Total URLs." sqref="C13" xr:uid="{00000000-0002-0000-0100-00000A000000}">
      <formula1>TRUE</formula1>
    </dataValidation>
    <dataValidation type="custom" allowBlank="1" showInputMessage="1" promptTitle="KPI C14" prompt="Warning URL Rate %. Calculated as Warning URLs / Total URLs." sqref="C14" xr:uid="{00000000-0002-0000-0100-00000B000000}">
      <formula1>TRUE</formula1>
    </dataValidation>
    <dataValidation type="custom" allowBlank="1" showInputMessage="1" promptTitle="KPI C15" prompt="Projected Health Score if all current To Do items are completed in this cycle." sqref="C15" xr:uid="{00000000-0002-0000-0100-00000C000000}">
      <formula1>TRUE</formula1>
    </dataValidation>
    <dataValidation type="custom" allowBlank="1" showInputMessage="1" promptTitle="KPI C16" prompt="Projected Pass Rate if all current To Do items are completed in this cycle." sqref="C16" xr:uid="{00000000-0002-0000-0100-00000D000000}">
      <formula1>TRUE</formula1>
    </dataValidation>
    <dataValidation type="custom" allowBlank="1" showInputMessage="1" promptTitle="KPI C17" prompt="Content Hub Readiness %. Count of literal ``Complete`` in Action Required divided by URLs tracked in column E." sqref="C17" xr:uid="{00000000-0002-0000-0100-00000E000000}">
      <formula1>TRUE</formula1>
    </dataValidation>
    <dataValidation type="custom" allowBlank="1" showInputMessage="1" promptTitle="KPI C32" prompt="Most widespread issue from FixPlan by affected URL count." sqref="C32" xr:uid="{00000000-0002-0000-0100-00000F000000}">
      <formula1>TRUE</formula1>
    </dataValidation>
    <dataValidation type="custom" allowBlank="1" showInputMessage="1" promptTitle="KPI C33" prompt="Number of URLs impacted by the top blocking issue." sqref="C33" xr:uid="{00000000-0002-0000-0100-000010000000}">
      <formula1>TRUE</formula1>
    </dataValidation>
    <dataValidation type="custom" allowBlank="1" showInputMessage="1" promptTitle="KPI C34" prompt="Total URLs returning client/server errors (4xx + 5xx)." sqref="C34" xr:uid="{00000000-0002-0000-0100-000011000000}">
      <formula1>TRUE</formula1>
    </dataValidation>
    <dataValidation type="custom" allowBlank="1" showInputMessage="1" promptTitle="KPI C35" prompt="Average Time to First Byte across Technical URLs (ms)." sqref="C35" xr:uid="{00000000-0002-0000-0100-000012000000}">
      <formula1>TRUE</formula1>
    </dataValidation>
    <dataValidation type="custom" allowBlank="1" showInputMessage="1" promptTitle="KPI C45" prompt="Affected URL count for the highest-priority issue (linked to FixPlan)." sqref="C45" xr:uid="{00000000-0002-0000-0100-000013000000}">
      <formula1>TRUE</formula1>
    </dataValidation>
    <dataValidation type="custom" allowBlank="1" showInputMessage="1" promptTitle="KPI C46" prompt="Affected URL count for the next issue in the priority list." sqref="C46" xr:uid="{00000000-0002-0000-0100-000014000000}">
      <formula1>TRUE</formula1>
    </dataValidation>
    <dataValidation type="custom" allowBlank="1" showInputMessage="1" promptTitle="KPI C47" prompt="Affected URL count for the next issue in the priority list." sqref="C47" xr:uid="{00000000-0002-0000-0100-000015000000}">
      <formula1>TRUE</formula1>
    </dataValidation>
    <dataValidation type="custom" allowBlank="1" showInputMessage="1" promptTitle="KPI C48" prompt="Affected URL count for the next issue in the priority list." sqref="C48" xr:uid="{00000000-0002-0000-0100-000016000000}">
      <formula1>TRUE</formula1>
    </dataValidation>
    <dataValidation type="custom" allowBlank="1" showInputMessage="1" promptTitle="KPI C49" prompt="Affected URL count for the next issue in the priority list." sqref="C49" xr:uid="{00000000-0002-0000-0100-000017000000}">
      <formula1>TRUE</formula1>
    </dataValidation>
    <dataValidation type="custom" allowBlank="1" showInputMessage="1" promptTitle="KPI E5" prompt="Owner responsible for remediation. Click to open FixPlan." sqref="E5" xr:uid="{00000000-0002-0000-0100-000018000000}">
      <formula1>TRUE</formula1>
    </dataValidation>
    <dataValidation type="custom" allowBlank="1" showInputMessage="1" promptTitle="KPI F5" prompt="Number of issue rows assigned to this owner." sqref="F5" xr:uid="{00000000-0002-0000-0100-000019000000}">
      <formula1>TRUE</formula1>
    </dataValidation>
    <dataValidation type="custom" allowBlank="1" showInputMessage="1" promptTitle="KPI G5" prompt="Total affected URLs across this owner's assigned issues." sqref="G5" xr:uid="{00000000-0002-0000-0100-00001A000000}">
      <formula1>TRUE</formula1>
    </dataValidation>
    <dataValidation type="custom" allowBlank="1" showInputMessage="1" promptTitle="KPI H5" prompt="Count of critical issue types assigned to this owner." sqref="H5" xr:uid="{00000000-0002-0000-0100-00001B000000}">
      <formula1>TRUE</formula1>
    </dataValidation>
    <dataValidation type="custom" allowBlank="1" showInputMessage="1" promptTitle="KPI I5" prompt="Count of warning issue types assigned to this owner." sqref="I5" xr:uid="{00000000-0002-0000-0100-00001C000000}">
      <formula1>TRUE</formula1>
    </dataValidation>
    <dataValidation type="custom" allowBlank="1" showInputMessage="1" promptTitle="KPI J5" prompt="Count of info issue types assigned to this owner." sqref="J5" xr:uid="{00000000-0002-0000-0100-00001D000000}">
      <formula1>TRUE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2"/>
  <sheetViews>
    <sheetView workbookViewId="0">
      <pane xSplit="2" ySplit="1" topLeftCell="C2" activePane="bottomRight" state="frozen"/>
      <selection pane="topRight"/>
      <selection pane="bottomLeft"/>
      <selection pane="bottomRight" activeCell="A11" sqref="A11"/>
    </sheetView>
  </sheetViews>
  <sheetFormatPr defaultRowHeight="15" x14ac:dyDescent="0.25"/>
  <cols>
    <col min="1" max="1" width="20" customWidth="1"/>
    <col min="2" max="2" width="8" customWidth="1"/>
    <col min="3" max="3" width="16" customWidth="1"/>
    <col min="4" max="4" width="60" customWidth="1"/>
    <col min="5" max="5" width="45" customWidth="1"/>
    <col min="6" max="6" width="60" customWidth="1"/>
    <col min="7" max="7" width="49" customWidth="1"/>
    <col min="8" max="9" width="60" customWidth="1"/>
    <col min="10" max="10" width="30" customWidth="1"/>
    <col min="11" max="11" width="13" customWidth="1"/>
    <col min="12" max="12" width="60" customWidth="1"/>
    <col min="13" max="13" width="36" customWidth="1"/>
    <col min="14" max="14" width="12" customWidth="1"/>
    <col min="15" max="15" width="60" customWidth="1"/>
    <col min="16" max="16" width="22" customWidth="1"/>
    <col min="17" max="17" width="24" customWidth="1"/>
    <col min="18" max="18" width="14" customWidth="1"/>
    <col min="19" max="19" width="60" customWidth="1"/>
    <col min="20" max="20" width="18" customWidth="1"/>
    <col min="21" max="21" width="19" customWidth="1"/>
    <col min="22" max="22" width="11" customWidth="1"/>
    <col min="23" max="23" width="18" customWidth="1"/>
    <col min="24" max="24" width="12" customWidth="1"/>
  </cols>
  <sheetData>
    <row r="1" spans="1:25" ht="27.95" customHeight="1" x14ac:dyDescent="0.25">
      <c r="A1" s="68" t="s">
        <v>98</v>
      </c>
      <c r="B1" s="65"/>
      <c r="C1" s="65"/>
      <c r="D1" s="65"/>
      <c r="E1" s="65"/>
      <c r="F1" s="65"/>
      <c r="G1" s="65"/>
      <c r="H1" s="65"/>
      <c r="I1" s="65"/>
      <c r="J1" s="65"/>
      <c r="K1" s="65"/>
      <c r="L1" s="65"/>
      <c r="M1" s="65"/>
      <c r="N1" s="65"/>
      <c r="O1" s="65"/>
      <c r="P1" s="65"/>
      <c r="Q1" s="65"/>
      <c r="R1" s="65"/>
      <c r="S1" s="65"/>
      <c r="T1" s="65"/>
      <c r="U1" s="65"/>
      <c r="V1" s="65"/>
      <c r="W1" s="65"/>
      <c r="X1" s="65"/>
      <c r="Y1" s="65"/>
    </row>
    <row r="2" spans="1:25" ht="30" x14ac:dyDescent="0.25">
      <c r="A2" s="26" t="s">
        <v>99</v>
      </c>
      <c r="B2" s="26" t="s">
        <v>64</v>
      </c>
      <c r="C2" s="26" t="s">
        <v>100</v>
      </c>
      <c r="D2" s="26" t="s">
        <v>101</v>
      </c>
      <c r="E2" s="26" t="s">
        <v>102</v>
      </c>
      <c r="F2" s="26" t="s">
        <v>103</v>
      </c>
      <c r="G2" s="26" t="s">
        <v>104</v>
      </c>
      <c r="H2" s="26" t="s">
        <v>105</v>
      </c>
      <c r="I2" s="26" t="s">
        <v>106</v>
      </c>
      <c r="J2" s="26" t="s">
        <v>107</v>
      </c>
      <c r="K2" s="26" t="s">
        <v>108</v>
      </c>
      <c r="L2" s="26" t="s">
        <v>109</v>
      </c>
      <c r="M2" s="26" t="s">
        <v>110</v>
      </c>
      <c r="N2" s="26" t="s">
        <v>111</v>
      </c>
      <c r="O2" s="26" t="s">
        <v>112</v>
      </c>
      <c r="P2" s="26" t="s">
        <v>113</v>
      </c>
      <c r="Q2" s="26" t="s">
        <v>114</v>
      </c>
      <c r="R2" s="26" t="s">
        <v>115</v>
      </c>
      <c r="S2" s="26" t="s">
        <v>116</v>
      </c>
      <c r="T2" s="26" t="s">
        <v>117</v>
      </c>
      <c r="U2" s="26" t="s">
        <v>118</v>
      </c>
      <c r="V2" s="26" t="s">
        <v>119</v>
      </c>
      <c r="W2" s="26" t="s">
        <v>120</v>
      </c>
      <c r="X2" s="26" t="s">
        <v>121</v>
      </c>
      <c r="Y2" s="26" t="s">
        <v>122</v>
      </c>
    </row>
    <row r="3" spans="1:25" ht="30" customHeight="1" x14ac:dyDescent="0.25">
      <c r="A3" s="27" t="s">
        <v>123</v>
      </c>
      <c r="B3" s="28" t="s">
        <v>124</v>
      </c>
      <c r="C3" s="27" t="s">
        <v>125</v>
      </c>
      <c r="D3" s="27" t="s">
        <v>126</v>
      </c>
      <c r="E3" s="29" t="s">
        <v>127</v>
      </c>
      <c r="F3" s="27" t="s">
        <v>128</v>
      </c>
      <c r="G3" s="27"/>
      <c r="H3" s="27" t="s">
        <v>129</v>
      </c>
      <c r="I3" s="27" t="s">
        <v>130</v>
      </c>
      <c r="J3" s="27"/>
      <c r="K3" s="27"/>
      <c r="L3" s="27" t="s">
        <v>131</v>
      </c>
      <c r="M3" s="27"/>
      <c r="N3" s="27"/>
      <c r="O3" s="27" t="s">
        <v>132</v>
      </c>
      <c r="P3" s="27"/>
      <c r="Q3" s="27"/>
      <c r="R3" s="27"/>
      <c r="S3" s="30" t="s">
        <v>133</v>
      </c>
      <c r="T3" s="27" t="e" vm="1">
        <f t="shared" ref="T3:T12" ca="1" si="0">IF(LEN(S3)&gt;0, _xlfn.IMAGE(S3), "")</f>
        <v>#VALUE!</v>
      </c>
      <c r="U3" s="27"/>
      <c r="V3" s="28">
        <v>36.75</v>
      </c>
      <c r="W3" s="28">
        <v>24</v>
      </c>
      <c r="X3" s="31">
        <v>75</v>
      </c>
      <c r="Y3" t="str">
        <f>IFERROR(HYPERLINK("#Main!A"&amp;MATCH(E2,Main!A:A,0),"Open"),HYPERLINK("#Main!A1","Open"))</f>
        <v>Open</v>
      </c>
    </row>
    <row r="4" spans="1:25" ht="30" customHeight="1" x14ac:dyDescent="0.25">
      <c r="A4" s="27" t="s">
        <v>123</v>
      </c>
      <c r="B4" s="28" t="s">
        <v>124</v>
      </c>
      <c r="C4" s="27" t="s">
        <v>125</v>
      </c>
      <c r="D4" s="27" t="s">
        <v>134</v>
      </c>
      <c r="E4" s="32" t="s">
        <v>135</v>
      </c>
      <c r="F4" s="27" t="s">
        <v>136</v>
      </c>
      <c r="G4" s="27" t="s">
        <v>137</v>
      </c>
      <c r="H4" s="27" t="s">
        <v>138</v>
      </c>
      <c r="I4" s="27" t="s">
        <v>139</v>
      </c>
      <c r="J4" s="27"/>
      <c r="K4" s="27"/>
      <c r="L4" s="27" t="s">
        <v>140</v>
      </c>
      <c r="M4" s="27"/>
      <c r="N4" s="27"/>
      <c r="O4" s="27" t="s">
        <v>141</v>
      </c>
      <c r="P4" s="27"/>
      <c r="Q4" s="27"/>
      <c r="R4" s="27"/>
      <c r="S4" s="30" t="s">
        <v>133</v>
      </c>
      <c r="T4" s="27" t="e" vm="1">
        <f t="shared" ca="1" si="0"/>
        <v>#VALUE!</v>
      </c>
      <c r="U4" s="27"/>
      <c r="V4" s="28">
        <v>46.5</v>
      </c>
      <c r="W4" s="28">
        <v>37</v>
      </c>
      <c r="X4" s="31">
        <v>75</v>
      </c>
      <c r="Y4" s="33" t="str">
        <f>IFERROR(HYPERLINK("#Main!A"&amp;MATCH(E3,Main!A:A,0),"Open"),HYPERLINK("#Main!A1","Open"))</f>
        <v>Open</v>
      </c>
    </row>
    <row r="5" spans="1:25" ht="30" customHeight="1" x14ac:dyDescent="0.25">
      <c r="A5" s="27" t="s">
        <v>142</v>
      </c>
      <c r="B5" s="28" t="s">
        <v>124</v>
      </c>
      <c r="C5" s="27" t="s">
        <v>125</v>
      </c>
      <c r="D5" s="27" t="s">
        <v>143</v>
      </c>
      <c r="E5" s="29" t="s">
        <v>144</v>
      </c>
      <c r="F5" s="27" t="s">
        <v>145</v>
      </c>
      <c r="G5" s="27" t="s">
        <v>146</v>
      </c>
      <c r="H5" s="27" t="s">
        <v>147</v>
      </c>
      <c r="I5" s="27" t="s">
        <v>148</v>
      </c>
      <c r="J5" s="27"/>
      <c r="K5" s="27"/>
      <c r="L5" s="27" t="s">
        <v>149</v>
      </c>
      <c r="M5" s="27"/>
      <c r="N5" s="27"/>
      <c r="O5" s="27" t="s">
        <v>150</v>
      </c>
      <c r="P5" s="27"/>
      <c r="Q5" s="27"/>
      <c r="R5" s="27"/>
      <c r="S5" s="30" t="s">
        <v>133</v>
      </c>
      <c r="T5" s="27" t="e" vm="1">
        <f t="shared" ca="1" si="0"/>
        <v>#VALUE!</v>
      </c>
      <c r="U5" s="27"/>
      <c r="V5" s="28">
        <v>47.5</v>
      </c>
      <c r="W5" s="28">
        <v>30</v>
      </c>
      <c r="X5" s="34">
        <v>100</v>
      </c>
      <c r="Y5" t="str">
        <f>IFERROR(HYPERLINK("#Main!A"&amp;MATCH(E4,Main!A:A,0),"Open"),HYPERLINK("#Main!A1","Open"))</f>
        <v>Open</v>
      </c>
    </row>
    <row r="6" spans="1:25" ht="30" customHeight="1" x14ac:dyDescent="0.25">
      <c r="A6" s="27" t="s">
        <v>142</v>
      </c>
      <c r="B6" s="28" t="s">
        <v>124</v>
      </c>
      <c r="C6" s="27" t="s">
        <v>125</v>
      </c>
      <c r="D6" s="27" t="s">
        <v>151</v>
      </c>
      <c r="E6" s="32" t="s">
        <v>152</v>
      </c>
      <c r="F6" s="27" t="s">
        <v>153</v>
      </c>
      <c r="G6" s="27" t="s">
        <v>154</v>
      </c>
      <c r="H6" s="27" t="s">
        <v>155</v>
      </c>
      <c r="I6" s="27" t="s">
        <v>156</v>
      </c>
      <c r="J6" s="27"/>
      <c r="K6" s="27"/>
      <c r="L6" s="27" t="s">
        <v>157</v>
      </c>
      <c r="M6" s="27"/>
      <c r="N6" s="27"/>
      <c r="O6" s="27" t="s">
        <v>158</v>
      </c>
      <c r="P6" s="27"/>
      <c r="Q6" s="27"/>
      <c r="R6" s="27"/>
      <c r="S6" s="30" t="s">
        <v>159</v>
      </c>
      <c r="T6" s="27" t="e" vm="1">
        <f t="shared" ca="1" si="0"/>
        <v>#VALUE!</v>
      </c>
      <c r="U6" s="27"/>
      <c r="V6" s="28">
        <v>47.5</v>
      </c>
      <c r="W6" s="28">
        <v>30</v>
      </c>
      <c r="X6" s="34">
        <v>100</v>
      </c>
      <c r="Y6" s="33" t="str">
        <f>IFERROR(HYPERLINK("#Main!A"&amp;MATCH(E5,Main!A:A,0),"Open"),HYPERLINK("#Main!A1","Open"))</f>
        <v>Open</v>
      </c>
    </row>
    <row r="7" spans="1:25" ht="30" customHeight="1" x14ac:dyDescent="0.25">
      <c r="A7" s="27" t="s">
        <v>123</v>
      </c>
      <c r="B7" s="28" t="s">
        <v>124</v>
      </c>
      <c r="C7" s="27" t="s">
        <v>125</v>
      </c>
      <c r="D7" s="27" t="s">
        <v>160</v>
      </c>
      <c r="E7" s="29" t="s">
        <v>161</v>
      </c>
      <c r="F7" s="27" t="s">
        <v>162</v>
      </c>
      <c r="G7" s="27" t="s">
        <v>163</v>
      </c>
      <c r="H7" s="27" t="s">
        <v>164</v>
      </c>
      <c r="I7" s="27" t="s">
        <v>165</v>
      </c>
      <c r="J7" s="27"/>
      <c r="K7" s="27"/>
      <c r="L7" s="27" t="s">
        <v>166</v>
      </c>
      <c r="M7" s="27"/>
      <c r="N7" s="27"/>
      <c r="O7" s="27" t="s">
        <v>167</v>
      </c>
      <c r="P7" s="27"/>
      <c r="Q7" s="27"/>
      <c r="R7" s="27"/>
      <c r="S7" s="30" t="s">
        <v>133</v>
      </c>
      <c r="T7" s="27" t="e" vm="1">
        <f t="shared" ca="1" si="0"/>
        <v>#VALUE!</v>
      </c>
      <c r="U7" s="27"/>
      <c r="V7" s="28">
        <v>31.5</v>
      </c>
      <c r="W7" s="28">
        <v>27</v>
      </c>
      <c r="X7" s="28">
        <v>45</v>
      </c>
      <c r="Y7" t="str">
        <f>IFERROR(HYPERLINK("#Main!A"&amp;MATCH(E6,Main!A:A,0),"Open"),HYPERLINK("#Main!A1","Open"))</f>
        <v>Open</v>
      </c>
    </row>
    <row r="8" spans="1:25" ht="30" customHeight="1" x14ac:dyDescent="0.25">
      <c r="A8" s="27" t="s">
        <v>123</v>
      </c>
      <c r="B8" s="28" t="s">
        <v>124</v>
      </c>
      <c r="C8" s="27" t="s">
        <v>125</v>
      </c>
      <c r="D8" s="27" t="s">
        <v>168</v>
      </c>
      <c r="E8" s="32" t="s">
        <v>169</v>
      </c>
      <c r="F8" s="27" t="s">
        <v>170</v>
      </c>
      <c r="G8" s="27" t="s">
        <v>171</v>
      </c>
      <c r="H8" s="27" t="s">
        <v>172</v>
      </c>
      <c r="I8" s="27" t="s">
        <v>173</v>
      </c>
      <c r="J8" s="27"/>
      <c r="K8" s="27"/>
      <c r="L8" s="27" t="s">
        <v>174</v>
      </c>
      <c r="M8" s="27"/>
      <c r="N8" s="27"/>
      <c r="O8" s="27" t="s">
        <v>175</v>
      </c>
      <c r="P8" s="27"/>
      <c r="Q8" s="27"/>
      <c r="R8" s="27"/>
      <c r="S8" s="30" t="s">
        <v>133</v>
      </c>
      <c r="T8" s="27" t="e" vm="1">
        <f t="shared" ca="1" si="0"/>
        <v>#VALUE!</v>
      </c>
      <c r="U8" s="27"/>
      <c r="V8" s="28">
        <v>31.5</v>
      </c>
      <c r="W8" s="28">
        <v>27</v>
      </c>
      <c r="X8" s="28">
        <v>45</v>
      </c>
      <c r="Y8" s="33" t="str">
        <f>IFERROR(HYPERLINK("#Main!A"&amp;MATCH(E7,Main!A:A,0),"Open"),HYPERLINK("#Main!A1","Open"))</f>
        <v>Open</v>
      </c>
    </row>
    <row r="9" spans="1:25" ht="30" customHeight="1" x14ac:dyDescent="0.25">
      <c r="A9" s="27" t="s">
        <v>123</v>
      </c>
      <c r="B9" s="28" t="s">
        <v>124</v>
      </c>
      <c r="C9" s="27" t="s">
        <v>125</v>
      </c>
      <c r="D9" s="27" t="s">
        <v>176</v>
      </c>
      <c r="E9" s="29" t="s">
        <v>177</v>
      </c>
      <c r="F9" s="27" t="s">
        <v>178</v>
      </c>
      <c r="G9" s="27" t="s">
        <v>179</v>
      </c>
      <c r="H9" s="27" t="s">
        <v>180</v>
      </c>
      <c r="I9" s="27" t="s">
        <v>181</v>
      </c>
      <c r="J9" s="27"/>
      <c r="K9" s="27"/>
      <c r="L9" s="27" t="s">
        <v>182</v>
      </c>
      <c r="M9" s="27"/>
      <c r="N9" s="27"/>
      <c r="O9" s="27" t="s">
        <v>183</v>
      </c>
      <c r="P9" s="27"/>
      <c r="Q9" s="27"/>
      <c r="R9" s="27"/>
      <c r="S9" s="30" t="s">
        <v>133</v>
      </c>
      <c r="T9" s="27" t="e" vm="1">
        <f t="shared" ca="1" si="0"/>
        <v>#VALUE!</v>
      </c>
      <c r="U9" s="27"/>
      <c r="V9" s="28">
        <v>40</v>
      </c>
      <c r="W9" s="28">
        <v>30</v>
      </c>
      <c r="X9" s="31">
        <v>70</v>
      </c>
      <c r="Y9" t="str">
        <f>IFERROR(HYPERLINK("#Main!A"&amp;MATCH(E8,Main!A:A,0),"Open"),HYPERLINK("#Main!A1","Open"))</f>
        <v>Open</v>
      </c>
    </row>
    <row r="10" spans="1:25" ht="30" customHeight="1" x14ac:dyDescent="0.25">
      <c r="A10" s="27" t="s">
        <v>184</v>
      </c>
      <c r="B10" s="28" t="s">
        <v>124</v>
      </c>
      <c r="C10" s="27" t="s">
        <v>125</v>
      </c>
      <c r="D10" s="27" t="s">
        <v>185</v>
      </c>
      <c r="E10" s="32" t="s">
        <v>186</v>
      </c>
      <c r="F10" s="27" t="s">
        <v>187</v>
      </c>
      <c r="G10" s="27" t="s">
        <v>188</v>
      </c>
      <c r="H10" s="27" t="s">
        <v>189</v>
      </c>
      <c r="I10" s="27" t="s">
        <v>190</v>
      </c>
      <c r="J10" s="27"/>
      <c r="K10" s="27"/>
      <c r="L10" s="27" t="s">
        <v>191</v>
      </c>
      <c r="M10" s="27"/>
      <c r="N10" s="27"/>
      <c r="O10" s="27" t="s">
        <v>192</v>
      </c>
      <c r="P10" s="27"/>
      <c r="Q10" s="27"/>
      <c r="R10" s="27"/>
      <c r="S10" s="30" t="s">
        <v>159</v>
      </c>
      <c r="T10" s="27" t="e" vm="1">
        <f t="shared" ca="1" si="0"/>
        <v>#VALUE!</v>
      </c>
      <c r="U10" s="27"/>
      <c r="V10" s="28">
        <v>55</v>
      </c>
      <c r="W10" s="28">
        <v>40</v>
      </c>
      <c r="X10" s="34">
        <v>100</v>
      </c>
      <c r="Y10" s="33" t="str">
        <f>IFERROR(HYPERLINK("#Main!A"&amp;MATCH(E9,Main!A:A,0),"Open"),HYPERLINK("#Main!A1","Open"))</f>
        <v>Open</v>
      </c>
    </row>
    <row r="11" spans="1:25" ht="30" customHeight="1" x14ac:dyDescent="0.25">
      <c r="A11" s="27" t="s">
        <v>184</v>
      </c>
      <c r="B11" s="28" t="s">
        <v>124</v>
      </c>
      <c r="C11" s="27" t="s">
        <v>125</v>
      </c>
      <c r="D11" s="27" t="s">
        <v>193</v>
      </c>
      <c r="E11" s="29" t="s">
        <v>194</v>
      </c>
      <c r="F11" s="27" t="s">
        <v>195</v>
      </c>
      <c r="G11" s="27" t="s">
        <v>196</v>
      </c>
      <c r="H11" s="27" t="s">
        <v>197</v>
      </c>
      <c r="I11" s="27" t="s">
        <v>198</v>
      </c>
      <c r="J11" s="27"/>
      <c r="K11" s="27"/>
      <c r="L11" s="27" t="s">
        <v>199</v>
      </c>
      <c r="M11" s="27"/>
      <c r="N11" s="27"/>
      <c r="O11" s="27" t="s">
        <v>200</v>
      </c>
      <c r="P11" s="27"/>
      <c r="Q11" s="27"/>
      <c r="R11" s="27"/>
      <c r="S11" s="30" t="s">
        <v>159</v>
      </c>
      <c r="T11" s="27" t="e" vm="1">
        <f t="shared" ca="1" si="0"/>
        <v>#VALUE!</v>
      </c>
      <c r="U11" s="27"/>
      <c r="V11" s="28">
        <v>55</v>
      </c>
      <c r="W11" s="28">
        <v>40</v>
      </c>
      <c r="X11" s="34">
        <v>100</v>
      </c>
      <c r="Y11" t="str">
        <f>IFERROR(HYPERLINK("#Main!A"&amp;MATCH(E10,Main!A:A,0),"Open"),HYPERLINK("#Main!A1","Open"))</f>
        <v>Open</v>
      </c>
    </row>
    <row r="12" spans="1:25" ht="31.5" x14ac:dyDescent="0.25">
      <c r="A12" s="27" t="s">
        <v>123</v>
      </c>
      <c r="B12" s="28" t="s">
        <v>124</v>
      </c>
      <c r="C12" s="27" t="s">
        <v>125</v>
      </c>
      <c r="D12" s="27" t="s">
        <v>201</v>
      </c>
      <c r="E12" s="32" t="s">
        <v>202</v>
      </c>
      <c r="F12" s="27" t="s">
        <v>203</v>
      </c>
      <c r="G12" s="27" t="s">
        <v>204</v>
      </c>
      <c r="H12" s="27" t="s">
        <v>205</v>
      </c>
      <c r="I12" s="27" t="s">
        <v>206</v>
      </c>
      <c r="J12" s="27"/>
      <c r="K12" s="27"/>
      <c r="L12" s="27" t="s">
        <v>207</v>
      </c>
      <c r="M12" s="27"/>
      <c r="N12" s="27"/>
      <c r="O12" s="27"/>
      <c r="P12" s="27"/>
      <c r="Q12" s="27"/>
      <c r="R12" s="27"/>
      <c r="S12" s="30" t="s">
        <v>159</v>
      </c>
      <c r="T12" s="27" t="e" vm="1">
        <f t="shared" ca="1" si="0"/>
        <v>#VALUE!</v>
      </c>
      <c r="U12" s="27"/>
      <c r="V12" s="28">
        <v>19</v>
      </c>
      <c r="W12" s="28">
        <v>17</v>
      </c>
      <c r="X12" s="28">
        <v>25</v>
      </c>
      <c r="Y12" s="33" t="str">
        <f>IFERROR(HYPERLINK("#Main!A"&amp;MATCH(E11,Main!A:A,0),"Open"),HYPERLINK("#Main!A1","Open"))</f>
        <v>Open</v>
      </c>
    </row>
  </sheetData>
  <autoFilter ref="A2:Y12" xr:uid="{00000000-0009-0000-0000-000002000000}"/>
  <mergeCells count="1">
    <mergeCell ref="A1:Y1"/>
  </mergeCells>
  <conditionalFormatting sqref="A3:A12">
    <cfRule type="cellIs" dxfId="74" priority="7" operator="equal">
      <formula>"Needs Copy"</formula>
    </cfRule>
    <cfRule type="cellIs" dxfId="73" priority="8" operator="equal">
      <formula>"Needs Optimization"</formula>
    </cfRule>
    <cfRule type="cellIs" dxfId="72" priority="9" operator="equal">
      <formula>"Complete"</formula>
    </cfRule>
    <cfRule type="cellIs" dxfId="71" priority="10" operator="equal">
      <formula>"Ready to Publish"</formula>
    </cfRule>
  </conditionalFormatting>
  <conditionalFormatting sqref="B2:B11">
    <cfRule type="expression" dxfId="70" priority="1" stopIfTrue="1">
      <formula>LOWER(B2)="done"</formula>
    </cfRule>
    <cfRule type="expression" dxfId="69" priority="2" stopIfTrue="1">
      <formula>OR(LOWER(B2)="to do",LOWER(B2)="in progress",LOWER(B2)="in review")</formula>
    </cfRule>
  </conditionalFormatting>
  <conditionalFormatting sqref="B3:B12">
    <cfRule type="expression" dxfId="68" priority="3" stopIfTrue="1">
      <formula>LOWER(B3)="completed"</formula>
    </cfRule>
    <cfRule type="expression" dxfId="67" priority="4" stopIfTrue="1">
      <formula>LOWER(B3)="in progress"</formula>
    </cfRule>
    <cfRule type="expression" dxfId="66" priority="5" stopIfTrue="1">
      <formula>LOWER(B3)="review"</formula>
    </cfRule>
    <cfRule type="expression" dxfId="65" priority="6" stopIfTrue="1">
      <formula>LOWER(B3)="to do"</formula>
    </cfRule>
  </conditionalFormatting>
  <dataValidations count="2">
    <dataValidation type="list" allowBlank="1" sqref="B3:B12" xr:uid="{00000000-0002-0000-0200-000000000000}">
      <formula1>"To Do,In Progress,Review,Completed"</formula1>
    </dataValidation>
    <dataValidation type="custom" allowBlank="1" showInputMessage="1" promptTitle="CONTENT HUB INSTRUCTIONS: 1. Dra" prompt="Link quality and crawl-path metric. Fix: repair broken links and improve internal linking relevance." sqref="A1" xr:uid="{00000000-0002-0000-0200-000001000000}">
      <formula1>TRUE</formula1>
    </dataValidation>
  </dataValidations>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21" customWidth="1"/>
    <col min="3" max="4" width="60" customWidth="1"/>
  </cols>
  <sheetData>
    <row r="1" spans="1:5" ht="45" x14ac:dyDescent="0.25">
      <c r="A1" s="26" t="s">
        <v>1</v>
      </c>
      <c r="B1" s="26" t="s">
        <v>208</v>
      </c>
      <c r="C1" s="26" t="s">
        <v>209</v>
      </c>
      <c r="D1" s="26" t="s">
        <v>210</v>
      </c>
      <c r="E1" s="35" t="s">
        <v>211</v>
      </c>
    </row>
    <row r="2" spans="1:5" x14ac:dyDescent="0.25">
      <c r="A2" s="34" t="s">
        <v>212</v>
      </c>
      <c r="B2" s="27"/>
      <c r="C2" s="27"/>
      <c r="D2" s="27"/>
      <c r="E2" s="33"/>
    </row>
    <row r="3" spans="1:5" x14ac:dyDescent="0.25">
      <c r="A3" s="34"/>
      <c r="B3" s="36" t="s">
        <v>213</v>
      </c>
      <c r="C3" s="36" t="s">
        <v>214</v>
      </c>
      <c r="D3" s="36" t="s">
        <v>215</v>
      </c>
    </row>
    <row r="4" spans="1:5" x14ac:dyDescent="0.25">
      <c r="A4" s="34"/>
      <c r="B4" s="27" t="s">
        <v>216</v>
      </c>
      <c r="C4" s="27" t="s">
        <v>217</v>
      </c>
      <c r="D4" s="27" t="s">
        <v>218</v>
      </c>
      <c r="E4" s="33"/>
    </row>
    <row r="5" spans="1:5" x14ac:dyDescent="0.25">
      <c r="A5" s="34"/>
      <c r="B5" s="36" t="s">
        <v>104</v>
      </c>
      <c r="C5" s="36" t="s">
        <v>219</v>
      </c>
      <c r="D5" s="36" t="s">
        <v>220</v>
      </c>
    </row>
    <row r="6" spans="1:5" x14ac:dyDescent="0.25">
      <c r="A6" s="34"/>
      <c r="B6" s="27"/>
      <c r="C6" s="27"/>
      <c r="D6" s="27"/>
      <c r="E6" s="33"/>
    </row>
    <row r="7" spans="1:5" x14ac:dyDescent="0.25">
      <c r="A7" s="34" t="s">
        <v>221</v>
      </c>
      <c r="B7" s="36"/>
      <c r="C7" s="36"/>
      <c r="D7" s="36"/>
    </row>
    <row r="8" spans="1:5" x14ac:dyDescent="0.25">
      <c r="A8" s="34"/>
      <c r="B8" s="27" t="s">
        <v>222</v>
      </c>
      <c r="C8" s="27" t="s">
        <v>223</v>
      </c>
      <c r="D8" s="27" t="s">
        <v>224</v>
      </c>
      <c r="E8" s="33"/>
    </row>
    <row r="9" spans="1:5" x14ac:dyDescent="0.25">
      <c r="A9" s="34"/>
      <c r="B9" s="36" t="s">
        <v>225</v>
      </c>
      <c r="C9" s="36" t="s">
        <v>226</v>
      </c>
      <c r="D9" s="36" t="s">
        <v>227</v>
      </c>
    </row>
    <row r="10" spans="1:5" x14ac:dyDescent="0.25">
      <c r="A10" s="34"/>
      <c r="B10" s="27" t="s">
        <v>228</v>
      </c>
      <c r="C10" s="27" t="s">
        <v>229</v>
      </c>
      <c r="D10" s="27" t="s">
        <v>230</v>
      </c>
      <c r="E10" s="33"/>
    </row>
    <row r="11" spans="1:5" x14ac:dyDescent="0.25">
      <c r="A11" s="34"/>
      <c r="B11" s="36" t="s">
        <v>231</v>
      </c>
      <c r="C11" s="36" t="s">
        <v>232</v>
      </c>
      <c r="D11" s="36" t="s">
        <v>233</v>
      </c>
    </row>
    <row r="12" spans="1:5" x14ac:dyDescent="0.25">
      <c r="A12" s="34"/>
      <c r="B12" s="27"/>
      <c r="C12" s="27"/>
      <c r="D12" s="27"/>
      <c r="E12" s="33"/>
    </row>
    <row r="13" spans="1:5" x14ac:dyDescent="0.25">
      <c r="A13" s="34" t="s">
        <v>234</v>
      </c>
      <c r="B13" s="36"/>
      <c r="C13" s="36"/>
      <c r="D13" s="36"/>
    </row>
    <row r="14" spans="1:5" x14ac:dyDescent="0.25">
      <c r="A14" s="34"/>
      <c r="B14" s="27" t="s">
        <v>235</v>
      </c>
      <c r="C14" s="27" t="s">
        <v>236</v>
      </c>
      <c r="D14" s="27" t="s">
        <v>237</v>
      </c>
      <c r="E14" s="33"/>
    </row>
    <row r="15" spans="1:5" x14ac:dyDescent="0.25">
      <c r="A15" s="34"/>
      <c r="B15" s="36" t="s">
        <v>238</v>
      </c>
      <c r="C15" s="36" t="s">
        <v>239</v>
      </c>
      <c r="D15" s="36" t="s">
        <v>240</v>
      </c>
    </row>
    <row r="16" spans="1:5" x14ac:dyDescent="0.25">
      <c r="A16" s="34"/>
      <c r="B16" s="27" t="s">
        <v>241</v>
      </c>
      <c r="C16" s="27" t="s">
        <v>242</v>
      </c>
      <c r="D16" s="27" t="s">
        <v>243</v>
      </c>
      <c r="E16" s="33"/>
    </row>
    <row r="17" spans="1:5" x14ac:dyDescent="0.25">
      <c r="A17" s="34"/>
      <c r="B17" s="36"/>
      <c r="C17" s="36"/>
      <c r="D17" s="36"/>
    </row>
    <row r="18" spans="1:5" x14ac:dyDescent="0.25">
      <c r="A18" s="34" t="s">
        <v>244</v>
      </c>
      <c r="B18" s="27"/>
      <c r="C18" s="27"/>
      <c r="D18" s="27"/>
      <c r="E18" s="33"/>
    </row>
    <row r="19" spans="1:5" x14ac:dyDescent="0.25">
      <c r="A19" s="34"/>
      <c r="B19" s="36" t="s">
        <v>245</v>
      </c>
      <c r="C19" s="36" t="s">
        <v>246</v>
      </c>
      <c r="D19" s="36" t="s">
        <v>247</v>
      </c>
    </row>
    <row r="20" spans="1:5" x14ac:dyDescent="0.25">
      <c r="A20" s="34"/>
      <c r="B20" s="27" t="s">
        <v>118</v>
      </c>
      <c r="C20" s="27" t="s">
        <v>248</v>
      </c>
      <c r="D20" s="27" t="s">
        <v>249</v>
      </c>
      <c r="E20" s="33"/>
    </row>
  </sheetData>
  <autoFilter ref="A1:E20" xr:uid="{00000000-0009-0000-0000-000003000000}"/>
  <dataValidations count="5">
    <dataValidation type="custom" allowBlank="1" showInputMessage="1" promptTitle="Section" prompt="Summary grouping/navigation field. Use with hyperlinks to jump into detailed tabs." sqref="A1" xr:uid="{00000000-0002-0000-0300-000000000000}">
      <formula1>TRUE</formula1>
    </dataValidation>
    <dataValidation type="custom" allowBlank="1" showInputMessage="1" promptTitle="Item" prompt="Item. Review this metric to identify risk, then use linked tabs for details and remediation." sqref="B1" xr:uid="{00000000-0002-0000-0300-000001000000}">
      <formula1>TRUE</formula1>
    </dataValidation>
    <dataValidation type="custom" allowBlank="1" showInputMessage="1" promptTitle="Guideline" prompt="Guideline. Review this metric to identify risk, then use linked tabs for details and remediation." sqref="C1" xr:uid="{00000000-0002-0000-0300-000002000000}">
      <formula1>TRUE</formula1>
    </dataValidation>
    <dataValidation type="custom" allowBlank="1" showInputMessage="1" promptTitle="Why It Matters" prompt="Why It Matters. Review this metric to identify risk, then use linked tabs for details and remediation." sqref="D1" xr:uid="{00000000-0002-0000-0300-000003000000}">
      <formula1>TRUE</formula1>
    </dataValidation>
    <dataValidation type="custom" allowBlank="1" showInputMessage="1" promptTitle="BACK TO DASHBOARD" prompt="BACK TO DASHBOARD. Review this metric to identify risk, then use linked tabs for details and remediation." sqref="E1" xr:uid="{00000000-0002-0000-0300-000004000000}">
      <formula1>TRUE</formula1>
    </dataValidation>
  </dataValidations>
  <hyperlinks>
    <hyperlink ref="E1" location="Dashboard!A1" display="BACK TO DASHBOARD"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2"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 min="25" max="25" width="11" customWidth="1"/>
    <col min="26" max="26" width="26" customWidth="1"/>
    <col min="27" max="27" width="12" customWidth="1"/>
    <col min="28" max="28" width="11" customWidth="1"/>
    <col min="29" max="29" width="60" customWidth="1"/>
  </cols>
  <sheetData>
    <row r="1" spans="1:32" ht="60" x14ac:dyDescent="0.25">
      <c r="A1" s="26" t="s">
        <v>250</v>
      </c>
      <c r="B1" s="26" t="s">
        <v>77</v>
      </c>
      <c r="C1" s="26" t="s">
        <v>251</v>
      </c>
      <c r="D1" s="26" t="s">
        <v>252</v>
      </c>
      <c r="E1" s="26" t="s">
        <v>70</v>
      </c>
      <c r="F1" s="26" t="s">
        <v>253</v>
      </c>
      <c r="G1" s="26" t="s">
        <v>254</v>
      </c>
      <c r="H1" s="26" t="s">
        <v>102</v>
      </c>
      <c r="I1" s="26" t="s">
        <v>255</v>
      </c>
      <c r="J1" s="26" t="s">
        <v>256</v>
      </c>
      <c r="K1" s="26" t="s">
        <v>68</v>
      </c>
      <c r="L1" s="26" t="s">
        <v>257</v>
      </c>
      <c r="M1" s="26" t="s">
        <v>258</v>
      </c>
      <c r="N1" s="26" t="s">
        <v>259</v>
      </c>
      <c r="O1" s="26" t="s">
        <v>260</v>
      </c>
      <c r="P1" s="26" t="s">
        <v>261</v>
      </c>
      <c r="Q1" s="26" t="s">
        <v>64</v>
      </c>
      <c r="R1" s="26" t="s">
        <v>262</v>
      </c>
      <c r="S1" s="26" t="s">
        <v>263</v>
      </c>
      <c r="T1" s="26" t="s">
        <v>264</v>
      </c>
      <c r="U1" s="26" t="s">
        <v>265</v>
      </c>
      <c r="V1" s="26" t="s">
        <v>266</v>
      </c>
      <c r="W1" s="26" t="s">
        <v>267</v>
      </c>
      <c r="X1" s="26" t="s">
        <v>268</v>
      </c>
      <c r="Y1" s="26" t="s">
        <v>269</v>
      </c>
      <c r="Z1" s="26" t="s">
        <v>270</v>
      </c>
      <c r="AA1" s="26" t="s">
        <v>271</v>
      </c>
      <c r="AB1" s="26" t="s">
        <v>272</v>
      </c>
      <c r="AC1" s="26" t="s">
        <v>273</v>
      </c>
      <c r="AD1" s="26" t="s">
        <v>122</v>
      </c>
      <c r="AE1" s="26" t="s">
        <v>274</v>
      </c>
      <c r="AF1" s="35" t="s">
        <v>211</v>
      </c>
    </row>
    <row r="2" spans="1:32" x14ac:dyDescent="0.25">
      <c r="A2" s="27" t="s">
        <v>275</v>
      </c>
      <c r="B2" s="28" t="s">
        <v>71</v>
      </c>
      <c r="C2" s="37">
        <v>105</v>
      </c>
      <c r="D2" s="38">
        <v>0</v>
      </c>
      <c r="E2" s="30"/>
      <c r="F2" s="27" t="s">
        <v>14</v>
      </c>
      <c r="G2" s="27" t="s">
        <v>276</v>
      </c>
      <c r="H2" s="30"/>
      <c r="I2" s="27" t="s">
        <v>277</v>
      </c>
      <c r="J2" s="27" t="s">
        <v>278</v>
      </c>
      <c r="K2" s="27" t="s">
        <v>279</v>
      </c>
      <c r="L2" s="27" t="s">
        <v>279</v>
      </c>
      <c r="M2" s="27" t="s">
        <v>280</v>
      </c>
      <c r="N2" s="27">
        <v>10</v>
      </c>
      <c r="O2" s="39">
        <v>5</v>
      </c>
      <c r="P2" s="28" t="s">
        <v>281</v>
      </c>
      <c r="Q2" s="28" t="s">
        <v>124</v>
      </c>
      <c r="R2" s="27"/>
      <c r="S2" s="40"/>
      <c r="T2" s="27" t="s">
        <v>282</v>
      </c>
      <c r="U2" s="27" t="s">
        <v>283</v>
      </c>
      <c r="V2" s="27" t="s">
        <v>284</v>
      </c>
      <c r="W2" s="27"/>
      <c r="X2" s="27" t="s">
        <v>285</v>
      </c>
      <c r="Y2" s="27" t="s">
        <v>14</v>
      </c>
      <c r="Z2" s="27" t="s">
        <v>85</v>
      </c>
      <c r="AA2" s="27">
        <v>10</v>
      </c>
      <c r="AB2" s="27">
        <v>0</v>
      </c>
      <c r="AC2" s="27" t="s">
        <v>286</v>
      </c>
      <c r="AD2" s="33" t="str">
        <f>IFERROR(HYPERLINK("#Main!A"&amp;MATCH(H2,Main!A:A,0),"Open"),HYPERLINK("#Main!A1","Open"))</f>
        <v>Open</v>
      </c>
      <c r="AE2" s="33" t="str">
        <f>IFERROR(INDEX('Content Optimization Hub'!A:A,MATCH(H2,'Content Optimization Hub'!C:C,0)),"Not in Hub")</f>
        <v>Not in Hub</v>
      </c>
      <c r="AF2" s="33"/>
    </row>
    <row r="3" spans="1:32" x14ac:dyDescent="0.25">
      <c r="A3" s="36" t="s">
        <v>287</v>
      </c>
      <c r="B3" s="28" t="s">
        <v>71</v>
      </c>
      <c r="C3" s="37">
        <v>105</v>
      </c>
      <c r="D3" s="41">
        <v>0</v>
      </c>
      <c r="E3" s="42"/>
      <c r="F3" s="36" t="s">
        <v>14</v>
      </c>
      <c r="G3" s="36" t="s">
        <v>276</v>
      </c>
      <c r="H3" s="42"/>
      <c r="I3" s="36" t="s">
        <v>288</v>
      </c>
      <c r="J3" s="36" t="s">
        <v>289</v>
      </c>
      <c r="K3" s="36" t="s">
        <v>290</v>
      </c>
      <c r="L3" s="36" t="s">
        <v>290</v>
      </c>
      <c r="M3" s="36" t="s">
        <v>280</v>
      </c>
      <c r="N3" s="36">
        <v>10</v>
      </c>
      <c r="O3" s="39">
        <v>5</v>
      </c>
      <c r="P3" s="28" t="s">
        <v>281</v>
      </c>
      <c r="Q3" s="28" t="s">
        <v>124</v>
      </c>
      <c r="R3" s="36"/>
      <c r="S3" s="43"/>
      <c r="T3" s="36" t="s">
        <v>282</v>
      </c>
      <c r="U3" s="36" t="s">
        <v>283</v>
      </c>
      <c r="V3" s="36" t="s">
        <v>284</v>
      </c>
      <c r="W3" s="36"/>
      <c r="X3" s="36" t="s">
        <v>285</v>
      </c>
      <c r="Y3" s="36" t="s">
        <v>18</v>
      </c>
      <c r="Z3" s="36" t="s">
        <v>85</v>
      </c>
      <c r="AA3" s="36">
        <v>10</v>
      </c>
      <c r="AB3" s="36">
        <v>0</v>
      </c>
      <c r="AC3" s="36" t="s">
        <v>291</v>
      </c>
      <c r="AD3" t="str">
        <f>IFERROR(HYPERLINK("#Main!A"&amp;MATCH(H3,Main!A:A,0),"Open"),HYPERLINK("#Main!A1","Open"))</f>
        <v>Open</v>
      </c>
      <c r="AE3" t="str">
        <f>IFERROR(INDEX('Content Optimization Hub'!A:A,MATCH(H3,'Content Optimization Hub'!C:C,0)),"Not in Hub")</f>
        <v>Not in Hub</v>
      </c>
    </row>
    <row r="4" spans="1:32" x14ac:dyDescent="0.25">
      <c r="A4" s="27" t="s">
        <v>292</v>
      </c>
      <c r="B4" s="28" t="s">
        <v>71</v>
      </c>
      <c r="C4" s="37">
        <v>105</v>
      </c>
      <c r="D4" s="38">
        <v>0</v>
      </c>
      <c r="E4" s="30"/>
      <c r="F4" s="27" t="s">
        <v>26</v>
      </c>
      <c r="G4" s="27" t="s">
        <v>276</v>
      </c>
      <c r="H4" s="30"/>
      <c r="I4" s="27" t="s">
        <v>293</v>
      </c>
      <c r="J4" s="27" t="s">
        <v>294</v>
      </c>
      <c r="K4" s="27" t="s">
        <v>295</v>
      </c>
      <c r="L4" s="27" t="s">
        <v>295</v>
      </c>
      <c r="M4" s="27" t="s">
        <v>280</v>
      </c>
      <c r="N4" s="27">
        <v>10</v>
      </c>
      <c r="O4" s="39">
        <v>5</v>
      </c>
      <c r="P4" s="28" t="s">
        <v>281</v>
      </c>
      <c r="Q4" s="28" t="s">
        <v>124</v>
      </c>
      <c r="R4" s="27"/>
      <c r="S4" s="40"/>
      <c r="T4" s="27" t="s">
        <v>282</v>
      </c>
      <c r="U4" s="27" t="s">
        <v>283</v>
      </c>
      <c r="V4" s="27" t="s">
        <v>284</v>
      </c>
      <c r="W4" s="27"/>
      <c r="X4" s="27" t="s">
        <v>285</v>
      </c>
      <c r="Y4" s="27" t="s">
        <v>14</v>
      </c>
      <c r="Z4" s="27" t="s">
        <v>85</v>
      </c>
      <c r="AA4" s="27">
        <v>10</v>
      </c>
      <c r="AB4" s="27">
        <v>0</v>
      </c>
      <c r="AC4" s="27" t="s">
        <v>296</v>
      </c>
      <c r="AD4" s="33" t="str">
        <f>IFERROR(HYPERLINK("#Main!A"&amp;MATCH(H4,Main!A:A,0),"Open"),HYPERLINK("#Main!A1","Open"))</f>
        <v>Open</v>
      </c>
      <c r="AE4" s="33" t="str">
        <f>IFERROR(INDEX('Content Optimization Hub'!A:A,MATCH(H4,'Content Optimization Hub'!C:C,0)),"Not in Hub")</f>
        <v>Not in Hub</v>
      </c>
      <c r="AF4" s="33"/>
    </row>
    <row r="5" spans="1:32" x14ac:dyDescent="0.25">
      <c r="A5" s="36" t="s">
        <v>297</v>
      </c>
      <c r="B5" s="28" t="s">
        <v>71</v>
      </c>
      <c r="C5" s="37">
        <v>105</v>
      </c>
      <c r="D5" s="41">
        <v>0</v>
      </c>
      <c r="E5" s="42"/>
      <c r="F5" s="36" t="s">
        <v>26</v>
      </c>
      <c r="G5" s="36" t="s">
        <v>298</v>
      </c>
      <c r="H5" s="42"/>
      <c r="I5" s="36" t="s">
        <v>299</v>
      </c>
      <c r="J5" s="36" t="s">
        <v>300</v>
      </c>
      <c r="K5" s="36" t="s">
        <v>295</v>
      </c>
      <c r="L5" s="36" t="s">
        <v>295</v>
      </c>
      <c r="M5" s="36" t="s">
        <v>280</v>
      </c>
      <c r="N5" s="36">
        <v>10</v>
      </c>
      <c r="O5" s="39">
        <v>5</v>
      </c>
      <c r="P5" s="28" t="s">
        <v>281</v>
      </c>
      <c r="Q5" s="28" t="s">
        <v>124</v>
      </c>
      <c r="R5" s="36"/>
      <c r="S5" s="43"/>
      <c r="T5" s="36" t="s">
        <v>282</v>
      </c>
      <c r="U5" s="36" t="s">
        <v>283</v>
      </c>
      <c r="V5" s="36" t="s">
        <v>284</v>
      </c>
      <c r="W5" s="36"/>
      <c r="X5" s="36" t="s">
        <v>285</v>
      </c>
      <c r="Y5" s="36" t="s">
        <v>14</v>
      </c>
      <c r="Z5" s="36" t="s">
        <v>85</v>
      </c>
      <c r="AA5" s="36">
        <v>10</v>
      </c>
      <c r="AB5" s="36">
        <v>0</v>
      </c>
      <c r="AC5" s="36" t="s">
        <v>301</v>
      </c>
      <c r="AD5" t="str">
        <f>IFERROR(HYPERLINK("#Main!A"&amp;MATCH(H5,Main!A:A,0),"Open"),HYPERLINK("#Main!A1","Open"))</f>
        <v>Open</v>
      </c>
      <c r="AE5" t="str">
        <f>IFERROR(INDEX('Content Optimization Hub'!A:A,MATCH(H5,'Content Optimization Hub'!C:C,0)),"Not in Hub")</f>
        <v>Not in Hub</v>
      </c>
    </row>
    <row r="6" spans="1:32" x14ac:dyDescent="0.25">
      <c r="A6" s="27" t="s">
        <v>302</v>
      </c>
      <c r="B6" s="28" t="s">
        <v>71</v>
      </c>
      <c r="C6" s="37">
        <v>105</v>
      </c>
      <c r="D6" s="38">
        <v>0</v>
      </c>
      <c r="E6" s="30"/>
      <c r="F6" s="27" t="s">
        <v>14</v>
      </c>
      <c r="G6" s="27" t="s">
        <v>298</v>
      </c>
      <c r="H6" s="30"/>
      <c r="I6" s="27" t="s">
        <v>303</v>
      </c>
      <c r="J6" s="27" t="s">
        <v>304</v>
      </c>
      <c r="K6" s="27" t="s">
        <v>279</v>
      </c>
      <c r="L6" s="27" t="s">
        <v>279</v>
      </c>
      <c r="M6" s="27" t="s">
        <v>280</v>
      </c>
      <c r="N6" s="27">
        <v>10</v>
      </c>
      <c r="O6" s="39">
        <v>5</v>
      </c>
      <c r="P6" s="28" t="s">
        <v>281</v>
      </c>
      <c r="Q6" s="28" t="s">
        <v>124</v>
      </c>
      <c r="R6" s="27"/>
      <c r="S6" s="40"/>
      <c r="T6" s="27" t="s">
        <v>282</v>
      </c>
      <c r="U6" s="27" t="s">
        <v>283</v>
      </c>
      <c r="V6" s="27" t="s">
        <v>284</v>
      </c>
      <c r="W6" s="27"/>
      <c r="X6" s="27" t="s">
        <v>285</v>
      </c>
      <c r="Y6" s="27" t="s">
        <v>18</v>
      </c>
      <c r="Z6" s="27" t="s">
        <v>85</v>
      </c>
      <c r="AA6" s="27">
        <v>10</v>
      </c>
      <c r="AB6" s="27">
        <v>0</v>
      </c>
      <c r="AC6" s="27" t="s">
        <v>305</v>
      </c>
      <c r="AD6" s="33" t="str">
        <f>IFERROR(HYPERLINK("#Main!A"&amp;MATCH(H6,Main!A:A,0),"Open"),HYPERLINK("#Main!A1","Open"))</f>
        <v>Open</v>
      </c>
      <c r="AE6" s="33" t="str">
        <f>IFERROR(INDEX('Content Optimization Hub'!A:A,MATCH(H6,'Content Optimization Hub'!C:C,0)),"Not in Hub")</f>
        <v>Not in Hub</v>
      </c>
      <c r="AF6" s="33"/>
    </row>
    <row r="7" spans="1:32" x14ac:dyDescent="0.25">
      <c r="A7" s="36" t="s">
        <v>306</v>
      </c>
      <c r="B7" s="28" t="s">
        <v>71</v>
      </c>
      <c r="C7" s="37">
        <v>105</v>
      </c>
      <c r="D7" s="41">
        <v>0</v>
      </c>
      <c r="E7" s="42"/>
      <c r="F7" s="36" t="s">
        <v>14</v>
      </c>
      <c r="G7" s="36" t="s">
        <v>298</v>
      </c>
      <c r="H7" s="42"/>
      <c r="I7" s="36" t="s">
        <v>303</v>
      </c>
      <c r="J7" s="36" t="s">
        <v>304</v>
      </c>
      <c r="K7" s="36" t="s">
        <v>295</v>
      </c>
      <c r="L7" s="36" t="s">
        <v>295</v>
      </c>
      <c r="M7" s="36" t="s">
        <v>280</v>
      </c>
      <c r="N7" s="36">
        <v>10</v>
      </c>
      <c r="O7" s="39">
        <v>5</v>
      </c>
      <c r="P7" s="28" t="s">
        <v>281</v>
      </c>
      <c r="Q7" s="28" t="s">
        <v>124</v>
      </c>
      <c r="R7" s="36"/>
      <c r="S7" s="43"/>
      <c r="T7" s="36" t="s">
        <v>282</v>
      </c>
      <c r="U7" s="36" t="s">
        <v>283</v>
      </c>
      <c r="V7" s="36" t="s">
        <v>284</v>
      </c>
      <c r="W7" s="36"/>
      <c r="X7" s="36" t="s">
        <v>285</v>
      </c>
      <c r="Y7" s="36" t="s">
        <v>18</v>
      </c>
      <c r="Z7" s="36" t="s">
        <v>85</v>
      </c>
      <c r="AA7" s="36">
        <v>10</v>
      </c>
      <c r="AB7" s="36">
        <v>0</v>
      </c>
      <c r="AC7" s="36" t="s">
        <v>307</v>
      </c>
      <c r="AD7" t="str">
        <f>IFERROR(HYPERLINK("#Main!A"&amp;MATCH(H7,Main!A:A,0),"Open"),HYPERLINK("#Main!A1","Open"))</f>
        <v>Open</v>
      </c>
      <c r="AE7" t="str">
        <f>IFERROR(INDEX('Content Optimization Hub'!A:A,MATCH(H7,'Content Optimization Hub'!C:C,0)),"Not in Hub")</f>
        <v>Not in Hub</v>
      </c>
    </row>
    <row r="8" spans="1:32" ht="120" customHeight="1" x14ac:dyDescent="0.25">
      <c r="A8" s="27" t="s">
        <v>308</v>
      </c>
      <c r="B8" s="28" t="s">
        <v>71</v>
      </c>
      <c r="C8" s="37">
        <v>105</v>
      </c>
      <c r="D8" s="38">
        <v>10</v>
      </c>
      <c r="E8" s="30" t="s">
        <v>309</v>
      </c>
      <c r="F8" s="27" t="s">
        <v>24</v>
      </c>
      <c r="G8" s="27" t="s">
        <v>276</v>
      </c>
      <c r="H8" s="32" t="s">
        <v>144</v>
      </c>
      <c r="I8" s="27" t="s">
        <v>310</v>
      </c>
      <c r="J8" s="27" t="s">
        <v>311</v>
      </c>
      <c r="K8" s="27" t="s">
        <v>295</v>
      </c>
      <c r="L8" s="27" t="s">
        <v>295</v>
      </c>
      <c r="M8" s="27" t="s">
        <v>280</v>
      </c>
      <c r="N8" s="27">
        <v>10</v>
      </c>
      <c r="O8" s="39">
        <v>5</v>
      </c>
      <c r="P8" s="28" t="s">
        <v>281</v>
      </c>
      <c r="Q8" s="28" t="s">
        <v>124</v>
      </c>
      <c r="R8" s="27"/>
      <c r="S8" s="40"/>
      <c r="T8" s="27" t="s">
        <v>282</v>
      </c>
      <c r="U8" s="27" t="s">
        <v>283</v>
      </c>
      <c r="V8" s="27" t="s">
        <v>284</v>
      </c>
      <c r="W8" s="27"/>
      <c r="X8" s="27" t="s">
        <v>285</v>
      </c>
      <c r="Y8" s="27" t="s">
        <v>18</v>
      </c>
      <c r="Z8" s="27" t="s">
        <v>85</v>
      </c>
      <c r="AA8" s="27">
        <v>10</v>
      </c>
      <c r="AB8" s="27">
        <v>0</v>
      </c>
      <c r="AC8" s="27" t="s">
        <v>312</v>
      </c>
      <c r="AD8" s="33" t="str">
        <f>IFERROR(HYPERLINK("#Main!A"&amp;MATCH(H8,Main!A:A,0),"Open"),HYPERLINK("#Main!A1","Open"))</f>
        <v>Open</v>
      </c>
      <c r="AE8" s="33" t="str">
        <f>IFERROR(INDEX('Content Optimization Hub'!A:A,MATCH(H8,'Content Optimization Hub'!C:C,0)),"Not in Hub")</f>
        <v>Not in Hub</v>
      </c>
      <c r="AF8" s="33"/>
    </row>
    <row r="9" spans="1:32" x14ac:dyDescent="0.25">
      <c r="A9" s="36" t="s">
        <v>313</v>
      </c>
      <c r="B9" s="31" t="s">
        <v>72</v>
      </c>
      <c r="C9" s="39">
        <v>67</v>
      </c>
      <c r="D9" s="41">
        <v>0</v>
      </c>
      <c r="E9" s="42"/>
      <c r="F9" s="36" t="s">
        <v>14</v>
      </c>
      <c r="G9" s="36" t="s">
        <v>298</v>
      </c>
      <c r="H9" s="42"/>
      <c r="I9" s="36" t="s">
        <v>303</v>
      </c>
      <c r="J9" s="36" t="s">
        <v>304</v>
      </c>
      <c r="K9" s="36" t="s">
        <v>295</v>
      </c>
      <c r="L9" s="36" t="s">
        <v>295</v>
      </c>
      <c r="M9" s="36" t="s">
        <v>314</v>
      </c>
      <c r="N9" s="36">
        <v>4</v>
      </c>
      <c r="O9" s="44">
        <v>2</v>
      </c>
      <c r="P9" s="45" t="s">
        <v>315</v>
      </c>
      <c r="Q9" s="28" t="s">
        <v>124</v>
      </c>
      <c r="R9" s="36"/>
      <c r="S9" s="43"/>
      <c r="T9" s="36" t="s">
        <v>316</v>
      </c>
      <c r="U9" s="36" t="s">
        <v>283</v>
      </c>
      <c r="V9" s="36" t="s">
        <v>284</v>
      </c>
      <c r="W9" s="36"/>
      <c r="X9" s="36" t="s">
        <v>285</v>
      </c>
      <c r="Y9" s="36" t="s">
        <v>14</v>
      </c>
      <c r="Z9" s="36" t="s">
        <v>85</v>
      </c>
      <c r="AA9" s="36">
        <v>4</v>
      </c>
      <c r="AB9" s="36">
        <v>0</v>
      </c>
      <c r="AC9" s="36" t="s">
        <v>317</v>
      </c>
      <c r="AD9" t="str">
        <f>IFERROR(HYPERLINK("#Main!A"&amp;MATCH(H9,Main!A:A,0),"Open"),HYPERLINK("#Main!A1","Open"))</f>
        <v>Open</v>
      </c>
      <c r="AE9" t="str">
        <f>IFERROR(INDEX('Content Optimization Hub'!A:A,MATCH(H9,'Content Optimization Hub'!C:C,0)),"Not in Hub")</f>
        <v>Not in Hub</v>
      </c>
    </row>
    <row r="10" spans="1:32" x14ac:dyDescent="0.25">
      <c r="A10" s="27" t="s">
        <v>318</v>
      </c>
      <c r="B10" s="31" t="s">
        <v>72</v>
      </c>
      <c r="C10" s="39">
        <v>67</v>
      </c>
      <c r="D10" s="38">
        <v>0</v>
      </c>
      <c r="E10" s="30"/>
      <c r="F10" s="27" t="s">
        <v>14</v>
      </c>
      <c r="G10" s="27" t="s">
        <v>298</v>
      </c>
      <c r="H10" s="30"/>
      <c r="I10" s="27" t="s">
        <v>303</v>
      </c>
      <c r="J10" s="27" t="s">
        <v>304</v>
      </c>
      <c r="K10" s="27" t="s">
        <v>290</v>
      </c>
      <c r="L10" s="27" t="s">
        <v>290</v>
      </c>
      <c r="M10" s="27" t="s">
        <v>314</v>
      </c>
      <c r="N10" s="27">
        <v>4</v>
      </c>
      <c r="O10" s="44">
        <v>2</v>
      </c>
      <c r="P10" s="45" t="s">
        <v>315</v>
      </c>
      <c r="Q10" s="28" t="s">
        <v>124</v>
      </c>
      <c r="R10" s="27"/>
      <c r="S10" s="40"/>
      <c r="T10" s="27" t="s">
        <v>316</v>
      </c>
      <c r="U10" s="27" t="s">
        <v>283</v>
      </c>
      <c r="V10" s="27" t="s">
        <v>284</v>
      </c>
      <c r="W10" s="27"/>
      <c r="X10" s="27" t="s">
        <v>285</v>
      </c>
      <c r="Y10" s="27" t="s">
        <v>18</v>
      </c>
      <c r="Z10" s="27" t="s">
        <v>85</v>
      </c>
      <c r="AA10" s="27">
        <v>4</v>
      </c>
      <c r="AB10" s="27">
        <v>0</v>
      </c>
      <c r="AC10" s="27" t="s">
        <v>319</v>
      </c>
      <c r="AD10" s="33" t="str">
        <f>IFERROR(HYPERLINK("#Main!A"&amp;MATCH(H10,Main!A:A,0),"Open"),HYPERLINK("#Main!A1","Open"))</f>
        <v>Open</v>
      </c>
      <c r="AE10" s="33" t="str">
        <f>IFERROR(INDEX('Content Optimization Hub'!A:A,MATCH(H10,'Content Optimization Hub'!C:C,0)),"Not in Hub")</f>
        <v>Not in Hub</v>
      </c>
      <c r="AF10" s="33"/>
    </row>
    <row r="11" spans="1:32" x14ac:dyDescent="0.25">
      <c r="A11" s="36" t="s">
        <v>320</v>
      </c>
      <c r="B11" s="31" t="s">
        <v>72</v>
      </c>
      <c r="C11" s="39">
        <v>67</v>
      </c>
      <c r="D11" s="41">
        <v>0</v>
      </c>
      <c r="E11" s="42"/>
      <c r="F11" s="36" t="s">
        <v>20</v>
      </c>
      <c r="G11" s="36" t="s">
        <v>298</v>
      </c>
      <c r="H11" s="42"/>
      <c r="I11" s="36" t="s">
        <v>321</v>
      </c>
      <c r="J11" s="36" t="s">
        <v>322</v>
      </c>
      <c r="K11" s="36" t="s">
        <v>295</v>
      </c>
      <c r="L11" s="36" t="s">
        <v>295</v>
      </c>
      <c r="M11" s="36" t="s">
        <v>314</v>
      </c>
      <c r="N11" s="36">
        <v>4</v>
      </c>
      <c r="O11" s="44">
        <v>2</v>
      </c>
      <c r="P11" s="45" t="s">
        <v>315</v>
      </c>
      <c r="Q11" s="28" t="s">
        <v>124</v>
      </c>
      <c r="R11" s="36"/>
      <c r="S11" s="43"/>
      <c r="T11" s="36" t="s">
        <v>316</v>
      </c>
      <c r="U11" s="36" t="s">
        <v>283</v>
      </c>
      <c r="V11" s="36" t="s">
        <v>284</v>
      </c>
      <c r="W11" s="36"/>
      <c r="X11" s="36" t="s">
        <v>20</v>
      </c>
      <c r="Y11" s="36" t="s">
        <v>18</v>
      </c>
      <c r="Z11" s="36" t="s">
        <v>85</v>
      </c>
      <c r="AA11" s="36">
        <v>4</v>
      </c>
      <c r="AB11" s="36">
        <v>0</v>
      </c>
      <c r="AC11" s="36" t="s">
        <v>323</v>
      </c>
      <c r="AD11" t="str">
        <f>IFERROR(HYPERLINK("#Main!A"&amp;MATCH(H11,Main!A:A,0),"Open"),HYPERLINK("#Main!A1","Open"))</f>
        <v>Open</v>
      </c>
      <c r="AE11" t="str">
        <f>IFERROR(INDEX('Content Optimization Hub'!A:A,MATCH(H11,'Content Optimization Hub'!C:C,0)),"Not in Hub")</f>
        <v>Not in Hub</v>
      </c>
    </row>
    <row r="12" spans="1:32" x14ac:dyDescent="0.25">
      <c r="A12" s="27" t="s">
        <v>324</v>
      </c>
      <c r="B12" s="31" t="s">
        <v>72</v>
      </c>
      <c r="C12" s="39">
        <v>67</v>
      </c>
      <c r="D12" s="38">
        <v>0</v>
      </c>
      <c r="E12" s="30"/>
      <c r="F12" s="27" t="s">
        <v>14</v>
      </c>
      <c r="G12" s="27" t="s">
        <v>276</v>
      </c>
      <c r="H12" s="30"/>
      <c r="I12" s="27" t="s">
        <v>303</v>
      </c>
      <c r="J12" s="27" t="s">
        <v>304</v>
      </c>
      <c r="K12" s="27" t="s">
        <v>290</v>
      </c>
      <c r="L12" s="27" t="s">
        <v>290</v>
      </c>
      <c r="M12" s="27" t="s">
        <v>314</v>
      </c>
      <c r="N12" s="27">
        <v>4</v>
      </c>
      <c r="O12" s="44">
        <v>2</v>
      </c>
      <c r="P12" s="45" t="s">
        <v>315</v>
      </c>
      <c r="Q12" s="28" t="s">
        <v>124</v>
      </c>
      <c r="R12" s="27"/>
      <c r="S12" s="40"/>
      <c r="T12" s="27" t="s">
        <v>316</v>
      </c>
      <c r="U12" s="27" t="s">
        <v>283</v>
      </c>
      <c r="V12" s="27" t="s">
        <v>284</v>
      </c>
      <c r="W12" s="27"/>
      <c r="X12" s="27" t="s">
        <v>285</v>
      </c>
      <c r="Y12" s="27" t="s">
        <v>18</v>
      </c>
      <c r="Z12" s="27" t="s">
        <v>85</v>
      </c>
      <c r="AA12" s="27">
        <v>4</v>
      </c>
      <c r="AB12" s="27">
        <v>0</v>
      </c>
      <c r="AC12" s="27" t="s">
        <v>325</v>
      </c>
      <c r="AD12" s="33" t="str">
        <f>IFERROR(HYPERLINK("#Main!A"&amp;MATCH(H12,Main!A:A,0),"Open"),HYPERLINK("#Main!A1","Open"))</f>
        <v>Open</v>
      </c>
      <c r="AE12" s="33" t="str">
        <f>IFERROR(INDEX('Content Optimization Hub'!A:A,MATCH(H12,'Content Optimization Hub'!C:C,0)),"Not in Hub")</f>
        <v>Not in Hub</v>
      </c>
      <c r="AF12" s="33"/>
    </row>
    <row r="13" spans="1:32" x14ac:dyDescent="0.25">
      <c r="A13" s="36" t="s">
        <v>326</v>
      </c>
      <c r="B13" s="31" t="s">
        <v>72</v>
      </c>
      <c r="C13" s="39">
        <v>67</v>
      </c>
      <c r="D13" s="41">
        <v>0</v>
      </c>
      <c r="E13" s="42"/>
      <c r="F13" s="36" t="s">
        <v>14</v>
      </c>
      <c r="G13" s="36" t="s">
        <v>276</v>
      </c>
      <c r="H13" s="42"/>
      <c r="I13" s="36" t="s">
        <v>327</v>
      </c>
      <c r="J13" s="36" t="s">
        <v>328</v>
      </c>
      <c r="K13" s="36" t="s">
        <v>295</v>
      </c>
      <c r="L13" s="36" t="s">
        <v>295</v>
      </c>
      <c r="M13" s="36" t="s">
        <v>314</v>
      </c>
      <c r="N13" s="36">
        <v>4</v>
      </c>
      <c r="O13" s="44">
        <v>2</v>
      </c>
      <c r="P13" s="45" t="s">
        <v>315</v>
      </c>
      <c r="Q13" s="28" t="s">
        <v>124</v>
      </c>
      <c r="R13" s="36"/>
      <c r="S13" s="43"/>
      <c r="T13" s="36" t="s">
        <v>316</v>
      </c>
      <c r="U13" s="36" t="s">
        <v>283</v>
      </c>
      <c r="V13" s="36" t="s">
        <v>284</v>
      </c>
      <c r="W13" s="36"/>
      <c r="X13" s="36" t="s">
        <v>285</v>
      </c>
      <c r="Y13" s="36" t="s">
        <v>18</v>
      </c>
      <c r="Z13" s="36" t="s">
        <v>85</v>
      </c>
      <c r="AA13" s="36">
        <v>4</v>
      </c>
      <c r="AB13" s="36">
        <v>0</v>
      </c>
      <c r="AC13" s="36" t="s">
        <v>329</v>
      </c>
      <c r="AD13" t="str">
        <f>IFERROR(HYPERLINK("#Main!A"&amp;MATCH(H13,Main!A:A,0),"Open"),HYPERLINK("#Main!A1","Open"))</f>
        <v>Open</v>
      </c>
      <c r="AE13" t="str">
        <f>IFERROR(INDEX('Content Optimization Hub'!A:A,MATCH(H13,'Content Optimization Hub'!C:C,0)),"Not in Hub")</f>
        <v>Not in Hub</v>
      </c>
    </row>
    <row r="14" spans="1:32" x14ac:dyDescent="0.25">
      <c r="A14" s="27" t="s">
        <v>330</v>
      </c>
      <c r="B14" s="31" t="s">
        <v>72</v>
      </c>
      <c r="C14" s="39">
        <v>67</v>
      </c>
      <c r="D14" s="38">
        <v>0</v>
      </c>
      <c r="E14" s="30"/>
      <c r="F14" s="27" t="s">
        <v>26</v>
      </c>
      <c r="G14" s="27" t="s">
        <v>298</v>
      </c>
      <c r="H14" s="30"/>
      <c r="I14" s="27" t="s">
        <v>303</v>
      </c>
      <c r="J14" s="27" t="s">
        <v>304</v>
      </c>
      <c r="K14" s="27" t="s">
        <v>295</v>
      </c>
      <c r="L14" s="27" t="s">
        <v>295</v>
      </c>
      <c r="M14" s="27" t="s">
        <v>314</v>
      </c>
      <c r="N14" s="27">
        <v>4</v>
      </c>
      <c r="O14" s="44">
        <v>2</v>
      </c>
      <c r="P14" s="45" t="s">
        <v>315</v>
      </c>
      <c r="Q14" s="28" t="s">
        <v>124</v>
      </c>
      <c r="R14" s="27"/>
      <c r="S14" s="40"/>
      <c r="T14" s="27" t="s">
        <v>316</v>
      </c>
      <c r="U14" s="27" t="s">
        <v>283</v>
      </c>
      <c r="V14" s="27" t="s">
        <v>284</v>
      </c>
      <c r="W14" s="27"/>
      <c r="X14" s="27" t="s">
        <v>285</v>
      </c>
      <c r="Y14" s="27" t="s">
        <v>14</v>
      </c>
      <c r="Z14" s="27" t="s">
        <v>85</v>
      </c>
      <c r="AA14" s="27">
        <v>4</v>
      </c>
      <c r="AB14" s="27">
        <v>0</v>
      </c>
      <c r="AC14" s="27" t="s">
        <v>331</v>
      </c>
      <c r="AD14" s="33" t="str">
        <f>IFERROR(HYPERLINK("#Main!A"&amp;MATCH(H14,Main!A:A,0),"Open"),HYPERLINK("#Main!A1","Open"))</f>
        <v>Open</v>
      </c>
      <c r="AE14" s="33" t="str">
        <f>IFERROR(INDEX('Content Optimization Hub'!A:A,MATCH(H14,'Content Optimization Hub'!C:C,0)),"Not in Hub")</f>
        <v>Not in Hub</v>
      </c>
      <c r="AF14" s="33"/>
    </row>
    <row r="15" spans="1:32" x14ac:dyDescent="0.25">
      <c r="A15" s="36" t="s">
        <v>332</v>
      </c>
      <c r="B15" s="31" t="s">
        <v>72</v>
      </c>
      <c r="C15" s="39">
        <v>67</v>
      </c>
      <c r="D15" s="41">
        <v>0</v>
      </c>
      <c r="E15" s="42"/>
      <c r="F15" s="36" t="s">
        <v>14</v>
      </c>
      <c r="G15" s="36" t="s">
        <v>276</v>
      </c>
      <c r="H15" s="42"/>
      <c r="I15" s="36" t="s">
        <v>303</v>
      </c>
      <c r="J15" s="36" t="s">
        <v>304</v>
      </c>
      <c r="K15" s="36" t="s">
        <v>290</v>
      </c>
      <c r="L15" s="36" t="s">
        <v>290</v>
      </c>
      <c r="M15" s="36" t="s">
        <v>314</v>
      </c>
      <c r="N15" s="36">
        <v>4</v>
      </c>
      <c r="O15" s="44">
        <v>2</v>
      </c>
      <c r="P15" s="45" t="s">
        <v>315</v>
      </c>
      <c r="Q15" s="28" t="s">
        <v>124</v>
      </c>
      <c r="R15" s="36"/>
      <c r="S15" s="43"/>
      <c r="T15" s="36" t="s">
        <v>316</v>
      </c>
      <c r="U15" s="36" t="s">
        <v>283</v>
      </c>
      <c r="V15" s="36" t="s">
        <v>284</v>
      </c>
      <c r="W15" s="36"/>
      <c r="X15" s="36" t="s">
        <v>285</v>
      </c>
      <c r="Y15" s="36" t="s">
        <v>18</v>
      </c>
      <c r="Z15" s="36" t="s">
        <v>85</v>
      </c>
      <c r="AA15" s="36">
        <v>4</v>
      </c>
      <c r="AB15" s="36">
        <v>0</v>
      </c>
      <c r="AC15" s="36" t="s">
        <v>333</v>
      </c>
      <c r="AD15" t="str">
        <f>IFERROR(HYPERLINK("#Main!A"&amp;MATCH(H15,Main!A:A,0),"Open"),HYPERLINK("#Main!A1","Open"))</f>
        <v>Open</v>
      </c>
      <c r="AE15" t="str">
        <f>IFERROR(INDEX('Content Optimization Hub'!A:A,MATCH(H15,'Content Optimization Hub'!C:C,0)),"Not in Hub")</f>
        <v>Not in Hub</v>
      </c>
    </row>
    <row r="16" spans="1:32" ht="120" customHeight="1" x14ac:dyDescent="0.25">
      <c r="A16" s="27" t="s">
        <v>334</v>
      </c>
      <c r="B16" s="31" t="s">
        <v>72</v>
      </c>
      <c r="C16" s="39">
        <v>67</v>
      </c>
      <c r="D16" s="38">
        <v>10</v>
      </c>
      <c r="E16" s="30" t="s">
        <v>309</v>
      </c>
      <c r="F16" s="27" t="s">
        <v>14</v>
      </c>
      <c r="G16" s="27" t="s">
        <v>276</v>
      </c>
      <c r="H16" s="32" t="s">
        <v>144</v>
      </c>
      <c r="I16" s="27" t="s">
        <v>303</v>
      </c>
      <c r="J16" s="27" t="s">
        <v>304</v>
      </c>
      <c r="K16" s="27" t="s">
        <v>290</v>
      </c>
      <c r="L16" s="27" t="s">
        <v>290</v>
      </c>
      <c r="M16" s="27" t="s">
        <v>314</v>
      </c>
      <c r="N16" s="27">
        <v>4</v>
      </c>
      <c r="O16" s="44">
        <v>2</v>
      </c>
      <c r="P16" s="45" t="s">
        <v>315</v>
      </c>
      <c r="Q16" s="28" t="s">
        <v>124</v>
      </c>
      <c r="R16" s="27"/>
      <c r="S16" s="40"/>
      <c r="T16" s="27" t="s">
        <v>316</v>
      </c>
      <c r="U16" s="27" t="s">
        <v>283</v>
      </c>
      <c r="V16" s="27" t="s">
        <v>284</v>
      </c>
      <c r="W16" s="27"/>
      <c r="X16" s="27" t="s">
        <v>285</v>
      </c>
      <c r="Y16" s="27" t="s">
        <v>18</v>
      </c>
      <c r="Z16" s="27" t="s">
        <v>85</v>
      </c>
      <c r="AA16" s="27">
        <v>4</v>
      </c>
      <c r="AB16" s="27">
        <v>0</v>
      </c>
      <c r="AC16" s="27" t="s">
        <v>335</v>
      </c>
      <c r="AD16" s="33" t="str">
        <f>IFERROR(HYPERLINK("#Main!A"&amp;MATCH(H16,Main!A:A,0),"Open"),HYPERLINK("#Main!A1","Open"))</f>
        <v>Open</v>
      </c>
      <c r="AE16" s="33" t="str">
        <f>IFERROR(INDEX('Content Optimization Hub'!A:A,MATCH(H16,'Content Optimization Hub'!C:C,0)),"Not in Hub")</f>
        <v>Not in Hub</v>
      </c>
      <c r="AF16" s="33"/>
    </row>
    <row r="17" spans="1:32" ht="120" customHeight="1" x14ac:dyDescent="0.25">
      <c r="A17" s="36" t="s">
        <v>336</v>
      </c>
      <c r="B17" s="31" t="s">
        <v>72</v>
      </c>
      <c r="C17" s="39">
        <v>67</v>
      </c>
      <c r="D17" s="41">
        <v>10</v>
      </c>
      <c r="E17" s="42" t="s">
        <v>309</v>
      </c>
      <c r="F17" s="36" t="s">
        <v>20</v>
      </c>
      <c r="G17" s="36" t="s">
        <v>276</v>
      </c>
      <c r="H17" s="29" t="s">
        <v>144</v>
      </c>
      <c r="I17" s="36" t="s">
        <v>337</v>
      </c>
      <c r="J17" s="36" t="s">
        <v>338</v>
      </c>
      <c r="K17" s="36" t="s">
        <v>290</v>
      </c>
      <c r="L17" s="36" t="s">
        <v>290</v>
      </c>
      <c r="M17" s="36" t="s">
        <v>314</v>
      </c>
      <c r="N17" s="36">
        <v>4</v>
      </c>
      <c r="O17" s="44">
        <v>2</v>
      </c>
      <c r="P17" s="45" t="s">
        <v>315</v>
      </c>
      <c r="Q17" s="28" t="s">
        <v>124</v>
      </c>
      <c r="R17" s="36"/>
      <c r="S17" s="43"/>
      <c r="T17" s="36" t="s">
        <v>316</v>
      </c>
      <c r="U17" s="36" t="s">
        <v>283</v>
      </c>
      <c r="V17" s="36" t="s">
        <v>284</v>
      </c>
      <c r="W17" s="36"/>
      <c r="X17" s="36" t="s">
        <v>20</v>
      </c>
      <c r="Y17" s="36" t="s">
        <v>18</v>
      </c>
      <c r="Z17" s="36" t="s">
        <v>85</v>
      </c>
      <c r="AA17" s="36">
        <v>4</v>
      </c>
      <c r="AB17" s="36">
        <v>0</v>
      </c>
      <c r="AC17" s="36" t="s">
        <v>339</v>
      </c>
      <c r="AD17" t="str">
        <f>IFERROR(HYPERLINK("#Main!A"&amp;MATCH(H17,Main!A:A,0),"Open"),HYPERLINK("#Main!A1","Open"))</f>
        <v>Open</v>
      </c>
      <c r="AE17" t="str">
        <f>IFERROR(INDEX('Content Optimization Hub'!A:A,MATCH(H17,'Content Optimization Hub'!C:C,0)),"Not in Hub")</f>
        <v>Not in Hub</v>
      </c>
    </row>
    <row r="18" spans="1:32" ht="60" customHeight="1" x14ac:dyDescent="0.25">
      <c r="A18" s="27" t="s">
        <v>340</v>
      </c>
      <c r="B18" s="31" t="s">
        <v>72</v>
      </c>
      <c r="C18" s="39">
        <v>67</v>
      </c>
      <c r="D18" s="38">
        <v>3</v>
      </c>
      <c r="E18" s="30" t="s">
        <v>341</v>
      </c>
      <c r="F18" s="27" t="s">
        <v>14</v>
      </c>
      <c r="G18" s="27" t="s">
        <v>276</v>
      </c>
      <c r="H18" s="32" t="s">
        <v>144</v>
      </c>
      <c r="I18" s="27" t="s">
        <v>303</v>
      </c>
      <c r="J18" s="27" t="s">
        <v>304</v>
      </c>
      <c r="K18" s="27" t="s">
        <v>290</v>
      </c>
      <c r="L18" s="27" t="s">
        <v>290</v>
      </c>
      <c r="M18" s="27" t="s">
        <v>314</v>
      </c>
      <c r="N18" s="27">
        <v>4</v>
      </c>
      <c r="O18" s="44">
        <v>2</v>
      </c>
      <c r="P18" s="45" t="s">
        <v>315</v>
      </c>
      <c r="Q18" s="28" t="s">
        <v>124</v>
      </c>
      <c r="R18" s="27"/>
      <c r="S18" s="40"/>
      <c r="T18" s="27" t="s">
        <v>316</v>
      </c>
      <c r="U18" s="27" t="s">
        <v>283</v>
      </c>
      <c r="V18" s="27" t="s">
        <v>284</v>
      </c>
      <c r="W18" s="27"/>
      <c r="X18" s="27" t="s">
        <v>285</v>
      </c>
      <c r="Y18" s="27" t="s">
        <v>18</v>
      </c>
      <c r="Z18" s="27" t="s">
        <v>85</v>
      </c>
      <c r="AA18" s="27">
        <v>4</v>
      </c>
      <c r="AB18" s="27">
        <v>0</v>
      </c>
      <c r="AC18" s="27" t="s">
        <v>342</v>
      </c>
      <c r="AD18" s="33" t="str">
        <f>IFERROR(HYPERLINK("#Main!A"&amp;MATCH(H18,Main!A:A,0),"Open"),HYPERLINK("#Main!A1","Open"))</f>
        <v>Open</v>
      </c>
      <c r="AE18" s="33" t="str">
        <f>IFERROR(INDEX('Content Optimization Hub'!A:A,MATCH(H18,'Content Optimization Hub'!C:C,0)),"Not in Hub")</f>
        <v>Not in Hub</v>
      </c>
      <c r="AF18" s="33"/>
    </row>
    <row r="19" spans="1:32" ht="90" customHeight="1" x14ac:dyDescent="0.25">
      <c r="A19" s="36" t="s">
        <v>343</v>
      </c>
      <c r="B19" s="31" t="s">
        <v>72</v>
      </c>
      <c r="C19" s="39">
        <v>67</v>
      </c>
      <c r="D19" s="41">
        <v>4</v>
      </c>
      <c r="E19" s="42" t="s">
        <v>344</v>
      </c>
      <c r="F19" s="36" t="s">
        <v>14</v>
      </c>
      <c r="G19" s="36" t="s">
        <v>276</v>
      </c>
      <c r="H19" s="29" t="s">
        <v>169</v>
      </c>
      <c r="I19" s="36" t="s">
        <v>303</v>
      </c>
      <c r="J19" s="36" t="s">
        <v>304</v>
      </c>
      <c r="K19" s="36" t="s">
        <v>290</v>
      </c>
      <c r="L19" s="36" t="s">
        <v>290</v>
      </c>
      <c r="M19" s="36" t="s">
        <v>314</v>
      </c>
      <c r="N19" s="36">
        <v>4</v>
      </c>
      <c r="O19" s="44">
        <v>2</v>
      </c>
      <c r="P19" s="45" t="s">
        <v>315</v>
      </c>
      <c r="Q19" s="28" t="s">
        <v>124</v>
      </c>
      <c r="R19" s="36"/>
      <c r="S19" s="43"/>
      <c r="T19" s="36" t="s">
        <v>316</v>
      </c>
      <c r="U19" s="36" t="s">
        <v>283</v>
      </c>
      <c r="V19" s="36" t="s">
        <v>284</v>
      </c>
      <c r="W19" s="36"/>
      <c r="X19" s="36" t="s">
        <v>285</v>
      </c>
      <c r="Y19" s="36" t="s">
        <v>18</v>
      </c>
      <c r="Z19" s="36" t="s">
        <v>85</v>
      </c>
      <c r="AA19" s="36">
        <v>4</v>
      </c>
      <c r="AB19" s="36">
        <v>0</v>
      </c>
      <c r="AC19" s="36" t="s">
        <v>345</v>
      </c>
      <c r="AD19" t="str">
        <f>IFERROR(HYPERLINK("#Main!A"&amp;MATCH(H19,Main!A:A,0),"Open"),HYPERLINK("#Main!A1","Open"))</f>
        <v>Open</v>
      </c>
      <c r="AE19" t="str">
        <f>IFERROR(INDEX('Content Optimization Hub'!A:A,MATCH(H19,'Content Optimization Hub'!C:C,0)),"Not in Hub")</f>
        <v>Not in Hub</v>
      </c>
    </row>
    <row r="20" spans="1:32" ht="30" customHeight="1" x14ac:dyDescent="0.25">
      <c r="A20" s="27" t="s">
        <v>346</v>
      </c>
      <c r="B20" s="31" t="s">
        <v>72</v>
      </c>
      <c r="C20" s="39">
        <v>67</v>
      </c>
      <c r="D20" s="38">
        <v>1</v>
      </c>
      <c r="E20" s="30" t="s">
        <v>202</v>
      </c>
      <c r="F20" s="27" t="s">
        <v>14</v>
      </c>
      <c r="G20" s="27" t="s">
        <v>276</v>
      </c>
      <c r="H20" s="32" t="s">
        <v>202</v>
      </c>
      <c r="I20" s="27" t="s">
        <v>347</v>
      </c>
      <c r="J20" s="27" t="s">
        <v>348</v>
      </c>
      <c r="K20" s="27" t="s">
        <v>290</v>
      </c>
      <c r="L20" s="27" t="s">
        <v>290</v>
      </c>
      <c r="M20" s="27" t="s">
        <v>314</v>
      </c>
      <c r="N20" s="27">
        <v>4</v>
      </c>
      <c r="O20" s="44">
        <v>2</v>
      </c>
      <c r="P20" s="45" t="s">
        <v>315</v>
      </c>
      <c r="Q20" s="28" t="s">
        <v>124</v>
      </c>
      <c r="R20" s="27"/>
      <c r="S20" s="40"/>
      <c r="T20" s="27" t="s">
        <v>316</v>
      </c>
      <c r="U20" s="27" t="s">
        <v>283</v>
      </c>
      <c r="V20" s="27" t="s">
        <v>284</v>
      </c>
      <c r="W20" s="27"/>
      <c r="X20" s="27" t="s">
        <v>285</v>
      </c>
      <c r="Y20" s="27" t="s">
        <v>18</v>
      </c>
      <c r="Z20" s="27" t="s">
        <v>85</v>
      </c>
      <c r="AA20" s="27">
        <v>4</v>
      </c>
      <c r="AB20" s="27">
        <v>0</v>
      </c>
      <c r="AC20" s="27" t="s">
        <v>349</v>
      </c>
      <c r="AD20" s="33" t="str">
        <f>IFERROR(HYPERLINK("#Main!A"&amp;MATCH(H20,Main!A:A,0),"Open"),HYPERLINK("#Main!A1","Open"))</f>
        <v>Open</v>
      </c>
      <c r="AE20" s="33" t="str">
        <f>IFERROR(INDEX('Content Optimization Hub'!A:A,MATCH(H20,'Content Optimization Hub'!C:C,0)),"Not in Hub")</f>
        <v>Not in Hub</v>
      </c>
      <c r="AF20" s="33"/>
    </row>
    <row r="21" spans="1:32" x14ac:dyDescent="0.25">
      <c r="A21" s="34" t="s">
        <v>350</v>
      </c>
      <c r="B21" s="46" t="s">
        <v>351</v>
      </c>
      <c r="C21" s="47">
        <v>37</v>
      </c>
      <c r="D21" s="41">
        <v>0</v>
      </c>
      <c r="E21" s="42"/>
      <c r="F21" s="36" t="s">
        <v>14</v>
      </c>
      <c r="G21" s="36" t="s">
        <v>276</v>
      </c>
      <c r="H21" s="42"/>
      <c r="I21" s="36" t="s">
        <v>303</v>
      </c>
      <c r="J21" s="36" t="s">
        <v>304</v>
      </c>
      <c r="K21" s="36" t="s">
        <v>295</v>
      </c>
      <c r="L21" s="36" t="s">
        <v>295</v>
      </c>
      <c r="M21" s="36" t="s">
        <v>314</v>
      </c>
      <c r="N21" s="36">
        <v>4</v>
      </c>
      <c r="O21" s="44">
        <v>2</v>
      </c>
      <c r="P21" s="46" t="s">
        <v>352</v>
      </c>
      <c r="Q21" s="36" t="s">
        <v>353</v>
      </c>
      <c r="R21" s="36"/>
      <c r="S21" s="43"/>
      <c r="T21" s="36" t="s">
        <v>354</v>
      </c>
      <c r="U21" s="36" t="s">
        <v>355</v>
      </c>
      <c r="V21" s="36" t="s">
        <v>284</v>
      </c>
      <c r="W21" s="36"/>
      <c r="X21" s="36" t="s">
        <v>285</v>
      </c>
      <c r="Y21" s="36" t="s">
        <v>18</v>
      </c>
      <c r="Z21" s="36" t="s">
        <v>85</v>
      </c>
      <c r="AA21" s="36">
        <v>4</v>
      </c>
      <c r="AB21" s="36">
        <v>0</v>
      </c>
      <c r="AC21" s="36" t="s">
        <v>356</v>
      </c>
      <c r="AD21" t="str">
        <f>IFERROR(HYPERLINK("#Main!A"&amp;MATCH(H21,Main!A:A,0),"Open"),HYPERLINK("#Main!A1","Open"))</f>
        <v>Open</v>
      </c>
      <c r="AE21" t="str">
        <f>IFERROR(INDEX('Content Optimization Hub'!A:A,MATCH(H21,'Content Optimization Hub'!C:C,0)),"Not in Hub")</f>
        <v>Not in Hub</v>
      </c>
    </row>
    <row r="22" spans="1:32" x14ac:dyDescent="0.25">
      <c r="A22" s="34" t="s">
        <v>357</v>
      </c>
      <c r="B22" s="46" t="s">
        <v>351</v>
      </c>
      <c r="C22" s="47">
        <v>37</v>
      </c>
      <c r="D22" s="38">
        <v>0</v>
      </c>
      <c r="E22" s="30"/>
      <c r="F22" s="27" t="s">
        <v>14</v>
      </c>
      <c r="G22" s="27" t="s">
        <v>276</v>
      </c>
      <c r="H22" s="30"/>
      <c r="I22" s="27" t="s">
        <v>303</v>
      </c>
      <c r="J22" s="27" t="s">
        <v>304</v>
      </c>
      <c r="K22" s="27" t="s">
        <v>290</v>
      </c>
      <c r="L22" s="27" t="s">
        <v>290</v>
      </c>
      <c r="M22" s="27" t="s">
        <v>314</v>
      </c>
      <c r="N22" s="27">
        <v>4</v>
      </c>
      <c r="O22" s="44">
        <v>2</v>
      </c>
      <c r="P22" s="46" t="s">
        <v>352</v>
      </c>
      <c r="Q22" s="27" t="s">
        <v>353</v>
      </c>
      <c r="R22" s="27"/>
      <c r="S22" s="40"/>
      <c r="T22" s="27" t="s">
        <v>354</v>
      </c>
      <c r="U22" s="27" t="s">
        <v>355</v>
      </c>
      <c r="V22" s="27" t="s">
        <v>284</v>
      </c>
      <c r="W22" s="27"/>
      <c r="X22" s="27" t="s">
        <v>285</v>
      </c>
      <c r="Y22" s="27" t="s">
        <v>18</v>
      </c>
      <c r="Z22" s="27" t="s">
        <v>85</v>
      </c>
      <c r="AA22" s="27">
        <v>4</v>
      </c>
      <c r="AB22" s="27">
        <v>0</v>
      </c>
      <c r="AC22" s="27" t="s">
        <v>358</v>
      </c>
      <c r="AD22" s="33" t="str">
        <f>IFERROR(HYPERLINK("#Main!A"&amp;MATCH(H22,Main!A:A,0),"Open"),HYPERLINK("#Main!A1","Open"))</f>
        <v>Open</v>
      </c>
      <c r="AE22" s="33" t="str">
        <f>IFERROR(INDEX('Content Optimization Hub'!A:A,MATCH(H22,'Content Optimization Hub'!C:C,0)),"Not in Hub")</f>
        <v>Not in Hub</v>
      </c>
      <c r="AF22" s="33"/>
    </row>
    <row r="23" spans="1:32" x14ac:dyDescent="0.25">
      <c r="A23" s="34" t="s">
        <v>359</v>
      </c>
      <c r="B23" s="46" t="s">
        <v>351</v>
      </c>
      <c r="C23" s="47">
        <v>37</v>
      </c>
      <c r="D23" s="41">
        <v>0</v>
      </c>
      <c r="E23" s="42"/>
      <c r="F23" s="36" t="s">
        <v>14</v>
      </c>
      <c r="G23" s="36" t="s">
        <v>298</v>
      </c>
      <c r="H23" s="42"/>
      <c r="I23" s="36" t="s">
        <v>303</v>
      </c>
      <c r="J23" s="36" t="s">
        <v>304</v>
      </c>
      <c r="K23" s="36" t="s">
        <v>279</v>
      </c>
      <c r="L23" s="36" t="s">
        <v>279</v>
      </c>
      <c r="M23" s="36" t="s">
        <v>314</v>
      </c>
      <c r="N23" s="36">
        <v>4</v>
      </c>
      <c r="O23" s="44">
        <v>2</v>
      </c>
      <c r="P23" s="46" t="s">
        <v>352</v>
      </c>
      <c r="Q23" s="36" t="s">
        <v>353</v>
      </c>
      <c r="R23" s="36"/>
      <c r="S23" s="43"/>
      <c r="T23" s="36" t="s">
        <v>354</v>
      </c>
      <c r="U23" s="36" t="s">
        <v>355</v>
      </c>
      <c r="V23" s="36" t="s">
        <v>284</v>
      </c>
      <c r="W23" s="36"/>
      <c r="X23" s="36" t="s">
        <v>285</v>
      </c>
      <c r="Y23" s="36" t="s">
        <v>18</v>
      </c>
      <c r="Z23" s="36" t="s">
        <v>85</v>
      </c>
      <c r="AA23" s="36">
        <v>4</v>
      </c>
      <c r="AB23" s="36">
        <v>0</v>
      </c>
      <c r="AC23" s="36" t="s">
        <v>360</v>
      </c>
      <c r="AD23" t="str">
        <f>IFERROR(HYPERLINK("#Main!A"&amp;MATCH(H23,Main!A:A,0),"Open"),HYPERLINK("#Main!A1","Open"))</f>
        <v>Open</v>
      </c>
      <c r="AE23" t="str">
        <f>IFERROR(INDEX('Content Optimization Hub'!A:A,MATCH(H23,'Content Optimization Hub'!C:C,0)),"Not in Hub")</f>
        <v>Not in Hub</v>
      </c>
    </row>
    <row r="24" spans="1:32" x14ac:dyDescent="0.25">
      <c r="A24" s="34" t="s">
        <v>361</v>
      </c>
      <c r="B24" s="46" t="s">
        <v>351</v>
      </c>
      <c r="C24" s="47">
        <v>37</v>
      </c>
      <c r="D24" s="38">
        <v>0</v>
      </c>
      <c r="E24" s="30"/>
      <c r="F24" s="27" t="s">
        <v>14</v>
      </c>
      <c r="G24" s="27" t="s">
        <v>298</v>
      </c>
      <c r="H24" s="30"/>
      <c r="I24" s="27" t="s">
        <v>303</v>
      </c>
      <c r="J24" s="27" t="s">
        <v>304</v>
      </c>
      <c r="K24" s="27" t="s">
        <v>279</v>
      </c>
      <c r="L24" s="27" t="s">
        <v>279</v>
      </c>
      <c r="M24" s="27" t="s">
        <v>314</v>
      </c>
      <c r="N24" s="27">
        <v>4</v>
      </c>
      <c r="O24" s="44">
        <v>2</v>
      </c>
      <c r="P24" s="46" t="s">
        <v>352</v>
      </c>
      <c r="Q24" s="27" t="s">
        <v>353</v>
      </c>
      <c r="R24" s="27"/>
      <c r="S24" s="40"/>
      <c r="T24" s="27" t="s">
        <v>354</v>
      </c>
      <c r="U24" s="27" t="s">
        <v>355</v>
      </c>
      <c r="V24" s="27" t="s">
        <v>284</v>
      </c>
      <c r="W24" s="27"/>
      <c r="X24" s="27" t="s">
        <v>285</v>
      </c>
      <c r="Y24" s="27" t="s">
        <v>18</v>
      </c>
      <c r="Z24" s="27" t="s">
        <v>85</v>
      </c>
      <c r="AA24" s="27">
        <v>4</v>
      </c>
      <c r="AB24" s="27">
        <v>0</v>
      </c>
      <c r="AC24" s="27" t="s">
        <v>362</v>
      </c>
      <c r="AD24" s="33" t="str">
        <f>IFERROR(HYPERLINK("#Main!A"&amp;MATCH(H24,Main!A:A,0),"Open"),HYPERLINK("#Main!A1","Open"))</f>
        <v>Open</v>
      </c>
      <c r="AE24" s="33" t="str">
        <f>IFERROR(INDEX('Content Optimization Hub'!A:A,MATCH(H24,'Content Optimization Hub'!C:C,0)),"Not in Hub")</f>
        <v>Not in Hub</v>
      </c>
      <c r="AF24" s="33"/>
    </row>
    <row r="25" spans="1:32" x14ac:dyDescent="0.25">
      <c r="A25" s="34" t="s">
        <v>363</v>
      </c>
      <c r="B25" s="46" t="s">
        <v>351</v>
      </c>
      <c r="C25" s="47">
        <v>37</v>
      </c>
      <c r="D25" s="41">
        <v>0</v>
      </c>
      <c r="E25" s="42"/>
      <c r="F25" s="36" t="s">
        <v>14</v>
      </c>
      <c r="G25" s="36" t="s">
        <v>276</v>
      </c>
      <c r="H25" s="42"/>
      <c r="I25" s="36" t="s">
        <v>303</v>
      </c>
      <c r="J25" s="36" t="s">
        <v>304</v>
      </c>
      <c r="K25" s="36" t="s">
        <v>290</v>
      </c>
      <c r="L25" s="36" t="s">
        <v>290</v>
      </c>
      <c r="M25" s="36" t="s">
        <v>314</v>
      </c>
      <c r="N25" s="36">
        <v>4</v>
      </c>
      <c r="O25" s="44">
        <v>2</v>
      </c>
      <c r="P25" s="46" t="s">
        <v>352</v>
      </c>
      <c r="Q25" s="36" t="s">
        <v>353</v>
      </c>
      <c r="R25" s="36"/>
      <c r="S25" s="43"/>
      <c r="T25" s="36" t="s">
        <v>354</v>
      </c>
      <c r="U25" s="36" t="s">
        <v>355</v>
      </c>
      <c r="V25" s="36" t="s">
        <v>284</v>
      </c>
      <c r="W25" s="36"/>
      <c r="X25" s="36" t="s">
        <v>285</v>
      </c>
      <c r="Y25" s="36" t="s">
        <v>18</v>
      </c>
      <c r="Z25" s="36" t="s">
        <v>85</v>
      </c>
      <c r="AA25" s="36">
        <v>4</v>
      </c>
      <c r="AB25" s="36">
        <v>0</v>
      </c>
      <c r="AC25" s="36" t="s">
        <v>364</v>
      </c>
      <c r="AD25" t="str">
        <f>IFERROR(HYPERLINK("#Main!A"&amp;MATCH(H25,Main!A:A,0),"Open"),HYPERLINK("#Main!A1","Open"))</f>
        <v>Open</v>
      </c>
      <c r="AE25" t="str">
        <f>IFERROR(INDEX('Content Optimization Hub'!A:A,MATCH(H25,'Content Optimization Hub'!C:C,0)),"Not in Hub")</f>
        <v>Not in Hub</v>
      </c>
    </row>
    <row r="26" spans="1:32" x14ac:dyDescent="0.25">
      <c r="A26" s="34" t="s">
        <v>365</v>
      </c>
      <c r="B26" s="46" t="s">
        <v>351</v>
      </c>
      <c r="C26" s="47">
        <v>37</v>
      </c>
      <c r="D26" s="38">
        <v>0</v>
      </c>
      <c r="E26" s="30"/>
      <c r="F26" s="27" t="s">
        <v>14</v>
      </c>
      <c r="G26" s="27" t="s">
        <v>276</v>
      </c>
      <c r="H26" s="30"/>
      <c r="I26" s="27" t="s">
        <v>303</v>
      </c>
      <c r="J26" s="27" t="s">
        <v>304</v>
      </c>
      <c r="K26" s="27" t="s">
        <v>290</v>
      </c>
      <c r="L26" s="27" t="s">
        <v>290</v>
      </c>
      <c r="M26" s="27" t="s">
        <v>314</v>
      </c>
      <c r="N26" s="27">
        <v>4</v>
      </c>
      <c r="O26" s="44">
        <v>2</v>
      </c>
      <c r="P26" s="46" t="s">
        <v>352</v>
      </c>
      <c r="Q26" s="27" t="s">
        <v>353</v>
      </c>
      <c r="R26" s="27"/>
      <c r="S26" s="40"/>
      <c r="T26" s="27" t="s">
        <v>354</v>
      </c>
      <c r="U26" s="27" t="s">
        <v>355</v>
      </c>
      <c r="V26" s="27" t="s">
        <v>284</v>
      </c>
      <c r="W26" s="27"/>
      <c r="X26" s="27" t="s">
        <v>285</v>
      </c>
      <c r="Y26" s="27" t="s">
        <v>18</v>
      </c>
      <c r="Z26" s="27" t="s">
        <v>85</v>
      </c>
      <c r="AA26" s="27">
        <v>4</v>
      </c>
      <c r="AB26" s="27">
        <v>0</v>
      </c>
      <c r="AC26" s="27" t="s">
        <v>366</v>
      </c>
      <c r="AD26" s="33" t="str">
        <f>IFERROR(HYPERLINK("#Main!A"&amp;MATCH(H26,Main!A:A,0),"Open"),HYPERLINK("#Main!A1","Open"))</f>
        <v>Open</v>
      </c>
      <c r="AE26" s="33" t="str">
        <f>IFERROR(INDEX('Content Optimization Hub'!A:A,MATCH(H26,'Content Optimization Hub'!C:C,0)),"Not in Hub")</f>
        <v>Not in Hub</v>
      </c>
      <c r="AF26" s="33"/>
    </row>
    <row r="27" spans="1:32" x14ac:dyDescent="0.25">
      <c r="A27" s="34" t="s">
        <v>367</v>
      </c>
      <c r="B27" s="46" t="s">
        <v>351</v>
      </c>
      <c r="C27" s="47">
        <v>37</v>
      </c>
      <c r="D27" s="41">
        <v>0</v>
      </c>
      <c r="E27" s="42"/>
      <c r="F27" s="36" t="s">
        <v>14</v>
      </c>
      <c r="G27" s="36" t="s">
        <v>276</v>
      </c>
      <c r="H27" s="42"/>
      <c r="I27" s="36" t="s">
        <v>303</v>
      </c>
      <c r="J27" s="36" t="s">
        <v>304</v>
      </c>
      <c r="K27" s="36" t="s">
        <v>290</v>
      </c>
      <c r="L27" s="36" t="s">
        <v>290</v>
      </c>
      <c r="M27" s="36" t="s">
        <v>314</v>
      </c>
      <c r="N27" s="36">
        <v>4</v>
      </c>
      <c r="O27" s="44">
        <v>2</v>
      </c>
      <c r="P27" s="46" t="s">
        <v>352</v>
      </c>
      <c r="Q27" s="36" t="s">
        <v>353</v>
      </c>
      <c r="R27" s="36"/>
      <c r="S27" s="43"/>
      <c r="T27" s="36" t="s">
        <v>354</v>
      </c>
      <c r="U27" s="36" t="s">
        <v>355</v>
      </c>
      <c r="V27" s="36" t="s">
        <v>284</v>
      </c>
      <c r="W27" s="36"/>
      <c r="X27" s="36" t="s">
        <v>285</v>
      </c>
      <c r="Y27" s="36" t="s">
        <v>18</v>
      </c>
      <c r="Z27" s="36" t="s">
        <v>85</v>
      </c>
      <c r="AA27" s="36">
        <v>4</v>
      </c>
      <c r="AB27" s="36">
        <v>0</v>
      </c>
      <c r="AC27" s="36" t="s">
        <v>368</v>
      </c>
      <c r="AD27" t="str">
        <f>IFERROR(HYPERLINK("#Main!A"&amp;MATCH(H27,Main!A:A,0),"Open"),HYPERLINK("#Main!A1","Open"))</f>
        <v>Open</v>
      </c>
      <c r="AE27" t="str">
        <f>IFERROR(INDEX('Content Optimization Hub'!A:A,MATCH(H27,'Content Optimization Hub'!C:C,0)),"Not in Hub")</f>
        <v>Not in Hub</v>
      </c>
    </row>
    <row r="28" spans="1:32" x14ac:dyDescent="0.25">
      <c r="A28" s="34" t="s">
        <v>369</v>
      </c>
      <c r="B28" s="46" t="s">
        <v>351</v>
      </c>
      <c r="C28" s="47">
        <v>37</v>
      </c>
      <c r="D28" s="38">
        <v>0</v>
      </c>
      <c r="E28" s="30"/>
      <c r="F28" s="27" t="s">
        <v>14</v>
      </c>
      <c r="G28" s="27" t="s">
        <v>276</v>
      </c>
      <c r="H28" s="30"/>
      <c r="I28" s="27" t="s">
        <v>303</v>
      </c>
      <c r="J28" s="27" t="s">
        <v>304</v>
      </c>
      <c r="K28" s="27" t="s">
        <v>290</v>
      </c>
      <c r="L28" s="27" t="s">
        <v>290</v>
      </c>
      <c r="M28" s="27" t="s">
        <v>314</v>
      </c>
      <c r="N28" s="27">
        <v>4</v>
      </c>
      <c r="O28" s="44">
        <v>2</v>
      </c>
      <c r="P28" s="46" t="s">
        <v>352</v>
      </c>
      <c r="Q28" s="27" t="s">
        <v>353</v>
      </c>
      <c r="R28" s="27"/>
      <c r="S28" s="40"/>
      <c r="T28" s="27" t="s">
        <v>354</v>
      </c>
      <c r="U28" s="27" t="s">
        <v>355</v>
      </c>
      <c r="V28" s="27" t="s">
        <v>284</v>
      </c>
      <c r="W28" s="27"/>
      <c r="X28" s="27" t="s">
        <v>285</v>
      </c>
      <c r="Y28" s="27" t="s">
        <v>18</v>
      </c>
      <c r="Z28" s="27" t="s">
        <v>85</v>
      </c>
      <c r="AA28" s="27">
        <v>4</v>
      </c>
      <c r="AB28" s="27">
        <v>0</v>
      </c>
      <c r="AC28" s="27" t="s">
        <v>370</v>
      </c>
      <c r="AD28" s="33" t="str">
        <f>IFERROR(HYPERLINK("#Main!A"&amp;MATCH(H28,Main!A:A,0),"Open"),HYPERLINK("#Main!A1","Open"))</f>
        <v>Open</v>
      </c>
      <c r="AE28" s="33" t="str">
        <f>IFERROR(INDEX('Content Optimization Hub'!A:A,MATCH(H28,'Content Optimization Hub'!C:C,0)),"Not in Hub")</f>
        <v>Not in Hub</v>
      </c>
      <c r="AF28" s="33"/>
    </row>
    <row r="29" spans="1:32" ht="105" customHeight="1" x14ac:dyDescent="0.25">
      <c r="A29" s="34" t="s">
        <v>371</v>
      </c>
      <c r="B29" s="46" t="s">
        <v>351</v>
      </c>
      <c r="C29" s="47">
        <v>37</v>
      </c>
      <c r="D29" s="41">
        <v>5</v>
      </c>
      <c r="E29" s="42" t="s">
        <v>372</v>
      </c>
      <c r="F29" s="36" t="s">
        <v>14</v>
      </c>
      <c r="G29" s="36" t="s">
        <v>276</v>
      </c>
      <c r="H29" s="29" t="s">
        <v>127</v>
      </c>
      <c r="I29" s="36" t="s">
        <v>373</v>
      </c>
      <c r="J29" s="36" t="s">
        <v>374</v>
      </c>
      <c r="K29" s="36" t="s">
        <v>290</v>
      </c>
      <c r="L29" s="36" t="s">
        <v>290</v>
      </c>
      <c r="M29" s="36" t="s">
        <v>314</v>
      </c>
      <c r="N29" s="36">
        <v>4</v>
      </c>
      <c r="O29" s="44">
        <v>2</v>
      </c>
      <c r="P29" s="46" t="s">
        <v>352</v>
      </c>
      <c r="Q29" s="36" t="s">
        <v>353</v>
      </c>
      <c r="R29" s="36"/>
      <c r="S29" s="43"/>
      <c r="T29" s="36" t="s">
        <v>354</v>
      </c>
      <c r="U29" s="36" t="s">
        <v>355</v>
      </c>
      <c r="V29" s="36" t="s">
        <v>284</v>
      </c>
      <c r="W29" s="36"/>
      <c r="X29" s="36" t="s">
        <v>285</v>
      </c>
      <c r="Y29" s="36" t="s">
        <v>18</v>
      </c>
      <c r="Z29" s="36" t="s">
        <v>85</v>
      </c>
      <c r="AA29" s="36">
        <v>4</v>
      </c>
      <c r="AB29" s="36">
        <v>0</v>
      </c>
      <c r="AC29" s="36" t="s">
        <v>375</v>
      </c>
      <c r="AD29" t="str">
        <f>IFERROR(HYPERLINK("#Main!A"&amp;MATCH(H29,Main!A:A,0),"Open"),HYPERLINK("#Main!A1","Open"))</f>
        <v>Open</v>
      </c>
      <c r="AE29" t="str">
        <f>IFERROR(INDEX('Content Optimization Hub'!A:A,MATCH(H29,'Content Optimization Hub'!C:C,0)),"Not in Hub")</f>
        <v>Not in Hub</v>
      </c>
    </row>
    <row r="30" spans="1:32" ht="15.75" x14ac:dyDescent="0.25">
      <c r="A30" s="34" t="s">
        <v>376</v>
      </c>
      <c r="B30" s="46" t="s">
        <v>351</v>
      </c>
      <c r="C30" s="47">
        <v>37</v>
      </c>
      <c r="D30" s="38">
        <v>1</v>
      </c>
      <c r="E30" s="30" t="s">
        <v>127</v>
      </c>
      <c r="F30" s="27" t="s">
        <v>24</v>
      </c>
      <c r="G30" s="27" t="s">
        <v>276</v>
      </c>
      <c r="H30" s="32" t="s">
        <v>127</v>
      </c>
      <c r="I30" s="27" t="s">
        <v>303</v>
      </c>
      <c r="J30" s="27" t="s">
        <v>304</v>
      </c>
      <c r="K30" s="27" t="s">
        <v>290</v>
      </c>
      <c r="L30" s="27" t="s">
        <v>290</v>
      </c>
      <c r="M30" s="27" t="s">
        <v>314</v>
      </c>
      <c r="N30" s="27">
        <v>4</v>
      </c>
      <c r="O30" s="44">
        <v>2</v>
      </c>
      <c r="P30" s="46" t="s">
        <v>352</v>
      </c>
      <c r="Q30" s="27" t="s">
        <v>353</v>
      </c>
      <c r="R30" s="27"/>
      <c r="S30" s="40"/>
      <c r="T30" s="27" t="s">
        <v>354</v>
      </c>
      <c r="U30" s="27" t="s">
        <v>355</v>
      </c>
      <c r="V30" s="27" t="s">
        <v>284</v>
      </c>
      <c r="W30" s="27"/>
      <c r="X30" s="27" t="s">
        <v>285</v>
      </c>
      <c r="Y30" s="27" t="s">
        <v>18</v>
      </c>
      <c r="Z30" s="27" t="s">
        <v>85</v>
      </c>
      <c r="AA30" s="27">
        <v>4</v>
      </c>
      <c r="AB30" s="27">
        <v>0</v>
      </c>
      <c r="AC30" s="27" t="s">
        <v>377</v>
      </c>
      <c r="AD30" s="33" t="str">
        <f>IFERROR(HYPERLINK("#Main!A"&amp;MATCH(H30,Main!A:A,0),"Open"),HYPERLINK("#Main!A1","Open"))</f>
        <v>Open</v>
      </c>
      <c r="AE30" s="33" t="str">
        <f>IFERROR(INDEX('Content Optimization Hub'!A:A,MATCH(H30,'Content Optimization Hub'!C:C,0)),"Not in Hub")</f>
        <v>Not in Hub</v>
      </c>
      <c r="AF30" s="33"/>
    </row>
    <row r="31" spans="1:32" ht="120" customHeight="1" x14ac:dyDescent="0.25">
      <c r="A31" s="34" t="s">
        <v>378</v>
      </c>
      <c r="B31" s="46" t="s">
        <v>351</v>
      </c>
      <c r="C31" s="47">
        <v>37</v>
      </c>
      <c r="D31" s="41">
        <v>10</v>
      </c>
      <c r="E31" s="42" t="s">
        <v>309</v>
      </c>
      <c r="F31" s="36" t="s">
        <v>14</v>
      </c>
      <c r="G31" s="36" t="s">
        <v>298</v>
      </c>
      <c r="H31" s="29" t="s">
        <v>144</v>
      </c>
      <c r="I31" s="36" t="s">
        <v>303</v>
      </c>
      <c r="J31" s="36" t="s">
        <v>304</v>
      </c>
      <c r="K31" s="36" t="s">
        <v>279</v>
      </c>
      <c r="L31" s="36" t="s">
        <v>279</v>
      </c>
      <c r="M31" s="36" t="s">
        <v>314</v>
      </c>
      <c r="N31" s="36">
        <v>4</v>
      </c>
      <c r="O31" s="44">
        <v>2</v>
      </c>
      <c r="P31" s="46" t="s">
        <v>352</v>
      </c>
      <c r="Q31" s="36" t="s">
        <v>353</v>
      </c>
      <c r="R31" s="36"/>
      <c r="S31" s="43"/>
      <c r="T31" s="36" t="s">
        <v>354</v>
      </c>
      <c r="U31" s="36" t="s">
        <v>355</v>
      </c>
      <c r="V31" s="36" t="s">
        <v>284</v>
      </c>
      <c r="W31" s="36"/>
      <c r="X31" s="36" t="s">
        <v>285</v>
      </c>
      <c r="Y31" s="36" t="s">
        <v>18</v>
      </c>
      <c r="Z31" s="36" t="s">
        <v>85</v>
      </c>
      <c r="AA31" s="36">
        <v>4</v>
      </c>
      <c r="AB31" s="36">
        <v>0</v>
      </c>
      <c r="AC31" s="36" t="s">
        <v>379</v>
      </c>
      <c r="AD31" t="str">
        <f>IFERROR(HYPERLINK("#Main!A"&amp;MATCH(H31,Main!A:A,0),"Open"),HYPERLINK("#Main!A1","Open"))</f>
        <v>Open</v>
      </c>
      <c r="AE31" t="str">
        <f>IFERROR(INDEX('Content Optimization Hub'!A:A,MATCH(H31,'Content Optimization Hub'!C:C,0)),"Not in Hub")</f>
        <v>Not in Hub</v>
      </c>
    </row>
    <row r="32" spans="1:32" ht="120" customHeight="1" x14ac:dyDescent="0.25">
      <c r="A32" s="34" t="s">
        <v>380</v>
      </c>
      <c r="B32" s="46" t="s">
        <v>351</v>
      </c>
      <c r="C32" s="47">
        <v>37</v>
      </c>
      <c r="D32" s="38">
        <v>10</v>
      </c>
      <c r="E32" s="30" t="s">
        <v>309</v>
      </c>
      <c r="F32" s="27" t="s">
        <v>20</v>
      </c>
      <c r="G32" s="27" t="s">
        <v>276</v>
      </c>
      <c r="H32" s="32" t="s">
        <v>144</v>
      </c>
      <c r="I32" s="27" t="s">
        <v>381</v>
      </c>
      <c r="J32" s="27" t="s">
        <v>382</v>
      </c>
      <c r="K32" s="27" t="s">
        <v>290</v>
      </c>
      <c r="L32" s="27" t="s">
        <v>290</v>
      </c>
      <c r="M32" s="27" t="s">
        <v>314</v>
      </c>
      <c r="N32" s="27">
        <v>4</v>
      </c>
      <c r="O32" s="44">
        <v>2</v>
      </c>
      <c r="P32" s="46" t="s">
        <v>352</v>
      </c>
      <c r="Q32" s="27" t="s">
        <v>353</v>
      </c>
      <c r="R32" s="27"/>
      <c r="S32" s="40"/>
      <c r="T32" s="27" t="s">
        <v>354</v>
      </c>
      <c r="U32" s="27" t="s">
        <v>355</v>
      </c>
      <c r="V32" s="27" t="s">
        <v>284</v>
      </c>
      <c r="W32" s="27"/>
      <c r="X32" s="27" t="s">
        <v>20</v>
      </c>
      <c r="Y32" s="27" t="s">
        <v>18</v>
      </c>
      <c r="Z32" s="27" t="s">
        <v>85</v>
      </c>
      <c r="AA32" s="27">
        <v>4</v>
      </c>
      <c r="AB32" s="27">
        <v>0</v>
      </c>
      <c r="AC32" s="27" t="s">
        <v>383</v>
      </c>
      <c r="AD32" s="33" t="str">
        <f>IFERROR(HYPERLINK("#Main!A"&amp;MATCH(H32,Main!A:A,0),"Open"),HYPERLINK("#Main!A1","Open"))</f>
        <v>Open</v>
      </c>
      <c r="AE32" s="33" t="str">
        <f>IFERROR(INDEX('Content Optimization Hub'!A:A,MATCH(H32,'Content Optimization Hub'!C:C,0)),"Not in Hub")</f>
        <v>Not in Hub</v>
      </c>
      <c r="AF32" s="33"/>
    </row>
    <row r="33" spans="1:32" ht="120" customHeight="1" x14ac:dyDescent="0.25">
      <c r="A33" s="34" t="s">
        <v>384</v>
      </c>
      <c r="B33" s="46" t="s">
        <v>351</v>
      </c>
      <c r="C33" s="47">
        <v>37</v>
      </c>
      <c r="D33" s="41">
        <v>10</v>
      </c>
      <c r="E33" s="42" t="s">
        <v>309</v>
      </c>
      <c r="F33" s="36" t="s">
        <v>20</v>
      </c>
      <c r="G33" s="36" t="s">
        <v>276</v>
      </c>
      <c r="H33" s="29" t="s">
        <v>144</v>
      </c>
      <c r="I33" s="36" t="s">
        <v>385</v>
      </c>
      <c r="J33" s="36" t="s">
        <v>386</v>
      </c>
      <c r="K33" s="36" t="s">
        <v>290</v>
      </c>
      <c r="L33" s="36" t="s">
        <v>290</v>
      </c>
      <c r="M33" s="36" t="s">
        <v>314</v>
      </c>
      <c r="N33" s="36">
        <v>4</v>
      </c>
      <c r="O33" s="44">
        <v>2</v>
      </c>
      <c r="P33" s="46" t="s">
        <v>352</v>
      </c>
      <c r="Q33" s="36" t="s">
        <v>353</v>
      </c>
      <c r="R33" s="36"/>
      <c r="S33" s="43"/>
      <c r="T33" s="36" t="s">
        <v>354</v>
      </c>
      <c r="U33" s="36" t="s">
        <v>355</v>
      </c>
      <c r="V33" s="36" t="s">
        <v>284</v>
      </c>
      <c r="W33" s="36"/>
      <c r="X33" s="36" t="s">
        <v>20</v>
      </c>
      <c r="Y33" s="36" t="s">
        <v>18</v>
      </c>
      <c r="Z33" s="36" t="s">
        <v>85</v>
      </c>
      <c r="AA33" s="36">
        <v>4</v>
      </c>
      <c r="AB33" s="36">
        <v>0</v>
      </c>
      <c r="AC33" s="36" t="s">
        <v>387</v>
      </c>
      <c r="AD33" t="str">
        <f>IFERROR(HYPERLINK("#Main!A"&amp;MATCH(H33,Main!A:A,0),"Open"),HYPERLINK("#Main!A1","Open"))</f>
        <v>Open</v>
      </c>
      <c r="AE33" t="str">
        <f>IFERROR(INDEX('Content Optimization Hub'!A:A,MATCH(H33,'Content Optimization Hub'!C:C,0)),"Not in Hub")</f>
        <v>Not in Hub</v>
      </c>
    </row>
    <row r="34" spans="1:32" ht="120" customHeight="1" x14ac:dyDescent="0.25">
      <c r="A34" s="34" t="s">
        <v>388</v>
      </c>
      <c r="B34" s="46" t="s">
        <v>351</v>
      </c>
      <c r="C34" s="47">
        <v>37</v>
      </c>
      <c r="D34" s="38">
        <v>10</v>
      </c>
      <c r="E34" s="30" t="s">
        <v>309</v>
      </c>
      <c r="F34" s="27" t="s">
        <v>20</v>
      </c>
      <c r="G34" s="27" t="s">
        <v>276</v>
      </c>
      <c r="H34" s="32" t="s">
        <v>144</v>
      </c>
      <c r="I34" s="27" t="s">
        <v>389</v>
      </c>
      <c r="J34" s="27" t="s">
        <v>390</v>
      </c>
      <c r="K34" s="27" t="s">
        <v>290</v>
      </c>
      <c r="L34" s="27" t="s">
        <v>290</v>
      </c>
      <c r="M34" s="27" t="s">
        <v>314</v>
      </c>
      <c r="N34" s="27">
        <v>4</v>
      </c>
      <c r="O34" s="44">
        <v>2</v>
      </c>
      <c r="P34" s="46" t="s">
        <v>352</v>
      </c>
      <c r="Q34" s="27" t="s">
        <v>353</v>
      </c>
      <c r="R34" s="27"/>
      <c r="S34" s="40"/>
      <c r="T34" s="27" t="s">
        <v>354</v>
      </c>
      <c r="U34" s="27" t="s">
        <v>355</v>
      </c>
      <c r="V34" s="27" t="s">
        <v>284</v>
      </c>
      <c r="W34" s="27"/>
      <c r="X34" s="27" t="s">
        <v>20</v>
      </c>
      <c r="Y34" s="27" t="s">
        <v>18</v>
      </c>
      <c r="Z34" s="27" t="s">
        <v>85</v>
      </c>
      <c r="AA34" s="27">
        <v>4</v>
      </c>
      <c r="AB34" s="27">
        <v>0</v>
      </c>
      <c r="AC34" s="27" t="s">
        <v>391</v>
      </c>
      <c r="AD34" s="33" t="str">
        <f>IFERROR(HYPERLINK("#Main!A"&amp;MATCH(H34,Main!A:A,0),"Open"),HYPERLINK("#Main!A1","Open"))</f>
        <v>Open</v>
      </c>
      <c r="AE34" s="33" t="str">
        <f>IFERROR(INDEX('Content Optimization Hub'!A:A,MATCH(H34,'Content Optimization Hub'!C:C,0)),"Not in Hub")</f>
        <v>Not in Hub</v>
      </c>
      <c r="AF34" s="33"/>
    </row>
    <row r="35" spans="1:32" ht="120" customHeight="1" x14ac:dyDescent="0.25">
      <c r="A35" s="34" t="s">
        <v>392</v>
      </c>
      <c r="B35" s="46" t="s">
        <v>351</v>
      </c>
      <c r="C35" s="47">
        <v>37</v>
      </c>
      <c r="D35" s="41">
        <v>10</v>
      </c>
      <c r="E35" s="42" t="s">
        <v>309</v>
      </c>
      <c r="F35" s="36" t="s">
        <v>14</v>
      </c>
      <c r="G35" s="36" t="s">
        <v>276</v>
      </c>
      <c r="H35" s="29" t="s">
        <v>144</v>
      </c>
      <c r="I35" s="36" t="s">
        <v>303</v>
      </c>
      <c r="J35" s="36" t="s">
        <v>304</v>
      </c>
      <c r="K35" s="36" t="s">
        <v>290</v>
      </c>
      <c r="L35" s="36" t="s">
        <v>290</v>
      </c>
      <c r="M35" s="36" t="s">
        <v>314</v>
      </c>
      <c r="N35" s="36">
        <v>4</v>
      </c>
      <c r="O35" s="44">
        <v>2</v>
      </c>
      <c r="P35" s="46" t="s">
        <v>352</v>
      </c>
      <c r="Q35" s="36" t="s">
        <v>353</v>
      </c>
      <c r="R35" s="36"/>
      <c r="S35" s="43"/>
      <c r="T35" s="36" t="s">
        <v>354</v>
      </c>
      <c r="U35" s="36" t="s">
        <v>355</v>
      </c>
      <c r="V35" s="36" t="s">
        <v>284</v>
      </c>
      <c r="W35" s="36"/>
      <c r="X35" s="36" t="s">
        <v>285</v>
      </c>
      <c r="Y35" s="36" t="s">
        <v>18</v>
      </c>
      <c r="Z35" s="36" t="s">
        <v>85</v>
      </c>
      <c r="AA35" s="36">
        <v>4</v>
      </c>
      <c r="AB35" s="36">
        <v>0</v>
      </c>
      <c r="AC35" s="36" t="s">
        <v>393</v>
      </c>
      <c r="AD35" t="str">
        <f>IFERROR(HYPERLINK("#Main!A"&amp;MATCH(H35,Main!A:A,0),"Open"),HYPERLINK("#Main!A1","Open"))</f>
        <v>Open</v>
      </c>
      <c r="AE35" t="str">
        <f>IFERROR(INDEX('Content Optimization Hub'!A:A,MATCH(H35,'Content Optimization Hub'!C:C,0)),"Not in Hub")</f>
        <v>Not in Hub</v>
      </c>
    </row>
  </sheetData>
  <autoFilter ref="A1:AF35" xr:uid="{00000000-0009-0000-0000-000004000000}"/>
  <conditionalFormatting sqref="C2:C35">
    <cfRule type="cellIs" dxfId="64" priority="1" operator="greaterThanOrEqual">
      <formula>85</formula>
    </cfRule>
    <cfRule type="cellIs" dxfId="63" priority="2" operator="between">
      <formula>65</formula>
      <formula>84</formula>
    </cfRule>
  </conditionalFormatting>
  <conditionalFormatting sqref="Q2:Q35">
    <cfRule type="expression" dxfId="62" priority="5" stopIfTrue="1">
      <formula>LOWER(Q2)="done"</formula>
    </cfRule>
    <cfRule type="expression" dxfId="61" priority="6" stopIfTrue="1">
      <formula>OR(LOWER(Q2)="to do",LOWER(Q2)="in progress",LOWER(Q2)="in review")</formula>
    </cfRule>
  </conditionalFormatting>
  <conditionalFormatting sqref="U2:U35">
    <cfRule type="expression" dxfId="60" priority="3" stopIfTrue="1">
      <formula>LOWER(U2)="yes"</formula>
    </cfRule>
    <cfRule type="expression" dxfId="59" priority="4" stopIfTrue="1">
      <formula>LOWER(U2)="no"</formula>
    </cfRule>
  </conditionalFormatting>
  <dataValidations count="35">
    <dataValidation type="list" allowBlank="1" showErrorMessage="1" errorTitle="Invalid Status" error="Select a value from the dropdown list." sqref="Q2:Q35" xr:uid="{00000000-0002-0000-0400-000000000000}">
      <formula1>"Open,In Progress,In Review,Done"</formula1>
    </dataValidation>
    <dataValidation type="custom" allowBlank="1" showInputMessage="1" promptTitle="Issue Type" prompt="Issue Type. Review this metric to identify risk, then use linked tabs for details and remediation." sqref="A1" xr:uid="{00000000-0002-0000-0400-000001000000}">
      <formula1>TRUE</formula1>
    </dataValidation>
    <dataValidation type="custom" allowBlank="1" showInputMessage="1" promptTitle="Severity" prompt="Issue impact level. Fix: Resolve Critical first, then Warning, then improvement opportunities." sqref="B1" xr:uid="{00000000-0002-0000-0400-000002000000}">
      <formula1>TRUE</formula1>
    </dataValidation>
    <dataValidation type="custom" allowBlank="1" showInputMessage="1" promptTitle="Priority Score" prompt="Execution priority score combining impact and effort. Fix: Start from highest scores." sqref="C1" xr:uid="{00000000-0002-0000-0400-000003000000}">
      <formula1>TRUE</formula1>
    </dataValidation>
    <dataValidation type="custom" allowBlank="1" showInputMessage="1" promptTitle="Affected Count" prompt="How many URLs are impacted by this issue. Larger counts usually indicate template-level or systemic problems." sqref="D1" xr:uid="{00000000-0002-0000-0400-000004000000}">
      <formula1>TRUE</formula1>
    </dataValidation>
    <dataValidation type="custom" allowBlank="1" showInputMessage="1" promptTitle="Affected URLs" prompt="Affected URLs. Use this URL to inspect the page directly or jump to related tabs." sqref="E1" xr:uid="{00000000-0002-0000-0400-000005000000}">
      <formula1>TRUE</formula1>
    </dataValidation>
    <dataValidation type="custom" allowBlank="1" showInputMessage="1" promptTitle="Detail Reference Tab" prompt="Summary grouping/navigation field. Use with hyperlinks to jump into detailed tabs." sqref="F1" xr:uid="{00000000-0002-0000-0400-000006000000}">
      <formula1>TRUE</formula1>
    </dataValidation>
    <dataValidation type="custom" allowBlank="1" showInputMessage="1" promptTitle="Resolution Type" prompt="Resolution Type. Review this metric to identify risk, then use linked tabs for details and remediation." sqref="G1" xr:uid="{00000000-0002-0000-0400-000007000000}">
      <formula1>TRUE</formula1>
    </dataValidation>
    <dataValidation type="custom" allowBlank="1" showInputMessage="1" promptTitle="URL" prompt="URL. Use this URL to inspect the page directly or jump to related tabs." sqref="H1" xr:uid="{00000000-0002-0000-0400-000008000000}">
      <formula1>TRUE</formula1>
    </dataValidation>
    <dataValidation type="custom" allowBlank="1" showInputMessage="1" promptTitle="Recommended Fix" prompt="Recommended Fix. Review this metric to identify risk, then use linked tabs for details and remediation." sqref="I1" xr:uid="{00000000-0002-0000-0400-000009000000}">
      <formula1>TRUE</formula1>
    </dataValidation>
    <dataValidation type="custom" allowBlank="1" showInputMessage="1" promptTitle="Likely Root Cause" prompt="Likely Root Cause. Review this metric to identify risk, then use linked tabs for details and remediation." sqref="J1" xr:uid="{00000000-0002-0000-0400-00000A000000}">
      <formula1>TRUE</formula1>
    </dataValidation>
    <dataValidation type="custom" allowBlank="1" showInputMessage="1" promptTitle="Owner" prompt="Workflow management field for planning and tracking remediation progress." sqref="K1" xr:uid="{00000000-0002-0000-0400-00000B000000}">
      <formula1>TRUE</formula1>
    </dataValidation>
    <dataValidation type="custom" allowBlank="1" showInputMessage="1" promptTitle="Agency Owner" prompt="Workflow management field for planning and tracking remediation progress." sqref="L1" xr:uid="{00000000-0002-0000-0400-00000C000000}">
      <formula1>TRUE</formula1>
    </dataValidation>
    <dataValidation type="custom" allowBlank="1" showInputMessage="1" promptTitle="Effort" prompt="Effort. Review this metric to identify risk, then use linked tabs for details and remediation." sqref="M1" xr:uid="{00000000-0002-0000-0400-00000D000000}">
      <formula1>TRUE</formula1>
    </dataValidation>
    <dataValidation type="custom" allowBlank="1" showInputMessage="1" promptTitle="Est. Hours" prompt="Est. Hours. Review this metric to identify risk, then use linked tabs for details and remediation." sqref="N1" xr:uid="{00000000-0002-0000-0400-00000E000000}">
      <formula1>TRUE</formula1>
    </dataValidation>
    <dataValidation type="custom" allowBlank="1" showInputMessage="1" promptTitle="Est. Sprint Points" prompt="Workflow management field for planning and tracking remediation progress." sqref="O1" xr:uid="{00000000-0002-0000-0400-00000F000000}">
      <formula1>TRUE</formula1>
    </dataValidation>
    <dataValidation type="custom" allowBlank="1" showInputMessage="1" promptTitle="Aging/Priority" prompt="Aging/Priority. Review this metric to identify risk, then use linked tabs for details and remediation." sqref="P1" xr:uid="{00000000-0002-0000-0400-000010000000}">
      <formula1>TRUE</formula1>
    </dataValidation>
    <dataValidation type="custom" allowBlank="1" showInputMessage="1" promptTitle="Status" prompt="Workflow management field for planning and tracking remediation progress." sqref="Q1" xr:uid="{00000000-0002-0000-0400-000011000000}">
      <formula1>TRUE</formula1>
    </dataValidation>
    <dataValidation type="custom" allowBlank="1" showInputMessage="1" promptTitle="Verified By" prompt="Verified By. Review this metric to identify risk, then use linked tabs for details and remediation." sqref="R1" xr:uid="{00000000-0002-0000-0400-000012000000}">
      <formula1>TRUE</formula1>
    </dataValidation>
    <dataValidation type="custom" allowBlank="1" showInputMessage="1" promptTitle="Date Resolved" prompt="Date Resolved. Review this metric to identify risk, then use linked tabs for details and remediation." sqref="S1" xr:uid="{00000000-0002-0000-0400-000013000000}">
      <formula1>TRUE</formula1>
    </dataValidation>
    <dataValidation type="custom" allowBlank="1" showInputMessage="1" promptTitle="Revenue Risk" prompt="Revenue Risk. Review this metric to identify risk, then use linked tabs for details and remediation." sqref="T1" xr:uid="{00000000-0002-0000-0400-000014000000}">
      <formula1>TRUE</formula1>
    </dataValidation>
    <dataValidation type="custom" allowBlank="1" showInputMessage="1" promptTitle="Action Needed" prompt="Action Needed. Review this metric to identify risk, then use linked tabs for details and remediation." sqref="U1" xr:uid="{00000000-0002-0000-0400-000015000000}">
      <formula1>TRUE</formula1>
    </dataValidation>
    <dataValidation type="custom" allowBlank="1" showInputMessage="1" promptTitle="Jump to Details" prompt="Jump to Details. Review this metric to identify risk, then use linked tabs for details and remediation." sqref="V1" xr:uid="{00000000-0002-0000-0400-000016000000}">
      <formula1>TRUE</formula1>
    </dataValidation>
    <dataValidation type="custom" allowBlank="1" showInputMessage="1" promptTitle="Sprint" prompt="Workflow management field for planning and tracking remediation progress." sqref="W1" xr:uid="{00000000-0002-0000-0400-000017000000}">
      <formula1>TRUE</formula1>
    </dataValidation>
    <dataValidation type="custom" allowBlank="1" showInputMessage="1" promptTitle="Category" prompt="Category. Review this metric to identify risk, then use linked tabs for details and remediation." sqref="X1" xr:uid="{00000000-0002-0000-0400-000018000000}">
      <formula1>TRUE</formula1>
    </dataValidation>
    <dataValidation type="custom" allowBlank="1" showInputMessage="1" promptTitle="Fix Type" prompt="Fix Type. Review this metric to identify risk, then use linked tabs for details and remediation." sqref="Y1" xr:uid="{00000000-0002-0000-0400-000019000000}">
      <formula1>TRUE</formula1>
    </dataValidation>
    <dataValidation type="custom" allowBlank="1" showInputMessage="1" promptTitle="Estimated Traffic Impact" prompt="Estimated Traffic Impact. Review this metric to identify risk, then use linked tabs for details and remediation." sqref="Z1" xr:uid="{00000000-0002-0000-0400-00001A000000}">
      <formula1>TRUE</formula1>
    </dataValidation>
    <dataValidation type="custom" allowBlank="1" showInputMessage="1" promptTitle="Fix Effort" prompt="Fix Effort. Review this metric to identify risk, then use linked tabs for details and remediation." sqref="AA1" xr:uid="{00000000-0002-0000-0400-00001B000000}">
      <formula1>TRUE</formula1>
    </dataValidation>
    <dataValidation type="custom" allowBlank="1" showInputMessage="1" promptTitle="ROI Score" prompt="ROI Score. Review this metric to identify risk, then use linked tabs for details and remediation." sqref="AB1" xr:uid="{00000000-0002-0000-0400-00001C000000}">
      <formula1>TRUE</formula1>
    </dataValidation>
    <dataValidation type="custom" allowBlank="1" showInputMessage="1" promptTitle="Exact Action" prompt="Exact Action. Review this metric to identify risk, then use linked tabs for details and remediation." sqref="AC1" xr:uid="{00000000-0002-0000-0400-00001D000000}">
      <formula1>TRUE</formula1>
    </dataValidation>
    <dataValidation type="custom" allowBlank="1" showInputMessage="1" promptTitle="Open in Main" prompt="Navigation helper. Click to jump directly to the related record in another tab." sqref="AD1" xr:uid="{00000000-0002-0000-0400-00001E000000}">
      <formula1>TRUE</formula1>
    </dataValidation>
    <dataValidation type="custom" allowBlank="1" showInputMessage="1" promptTitle="Hub Status (Content Hub)" prompt="Hub Status (Content Hub). Review this metric to identify risk, then use linked tabs for details and remediation." sqref="AE1" xr:uid="{00000000-0002-0000-0400-00001F000000}">
      <formula1>TRUE</formula1>
    </dataValidation>
    <dataValidation type="custom" allowBlank="1" showInputMessage="1" promptTitle="BACK TO DASHBOARD" prompt="BACK TO DASHBOARD. Review this metric to identify risk, then use linked tabs for details and remediation." sqref="AF1" xr:uid="{00000000-0002-0000-0400-000020000000}">
      <formula1>TRUE</formula1>
    </dataValidation>
    <dataValidation type="custom" allowBlank="1" showInputMessage="1" promptTitle="Priority Score" prompt="Issue priority score for execution order. Fix: Start with the highest values to reduce risk fastest." sqref="C1" xr:uid="{00000000-0002-0000-0400-000021000000}">
      <formula1>TRUE</formula1>
    </dataValidation>
    <dataValidation type="custom" allowBlank="1" showInputMessage="1" promptTitle="Severity" prompt="Impact level of the issue. Fix: Resolve Critical first, then Warning, then Observation opportunities." sqref="B1" xr:uid="{00000000-0002-0000-0400-000022000000}">
      <formula1>TRUE</formula1>
    </dataValidation>
  </dataValidations>
  <hyperlinks>
    <hyperlink ref="AF1" location="Dashboard!A1" display="BACK TO DASHBOARD" xr:uid="{00000000-0004-0000-0400-000000000000}"/>
    <hyperlink ref="H8" r:id="rId1" xr:uid="{00000000-0004-0000-0400-000001000000}"/>
    <hyperlink ref="H16" r:id="rId2" xr:uid="{00000000-0004-0000-0400-000002000000}"/>
    <hyperlink ref="H17" r:id="rId3" xr:uid="{00000000-0004-0000-0400-000003000000}"/>
    <hyperlink ref="H18" r:id="rId4" xr:uid="{00000000-0004-0000-0400-000004000000}"/>
    <hyperlink ref="H19" r:id="rId5" xr:uid="{00000000-0004-0000-0400-000005000000}"/>
    <hyperlink ref="H20" r:id="rId6" xr:uid="{00000000-0004-0000-0400-000006000000}"/>
    <hyperlink ref="H29" r:id="rId7" xr:uid="{00000000-0004-0000-0400-000007000000}"/>
    <hyperlink ref="H30" r:id="rId8" xr:uid="{00000000-0004-0000-0400-000008000000}"/>
    <hyperlink ref="H31" r:id="rId9" xr:uid="{00000000-0004-0000-0400-000009000000}"/>
    <hyperlink ref="H32" r:id="rId10" xr:uid="{00000000-0004-0000-0400-00000A000000}"/>
    <hyperlink ref="H33" r:id="rId11" xr:uid="{00000000-0004-0000-0400-00000B000000}"/>
    <hyperlink ref="H34" r:id="rId12" xr:uid="{00000000-0004-0000-0400-00000C000000}"/>
    <hyperlink ref="H35" r:id="rId13" xr:uid="{00000000-0004-0000-0400-00000D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2" hidden="1" customWidth="1" outlineLevel="1"/>
    <col min="19" max="19" width="11" hidden="1" customWidth="1" outlineLevel="1"/>
    <col min="20" max="20" width="12" hidden="1" customWidth="1" outlineLevel="1"/>
    <col min="21" max="21" width="11" hidden="1" customWidth="1" outlineLevel="1"/>
    <col min="22" max="22" width="12" hidden="1" customWidth="1" outlineLevel="1"/>
    <col min="23" max="23" width="11" hidden="1" customWidth="1" outlineLevel="1"/>
    <col min="24" max="24" width="12" hidden="1" customWidth="1" outlineLevel="1"/>
    <col min="25" max="25" width="11" hidden="1" customWidth="1" outlineLevel="1"/>
    <col min="26" max="26" width="12" hidden="1" customWidth="1" outlineLevel="1"/>
    <col min="27" max="27" width="11" hidden="1" customWidth="1" outlineLevel="1"/>
    <col min="28" max="28" width="12" hidden="1" customWidth="1" outlineLevel="1"/>
    <col min="29" max="29" width="11" hidden="1" customWidth="1" outlineLevel="1"/>
    <col min="30" max="30" width="13" hidden="1" customWidth="1" outlineLevel="1"/>
    <col min="31" max="31" width="9" hidden="1" customWidth="1" outlineLevel="1"/>
    <col min="32" max="32" width="14" hidden="1" customWidth="1" outlineLevel="1"/>
    <col min="33" max="33" width="26" hidden="1" customWidth="1" outlineLevel="1"/>
    <col min="34" max="34" width="19" hidden="1" customWidth="1" outlineLevel="1"/>
    <col min="35" max="35" width="18" hidden="1" customWidth="1" outlineLevel="1"/>
    <col min="36" max="36" width="16" hidden="1" customWidth="1" outlineLevel="1"/>
    <col min="37" max="37" width="12" hidden="1" customWidth="1" outlineLevel="1"/>
    <col min="38" max="38" width="17" hidden="1" customWidth="1" outlineLevel="1"/>
    <col min="39" max="39" width="12" hidden="1" customWidth="1" outlineLevel="1"/>
    <col min="40" max="40" width="17" hidden="1" customWidth="1" outlineLevel="1"/>
    <col min="41" max="41" width="9" hidden="1" customWidth="1" outlineLevel="1"/>
    <col min="42" max="42" width="18" hidden="1" customWidth="1" outlineLevel="1"/>
    <col min="43" max="43" width="13" hidden="1" customWidth="1" outlineLevel="1"/>
    <col min="44" max="44" width="14" hidden="1" customWidth="1" outlineLevel="1"/>
    <col min="45" max="46" width="19" hidden="1" customWidth="1" outlineLevel="1"/>
    <col min="47" max="47" width="17" hidden="1" customWidth="1" outlineLevel="1"/>
    <col min="48" max="49" width="18" hidden="1" customWidth="1" outlineLevel="1"/>
    <col min="50" max="50" width="12" hidden="1" customWidth="1" outlineLevel="1"/>
    <col min="51" max="51" width="11" hidden="1" customWidth="1" outlineLevel="1"/>
  </cols>
  <sheetData>
    <row r="1" spans="1:53" ht="45" x14ac:dyDescent="0.25">
      <c r="A1" s="26" t="s">
        <v>394</v>
      </c>
      <c r="B1" s="26" t="s">
        <v>102</v>
      </c>
      <c r="C1" s="26" t="s">
        <v>395</v>
      </c>
      <c r="D1" s="26" t="s">
        <v>26</v>
      </c>
      <c r="E1" s="26" t="s">
        <v>396</v>
      </c>
      <c r="F1" s="26" t="s">
        <v>397</v>
      </c>
      <c r="G1" s="26" t="s">
        <v>216</v>
      </c>
      <c r="H1" s="26" t="s">
        <v>398</v>
      </c>
      <c r="I1" s="26" t="s">
        <v>399</v>
      </c>
      <c r="J1" s="26" t="s">
        <v>400</v>
      </c>
      <c r="K1" s="26" t="s">
        <v>265</v>
      </c>
      <c r="L1" s="26" t="s">
        <v>401</v>
      </c>
      <c r="M1" s="26" t="s">
        <v>402</v>
      </c>
      <c r="N1" s="26" t="s">
        <v>403</v>
      </c>
      <c r="O1" s="26" t="s">
        <v>404</v>
      </c>
      <c r="P1" s="26" t="s">
        <v>405</v>
      </c>
      <c r="Q1" s="26" t="s">
        <v>406</v>
      </c>
      <c r="R1" s="26" t="s">
        <v>407</v>
      </c>
      <c r="S1" s="26" t="s">
        <v>408</v>
      </c>
      <c r="T1" s="26" t="s">
        <v>409</v>
      </c>
      <c r="U1" s="26" t="s">
        <v>410</v>
      </c>
      <c r="V1" s="26" t="s">
        <v>411</v>
      </c>
      <c r="W1" s="26" t="s">
        <v>412</v>
      </c>
      <c r="X1" s="26" t="s">
        <v>413</v>
      </c>
      <c r="Y1" s="26" t="s">
        <v>414</v>
      </c>
      <c r="Z1" s="26" t="s">
        <v>415</v>
      </c>
      <c r="AA1" s="26" t="s">
        <v>416</v>
      </c>
      <c r="AB1" s="26" t="s">
        <v>417</v>
      </c>
      <c r="AC1" s="26" t="s">
        <v>418</v>
      </c>
      <c r="AD1" s="26" t="s">
        <v>419</v>
      </c>
      <c r="AE1" s="26" t="s">
        <v>420</v>
      </c>
      <c r="AF1" s="26" t="s">
        <v>421</v>
      </c>
      <c r="AG1" s="26" t="s">
        <v>422</v>
      </c>
      <c r="AH1" s="26" t="s">
        <v>423</v>
      </c>
      <c r="AI1" s="26" t="s">
        <v>424</v>
      </c>
      <c r="AJ1" s="26" t="s">
        <v>425</v>
      </c>
      <c r="AK1" s="26" t="s">
        <v>426</v>
      </c>
      <c r="AL1" s="26" t="s">
        <v>427</v>
      </c>
      <c r="AM1" s="26" t="s">
        <v>428</v>
      </c>
      <c r="AN1" s="26" t="s">
        <v>429</v>
      </c>
      <c r="AO1" s="26" t="s">
        <v>430</v>
      </c>
      <c r="AP1" s="26" t="s">
        <v>431</v>
      </c>
      <c r="AQ1" s="26" t="s">
        <v>432</v>
      </c>
      <c r="AR1" s="26" t="s">
        <v>433</v>
      </c>
      <c r="AS1" s="26" t="s">
        <v>434</v>
      </c>
      <c r="AT1" s="26" t="s">
        <v>435</v>
      </c>
      <c r="AU1" s="26" t="s">
        <v>436</v>
      </c>
      <c r="AV1" s="26" t="s">
        <v>437</v>
      </c>
      <c r="AW1" s="26" t="s">
        <v>120</v>
      </c>
      <c r="AX1" s="26" t="s">
        <v>121</v>
      </c>
      <c r="AY1" s="26" t="s">
        <v>119</v>
      </c>
      <c r="AZ1" s="26" t="s">
        <v>438</v>
      </c>
      <c r="BA1" s="35" t="s">
        <v>211</v>
      </c>
    </row>
    <row r="2" spans="1:53" ht="31.5" x14ac:dyDescent="0.25">
      <c r="A2" s="27" t="s">
        <v>439</v>
      </c>
      <c r="B2" s="32" t="s">
        <v>127</v>
      </c>
      <c r="C2" s="34">
        <v>200</v>
      </c>
      <c r="D2" s="27" t="s">
        <v>440</v>
      </c>
      <c r="E2" s="27">
        <v>5.2999999999999999E-2</v>
      </c>
      <c r="F2" s="27" t="s">
        <v>130</v>
      </c>
      <c r="G2" s="27" t="s">
        <v>131</v>
      </c>
      <c r="H2" s="27">
        <v>35</v>
      </c>
      <c r="I2" s="48">
        <v>24</v>
      </c>
      <c r="J2" s="28" t="s">
        <v>71</v>
      </c>
      <c r="K2" s="27" t="s">
        <v>283</v>
      </c>
      <c r="L2" s="27" t="s">
        <v>441</v>
      </c>
      <c r="M2" s="27" t="s">
        <v>442</v>
      </c>
      <c r="N2" s="27">
        <v>66</v>
      </c>
      <c r="O2" s="27">
        <v>152</v>
      </c>
      <c r="P2" s="27" t="s">
        <v>133</v>
      </c>
      <c r="Q2" s="27" t="b">
        <v>0</v>
      </c>
      <c r="R2" s="27"/>
      <c r="S2" s="27">
        <v>0</v>
      </c>
      <c r="T2" s="27"/>
      <c r="U2" s="27">
        <v>0</v>
      </c>
      <c r="V2" s="27"/>
      <c r="W2" s="27">
        <v>0</v>
      </c>
      <c r="X2" s="27"/>
      <c r="Y2" s="27">
        <v>0</v>
      </c>
      <c r="Z2" s="27"/>
      <c r="AA2" s="27">
        <v>0</v>
      </c>
      <c r="AB2" s="27"/>
      <c r="AC2" s="27">
        <v>0</v>
      </c>
      <c r="AD2" s="27">
        <v>0</v>
      </c>
      <c r="AE2" s="27"/>
      <c r="AF2" s="27" t="s">
        <v>443</v>
      </c>
      <c r="AG2" s="27">
        <v>100</v>
      </c>
      <c r="AH2" s="27">
        <v>0</v>
      </c>
      <c r="AI2" s="27">
        <v>0</v>
      </c>
      <c r="AJ2" s="27">
        <v>0</v>
      </c>
      <c r="AK2" s="27">
        <v>0</v>
      </c>
      <c r="AL2" s="27">
        <v>0</v>
      </c>
      <c r="AM2" s="27">
        <v>0</v>
      </c>
      <c r="AN2" s="27">
        <v>0</v>
      </c>
      <c r="AO2" s="27">
        <v>0</v>
      </c>
      <c r="AP2" s="27">
        <v>0</v>
      </c>
      <c r="AQ2" s="27">
        <v>0</v>
      </c>
      <c r="AR2" s="27" t="b">
        <v>0</v>
      </c>
      <c r="AS2" s="27">
        <v>0.28744900000000001</v>
      </c>
      <c r="AT2" s="27" t="b">
        <v>1</v>
      </c>
      <c r="AU2" s="27" t="b">
        <v>1</v>
      </c>
      <c r="AV2" s="27" t="s">
        <v>444</v>
      </c>
      <c r="AW2" s="28">
        <v>24</v>
      </c>
      <c r="AX2" s="31">
        <v>75</v>
      </c>
      <c r="AY2" s="28">
        <v>36.75</v>
      </c>
      <c r="AZ2" s="33" t="str">
        <f>IFERROR(HYPERLINK("#Technical!A"&amp;MATCH(B2,Technical!A:A,0),"Open Technical"),HYPERLINK("#Technical!A1","Open Technical"))</f>
        <v>Open Technical</v>
      </c>
      <c r="BA2" s="33"/>
    </row>
    <row r="3" spans="1:53" ht="30" customHeight="1" x14ac:dyDescent="0.25">
      <c r="A3" s="36" t="s">
        <v>439</v>
      </c>
      <c r="B3" s="29" t="s">
        <v>135</v>
      </c>
      <c r="C3" s="34">
        <v>200</v>
      </c>
      <c r="D3" s="36" t="s">
        <v>440</v>
      </c>
      <c r="E3" s="36">
        <v>7.2999999999999995E-2</v>
      </c>
      <c r="F3" s="36" t="s">
        <v>139</v>
      </c>
      <c r="G3" s="36" t="s">
        <v>140</v>
      </c>
      <c r="H3" s="36">
        <v>235</v>
      </c>
      <c r="I3" s="48">
        <v>37</v>
      </c>
      <c r="J3" s="28" t="s">
        <v>71</v>
      </c>
      <c r="K3" s="36" t="s">
        <v>283</v>
      </c>
      <c r="L3" s="36" t="s">
        <v>441</v>
      </c>
      <c r="M3" s="36" t="s">
        <v>442</v>
      </c>
      <c r="N3" s="36">
        <v>107</v>
      </c>
      <c r="O3" s="36">
        <v>405</v>
      </c>
      <c r="P3" s="36" t="s">
        <v>133</v>
      </c>
      <c r="Q3" s="36" t="b">
        <v>0</v>
      </c>
      <c r="R3" s="36"/>
      <c r="S3" s="36">
        <v>0</v>
      </c>
      <c r="T3" s="36"/>
      <c r="U3" s="36">
        <v>0</v>
      </c>
      <c r="V3" s="36"/>
      <c r="W3" s="36">
        <v>0</v>
      </c>
      <c r="X3" s="36"/>
      <c r="Y3" s="36">
        <v>0</v>
      </c>
      <c r="Z3" s="36"/>
      <c r="AA3" s="36">
        <v>0</v>
      </c>
      <c r="AB3" s="36"/>
      <c r="AC3" s="36">
        <v>0</v>
      </c>
      <c r="AD3" s="36">
        <v>0</v>
      </c>
      <c r="AE3" s="36"/>
      <c r="AF3" s="36" t="s">
        <v>443</v>
      </c>
      <c r="AG3" s="36">
        <v>70</v>
      </c>
      <c r="AH3" s="36">
        <v>0</v>
      </c>
      <c r="AI3" s="36">
        <v>0</v>
      </c>
      <c r="AJ3" s="36">
        <v>0</v>
      </c>
      <c r="AK3" s="36">
        <v>0</v>
      </c>
      <c r="AL3" s="36">
        <v>0</v>
      </c>
      <c r="AM3" s="36">
        <v>0</v>
      </c>
      <c r="AN3" s="36">
        <v>0</v>
      </c>
      <c r="AO3" s="36">
        <v>0</v>
      </c>
      <c r="AP3" s="36">
        <v>0</v>
      </c>
      <c r="AQ3" s="36">
        <v>1</v>
      </c>
      <c r="AR3" s="36" t="b">
        <v>0</v>
      </c>
      <c r="AS3" s="36">
        <v>0.271899</v>
      </c>
      <c r="AT3" s="36" t="b">
        <v>1</v>
      </c>
      <c r="AU3" s="36" t="b">
        <v>1</v>
      </c>
      <c r="AV3" s="36" t="s">
        <v>444</v>
      </c>
      <c r="AW3" s="28">
        <v>37</v>
      </c>
      <c r="AX3" s="31">
        <v>75</v>
      </c>
      <c r="AY3" s="28">
        <v>46.5</v>
      </c>
      <c r="AZ3" t="str">
        <f>IFERROR(HYPERLINK("#Technical!A"&amp;MATCH(B3,Technical!A:A,0),"Open Technical"),HYPERLINK("#Technical!A1","Open Technical"))</f>
        <v>Open Technical</v>
      </c>
    </row>
    <row r="4" spans="1:53" ht="30" customHeight="1" x14ac:dyDescent="0.25">
      <c r="A4" s="27" t="s">
        <v>439</v>
      </c>
      <c r="B4" s="32" t="s">
        <v>144</v>
      </c>
      <c r="C4" s="34">
        <v>200</v>
      </c>
      <c r="D4" s="27" t="s">
        <v>440</v>
      </c>
      <c r="E4" s="27">
        <v>8.5999999999999993E-2</v>
      </c>
      <c r="F4" s="27" t="s">
        <v>148</v>
      </c>
      <c r="G4" s="27" t="s">
        <v>149</v>
      </c>
      <c r="H4" s="27">
        <v>354</v>
      </c>
      <c r="I4" s="48">
        <v>30</v>
      </c>
      <c r="J4" s="28" t="s">
        <v>71</v>
      </c>
      <c r="K4" s="27" t="s">
        <v>283</v>
      </c>
      <c r="L4" s="27" t="s">
        <v>441</v>
      </c>
      <c r="M4" s="27" t="s">
        <v>442</v>
      </c>
      <c r="N4" s="27">
        <v>81</v>
      </c>
      <c r="O4" s="27">
        <v>423</v>
      </c>
      <c r="P4" s="27" t="s">
        <v>133</v>
      </c>
      <c r="Q4" s="27" t="b">
        <v>0</v>
      </c>
      <c r="R4" s="27"/>
      <c r="S4" s="27">
        <v>0</v>
      </c>
      <c r="T4" s="27"/>
      <c r="U4" s="27">
        <v>0</v>
      </c>
      <c r="V4" s="27"/>
      <c r="W4" s="27">
        <v>0</v>
      </c>
      <c r="X4" s="27"/>
      <c r="Y4" s="27">
        <v>0</v>
      </c>
      <c r="Z4" s="27"/>
      <c r="AA4" s="27">
        <v>0</v>
      </c>
      <c r="AB4" s="27"/>
      <c r="AC4" s="27">
        <v>0</v>
      </c>
      <c r="AD4" s="27">
        <v>0</v>
      </c>
      <c r="AE4" s="27"/>
      <c r="AF4" s="27" t="s">
        <v>443</v>
      </c>
      <c r="AG4" s="27">
        <v>60</v>
      </c>
      <c r="AH4" s="27">
        <v>0</v>
      </c>
      <c r="AI4" s="27">
        <v>0</v>
      </c>
      <c r="AJ4" s="27">
        <v>0</v>
      </c>
      <c r="AK4" s="27">
        <v>0</v>
      </c>
      <c r="AL4" s="27">
        <v>0</v>
      </c>
      <c r="AM4" s="27">
        <v>0</v>
      </c>
      <c r="AN4" s="27">
        <v>0</v>
      </c>
      <c r="AO4" s="27">
        <v>0</v>
      </c>
      <c r="AP4" s="27">
        <v>0</v>
      </c>
      <c r="AQ4" s="27">
        <v>1</v>
      </c>
      <c r="AR4" s="27" t="b">
        <v>0</v>
      </c>
      <c r="AS4" s="27">
        <v>0.271899</v>
      </c>
      <c r="AT4" s="27" t="b">
        <v>1</v>
      </c>
      <c r="AU4" s="27" t="b">
        <v>1</v>
      </c>
      <c r="AV4" s="27" t="s">
        <v>444</v>
      </c>
      <c r="AW4" s="28">
        <v>30</v>
      </c>
      <c r="AX4" s="34">
        <v>100</v>
      </c>
      <c r="AY4" s="28">
        <v>47.5</v>
      </c>
      <c r="AZ4" s="33" t="str">
        <f>IFERROR(HYPERLINK("#Technical!A"&amp;MATCH(B4,Technical!A:A,0),"Open Technical"),HYPERLINK("#Technical!A1","Open Technical"))</f>
        <v>Open Technical</v>
      </c>
      <c r="BA4" s="33"/>
    </row>
    <row r="5" spans="1:53" ht="30" customHeight="1" x14ac:dyDescent="0.25">
      <c r="A5" s="36" t="s">
        <v>439</v>
      </c>
      <c r="B5" s="29" t="s">
        <v>152</v>
      </c>
      <c r="C5" s="34">
        <v>200</v>
      </c>
      <c r="D5" s="36" t="s">
        <v>440</v>
      </c>
      <c r="E5" s="36">
        <v>2.9830000000000001</v>
      </c>
      <c r="F5" s="36" t="s">
        <v>156</v>
      </c>
      <c r="G5" s="36" t="s">
        <v>157</v>
      </c>
      <c r="H5" s="36">
        <v>1668</v>
      </c>
      <c r="I5" s="48">
        <v>30</v>
      </c>
      <c r="J5" s="28" t="s">
        <v>71</v>
      </c>
      <c r="K5" s="36" t="s">
        <v>283</v>
      </c>
      <c r="L5" s="36" t="s">
        <v>441</v>
      </c>
      <c r="M5" s="36" t="s">
        <v>442</v>
      </c>
      <c r="N5" s="36">
        <v>49</v>
      </c>
      <c r="O5" s="36">
        <v>406</v>
      </c>
      <c r="P5" s="36" t="s">
        <v>159</v>
      </c>
      <c r="Q5" s="36" t="b">
        <v>0</v>
      </c>
      <c r="R5" s="36"/>
      <c r="S5" s="36">
        <v>0</v>
      </c>
      <c r="T5" s="36"/>
      <c r="U5" s="36">
        <v>0</v>
      </c>
      <c r="V5" s="36"/>
      <c r="W5" s="36">
        <v>0</v>
      </c>
      <c r="X5" s="36"/>
      <c r="Y5" s="36">
        <v>0</v>
      </c>
      <c r="Z5" s="36"/>
      <c r="AA5" s="36">
        <v>0</v>
      </c>
      <c r="AB5" s="36"/>
      <c r="AC5" s="36">
        <v>0</v>
      </c>
      <c r="AD5" s="36">
        <v>0</v>
      </c>
      <c r="AE5" s="36"/>
      <c r="AF5" s="36" t="s">
        <v>443</v>
      </c>
      <c r="AG5" s="36">
        <v>100</v>
      </c>
      <c r="AH5" s="36">
        <v>0</v>
      </c>
      <c r="AI5" s="36">
        <v>0</v>
      </c>
      <c r="AJ5" s="36">
        <v>0</v>
      </c>
      <c r="AK5" s="36">
        <v>0</v>
      </c>
      <c r="AL5" s="36">
        <v>0</v>
      </c>
      <c r="AM5" s="36">
        <v>0</v>
      </c>
      <c r="AN5" s="36">
        <v>0</v>
      </c>
      <c r="AO5" s="36">
        <v>0</v>
      </c>
      <c r="AP5" s="36">
        <v>0</v>
      </c>
      <c r="AQ5" s="36"/>
      <c r="AR5" s="36" t="b">
        <v>1</v>
      </c>
      <c r="AS5" s="36">
        <v>1.9664999999999998E-2</v>
      </c>
      <c r="AT5" s="36" t="b">
        <v>1</v>
      </c>
      <c r="AU5" s="36" t="b">
        <v>1</v>
      </c>
      <c r="AV5" s="36" t="s">
        <v>444</v>
      </c>
      <c r="AW5" s="28">
        <v>30</v>
      </c>
      <c r="AX5" s="34">
        <v>100</v>
      </c>
      <c r="AY5" s="28">
        <v>47.5</v>
      </c>
      <c r="AZ5" t="str">
        <f>IFERROR(HYPERLINK("#Technical!A"&amp;MATCH(B5,Technical!A:A,0),"Open Technical"),HYPERLINK("#Technical!A1","Open Technical"))</f>
        <v>Open Technical</v>
      </c>
    </row>
    <row r="6" spans="1:53" ht="30" customHeight="1" x14ac:dyDescent="0.25">
      <c r="A6" s="27" t="s">
        <v>439</v>
      </c>
      <c r="B6" s="32" t="s">
        <v>161</v>
      </c>
      <c r="C6" s="34">
        <v>200</v>
      </c>
      <c r="D6" s="27" t="s">
        <v>440</v>
      </c>
      <c r="E6" s="27">
        <v>7.2999999999999995E-2</v>
      </c>
      <c r="F6" s="27" t="s">
        <v>165</v>
      </c>
      <c r="G6" s="27" t="s">
        <v>166</v>
      </c>
      <c r="H6" s="27">
        <v>32</v>
      </c>
      <c r="I6" s="48">
        <v>27</v>
      </c>
      <c r="J6" s="28" t="s">
        <v>71</v>
      </c>
      <c r="K6" s="27" t="s">
        <v>283</v>
      </c>
      <c r="L6" s="27" t="s">
        <v>441</v>
      </c>
      <c r="M6" s="27" t="s">
        <v>442</v>
      </c>
      <c r="N6" s="27">
        <v>53</v>
      </c>
      <c r="O6" s="27">
        <v>387</v>
      </c>
      <c r="P6" s="27" t="s">
        <v>133</v>
      </c>
      <c r="Q6" s="27" t="b">
        <v>0</v>
      </c>
      <c r="R6" s="27"/>
      <c r="S6" s="27">
        <v>0</v>
      </c>
      <c r="T6" s="27"/>
      <c r="U6" s="27">
        <v>0</v>
      </c>
      <c r="V6" s="27"/>
      <c r="W6" s="27">
        <v>0</v>
      </c>
      <c r="X6" s="27"/>
      <c r="Y6" s="27">
        <v>0</v>
      </c>
      <c r="Z6" s="27"/>
      <c r="AA6" s="27">
        <v>0</v>
      </c>
      <c r="AB6" s="27"/>
      <c r="AC6" s="27">
        <v>0</v>
      </c>
      <c r="AD6" s="27">
        <v>0</v>
      </c>
      <c r="AE6" s="27"/>
      <c r="AF6" s="27" t="s">
        <v>443</v>
      </c>
      <c r="AG6" s="27">
        <v>100</v>
      </c>
      <c r="AH6" s="27">
        <v>0</v>
      </c>
      <c r="AI6" s="27">
        <v>0</v>
      </c>
      <c r="AJ6" s="27">
        <v>0</v>
      </c>
      <c r="AK6" s="27">
        <v>0</v>
      </c>
      <c r="AL6" s="27">
        <v>0</v>
      </c>
      <c r="AM6" s="27">
        <v>0</v>
      </c>
      <c r="AN6" s="27">
        <v>0</v>
      </c>
      <c r="AO6" s="27">
        <v>0</v>
      </c>
      <c r="AP6" s="27">
        <v>0</v>
      </c>
      <c r="AQ6" s="27"/>
      <c r="AR6" s="27" t="b">
        <v>1</v>
      </c>
      <c r="AS6" s="27">
        <v>1.9664999999999998E-2</v>
      </c>
      <c r="AT6" s="27" t="b">
        <v>1</v>
      </c>
      <c r="AU6" s="27" t="b">
        <v>1</v>
      </c>
      <c r="AV6" s="27" t="s">
        <v>444</v>
      </c>
      <c r="AW6" s="28">
        <v>27</v>
      </c>
      <c r="AX6" s="28">
        <v>45</v>
      </c>
      <c r="AY6" s="28">
        <v>31.5</v>
      </c>
      <c r="AZ6" s="33" t="str">
        <f>IFERROR(HYPERLINK("#Technical!A"&amp;MATCH(B6,Technical!A:A,0),"Open Technical"),HYPERLINK("#Technical!A1","Open Technical"))</f>
        <v>Open Technical</v>
      </c>
      <c r="BA6" s="33"/>
    </row>
    <row r="7" spans="1:53" ht="30" customHeight="1" x14ac:dyDescent="0.25">
      <c r="A7" s="36" t="s">
        <v>439</v>
      </c>
      <c r="B7" s="29" t="s">
        <v>169</v>
      </c>
      <c r="C7" s="34">
        <v>200</v>
      </c>
      <c r="D7" s="36" t="s">
        <v>440</v>
      </c>
      <c r="E7" s="36">
        <v>4.1429999999999998</v>
      </c>
      <c r="F7" s="36" t="s">
        <v>173</v>
      </c>
      <c r="G7" s="36" t="s">
        <v>174</v>
      </c>
      <c r="H7" s="36">
        <v>120</v>
      </c>
      <c r="I7" s="48">
        <v>27</v>
      </c>
      <c r="J7" s="28" t="s">
        <v>71</v>
      </c>
      <c r="K7" s="36" t="s">
        <v>283</v>
      </c>
      <c r="L7" s="36" t="s">
        <v>441</v>
      </c>
      <c r="M7" s="36" t="s">
        <v>442</v>
      </c>
      <c r="N7" s="36">
        <v>66</v>
      </c>
      <c r="O7" s="36">
        <v>335</v>
      </c>
      <c r="P7" s="36" t="s">
        <v>133</v>
      </c>
      <c r="Q7" s="36" t="b">
        <v>0</v>
      </c>
      <c r="R7" s="36"/>
      <c r="S7" s="36">
        <v>0</v>
      </c>
      <c r="T7" s="36"/>
      <c r="U7" s="36">
        <v>0</v>
      </c>
      <c r="V7" s="36"/>
      <c r="W7" s="36">
        <v>0</v>
      </c>
      <c r="X7" s="36"/>
      <c r="Y7" s="36">
        <v>0</v>
      </c>
      <c r="Z7" s="36"/>
      <c r="AA7" s="36">
        <v>0</v>
      </c>
      <c r="AB7" s="36"/>
      <c r="AC7" s="36">
        <v>0</v>
      </c>
      <c r="AD7" s="36">
        <v>0</v>
      </c>
      <c r="AE7" s="36"/>
      <c r="AF7" s="36" t="s">
        <v>443</v>
      </c>
      <c r="AG7" s="36">
        <v>30</v>
      </c>
      <c r="AH7" s="36">
        <v>0</v>
      </c>
      <c r="AI7" s="36">
        <v>0</v>
      </c>
      <c r="AJ7" s="36">
        <v>0</v>
      </c>
      <c r="AK7" s="36">
        <v>0</v>
      </c>
      <c r="AL7" s="36">
        <v>0</v>
      </c>
      <c r="AM7" s="36">
        <v>0</v>
      </c>
      <c r="AN7" s="36">
        <v>0</v>
      </c>
      <c r="AO7" s="36">
        <v>0</v>
      </c>
      <c r="AP7" s="36">
        <v>0</v>
      </c>
      <c r="AQ7" s="36"/>
      <c r="AR7" s="36" t="b">
        <v>1</v>
      </c>
      <c r="AS7" s="36">
        <v>1.9664999999999998E-2</v>
      </c>
      <c r="AT7" s="36" t="b">
        <v>1</v>
      </c>
      <c r="AU7" s="36" t="b">
        <v>1</v>
      </c>
      <c r="AV7" s="36" t="s">
        <v>444</v>
      </c>
      <c r="AW7" s="28">
        <v>27</v>
      </c>
      <c r="AX7" s="28">
        <v>45</v>
      </c>
      <c r="AY7" s="28">
        <v>31.5</v>
      </c>
      <c r="AZ7" t="str">
        <f>IFERROR(HYPERLINK("#Technical!A"&amp;MATCH(B7,Technical!A:A,0),"Open Technical"),HYPERLINK("#Technical!A1","Open Technical"))</f>
        <v>Open Technical</v>
      </c>
    </row>
    <row r="8" spans="1:53" ht="30" customHeight="1" x14ac:dyDescent="0.25">
      <c r="A8" s="27" t="s">
        <v>439</v>
      </c>
      <c r="B8" s="32" t="s">
        <v>177</v>
      </c>
      <c r="C8" s="34">
        <v>200</v>
      </c>
      <c r="D8" s="27" t="s">
        <v>440</v>
      </c>
      <c r="E8" s="27">
        <v>3.351</v>
      </c>
      <c r="F8" s="27" t="s">
        <v>181</v>
      </c>
      <c r="G8" s="27" t="s">
        <v>182</v>
      </c>
      <c r="H8" s="27">
        <v>367</v>
      </c>
      <c r="I8" s="48">
        <v>30</v>
      </c>
      <c r="J8" s="28" t="s">
        <v>71</v>
      </c>
      <c r="K8" s="27" t="s">
        <v>283</v>
      </c>
      <c r="L8" s="27" t="s">
        <v>441</v>
      </c>
      <c r="M8" s="27" t="s">
        <v>442</v>
      </c>
      <c r="N8" s="27">
        <v>65</v>
      </c>
      <c r="O8" s="27">
        <v>337</v>
      </c>
      <c r="P8" s="27" t="s">
        <v>133</v>
      </c>
      <c r="Q8" s="27" t="b">
        <v>0</v>
      </c>
      <c r="R8" s="27"/>
      <c r="S8" s="27">
        <v>0</v>
      </c>
      <c r="T8" s="27"/>
      <c r="U8" s="27">
        <v>0</v>
      </c>
      <c r="V8" s="27"/>
      <c r="W8" s="27">
        <v>0</v>
      </c>
      <c r="X8" s="27"/>
      <c r="Y8" s="27">
        <v>0</v>
      </c>
      <c r="Z8" s="27"/>
      <c r="AA8" s="27">
        <v>0</v>
      </c>
      <c r="AB8" s="27"/>
      <c r="AC8" s="27">
        <v>0</v>
      </c>
      <c r="AD8" s="27">
        <v>0</v>
      </c>
      <c r="AE8" s="27"/>
      <c r="AF8" s="27" t="s">
        <v>443</v>
      </c>
      <c r="AG8" s="27">
        <v>100</v>
      </c>
      <c r="AH8" s="27">
        <v>0</v>
      </c>
      <c r="AI8" s="27">
        <v>0</v>
      </c>
      <c r="AJ8" s="27">
        <v>0</v>
      </c>
      <c r="AK8" s="27">
        <v>0</v>
      </c>
      <c r="AL8" s="27">
        <v>0</v>
      </c>
      <c r="AM8" s="27">
        <v>0</v>
      </c>
      <c r="AN8" s="27">
        <v>0</v>
      </c>
      <c r="AO8" s="27">
        <v>0</v>
      </c>
      <c r="AP8" s="27">
        <v>0</v>
      </c>
      <c r="AQ8" s="27"/>
      <c r="AR8" s="27" t="b">
        <v>1</v>
      </c>
      <c r="AS8" s="27">
        <v>1.9664999999999998E-2</v>
      </c>
      <c r="AT8" s="27" t="b">
        <v>1</v>
      </c>
      <c r="AU8" s="27" t="b">
        <v>1</v>
      </c>
      <c r="AV8" s="27" t="s">
        <v>444</v>
      </c>
      <c r="AW8" s="28">
        <v>30</v>
      </c>
      <c r="AX8" s="31">
        <v>70</v>
      </c>
      <c r="AY8" s="28">
        <v>40</v>
      </c>
      <c r="AZ8" s="33" t="str">
        <f>IFERROR(HYPERLINK("#Technical!A"&amp;MATCH(B8,Technical!A:A,0),"Open Technical"),HYPERLINK("#Technical!A1","Open Technical"))</f>
        <v>Open Technical</v>
      </c>
      <c r="BA8" s="33"/>
    </row>
    <row r="9" spans="1:53" ht="30" customHeight="1" x14ac:dyDescent="0.25">
      <c r="A9" s="36" t="s">
        <v>439</v>
      </c>
      <c r="B9" s="29" t="s">
        <v>186</v>
      </c>
      <c r="C9" s="34">
        <v>200</v>
      </c>
      <c r="D9" s="36" t="s">
        <v>440</v>
      </c>
      <c r="E9" s="36">
        <v>8.2000000000000003E-2</v>
      </c>
      <c r="F9" s="36" t="s">
        <v>190</v>
      </c>
      <c r="G9" s="36" t="s">
        <v>191</v>
      </c>
      <c r="H9" s="36">
        <v>415</v>
      </c>
      <c r="I9" s="48">
        <v>40</v>
      </c>
      <c r="J9" s="28" t="s">
        <v>71</v>
      </c>
      <c r="K9" s="36" t="s">
        <v>283</v>
      </c>
      <c r="L9" s="36" t="s">
        <v>441</v>
      </c>
      <c r="M9" s="36" t="s">
        <v>442</v>
      </c>
      <c r="N9" s="36">
        <v>53</v>
      </c>
      <c r="O9" s="36">
        <v>398</v>
      </c>
      <c r="P9" s="36" t="s">
        <v>159</v>
      </c>
      <c r="Q9" s="36" t="b">
        <v>0</v>
      </c>
      <c r="R9" s="36"/>
      <c r="S9" s="36">
        <v>0</v>
      </c>
      <c r="T9" s="36"/>
      <c r="U9" s="36">
        <v>0</v>
      </c>
      <c r="V9" s="36"/>
      <c r="W9" s="36">
        <v>0</v>
      </c>
      <c r="X9" s="36"/>
      <c r="Y9" s="36">
        <v>0</v>
      </c>
      <c r="Z9" s="36"/>
      <c r="AA9" s="36">
        <v>0</v>
      </c>
      <c r="AB9" s="36"/>
      <c r="AC9" s="36">
        <v>0</v>
      </c>
      <c r="AD9" s="36">
        <v>0</v>
      </c>
      <c r="AE9" s="36"/>
      <c r="AF9" s="36" t="s">
        <v>443</v>
      </c>
      <c r="AG9" s="36">
        <v>80</v>
      </c>
      <c r="AH9" s="36">
        <v>0</v>
      </c>
      <c r="AI9" s="36">
        <v>0</v>
      </c>
      <c r="AJ9" s="36">
        <v>0</v>
      </c>
      <c r="AK9" s="36">
        <v>0</v>
      </c>
      <c r="AL9" s="36">
        <v>0</v>
      </c>
      <c r="AM9" s="36">
        <v>0</v>
      </c>
      <c r="AN9" s="36">
        <v>0</v>
      </c>
      <c r="AO9" s="36">
        <v>0</v>
      </c>
      <c r="AP9" s="36">
        <v>0</v>
      </c>
      <c r="AQ9" s="36"/>
      <c r="AR9" s="36" t="b">
        <v>0</v>
      </c>
      <c r="AS9" s="36">
        <v>3.5214000000000002E-2</v>
      </c>
      <c r="AT9" s="36" t="b">
        <v>1</v>
      </c>
      <c r="AU9" s="36" t="b">
        <v>1</v>
      </c>
      <c r="AV9" s="36" t="s">
        <v>444</v>
      </c>
      <c r="AW9" s="28">
        <v>40</v>
      </c>
      <c r="AX9" s="34">
        <v>100</v>
      </c>
      <c r="AY9" s="28">
        <v>55</v>
      </c>
      <c r="AZ9" t="str">
        <f>IFERROR(HYPERLINK("#Technical!A"&amp;MATCH(B9,Technical!A:A,0),"Open Technical"),HYPERLINK("#Technical!A1","Open Technical"))</f>
        <v>Open Technical</v>
      </c>
    </row>
    <row r="10" spans="1:53" ht="30" customHeight="1" x14ac:dyDescent="0.25">
      <c r="A10" s="27" t="s">
        <v>439</v>
      </c>
      <c r="B10" s="32" t="s">
        <v>194</v>
      </c>
      <c r="C10" s="34">
        <v>200</v>
      </c>
      <c r="D10" s="27" t="s">
        <v>440</v>
      </c>
      <c r="E10" s="27">
        <v>5.5E-2</v>
      </c>
      <c r="F10" s="27" t="s">
        <v>198</v>
      </c>
      <c r="G10" s="27" t="s">
        <v>199</v>
      </c>
      <c r="H10" s="27">
        <v>326</v>
      </c>
      <c r="I10" s="48">
        <v>40</v>
      </c>
      <c r="J10" s="28" t="s">
        <v>71</v>
      </c>
      <c r="K10" s="27" t="s">
        <v>283</v>
      </c>
      <c r="L10" s="27" t="s">
        <v>441</v>
      </c>
      <c r="M10" s="27" t="s">
        <v>442</v>
      </c>
      <c r="N10" s="27">
        <v>44</v>
      </c>
      <c r="O10" s="27">
        <v>432</v>
      </c>
      <c r="P10" s="27" t="s">
        <v>159</v>
      </c>
      <c r="Q10" s="27" t="b">
        <v>0</v>
      </c>
      <c r="R10" s="27"/>
      <c r="S10" s="27">
        <v>0</v>
      </c>
      <c r="T10" s="27"/>
      <c r="U10" s="27">
        <v>0</v>
      </c>
      <c r="V10" s="27"/>
      <c r="W10" s="27">
        <v>0</v>
      </c>
      <c r="X10" s="27"/>
      <c r="Y10" s="27">
        <v>0</v>
      </c>
      <c r="Z10" s="27"/>
      <c r="AA10" s="27">
        <v>0</v>
      </c>
      <c r="AB10" s="27"/>
      <c r="AC10" s="27">
        <v>0</v>
      </c>
      <c r="AD10" s="27">
        <v>0</v>
      </c>
      <c r="AE10" s="27"/>
      <c r="AF10" s="27" t="s">
        <v>443</v>
      </c>
      <c r="AG10" s="27">
        <v>40</v>
      </c>
      <c r="AH10" s="27">
        <v>0</v>
      </c>
      <c r="AI10" s="27">
        <v>0</v>
      </c>
      <c r="AJ10" s="27">
        <v>0</v>
      </c>
      <c r="AK10" s="27">
        <v>0</v>
      </c>
      <c r="AL10" s="27">
        <v>0</v>
      </c>
      <c r="AM10" s="27">
        <v>0</v>
      </c>
      <c r="AN10" s="27">
        <v>0</v>
      </c>
      <c r="AO10" s="27">
        <v>0</v>
      </c>
      <c r="AP10" s="27">
        <v>0</v>
      </c>
      <c r="AQ10" s="27"/>
      <c r="AR10" s="27" t="b">
        <v>0</v>
      </c>
      <c r="AS10" s="27">
        <v>3.5214000000000002E-2</v>
      </c>
      <c r="AT10" s="27" t="b">
        <v>1</v>
      </c>
      <c r="AU10" s="27" t="b">
        <v>1</v>
      </c>
      <c r="AV10" s="27" t="s">
        <v>444</v>
      </c>
      <c r="AW10" s="28">
        <v>40</v>
      </c>
      <c r="AX10" s="34">
        <v>100</v>
      </c>
      <c r="AY10" s="28">
        <v>55</v>
      </c>
      <c r="AZ10" s="33" t="str">
        <f>IFERROR(HYPERLINK("#Technical!A"&amp;MATCH(B10,Technical!A:A,0),"Open Technical"),HYPERLINK("#Technical!A1","Open Technical"))</f>
        <v>Open Technical</v>
      </c>
      <c r="BA10" s="33"/>
    </row>
    <row r="11" spans="1:53" ht="30" customHeight="1" x14ac:dyDescent="0.25">
      <c r="A11" s="36" t="s">
        <v>439</v>
      </c>
      <c r="B11" s="29" t="s">
        <v>202</v>
      </c>
      <c r="C11" s="34">
        <v>200</v>
      </c>
      <c r="D11" s="36" t="s">
        <v>440</v>
      </c>
      <c r="E11" s="36">
        <v>2.6970000000000001</v>
      </c>
      <c r="F11" s="36" t="s">
        <v>206</v>
      </c>
      <c r="G11" s="36"/>
      <c r="H11" s="36">
        <v>31</v>
      </c>
      <c r="I11" s="48">
        <v>17</v>
      </c>
      <c r="J11" s="28" t="s">
        <v>71</v>
      </c>
      <c r="K11" s="36" t="s">
        <v>283</v>
      </c>
      <c r="L11" s="36" t="s">
        <v>441</v>
      </c>
      <c r="M11" s="36" t="s">
        <v>442</v>
      </c>
      <c r="N11" s="36">
        <v>55</v>
      </c>
      <c r="O11" s="36">
        <v>0</v>
      </c>
      <c r="P11" s="36" t="s">
        <v>159</v>
      </c>
      <c r="Q11" s="36" t="b">
        <v>0</v>
      </c>
      <c r="R11" s="36"/>
      <c r="S11" s="36">
        <v>0</v>
      </c>
      <c r="T11" s="36"/>
      <c r="U11" s="36">
        <v>0</v>
      </c>
      <c r="V11" s="36"/>
      <c r="W11" s="36">
        <v>0</v>
      </c>
      <c r="X11" s="36"/>
      <c r="Y11" s="36">
        <v>0</v>
      </c>
      <c r="Z11" s="36"/>
      <c r="AA11" s="36">
        <v>0</v>
      </c>
      <c r="AB11" s="36"/>
      <c r="AC11" s="36">
        <v>0</v>
      </c>
      <c r="AD11" s="36">
        <v>0</v>
      </c>
      <c r="AE11" s="36"/>
      <c r="AF11" s="36" t="s">
        <v>443</v>
      </c>
      <c r="AG11" s="36">
        <v>30</v>
      </c>
      <c r="AH11" s="36">
        <v>0</v>
      </c>
      <c r="AI11" s="36">
        <v>0</v>
      </c>
      <c r="AJ11" s="36">
        <v>0</v>
      </c>
      <c r="AK11" s="36">
        <v>0</v>
      </c>
      <c r="AL11" s="36">
        <v>0</v>
      </c>
      <c r="AM11" s="36">
        <v>0</v>
      </c>
      <c r="AN11" s="36">
        <v>0</v>
      </c>
      <c r="AO11" s="36">
        <v>0</v>
      </c>
      <c r="AP11" s="36">
        <v>0</v>
      </c>
      <c r="AQ11" s="36"/>
      <c r="AR11" s="36" t="b">
        <v>1</v>
      </c>
      <c r="AS11" s="36">
        <v>1.9664999999999998E-2</v>
      </c>
      <c r="AT11" s="36" t="b">
        <v>1</v>
      </c>
      <c r="AU11" s="36" t="b">
        <v>1</v>
      </c>
      <c r="AV11" s="36" t="s">
        <v>444</v>
      </c>
      <c r="AW11" s="28">
        <v>17</v>
      </c>
      <c r="AX11" s="28">
        <v>25</v>
      </c>
      <c r="AY11" s="28">
        <v>19</v>
      </c>
      <c r="AZ11" t="str">
        <f>IFERROR(HYPERLINK("#Technical!A"&amp;MATCH(B11,Technical!A:A,0),"Open Technical"),HYPERLINK("#Technical!A1","Open Technical"))</f>
        <v>Open Technical</v>
      </c>
    </row>
  </sheetData>
  <autoFilter ref="A1:BA11" xr:uid="{00000000-0009-0000-0000-000005000000}"/>
  <conditionalFormatting sqref="C2:C11">
    <cfRule type="cellIs" dxfId="58" priority="1" operator="equal">
      <formula>200</formula>
    </cfRule>
    <cfRule type="cellIs" dxfId="57" priority="2" operator="between">
      <formula>300</formula>
      <formula>399</formula>
    </cfRule>
    <cfRule type="cellIs" dxfId="56"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onditionalFormatting>
  <conditionalFormatting sqref="H2:H11">
    <cfRule type="colorScale" priority="6">
      <colorScale>
        <cfvo type="min"/>
        <cfvo type="percentile" val="50"/>
        <cfvo type="max"/>
        <color rgb="FFF8696B"/>
        <color rgb="FFFFEB84"/>
        <color rgb="FF63BE7B"/>
      </colorScale>
    </cfRule>
    <cfRule type="dataBar" priority="7">
      <dataBar>
        <cfvo type="min"/>
        <cfvo type="max"/>
        <color rgb="FF63BE7B"/>
      </dataBar>
    </cfRule>
    <cfRule type="colorScale" priority="15">
      <colorScale>
        <cfvo type="num" val="0"/>
        <cfvo type="num" val="150"/>
        <cfvo type="num" val="300"/>
        <color rgb="FFF8696B"/>
        <color rgb="FFFFEB84"/>
        <color rgb="FF63BE7B"/>
      </colorScale>
    </cfRule>
  </conditionalFormatting>
  <conditionalFormatting sqref="I2:I11">
    <cfRule type="colorScale" priority="8">
      <colorScale>
        <cfvo type="min"/>
        <cfvo type="percentile" val="50"/>
        <cfvo type="max"/>
        <color rgb="FFF8696B"/>
        <color rgb="FFFFEB84"/>
        <color rgb="FF63BE7B"/>
      </colorScale>
    </cfRule>
    <cfRule type="colorScale" priority="14">
      <colorScale>
        <cfvo type="num" val="0"/>
        <cfvo type="num" val="50"/>
        <cfvo type="num" val="100"/>
        <color rgb="FFF8696B"/>
        <color rgb="FFFFEB84"/>
        <color rgb="FF63BE7B"/>
      </colorScale>
    </cfRule>
  </conditionalFormatting>
  <conditionalFormatting sqref="J2:J11">
    <cfRule type="expression" dxfId="55" priority="11" stopIfTrue="1">
      <formula>LOWER(J2)="critical"</formula>
    </cfRule>
    <cfRule type="expression" dxfId="54" priority="12" stopIfTrue="1">
      <formula>LOWER(J2)="warning"</formula>
    </cfRule>
    <cfRule type="expression" dxfId="53" priority="13" stopIfTrue="1">
      <formula>OR(LOWER(J2)="pass",LOWER(J2)="observation")</formula>
    </cfRule>
  </conditionalFormatting>
  <conditionalFormatting sqref="K2:K11">
    <cfRule type="expression" dxfId="52" priority="9" stopIfTrue="1">
      <formula>LOWER(K2)="yes"</formula>
    </cfRule>
    <cfRule type="expression" dxfId="51" priority="10" stopIfTrue="1">
      <formula>LOWER(K2)="no"</formula>
    </cfRule>
  </conditionalFormatting>
  <conditionalFormatting sqref="O2:O11">
    <cfRule type="cellIs" dxfId="50" priority="16" operator="greaterThan">
      <formula>160</formula>
    </cfRule>
  </conditionalFormatting>
  <dataValidations count="55">
    <dataValidation type="custom" allowBlank="1" showInputMessage="1" promptTitle="Health Icon" prompt="Health Icon. Review this metric to identify risk, then use linked tabs for details and remediation." sqref="A1" xr:uid="{00000000-0002-0000-0500-000000000000}">
      <formula1>TRUE</formula1>
    </dataValidation>
    <dataValidation type="custom" allowBlank="1" showInputMessage="1" promptTitle="URL" prompt="URL. Use this URL to inspect the page directly or jump to related tabs." sqref="B1" xr:uid="{00000000-0002-0000-0500-000001000000}">
      <formula1>TRUE</formula1>
    </dataValidation>
    <dataValidation type="custom" allowBlank="1" showInputMessage="1" promptTitle="Status Code" prompt="HTTP response code returned for this page/resource. Fix: Resolve 4xx/5xx errors and reduce unnecessary redirects." sqref="C1" xr:uid="{00000000-0002-0000-0500-000002000000}">
      <formula1>TRUE</formula1>
    </dataValidation>
    <dataValidation type="custom" allowBlank="1" showInputMessage="1" promptTitle="Indexability" prompt="Indexing/canonicalization signal. Fix: ensure indexable pages use correct canonicals and non-conflicting directives." sqref="D1" xr:uid="{00000000-0002-0000-0500-000003000000}">
      <formula1>TRUE</formula1>
    </dataValidation>
    <dataValidation type="custom" allowBlank="1" showInputMessage="1" promptTitle="Load Time (s)" prompt="Page/request speed metric. Fix: optimise assets, server response time, and blocking resources." sqref="E1" xr:uid="{00000000-0002-0000-0500-000004000000}">
      <formula1>TRUE</formula1>
    </dataValidation>
    <dataValidation type="custom" allowBlank="1" showInputMessage="1" promptTitle="Title" prompt="Title. Review this metric to identify risk, then use linked tabs for details and remediation." sqref="F1" xr:uid="{00000000-0002-0000-0500-000005000000}">
      <formula1>TRUE</formula1>
    </dataValidation>
    <dataValidation type="custom" allowBlank="1" showInputMessage="1" promptTitle="Meta Description" prompt="Meta Description. Review this metric to identify risk, then use linked tabs for details and remediation." sqref="G1" xr:uid="{00000000-0002-0000-0500-000006000000}">
      <formula1>TRUE</formula1>
    </dataValidation>
    <dataValidation type="custom" allowBlank="1" showInputMessage="1" promptTitle="Word Count (Body)" prompt="Content quality depth metric. Fix: expand thin content and improve clarity for search intent." sqref="H1" xr:uid="{00000000-0002-0000-0500-000007000000}">
      <formula1>TRUE</formula1>
    </dataValidation>
    <dataValidation type="custom" allowBlank="1" showInputMessage="1" promptTitle="SEO Health Score" prompt="Composite SEO quality score for this URL. Higher is better. Guide: 90+ strong, 70-89 needs tuning, below 70 high priority." sqref="I1" xr:uid="{00000000-0002-0000-0500-000008000000}">
      <formula1>TRUE</formula1>
    </dataValidation>
    <dataValidation type="custom" allowBlank="1" showInputMessage="1" promptTitle="Severity Badge" prompt="Issue impact level. Fix: Resolve Critical first, then Warning, then improvement opportunities." sqref="J1" xr:uid="{00000000-0002-0000-0500-000009000000}">
      <formula1>TRUE</formula1>
    </dataValidation>
    <dataValidation type="custom" allowBlank="1" showInputMessage="1" promptTitle="Action Needed" prompt="Action Needed. Review this metric to identify risk, then use linked tabs for details and remediation." sqref="K1" xr:uid="{00000000-0002-0000-0500-00000A000000}">
      <formula1>TRUE</formula1>
    </dataValidation>
    <dataValidation type="custom" allowBlank="1" showInputMessage="1" promptTitle="Extraction State" prompt="Extraction State. Review this metric to identify risk, then use linked tabs for details and remediation." sqref="L1" xr:uid="{00000000-0002-0000-0500-00000B000000}">
      <formula1>TRUE</formula1>
    </dataValidation>
    <dataValidation type="custom" allowBlank="1" showInputMessage="1" promptTitle="Extraction Source" prompt="Extraction Source. Review this metric to identify risk, then use linked tabs for details and remediation." sqref="M1" xr:uid="{00000000-0002-0000-0500-00000C000000}">
      <formula1>TRUE</formula1>
    </dataValidation>
    <dataValidation type="custom" allowBlank="1" showInputMessage="1" promptTitle="Title Length" prompt="Title Length. Review this metric to identify risk, then use linked tabs for details and remediation." sqref="N1" xr:uid="{00000000-0002-0000-0500-00000D000000}">
      <formula1>TRUE</formula1>
    </dataValidation>
    <dataValidation type="custom" allowBlank="1" showInputMessage="1" promptTitle="Meta Desc Length" prompt="Meta Desc Length. Review this metric to identify risk, then use linked tabs for details and remediation." sqref="O1" xr:uid="{00000000-0002-0000-0500-00000E000000}">
      <formula1>TRUE</formula1>
    </dataValidation>
    <dataValidation type="custom" allowBlank="1" showInputMessage="1" promptTitle="OG-Image" prompt="OG-Image. Review this metric to identify risk, then use linked tabs for details and remediation." sqref="P1" xr:uid="{00000000-0002-0000-0500-00000F000000}">
      <formula1>TRUE</formula1>
    </dataValidation>
    <dataValidation type="custom" allowBlank="1" showInputMessage="1" promptTitle="Has Valid JSON-LD" prompt="Structured data signal. Fix: add valid schema types and correct parsing/validation errors." sqref="Q1" xr:uid="{00000000-0002-0000-0500-000010000000}">
      <formula1>TRUE</formula1>
    </dataValidation>
    <dataValidation type="custom" allowBlank="1" showInputMessage="1" promptTitle="H1 Content" prompt="H1 Content. Review this metric to identify risk, then use linked tabs for details and remediation." sqref="R1" xr:uid="{00000000-0002-0000-0500-000011000000}">
      <formula1>TRUE</formula1>
    </dataValidation>
    <dataValidation type="custom" allowBlank="1" showInputMessage="1" promptTitle="H1 Length" prompt="H1 Length. Review this metric to identify risk, then use linked tabs for details and remediation." sqref="S1" xr:uid="{00000000-0002-0000-0500-000012000000}">
      <formula1>TRUE</formula1>
    </dataValidation>
    <dataValidation type="custom" allowBlank="1" showInputMessage="1" promptTitle="H2 Content" prompt="H2 Content. Review this metric to identify risk, then use linked tabs for details and remediation." sqref="T1" xr:uid="{00000000-0002-0000-0500-000013000000}">
      <formula1>TRUE</formula1>
    </dataValidation>
    <dataValidation type="custom" allowBlank="1" showInputMessage="1" promptTitle="H2 Length" prompt="H2 Length. Review this metric to identify risk, then use linked tabs for details and remediation." sqref="U1" xr:uid="{00000000-0002-0000-0500-000014000000}">
      <formula1>TRUE</formula1>
    </dataValidation>
    <dataValidation type="custom" allowBlank="1" showInputMessage="1" promptTitle="H3 Content" prompt="H3 Content. Review this metric to identify risk, then use linked tabs for details and remediation." sqref="V1" xr:uid="{00000000-0002-0000-0500-000015000000}">
      <formula1>TRUE</formula1>
    </dataValidation>
    <dataValidation type="custom" allowBlank="1" showInputMessage="1" promptTitle="H3 Length" prompt="H3 Length. Review this metric to identify risk, then use linked tabs for details and remediation." sqref="W1" xr:uid="{00000000-0002-0000-0500-000016000000}">
      <formula1>TRUE</formula1>
    </dataValidation>
    <dataValidation type="custom" allowBlank="1" showInputMessage="1" promptTitle="H4 Content" prompt="H4 Content. Review this metric to identify risk, then use linked tabs for details and remediation." sqref="X1" xr:uid="{00000000-0002-0000-0500-000017000000}">
      <formula1>TRUE</formula1>
    </dataValidation>
    <dataValidation type="custom" allowBlank="1" showInputMessage="1" promptTitle="H4 Length" prompt="H4 Length. Review this metric to identify risk, then use linked tabs for details and remediation." sqref="Y1" xr:uid="{00000000-0002-0000-0500-000018000000}">
      <formula1>TRUE</formula1>
    </dataValidation>
    <dataValidation type="custom" allowBlank="1" showInputMessage="1" promptTitle="H5 Content" prompt="H5 Content. Review this metric to identify risk, then use linked tabs for details and remediation." sqref="Z1" xr:uid="{00000000-0002-0000-0500-000019000000}">
      <formula1>TRUE</formula1>
    </dataValidation>
    <dataValidation type="custom" allowBlank="1" showInputMessage="1" promptTitle="H5 Length" prompt="H5 Length. Review this metric to identify risk, then use linked tabs for details and remediation." sqref="AA1" xr:uid="{00000000-0002-0000-0500-00001A000000}">
      <formula1>TRUE</formula1>
    </dataValidation>
    <dataValidation type="custom" allowBlank="1" showInputMessage="1" promptTitle="H6 Content" prompt="H6 Content. Review this metric to identify risk, then use linked tabs for details and remediation." sqref="AB1" xr:uid="{00000000-0002-0000-0500-00001B000000}">
      <formula1>TRUE</formula1>
    </dataValidation>
    <dataValidation type="custom" allowBlank="1" showInputMessage="1" promptTitle="H6 Length" prompt="H6 Length. Review this metric to identify risk, then use linked tabs for details and remediation." sqref="AC1" xr:uid="{00000000-0002-0000-0500-00001C000000}">
      <formula1>TRUE</formula1>
    </dataValidation>
    <dataValidation type="custom" allowBlank="1" showInputMessage="1" promptTitle="CWV LCP (s)" prompt="CWV LCP (s). Review this metric to identify risk, then use linked tabs for details and remediation." sqref="AD1" xr:uid="{00000000-0002-0000-0500-00001D000000}">
      <formula1>TRUE</formula1>
    </dataValidation>
    <dataValidation type="custom" allowBlank="1" showInputMessage="1" promptTitle="CWV CLS" prompt="CWV CLS. Review this metric to identify risk, then use linked tabs for details and remediation." sqref="AE1" xr:uid="{00000000-0002-0000-0500-00001E000000}">
      <formula1>TRUE</formula1>
    </dataValidation>
    <dataValidation type="custom" allowBlank="1" showInputMessage="1" promptTitle="Field vs Lab" prompt="Field vs Lab. Review this metric to identify risk, then use linked tabs for details and remediation." sqref="AF1" xr:uid="{00000000-0002-0000-0500-00001F000000}">
      <formula1>TRUE</formula1>
    </dataValidation>
    <dataValidation type="custom" allowBlank="1" showInputMessage="1" promptTitle="Regional Authority Score" prompt="Regional Authority Score. Review this metric to identify risk, then use linked tabs for details and remediation." sqref="AG1" xr:uid="{00000000-0002-0000-0500-000020000000}">
      <formula1>TRUE</formula1>
    </dataValidation>
    <dataValidation type="custom" allowBlank="1" showInputMessage="1" promptTitle="Desktop PSI Score" prompt="Desktop PSI Score. Review this metric to identify risk, then use linked tabs for details and remediation." sqref="AH1" xr:uid="{00000000-0002-0000-0500-000021000000}">
      <formula1>TRUE</formula1>
    </dataValidation>
    <dataValidation type="custom" allowBlank="1" showInputMessage="1" promptTitle="Mobile PSI Score" prompt="Mobile PSI Score. Review this metric to identify risk, then use linked tabs for details and remediation." sqref="AI1" xr:uid="{00000000-0002-0000-0500-000022000000}">
      <formula1>TRUE</formula1>
    </dataValidation>
    <dataValidation type="custom" allowBlank="1" showInputMessage="1" promptTitle="Mobile LCP (s)" prompt="Mobile LCP (s). Review this metric to identify risk, then use linked tabs for details and remediation." sqref="AJ1" xr:uid="{00000000-0002-0000-0500-000023000000}">
      <formula1>TRUE</formula1>
    </dataValidation>
    <dataValidation type="custom" allowBlank="1" showInputMessage="1" promptTitle="Mobile CLS" prompt="Mobile CLS. Review this metric to identify risk, then use linked tabs for details and remediation." sqref="AK1" xr:uid="{00000000-0002-0000-0500-000024000000}">
      <formula1>TRUE</formula1>
    </dataValidation>
    <dataValidation type="custom" allowBlank="1" showInputMessage="1" promptTitle="Mobile TTFB (s)" prompt="Time to First Byte: server responsiveness signal. Fix: optimise backend performance, caching, and CDN usage." sqref="AL1" xr:uid="{00000000-0002-0000-0500-000025000000}">
      <formula1>TRUE</formula1>
    </dataValidation>
    <dataValidation type="custom" allowBlank="1" showInputMessage="1" promptTitle="GSC Clicks" prompt="GSC Clicks. Review this metric to identify risk, then use linked tabs for details and remediation." sqref="AM1" xr:uid="{00000000-0002-0000-0500-000026000000}">
      <formula1>TRUE</formula1>
    </dataValidation>
    <dataValidation type="custom" allowBlank="1" showInputMessage="1" promptTitle="GSC Impressions" prompt="GSC Impressions. Review this metric to identify risk, then use linked tabs for details and remediation." sqref="AN1" xr:uid="{00000000-0002-0000-0500-000027000000}">
      <formula1>TRUE</formula1>
    </dataValidation>
    <dataValidation type="custom" allowBlank="1" showInputMessage="1" promptTitle="GSC CTR" prompt="GSC CTR. Review this metric to identify risk, then use linked tabs for details and remediation." sqref="AO1" xr:uid="{00000000-0002-0000-0500-000028000000}">
      <formula1>TRUE</formula1>
    </dataValidation>
    <dataValidation type="custom" allowBlank="1" showInputMessage="1" promptTitle="GSC Avg Position" prompt="GSC Avg Position. Review this metric to identify risk, then use linked tabs for details and remediation." sqref="AP1" xr:uid="{00000000-0002-0000-0500-000029000000}">
      <formula1>TRUE</formula1>
    </dataValidation>
    <dataValidation type="custom" allowBlank="1" showInputMessage="1" promptTitle="Click Depth" prompt="Click Depth. Review this metric to identify risk, then use linked tabs for details and remediation." sqref="AQ1" xr:uid="{00000000-0002-0000-0500-00002A000000}">
      <formula1>TRUE</formula1>
    </dataValidation>
    <dataValidation type="custom" allowBlank="1" showInputMessage="1" promptTitle="Orphan Pages" prompt="Orphan Pages. Review this metric to identify risk, then use linked tabs for details and remediation." sqref="AR1" xr:uid="{00000000-0002-0000-0500-00002B000000}">
      <formula1>TRUE</formula1>
    </dataValidation>
    <dataValidation type="custom" allowBlank="1" showInputMessage="1" promptTitle="Internal PageRank" prompt="Internal PageRank. Review this metric to identify risk, then use linked tabs for details and remediation." sqref="AS1" xr:uid="{00000000-0002-0000-0500-00002C000000}">
      <formula1>TRUE</formula1>
    </dataValidation>
    <dataValidation type="custom" allowBlank="1" showInputMessage="1" promptTitle="Found via Sitemap" prompt="Found via Sitemap. Review this metric to identify risk, then use linked tabs for details and remediation." sqref="AT1" xr:uid="{00000000-0002-0000-0500-00002D000000}">
      <formula1>TRUE</formula1>
    </dataValidation>
    <dataValidation type="custom" allowBlank="1" showInputMessage="1" promptTitle="Found via Crawl" prompt="Found via Crawl. Review this metric to identify risk, then use linked tabs for details and remediation." sqref="AU1" xr:uid="{00000000-0002-0000-0500-00002E000000}">
      <formula1>TRUE</formula1>
    </dataValidation>
    <dataValidation type="custom" allowBlank="1" showInputMessage="1" promptTitle="Discovery Source" prompt="Discovery Source. Review this metric to identify risk, then use linked tabs for details and remediation." sqref="AV1" xr:uid="{00000000-0002-0000-0500-00002F000000}">
      <formula1>TRUE</formula1>
    </dataValidation>
    <dataValidation type="custom" allowBlank="1" showInputMessage="1" promptTitle="Technical Health" prompt="Technical Health. Review this metric to identify risk, then use linked tabs for details and remediation." sqref="AW1" xr:uid="{00000000-0002-0000-0500-000030000000}">
      <formula1>TRUE</formula1>
    </dataValidation>
    <dataValidation type="custom" allowBlank="1" showInputMessage="1" promptTitle="Copy Score" prompt="Copy Score. Review this metric to identify risk, then use linked tabs for details and remediation." sqref="AX1" xr:uid="{00000000-0002-0000-0500-000031000000}">
      <formula1>TRUE</formula1>
    </dataValidation>
    <dataValidation type="custom" allowBlank="1" showInputMessage="1" promptTitle="SEO Score" prompt="SEO Score. Review this metric to identify risk, then use linked tabs for details and remediation." sqref="AY1" xr:uid="{00000000-0002-0000-0500-000032000000}">
      <formula1>TRUE</formula1>
    </dataValidation>
    <dataValidation type="custom" allowBlank="1" showInputMessage="1" promptTitle="Technical View" prompt="Navigation helper. Click to jump directly to the related record in another tab." sqref="AZ1" xr:uid="{00000000-0002-0000-0500-000033000000}">
      <formula1>TRUE</formula1>
    </dataValidation>
    <dataValidation type="custom" allowBlank="1" showInputMessage="1" promptTitle="BACK TO DASHBOARD" prompt="BACK TO DASHBOARD. Review this metric to identify risk, then use linked tabs for details and remediation." sqref="BA1" xr:uid="{00000000-0002-0000-0500-000034000000}">
      <formula1>TRUE</formula1>
    </dataValidation>
    <dataValidation type="custom" allowBlank="1" showInputMessage="1" promptTitle="Status Code" prompt="HTTP status returned for the URL. Fix: Resolve 4xx/5xx errors and remove unnecessary redirect chains." sqref="C1" xr:uid="{00000000-0002-0000-0500-000035000000}">
      <formula1>TRUE</formula1>
    </dataValidation>
    <dataValidation type="custom" allowBlank="1" showInputMessage="1" promptTitle="SEO Health Score" prompt="Weighted technical SEO quality score for this URL. Fix: Prioritize critical issues and improve warnings in FixPlan." sqref="I1" xr:uid="{00000000-0002-0000-0500-000036000000}">
      <formula1>TRUE</formula1>
    </dataValidation>
  </dataValidations>
  <hyperlinks>
    <hyperlink ref="BA1" location="Dashboard!A1" display="BACK TO DASHBOARD" xr:uid="{00000000-0004-0000-0500-000000000000}"/>
    <hyperlink ref="B2" r:id="rId1" xr:uid="{00000000-0004-0000-0500-000001000000}"/>
    <hyperlink ref="B3" r:id="rId2" xr:uid="{00000000-0004-0000-0500-000002000000}"/>
    <hyperlink ref="B4" r:id="rId3" xr:uid="{00000000-0004-0000-0500-000003000000}"/>
    <hyperlink ref="B5" r:id="rId4" xr:uid="{00000000-0004-0000-0500-000004000000}"/>
    <hyperlink ref="B6" r:id="rId5" xr:uid="{00000000-0004-0000-0500-000005000000}"/>
    <hyperlink ref="B7" r:id="rId6" xr:uid="{00000000-0004-0000-0500-000006000000}"/>
    <hyperlink ref="B8" r:id="rId7" xr:uid="{00000000-0004-0000-0500-000007000000}"/>
    <hyperlink ref="B9" r:id="rId8" xr:uid="{00000000-0004-0000-0500-000008000000}"/>
    <hyperlink ref="B10" r:id="rId9" xr:uid="{00000000-0004-0000-0500-000009000000}"/>
    <hyperlink ref="B11" r:id="rId10" xr:uid="{00000000-0004-0000-0500-00000A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P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36" customWidth="1"/>
    <col min="2" max="2" width="13" customWidth="1"/>
    <col min="3" max="3" width="14" customWidth="1"/>
    <col min="4" max="4" width="18" customWidth="1"/>
    <col min="5" max="5" width="16" customWidth="1"/>
    <col min="6" max="6" width="15" customWidth="1"/>
    <col min="7" max="7" width="21" customWidth="1"/>
    <col min="8" max="8" width="11" customWidth="1"/>
    <col min="9" max="9" width="25" customWidth="1"/>
    <col min="10" max="11" width="36" customWidth="1"/>
    <col min="12" max="12" width="16" customWidth="1"/>
    <col min="13" max="13" width="7" customWidth="1"/>
    <col min="14" max="15" width="8" customWidth="1"/>
    <col min="16" max="16" width="18" customWidth="1"/>
    <col min="17" max="17" width="19" customWidth="1"/>
    <col min="18" max="18" width="13" customWidth="1"/>
    <col min="19" max="19" width="11" customWidth="1"/>
    <col min="20" max="20" width="18" customWidth="1"/>
    <col min="21" max="21" width="12" customWidth="1"/>
    <col min="22" max="22" width="10" customWidth="1"/>
    <col min="23" max="23" width="23" customWidth="1"/>
    <col min="24" max="24" width="17" customWidth="1"/>
    <col min="25" max="25" width="15" customWidth="1"/>
    <col min="26" max="26" width="22" customWidth="1"/>
    <col min="27" max="27" width="26" customWidth="1"/>
    <col min="28" max="28" width="14" customWidth="1"/>
    <col min="29" max="29" width="16" hidden="1" customWidth="1"/>
    <col min="30" max="30" width="21" customWidth="1"/>
    <col min="31" max="31" width="15" customWidth="1"/>
    <col min="32" max="32" width="6" customWidth="1"/>
    <col min="33" max="33" width="14" customWidth="1"/>
    <col min="34" max="34" width="25" hidden="1" customWidth="1"/>
    <col min="35" max="35" width="29" customWidth="1"/>
    <col min="36" max="36" width="60" customWidth="1"/>
    <col min="37" max="37" width="28" customWidth="1"/>
    <col min="38" max="45" width="18" hidden="1" customWidth="1" outlineLevel="1"/>
    <col min="46" max="46" width="15" customWidth="1"/>
    <col min="47" max="47" width="16" customWidth="1"/>
    <col min="48" max="48" width="15" customWidth="1"/>
    <col min="49" max="49" width="27" customWidth="1"/>
    <col min="50" max="50" width="18" customWidth="1"/>
    <col min="51" max="51" width="10" customWidth="1"/>
    <col min="52" max="53" width="20" hidden="1" customWidth="1"/>
    <col min="54" max="54" width="22" customWidth="1"/>
    <col min="55" max="55" width="29" customWidth="1"/>
    <col min="56" max="56" width="22" customWidth="1"/>
    <col min="57" max="57" width="54" hidden="1" customWidth="1"/>
    <col min="58" max="58" width="18" customWidth="1"/>
    <col min="59" max="59" width="19" customWidth="1"/>
    <col min="60" max="60" width="18" customWidth="1"/>
    <col min="61" max="61" width="16" customWidth="1"/>
    <col min="62" max="62" width="12" customWidth="1"/>
    <col min="63" max="63" width="17" customWidth="1"/>
    <col min="64" max="64" width="13" customWidth="1"/>
    <col min="65" max="65" width="9" customWidth="1"/>
    <col min="66" max="66" width="17" customWidth="1"/>
    <col min="67" max="67" width="14" customWidth="1"/>
    <col min="68" max="68" width="12" customWidth="1"/>
    <col min="69" max="69" width="17" customWidth="1"/>
    <col min="70" max="70" width="9" customWidth="1"/>
    <col min="71" max="71" width="18" customWidth="1"/>
    <col min="72" max="72" width="13" customWidth="1"/>
    <col min="73" max="73" width="18" customWidth="1"/>
    <col min="74" max="74" width="14" customWidth="1"/>
    <col min="75" max="75" width="19" customWidth="1"/>
    <col min="76" max="76" width="26" customWidth="1"/>
    <col min="77" max="77" width="22" customWidth="1"/>
    <col min="78" max="78" width="40" customWidth="1"/>
    <col min="79" max="79" width="26" customWidth="1"/>
    <col min="80" max="80" width="23" customWidth="1"/>
    <col min="81" max="81" width="22" customWidth="1"/>
    <col min="82" max="82" width="26" customWidth="1"/>
    <col min="83" max="83" width="16" customWidth="1"/>
    <col min="84" max="84" width="27" customWidth="1"/>
    <col min="85" max="85" width="28" customWidth="1"/>
    <col min="86" max="86" width="27" customWidth="1"/>
    <col min="87" max="87" width="25" customWidth="1"/>
    <col min="88" max="88" width="24" customWidth="1"/>
    <col min="89" max="89" width="22" customWidth="1"/>
    <col min="90" max="90" width="60" customWidth="1"/>
    <col min="91" max="91" width="11" customWidth="1"/>
    <col min="92" max="92" width="16" customWidth="1"/>
  </cols>
  <sheetData>
    <row r="1" spans="1:94" ht="45" x14ac:dyDescent="0.25">
      <c r="A1" s="26" t="s">
        <v>102</v>
      </c>
      <c r="B1" s="26" t="s">
        <v>395</v>
      </c>
      <c r="C1" s="26" t="s">
        <v>445</v>
      </c>
      <c r="D1" s="26" t="s">
        <v>399</v>
      </c>
      <c r="E1" s="26" t="s">
        <v>400</v>
      </c>
      <c r="F1" s="26" t="s">
        <v>265</v>
      </c>
      <c r="G1" s="26" t="s">
        <v>446</v>
      </c>
      <c r="H1" s="26" t="s">
        <v>447</v>
      </c>
      <c r="I1" s="26" t="s">
        <v>448</v>
      </c>
      <c r="J1" s="26" t="s">
        <v>449</v>
      </c>
      <c r="K1" s="26" t="s">
        <v>450</v>
      </c>
      <c r="L1" s="26" t="s">
        <v>451</v>
      </c>
      <c r="M1" s="26" t="s">
        <v>68</v>
      </c>
      <c r="N1" s="26" t="s">
        <v>64</v>
      </c>
      <c r="O1" s="26" t="s">
        <v>267</v>
      </c>
      <c r="P1" s="26" t="s">
        <v>401</v>
      </c>
      <c r="Q1" s="26" t="s">
        <v>402</v>
      </c>
      <c r="R1" s="26" t="s">
        <v>394</v>
      </c>
      <c r="S1" s="26" t="s">
        <v>119</v>
      </c>
      <c r="T1" s="26" t="s">
        <v>120</v>
      </c>
      <c r="U1" s="26" t="s">
        <v>121</v>
      </c>
      <c r="V1" s="26" t="s">
        <v>452</v>
      </c>
      <c r="W1" s="26" t="s">
        <v>453</v>
      </c>
      <c r="X1" s="26" t="s">
        <v>454</v>
      </c>
      <c r="Y1" s="26" t="s">
        <v>455</v>
      </c>
      <c r="Z1" s="26" t="s">
        <v>456</v>
      </c>
      <c r="AA1" s="26" t="s">
        <v>457</v>
      </c>
      <c r="AB1" s="26" t="s">
        <v>458</v>
      </c>
      <c r="AC1" s="26" t="s">
        <v>459</v>
      </c>
      <c r="AD1" s="26" t="s">
        <v>460</v>
      </c>
      <c r="AE1" s="26" t="s">
        <v>461</v>
      </c>
      <c r="AF1" s="26" t="s">
        <v>462</v>
      </c>
      <c r="AG1" s="26" t="s">
        <v>463</v>
      </c>
      <c r="AH1" s="26" t="s">
        <v>464</v>
      </c>
      <c r="AI1" s="26" t="s">
        <v>465</v>
      </c>
      <c r="AJ1" s="26" t="s">
        <v>466</v>
      </c>
      <c r="AK1" s="26" t="s">
        <v>467</v>
      </c>
      <c r="AL1" s="26" t="s">
        <v>468</v>
      </c>
      <c r="AM1" s="26" t="s">
        <v>469</v>
      </c>
      <c r="AN1" s="26" t="s">
        <v>470</v>
      </c>
      <c r="AO1" s="26" t="s">
        <v>471</v>
      </c>
      <c r="AP1" s="26" t="s">
        <v>472</v>
      </c>
      <c r="AQ1" s="26" t="s">
        <v>473</v>
      </c>
      <c r="AR1" s="26" t="s">
        <v>474</v>
      </c>
      <c r="AS1" s="26" t="s">
        <v>475</v>
      </c>
      <c r="AT1" s="26" t="s">
        <v>476</v>
      </c>
      <c r="AU1" s="26" t="s">
        <v>477</v>
      </c>
      <c r="AV1" s="26" t="s">
        <v>478</v>
      </c>
      <c r="AW1" s="26" t="s">
        <v>479</v>
      </c>
      <c r="AX1" s="26" t="s">
        <v>480</v>
      </c>
      <c r="AY1" s="26" t="s">
        <v>481</v>
      </c>
      <c r="AZ1" s="26" t="s">
        <v>482</v>
      </c>
      <c r="BA1" s="26" t="s">
        <v>483</v>
      </c>
      <c r="BB1" s="26" t="s">
        <v>484</v>
      </c>
      <c r="BC1" s="26" t="s">
        <v>485</v>
      </c>
      <c r="BD1" s="26" t="s">
        <v>486</v>
      </c>
      <c r="BE1" s="26" t="s">
        <v>487</v>
      </c>
      <c r="BF1" s="26" t="s">
        <v>488</v>
      </c>
      <c r="BG1" s="26" t="s">
        <v>423</v>
      </c>
      <c r="BH1" s="26" t="s">
        <v>424</v>
      </c>
      <c r="BI1" s="26" t="s">
        <v>425</v>
      </c>
      <c r="BJ1" s="26" t="s">
        <v>426</v>
      </c>
      <c r="BK1" s="26" t="s">
        <v>427</v>
      </c>
      <c r="BL1" s="26" t="s">
        <v>419</v>
      </c>
      <c r="BM1" s="26" t="s">
        <v>420</v>
      </c>
      <c r="BN1" s="26" t="s">
        <v>489</v>
      </c>
      <c r="BO1" s="26" t="s">
        <v>421</v>
      </c>
      <c r="BP1" s="26" t="s">
        <v>428</v>
      </c>
      <c r="BQ1" s="26" t="s">
        <v>429</v>
      </c>
      <c r="BR1" s="26" t="s">
        <v>430</v>
      </c>
      <c r="BS1" s="26" t="s">
        <v>431</v>
      </c>
      <c r="BT1" s="26" t="s">
        <v>432</v>
      </c>
      <c r="BU1" s="26" t="s">
        <v>490</v>
      </c>
      <c r="BV1" s="26" t="s">
        <v>433</v>
      </c>
      <c r="BW1" s="26" t="s">
        <v>434</v>
      </c>
      <c r="BX1" s="26" t="s">
        <v>422</v>
      </c>
      <c r="BY1" s="26" t="s">
        <v>491</v>
      </c>
      <c r="BZ1" s="26" t="s">
        <v>492</v>
      </c>
      <c r="CA1" s="26" t="s">
        <v>493</v>
      </c>
      <c r="CB1" s="26" t="s">
        <v>494</v>
      </c>
      <c r="CC1" s="26" t="s">
        <v>495</v>
      </c>
      <c r="CD1" s="26" t="s">
        <v>496</v>
      </c>
      <c r="CE1" s="26" t="s">
        <v>497</v>
      </c>
      <c r="CF1" s="26" t="s">
        <v>498</v>
      </c>
      <c r="CG1" s="26" t="s">
        <v>499</v>
      </c>
      <c r="CH1" s="26" t="s">
        <v>500</v>
      </c>
      <c r="CI1" s="26" t="s">
        <v>501</v>
      </c>
      <c r="CJ1" s="26" t="s">
        <v>502</v>
      </c>
      <c r="CK1" s="26" t="s">
        <v>503</v>
      </c>
      <c r="CL1" s="26" t="s">
        <v>504</v>
      </c>
      <c r="CM1" s="26" t="s">
        <v>505</v>
      </c>
      <c r="CN1" s="26" t="s">
        <v>506</v>
      </c>
      <c r="CO1" s="26" t="s">
        <v>122</v>
      </c>
      <c r="CP1" s="35" t="s">
        <v>211</v>
      </c>
    </row>
    <row r="2" spans="1:94" ht="31.5" x14ac:dyDescent="0.25">
      <c r="A2" s="32" t="s">
        <v>127</v>
      </c>
      <c r="B2" s="34">
        <v>200</v>
      </c>
      <c r="C2" s="27" t="s">
        <v>507</v>
      </c>
      <c r="D2" s="48">
        <v>24</v>
      </c>
      <c r="E2" s="28" t="s">
        <v>71</v>
      </c>
      <c r="F2" s="27" t="s">
        <v>283</v>
      </c>
      <c r="G2" s="34" t="s">
        <v>440</v>
      </c>
      <c r="H2" s="49">
        <v>53.13</v>
      </c>
      <c r="I2" s="49">
        <v>31360.04</v>
      </c>
      <c r="J2" s="50" t="s">
        <v>127</v>
      </c>
      <c r="K2" s="50" t="s">
        <v>127</v>
      </c>
      <c r="L2" s="27" t="s">
        <v>508</v>
      </c>
      <c r="M2" s="27" t="s">
        <v>295</v>
      </c>
      <c r="N2" s="28" t="s">
        <v>2</v>
      </c>
      <c r="O2" s="27"/>
      <c r="P2" s="27" t="s">
        <v>441</v>
      </c>
      <c r="Q2" s="27" t="s">
        <v>442</v>
      </c>
      <c r="R2" s="27" t="s">
        <v>439</v>
      </c>
      <c r="S2" s="28">
        <v>36.75</v>
      </c>
      <c r="T2" s="28">
        <v>24</v>
      </c>
      <c r="U2" s="31">
        <v>75</v>
      </c>
      <c r="V2" s="27" t="s">
        <v>509</v>
      </c>
      <c r="W2" s="27">
        <v>0</v>
      </c>
      <c r="X2" s="27"/>
      <c r="Y2" s="30"/>
      <c r="Z2" s="27" t="b">
        <v>0</v>
      </c>
      <c r="AA2" s="27" t="s">
        <v>510</v>
      </c>
      <c r="AB2" s="27" t="s">
        <v>511</v>
      </c>
      <c r="AC2" s="27">
        <v>558.26</v>
      </c>
      <c r="AD2" s="34" t="b">
        <v>1</v>
      </c>
      <c r="AE2" s="27" t="s">
        <v>512</v>
      </c>
      <c r="AF2" s="27"/>
      <c r="AG2" s="27"/>
      <c r="AH2" s="27" t="s">
        <v>513</v>
      </c>
      <c r="AI2" s="51" t="b">
        <v>1</v>
      </c>
      <c r="AJ2" s="50" t="s">
        <v>127</v>
      </c>
      <c r="AK2" s="34" t="b">
        <v>1</v>
      </c>
      <c r="AL2" s="45" t="b">
        <v>0</v>
      </c>
      <c r="AM2" s="27">
        <v>0</v>
      </c>
      <c r="AN2" s="27" t="b">
        <v>0</v>
      </c>
      <c r="AO2" s="27"/>
      <c r="AP2" s="27"/>
      <c r="AQ2" s="45" t="b">
        <v>0</v>
      </c>
      <c r="AR2" s="27" t="b">
        <v>0</v>
      </c>
      <c r="AS2" s="27" t="b">
        <v>0</v>
      </c>
      <c r="AT2" s="27"/>
      <c r="AU2" s="40"/>
      <c r="AV2" s="40"/>
      <c r="AW2" s="40" t="s">
        <v>514</v>
      </c>
      <c r="AX2" s="27" t="s">
        <v>515</v>
      </c>
      <c r="AY2" s="27" t="s">
        <v>516</v>
      </c>
      <c r="AZ2" s="27">
        <v>0</v>
      </c>
      <c r="BA2" s="27"/>
      <c r="BB2" s="27">
        <v>63</v>
      </c>
      <c r="BC2" s="27">
        <v>22</v>
      </c>
      <c r="BD2" s="27">
        <v>2</v>
      </c>
      <c r="BE2" s="27" t="b">
        <v>0</v>
      </c>
      <c r="BF2" s="34" t="b">
        <v>1</v>
      </c>
      <c r="BG2" s="27">
        <v>0</v>
      </c>
      <c r="BH2" s="27">
        <v>0</v>
      </c>
      <c r="BI2" s="27">
        <v>0</v>
      </c>
      <c r="BJ2" s="27">
        <v>0</v>
      </c>
      <c r="BK2" s="27">
        <v>0</v>
      </c>
      <c r="BL2" s="27">
        <v>0</v>
      </c>
      <c r="BM2" s="27"/>
      <c r="BN2" s="27" t="s">
        <v>443</v>
      </c>
      <c r="BO2" s="27" t="s">
        <v>443</v>
      </c>
      <c r="BP2" s="27">
        <v>0</v>
      </c>
      <c r="BQ2" s="27">
        <v>0</v>
      </c>
      <c r="BR2" s="27">
        <v>0</v>
      </c>
      <c r="BS2" s="27">
        <v>0</v>
      </c>
      <c r="BT2" s="27">
        <v>0</v>
      </c>
      <c r="BU2" s="27">
        <v>8</v>
      </c>
      <c r="BV2" s="27" t="b">
        <v>0</v>
      </c>
      <c r="BW2" s="27">
        <v>0.28744900000000001</v>
      </c>
      <c r="BX2" s="27">
        <v>100</v>
      </c>
      <c r="BY2" s="27">
        <v>16</v>
      </c>
      <c r="BZ2" s="27" t="b">
        <v>0</v>
      </c>
      <c r="CA2" s="27" t="s">
        <v>82</v>
      </c>
      <c r="CB2" s="27">
        <v>1</v>
      </c>
      <c r="CC2" s="27">
        <v>3</v>
      </c>
      <c r="CD2" s="27">
        <v>7</v>
      </c>
      <c r="CE2" s="27" t="s">
        <v>517</v>
      </c>
      <c r="CF2" s="27" t="b">
        <v>0</v>
      </c>
      <c r="CG2" s="27" t="b">
        <v>0</v>
      </c>
      <c r="CH2" s="27" t="b">
        <v>0</v>
      </c>
      <c r="CI2" s="27">
        <v>475</v>
      </c>
      <c r="CJ2" s="27">
        <v>942</v>
      </c>
      <c r="CK2" s="27"/>
      <c r="CL2" s="27" t="s">
        <v>518</v>
      </c>
      <c r="CM2" s="50">
        <v>0</v>
      </c>
      <c r="CN2" s="50" t="b">
        <v>0</v>
      </c>
      <c r="CO2" s="33" t="str">
        <f>IFERROR(HYPERLINK("#Main!A"&amp;MATCH(A2,Main!A:A,0),"Open"),HYPERLINK("#Main!A1","Open"))</f>
        <v>Open</v>
      </c>
      <c r="CP2" s="33"/>
    </row>
    <row r="3" spans="1:94" ht="30" customHeight="1" x14ac:dyDescent="0.25">
      <c r="A3" s="29" t="s">
        <v>135</v>
      </c>
      <c r="B3" s="34">
        <v>200</v>
      </c>
      <c r="C3" s="36" t="s">
        <v>507</v>
      </c>
      <c r="D3" s="48">
        <v>37</v>
      </c>
      <c r="E3" s="28" t="s">
        <v>71</v>
      </c>
      <c r="F3" s="36" t="s">
        <v>283</v>
      </c>
      <c r="G3" s="34" t="s">
        <v>440</v>
      </c>
      <c r="H3" s="52">
        <v>72.91</v>
      </c>
      <c r="I3" s="52">
        <v>31594.1</v>
      </c>
      <c r="J3" s="53" t="s">
        <v>135</v>
      </c>
      <c r="K3" s="53" t="s">
        <v>135</v>
      </c>
      <c r="L3" s="36" t="s">
        <v>508</v>
      </c>
      <c r="M3" s="36" t="s">
        <v>295</v>
      </c>
      <c r="N3" s="28" t="s">
        <v>2</v>
      </c>
      <c r="O3" s="36"/>
      <c r="P3" s="36" t="s">
        <v>441</v>
      </c>
      <c r="Q3" s="36" t="s">
        <v>442</v>
      </c>
      <c r="R3" s="36" t="s">
        <v>439</v>
      </c>
      <c r="S3" s="28">
        <v>46.5</v>
      </c>
      <c r="T3" s="28">
        <v>37</v>
      </c>
      <c r="U3" s="31">
        <v>75</v>
      </c>
      <c r="V3" s="36" t="s">
        <v>509</v>
      </c>
      <c r="W3" s="36">
        <v>0</v>
      </c>
      <c r="X3" s="36"/>
      <c r="Y3" s="42"/>
      <c r="Z3" s="36" t="b">
        <v>0</v>
      </c>
      <c r="AA3" s="36" t="s">
        <v>510</v>
      </c>
      <c r="AB3" s="36" t="s">
        <v>511</v>
      </c>
      <c r="AC3" s="36">
        <v>321.88</v>
      </c>
      <c r="AD3" s="34" t="b">
        <v>1</v>
      </c>
      <c r="AE3" s="36" t="s">
        <v>512</v>
      </c>
      <c r="AF3" s="36"/>
      <c r="AG3" s="36"/>
      <c r="AH3" s="36" t="s">
        <v>513</v>
      </c>
      <c r="AI3" s="51" t="b">
        <v>1</v>
      </c>
      <c r="AJ3" s="53" t="s">
        <v>135</v>
      </c>
      <c r="AK3" s="34" t="b">
        <v>1</v>
      </c>
      <c r="AL3" s="45" t="b">
        <v>0</v>
      </c>
      <c r="AM3" s="36">
        <v>0</v>
      </c>
      <c r="AN3" s="36" t="b">
        <v>0</v>
      </c>
      <c r="AO3" s="36"/>
      <c r="AP3" s="36"/>
      <c r="AQ3" s="45" t="b">
        <v>0</v>
      </c>
      <c r="AR3" s="36" t="b">
        <v>0</v>
      </c>
      <c r="AS3" s="36" t="b">
        <v>0</v>
      </c>
      <c r="AT3" s="36"/>
      <c r="AU3" s="43"/>
      <c r="AV3" s="43"/>
      <c r="AW3" s="43" t="s">
        <v>519</v>
      </c>
      <c r="AX3" s="36" t="s">
        <v>520</v>
      </c>
      <c r="AY3" s="36" t="s">
        <v>521</v>
      </c>
      <c r="AZ3" s="36">
        <v>0</v>
      </c>
      <c r="BA3" s="36"/>
      <c r="BB3" s="36">
        <v>32</v>
      </c>
      <c r="BC3" s="36">
        <v>14</v>
      </c>
      <c r="BD3" s="36">
        <v>7</v>
      </c>
      <c r="BE3" s="36" t="b">
        <v>0</v>
      </c>
      <c r="BF3" s="34" t="b">
        <v>1</v>
      </c>
      <c r="BG3" s="36">
        <v>0</v>
      </c>
      <c r="BH3" s="36">
        <v>0</v>
      </c>
      <c r="BI3" s="36">
        <v>0</v>
      </c>
      <c r="BJ3" s="36">
        <v>0</v>
      </c>
      <c r="BK3" s="36">
        <v>0</v>
      </c>
      <c r="BL3" s="36">
        <v>0</v>
      </c>
      <c r="BM3" s="36"/>
      <c r="BN3" s="36" t="s">
        <v>443</v>
      </c>
      <c r="BO3" s="36" t="s">
        <v>443</v>
      </c>
      <c r="BP3" s="36">
        <v>0</v>
      </c>
      <c r="BQ3" s="36">
        <v>0</v>
      </c>
      <c r="BR3" s="36">
        <v>0</v>
      </c>
      <c r="BS3" s="36">
        <v>0</v>
      </c>
      <c r="BT3" s="36">
        <v>1</v>
      </c>
      <c r="BU3" s="36">
        <v>6</v>
      </c>
      <c r="BV3" s="36" t="b">
        <v>0</v>
      </c>
      <c r="BW3" s="36">
        <v>0.271899</v>
      </c>
      <c r="BX3" s="36">
        <v>70</v>
      </c>
      <c r="BY3" s="36">
        <v>5</v>
      </c>
      <c r="BZ3" s="36" t="b">
        <v>0</v>
      </c>
      <c r="CA3" s="36" t="s">
        <v>82</v>
      </c>
      <c r="CB3" s="36">
        <v>1</v>
      </c>
      <c r="CC3" s="36">
        <v>2</v>
      </c>
      <c r="CD3" s="36">
        <v>6</v>
      </c>
      <c r="CE3" s="36" t="s">
        <v>517</v>
      </c>
      <c r="CF3" s="36" t="b">
        <v>0</v>
      </c>
      <c r="CG3" s="36" t="b">
        <v>0</v>
      </c>
      <c r="CH3" s="36" t="b">
        <v>0</v>
      </c>
      <c r="CI3" s="36">
        <v>770</v>
      </c>
      <c r="CJ3" s="36">
        <v>2511</v>
      </c>
      <c r="CK3" s="36"/>
      <c r="CL3" s="36" t="s">
        <v>522</v>
      </c>
      <c r="CM3" s="53">
        <v>1</v>
      </c>
      <c r="CN3" s="53" t="b">
        <v>0</v>
      </c>
      <c r="CO3" t="str">
        <f>IFERROR(HYPERLINK("#Main!A"&amp;MATCH(A3,Main!A:A,0),"Open"),HYPERLINK("#Main!A1","Open"))</f>
        <v>Open</v>
      </c>
    </row>
    <row r="4" spans="1:94" ht="30" customHeight="1" x14ac:dyDescent="0.25">
      <c r="A4" s="32" t="s">
        <v>144</v>
      </c>
      <c r="B4" s="34">
        <v>200</v>
      </c>
      <c r="C4" s="27" t="s">
        <v>507</v>
      </c>
      <c r="D4" s="48">
        <v>30</v>
      </c>
      <c r="E4" s="28" t="s">
        <v>71</v>
      </c>
      <c r="F4" s="27" t="s">
        <v>283</v>
      </c>
      <c r="G4" s="34" t="s">
        <v>440</v>
      </c>
      <c r="H4" s="49">
        <v>86.43</v>
      </c>
      <c r="I4" s="49">
        <v>16330.88</v>
      </c>
      <c r="J4" s="50" t="s">
        <v>144</v>
      </c>
      <c r="K4" s="50" t="s">
        <v>144</v>
      </c>
      <c r="L4" s="27" t="s">
        <v>508</v>
      </c>
      <c r="M4" s="27" t="s">
        <v>295</v>
      </c>
      <c r="N4" s="28" t="s">
        <v>2</v>
      </c>
      <c r="O4" s="27"/>
      <c r="P4" s="27" t="s">
        <v>441</v>
      </c>
      <c r="Q4" s="27" t="s">
        <v>442</v>
      </c>
      <c r="R4" s="27" t="s">
        <v>439</v>
      </c>
      <c r="S4" s="28">
        <v>47.5</v>
      </c>
      <c r="T4" s="28">
        <v>30</v>
      </c>
      <c r="U4" s="34">
        <v>100</v>
      </c>
      <c r="V4" s="27" t="s">
        <v>509</v>
      </c>
      <c r="W4" s="27">
        <v>0</v>
      </c>
      <c r="X4" s="27"/>
      <c r="Y4" s="30"/>
      <c r="Z4" s="27" t="b">
        <v>0</v>
      </c>
      <c r="AA4" s="27" t="s">
        <v>510</v>
      </c>
      <c r="AB4" s="27" t="s">
        <v>511</v>
      </c>
      <c r="AC4" s="27">
        <v>324.39</v>
      </c>
      <c r="AD4" s="34" t="b">
        <v>1</v>
      </c>
      <c r="AE4" s="27" t="s">
        <v>512</v>
      </c>
      <c r="AF4" s="27"/>
      <c r="AG4" s="27"/>
      <c r="AH4" s="27" t="s">
        <v>513</v>
      </c>
      <c r="AI4" s="51" t="b">
        <v>1</v>
      </c>
      <c r="AJ4" s="50" t="s">
        <v>144</v>
      </c>
      <c r="AK4" s="34" t="b">
        <v>1</v>
      </c>
      <c r="AL4" s="45" t="b">
        <v>0</v>
      </c>
      <c r="AM4" s="27">
        <v>0</v>
      </c>
      <c r="AN4" s="27" t="b">
        <v>0</v>
      </c>
      <c r="AO4" s="27"/>
      <c r="AP4" s="27"/>
      <c r="AQ4" s="45" t="b">
        <v>0</v>
      </c>
      <c r="AR4" s="27" t="b">
        <v>0</v>
      </c>
      <c r="AS4" s="27" t="b">
        <v>0</v>
      </c>
      <c r="AT4" s="27"/>
      <c r="AU4" s="40"/>
      <c r="AV4" s="40"/>
      <c r="AW4" s="40" t="s">
        <v>523</v>
      </c>
      <c r="AX4" s="27" t="s">
        <v>520</v>
      </c>
      <c r="AY4" s="27" t="s">
        <v>521</v>
      </c>
      <c r="AZ4" s="27">
        <v>0</v>
      </c>
      <c r="BA4" s="27"/>
      <c r="BB4" s="27">
        <v>58</v>
      </c>
      <c r="BC4" s="27">
        <v>15</v>
      </c>
      <c r="BD4" s="27">
        <v>3</v>
      </c>
      <c r="BE4" s="27" t="b">
        <v>0</v>
      </c>
      <c r="BF4" s="34" t="b">
        <v>1</v>
      </c>
      <c r="BG4" s="27">
        <v>0</v>
      </c>
      <c r="BH4" s="27">
        <v>0</v>
      </c>
      <c r="BI4" s="27">
        <v>0</v>
      </c>
      <c r="BJ4" s="27">
        <v>0</v>
      </c>
      <c r="BK4" s="27">
        <v>0</v>
      </c>
      <c r="BL4" s="27">
        <v>0</v>
      </c>
      <c r="BM4" s="27"/>
      <c r="BN4" s="27" t="s">
        <v>443</v>
      </c>
      <c r="BO4" s="27" t="s">
        <v>443</v>
      </c>
      <c r="BP4" s="27">
        <v>0</v>
      </c>
      <c r="BQ4" s="27">
        <v>0</v>
      </c>
      <c r="BR4" s="27">
        <v>0</v>
      </c>
      <c r="BS4" s="27">
        <v>0</v>
      </c>
      <c r="BT4" s="27">
        <v>1</v>
      </c>
      <c r="BU4" s="27">
        <v>6</v>
      </c>
      <c r="BV4" s="27" t="b">
        <v>0</v>
      </c>
      <c r="BW4" s="27">
        <v>0.271899</v>
      </c>
      <c r="BX4" s="27">
        <v>60</v>
      </c>
      <c r="BY4" s="27">
        <v>4</v>
      </c>
      <c r="BZ4" s="27" t="b">
        <v>0</v>
      </c>
      <c r="CA4" s="27" t="s">
        <v>82</v>
      </c>
      <c r="CB4" s="27">
        <v>1</v>
      </c>
      <c r="CC4" s="27">
        <v>3</v>
      </c>
      <c r="CD4" s="27">
        <v>5</v>
      </c>
      <c r="CE4" s="27" t="s">
        <v>517</v>
      </c>
      <c r="CF4" s="27" t="b">
        <v>0</v>
      </c>
      <c r="CG4" s="27" t="b">
        <v>0</v>
      </c>
      <c r="CH4" s="27" t="b">
        <v>0</v>
      </c>
      <c r="CI4" s="27">
        <v>583</v>
      </c>
      <c r="CJ4" s="27">
        <v>2622</v>
      </c>
      <c r="CK4" s="27"/>
      <c r="CL4" s="27" t="s">
        <v>524</v>
      </c>
      <c r="CM4" s="50">
        <v>1</v>
      </c>
      <c r="CN4" s="50" t="b">
        <v>0</v>
      </c>
      <c r="CO4" s="33" t="str">
        <f>IFERROR(HYPERLINK("#Main!A"&amp;MATCH(A4,Main!A:A,0),"Open"),HYPERLINK("#Main!A1","Open"))</f>
        <v>Open</v>
      </c>
      <c r="CP4" s="33"/>
    </row>
    <row r="5" spans="1:94" ht="30" customHeight="1" x14ac:dyDescent="0.25">
      <c r="A5" s="29" t="s">
        <v>152</v>
      </c>
      <c r="B5" s="34">
        <v>200</v>
      </c>
      <c r="C5" s="36" t="s">
        <v>507</v>
      </c>
      <c r="D5" s="48">
        <v>30</v>
      </c>
      <c r="E5" s="28" t="s">
        <v>71</v>
      </c>
      <c r="F5" s="36" t="s">
        <v>283</v>
      </c>
      <c r="G5" s="34" t="s">
        <v>440</v>
      </c>
      <c r="H5" s="52">
        <v>2983.38</v>
      </c>
      <c r="I5" s="52">
        <v>36223.58</v>
      </c>
      <c r="J5" s="53" t="s">
        <v>152</v>
      </c>
      <c r="K5" s="53" t="s">
        <v>152</v>
      </c>
      <c r="L5" s="36" t="s">
        <v>508</v>
      </c>
      <c r="M5" s="36" t="s">
        <v>295</v>
      </c>
      <c r="N5" s="28" t="s">
        <v>2</v>
      </c>
      <c r="O5" s="36"/>
      <c r="P5" s="36" t="s">
        <v>441</v>
      </c>
      <c r="Q5" s="36" t="s">
        <v>442</v>
      </c>
      <c r="R5" s="36" t="s">
        <v>439</v>
      </c>
      <c r="S5" s="28">
        <v>47.5</v>
      </c>
      <c r="T5" s="28">
        <v>30</v>
      </c>
      <c r="U5" s="34">
        <v>100</v>
      </c>
      <c r="V5" s="36" t="s">
        <v>509</v>
      </c>
      <c r="W5" s="36">
        <v>0</v>
      </c>
      <c r="X5" s="36"/>
      <c r="Y5" s="42"/>
      <c r="Z5" s="36" t="b">
        <v>0</v>
      </c>
      <c r="AA5" s="36" t="s">
        <v>510</v>
      </c>
      <c r="AB5" s="36" t="s">
        <v>511</v>
      </c>
      <c r="AC5" s="36">
        <v>513.32000000000005</v>
      </c>
      <c r="AD5" s="34" t="b">
        <v>1</v>
      </c>
      <c r="AE5" s="36" t="s">
        <v>512</v>
      </c>
      <c r="AF5" s="36"/>
      <c r="AG5" s="36"/>
      <c r="AH5" s="36" t="s">
        <v>513</v>
      </c>
      <c r="AI5" s="51" t="b">
        <v>1</v>
      </c>
      <c r="AJ5" s="53" t="s">
        <v>152</v>
      </c>
      <c r="AK5" s="34" t="b">
        <v>1</v>
      </c>
      <c r="AL5" s="45" t="b">
        <v>0</v>
      </c>
      <c r="AM5" s="36">
        <v>0</v>
      </c>
      <c r="AN5" s="36" t="b">
        <v>0</v>
      </c>
      <c r="AO5" s="36"/>
      <c r="AP5" s="36"/>
      <c r="AQ5" s="45" t="b">
        <v>0</v>
      </c>
      <c r="AR5" s="36" t="b">
        <v>0</v>
      </c>
      <c r="AS5" s="36" t="b">
        <v>0</v>
      </c>
      <c r="AT5" s="36"/>
      <c r="AU5" s="43"/>
      <c r="AV5" s="43"/>
      <c r="AW5" s="43" t="s">
        <v>525</v>
      </c>
      <c r="AX5" s="36" t="s">
        <v>520</v>
      </c>
      <c r="AY5" s="36" t="s">
        <v>521</v>
      </c>
      <c r="AZ5" s="36">
        <v>0</v>
      </c>
      <c r="BA5" s="36"/>
      <c r="BB5" s="36">
        <v>16</v>
      </c>
      <c r="BC5" s="36">
        <v>9</v>
      </c>
      <c r="BD5" s="36">
        <v>4</v>
      </c>
      <c r="BE5" s="36" t="b">
        <v>0</v>
      </c>
      <c r="BF5" s="34" t="b">
        <v>1</v>
      </c>
      <c r="BG5" s="36">
        <v>0</v>
      </c>
      <c r="BH5" s="36">
        <v>0</v>
      </c>
      <c r="BI5" s="36">
        <v>0</v>
      </c>
      <c r="BJ5" s="36">
        <v>0</v>
      </c>
      <c r="BK5" s="36">
        <v>0</v>
      </c>
      <c r="BL5" s="36">
        <v>0</v>
      </c>
      <c r="BM5" s="36"/>
      <c r="BN5" s="36" t="s">
        <v>443</v>
      </c>
      <c r="BO5" s="36" t="s">
        <v>443</v>
      </c>
      <c r="BP5" s="36">
        <v>0</v>
      </c>
      <c r="BQ5" s="36">
        <v>0</v>
      </c>
      <c r="BR5" s="36">
        <v>0</v>
      </c>
      <c r="BS5" s="36">
        <v>0</v>
      </c>
      <c r="BT5" s="36"/>
      <c r="BU5" s="36">
        <v>0</v>
      </c>
      <c r="BV5" s="36" t="b">
        <v>1</v>
      </c>
      <c r="BW5" s="36">
        <v>1.9664999999999998E-2</v>
      </c>
      <c r="BX5" s="36">
        <v>100</v>
      </c>
      <c r="BY5" s="36">
        <v>16</v>
      </c>
      <c r="BZ5" s="36" t="b">
        <v>1</v>
      </c>
      <c r="CA5" s="36" t="s">
        <v>82</v>
      </c>
      <c r="CB5" s="36">
        <v>1</v>
      </c>
      <c r="CC5" s="36">
        <v>3</v>
      </c>
      <c r="CD5" s="36">
        <v>5</v>
      </c>
      <c r="CE5" s="36" t="s">
        <v>526</v>
      </c>
      <c r="CF5" s="36" t="b">
        <v>1</v>
      </c>
      <c r="CG5" s="36" t="b">
        <v>0</v>
      </c>
      <c r="CH5" s="36" t="b">
        <v>0</v>
      </c>
      <c r="CI5" s="36">
        <v>352</v>
      </c>
      <c r="CJ5" s="36">
        <v>2517</v>
      </c>
      <c r="CK5" s="36"/>
      <c r="CL5" s="36" t="s">
        <v>527</v>
      </c>
      <c r="CM5" s="53">
        <v>1</v>
      </c>
      <c r="CN5" s="53" t="b">
        <v>0</v>
      </c>
      <c r="CO5" t="str">
        <f>IFERROR(HYPERLINK("#Main!A"&amp;MATCH(A5,Main!A:A,0),"Open"),HYPERLINK("#Main!A1","Open"))</f>
        <v>Open</v>
      </c>
    </row>
    <row r="6" spans="1:94" ht="30" customHeight="1" x14ac:dyDescent="0.25">
      <c r="A6" s="32" t="s">
        <v>161</v>
      </c>
      <c r="B6" s="34">
        <v>200</v>
      </c>
      <c r="C6" s="27" t="s">
        <v>507</v>
      </c>
      <c r="D6" s="48">
        <v>27</v>
      </c>
      <c r="E6" s="28" t="s">
        <v>71</v>
      </c>
      <c r="F6" s="27" t="s">
        <v>283</v>
      </c>
      <c r="G6" s="34" t="s">
        <v>440</v>
      </c>
      <c r="H6" s="49">
        <v>74.09</v>
      </c>
      <c r="I6" s="49">
        <v>18216.87</v>
      </c>
      <c r="J6" s="50" t="s">
        <v>161</v>
      </c>
      <c r="K6" s="50" t="s">
        <v>161</v>
      </c>
      <c r="L6" s="27" t="s">
        <v>508</v>
      </c>
      <c r="M6" s="27" t="s">
        <v>295</v>
      </c>
      <c r="N6" s="28" t="s">
        <v>2</v>
      </c>
      <c r="O6" s="27"/>
      <c r="P6" s="27" t="s">
        <v>441</v>
      </c>
      <c r="Q6" s="27" t="s">
        <v>442</v>
      </c>
      <c r="R6" s="27" t="s">
        <v>439</v>
      </c>
      <c r="S6" s="28">
        <v>31.5</v>
      </c>
      <c r="T6" s="28">
        <v>27</v>
      </c>
      <c r="U6" s="28">
        <v>45</v>
      </c>
      <c r="V6" s="27" t="s">
        <v>509</v>
      </c>
      <c r="W6" s="27">
        <v>0</v>
      </c>
      <c r="X6" s="27"/>
      <c r="Y6" s="30"/>
      <c r="Z6" s="27" t="b">
        <v>0</v>
      </c>
      <c r="AA6" s="27" t="s">
        <v>510</v>
      </c>
      <c r="AB6" s="27" t="s">
        <v>511</v>
      </c>
      <c r="AC6" s="27">
        <v>342.1</v>
      </c>
      <c r="AD6" s="34" t="b">
        <v>1</v>
      </c>
      <c r="AE6" s="27" t="s">
        <v>512</v>
      </c>
      <c r="AF6" s="27"/>
      <c r="AG6" s="27"/>
      <c r="AH6" s="27" t="s">
        <v>513</v>
      </c>
      <c r="AI6" s="51" t="b">
        <v>1</v>
      </c>
      <c r="AJ6" s="50" t="s">
        <v>161</v>
      </c>
      <c r="AK6" s="34" t="b">
        <v>1</v>
      </c>
      <c r="AL6" s="45" t="b">
        <v>0</v>
      </c>
      <c r="AM6" s="27">
        <v>0</v>
      </c>
      <c r="AN6" s="27" t="b">
        <v>0</v>
      </c>
      <c r="AO6" s="27"/>
      <c r="AP6" s="27"/>
      <c r="AQ6" s="45" t="b">
        <v>0</v>
      </c>
      <c r="AR6" s="27" t="b">
        <v>0</v>
      </c>
      <c r="AS6" s="27" t="b">
        <v>0</v>
      </c>
      <c r="AT6" s="27"/>
      <c r="AU6" s="40"/>
      <c r="AV6" s="40"/>
      <c r="AW6" s="40" t="s">
        <v>528</v>
      </c>
      <c r="AX6" s="27" t="s">
        <v>520</v>
      </c>
      <c r="AY6" s="27" t="s">
        <v>521</v>
      </c>
      <c r="AZ6" s="27">
        <v>0</v>
      </c>
      <c r="BA6" s="27"/>
      <c r="BB6" s="27">
        <v>99</v>
      </c>
      <c r="BC6" s="27">
        <v>64</v>
      </c>
      <c r="BD6" s="27">
        <v>3</v>
      </c>
      <c r="BE6" s="27" t="b">
        <v>0</v>
      </c>
      <c r="BF6" s="34" t="b">
        <v>1</v>
      </c>
      <c r="BG6" s="27">
        <v>0</v>
      </c>
      <c r="BH6" s="27">
        <v>0</v>
      </c>
      <c r="BI6" s="27">
        <v>0</v>
      </c>
      <c r="BJ6" s="27">
        <v>0</v>
      </c>
      <c r="BK6" s="27">
        <v>0</v>
      </c>
      <c r="BL6" s="27">
        <v>0</v>
      </c>
      <c r="BM6" s="27"/>
      <c r="BN6" s="27" t="s">
        <v>443</v>
      </c>
      <c r="BO6" s="27" t="s">
        <v>443</v>
      </c>
      <c r="BP6" s="27">
        <v>0</v>
      </c>
      <c r="BQ6" s="27">
        <v>0</v>
      </c>
      <c r="BR6" s="27">
        <v>0</v>
      </c>
      <c r="BS6" s="27">
        <v>0</v>
      </c>
      <c r="BT6" s="27"/>
      <c r="BU6" s="27">
        <v>0</v>
      </c>
      <c r="BV6" s="27" t="b">
        <v>1</v>
      </c>
      <c r="BW6" s="27">
        <v>1.9664999999999998E-2</v>
      </c>
      <c r="BX6" s="27">
        <v>100</v>
      </c>
      <c r="BY6" s="27">
        <v>9</v>
      </c>
      <c r="BZ6" s="27" t="b">
        <v>0</v>
      </c>
      <c r="CA6" s="27" t="s">
        <v>82</v>
      </c>
      <c r="CB6" s="27">
        <v>1</v>
      </c>
      <c r="CC6" s="27">
        <v>3</v>
      </c>
      <c r="CD6" s="27">
        <v>6</v>
      </c>
      <c r="CE6" s="27" t="s">
        <v>526</v>
      </c>
      <c r="CF6" s="27" t="b">
        <v>1</v>
      </c>
      <c r="CG6" s="27" t="b">
        <v>0</v>
      </c>
      <c r="CH6" s="27" t="b">
        <v>0</v>
      </c>
      <c r="CI6" s="27">
        <v>381</v>
      </c>
      <c r="CJ6" s="27">
        <v>2399</v>
      </c>
      <c r="CK6" s="27"/>
      <c r="CL6" s="27" t="s">
        <v>529</v>
      </c>
      <c r="CM6" s="50">
        <v>1</v>
      </c>
      <c r="CN6" s="50" t="b">
        <v>0</v>
      </c>
      <c r="CO6" s="33" t="str">
        <f>IFERROR(HYPERLINK("#Main!A"&amp;MATCH(A6,Main!A:A,0),"Open"),HYPERLINK("#Main!A1","Open"))</f>
        <v>Open</v>
      </c>
      <c r="CP6" s="33"/>
    </row>
    <row r="7" spans="1:94" ht="30" customHeight="1" x14ac:dyDescent="0.25">
      <c r="A7" s="29" t="s">
        <v>169</v>
      </c>
      <c r="B7" s="34">
        <v>200</v>
      </c>
      <c r="C7" s="36" t="s">
        <v>507</v>
      </c>
      <c r="D7" s="48">
        <v>27</v>
      </c>
      <c r="E7" s="28" t="s">
        <v>71</v>
      </c>
      <c r="F7" s="36" t="s">
        <v>283</v>
      </c>
      <c r="G7" s="34" t="s">
        <v>440</v>
      </c>
      <c r="H7" s="52">
        <v>4142.54</v>
      </c>
      <c r="I7" s="52">
        <v>31174.77</v>
      </c>
      <c r="J7" s="53" t="s">
        <v>169</v>
      </c>
      <c r="K7" s="53" t="s">
        <v>169</v>
      </c>
      <c r="L7" s="36" t="s">
        <v>508</v>
      </c>
      <c r="M7" s="36" t="s">
        <v>295</v>
      </c>
      <c r="N7" s="28" t="s">
        <v>2</v>
      </c>
      <c r="O7" s="36"/>
      <c r="P7" s="36" t="s">
        <v>441</v>
      </c>
      <c r="Q7" s="36" t="s">
        <v>442</v>
      </c>
      <c r="R7" s="36" t="s">
        <v>439</v>
      </c>
      <c r="S7" s="28">
        <v>31.5</v>
      </c>
      <c r="T7" s="28">
        <v>27</v>
      </c>
      <c r="U7" s="28">
        <v>45</v>
      </c>
      <c r="V7" s="36" t="s">
        <v>509</v>
      </c>
      <c r="W7" s="36">
        <v>0</v>
      </c>
      <c r="X7" s="36"/>
      <c r="Y7" s="42"/>
      <c r="Z7" s="36" t="b">
        <v>0</v>
      </c>
      <c r="AA7" s="36" t="s">
        <v>510</v>
      </c>
      <c r="AB7" s="36" t="s">
        <v>511</v>
      </c>
      <c r="AC7" s="36">
        <v>279.86</v>
      </c>
      <c r="AD7" s="34" t="b">
        <v>1</v>
      </c>
      <c r="AE7" s="36" t="s">
        <v>512</v>
      </c>
      <c r="AF7" s="36"/>
      <c r="AG7" s="36"/>
      <c r="AH7" s="36" t="s">
        <v>513</v>
      </c>
      <c r="AI7" s="51" t="b">
        <v>1</v>
      </c>
      <c r="AJ7" s="53" t="s">
        <v>169</v>
      </c>
      <c r="AK7" s="34" t="b">
        <v>1</v>
      </c>
      <c r="AL7" s="45" t="b">
        <v>0</v>
      </c>
      <c r="AM7" s="36">
        <v>0</v>
      </c>
      <c r="AN7" s="36" t="b">
        <v>0</v>
      </c>
      <c r="AO7" s="36"/>
      <c r="AP7" s="36"/>
      <c r="AQ7" s="45" t="b">
        <v>0</v>
      </c>
      <c r="AR7" s="36" t="b">
        <v>0</v>
      </c>
      <c r="AS7" s="36" t="b">
        <v>0</v>
      </c>
      <c r="AT7" s="36"/>
      <c r="AU7" s="43"/>
      <c r="AV7" s="43"/>
      <c r="AW7" s="43" t="s">
        <v>530</v>
      </c>
      <c r="AX7" s="36" t="s">
        <v>520</v>
      </c>
      <c r="AY7" s="36" t="s">
        <v>521</v>
      </c>
      <c r="AZ7" s="36">
        <v>0</v>
      </c>
      <c r="BA7" s="36"/>
      <c r="BB7" s="36">
        <v>32</v>
      </c>
      <c r="BC7" s="36">
        <v>14</v>
      </c>
      <c r="BD7" s="36">
        <v>4</v>
      </c>
      <c r="BE7" s="36" t="b">
        <v>0</v>
      </c>
      <c r="BF7" s="34" t="b">
        <v>1</v>
      </c>
      <c r="BG7" s="36">
        <v>0</v>
      </c>
      <c r="BH7" s="36">
        <v>0</v>
      </c>
      <c r="BI7" s="36">
        <v>0</v>
      </c>
      <c r="BJ7" s="36">
        <v>0</v>
      </c>
      <c r="BK7" s="36">
        <v>0</v>
      </c>
      <c r="BL7" s="36">
        <v>0</v>
      </c>
      <c r="BM7" s="36"/>
      <c r="BN7" s="36" t="s">
        <v>443</v>
      </c>
      <c r="BO7" s="36" t="s">
        <v>443</v>
      </c>
      <c r="BP7" s="36">
        <v>0</v>
      </c>
      <c r="BQ7" s="36">
        <v>0</v>
      </c>
      <c r="BR7" s="36">
        <v>0</v>
      </c>
      <c r="BS7" s="36">
        <v>0</v>
      </c>
      <c r="BT7" s="36"/>
      <c r="BU7" s="36">
        <v>0</v>
      </c>
      <c r="BV7" s="36" t="b">
        <v>1</v>
      </c>
      <c r="BW7" s="36">
        <v>1.9664999999999998E-2</v>
      </c>
      <c r="BX7" s="36">
        <v>30</v>
      </c>
      <c r="BY7" s="36">
        <v>3</v>
      </c>
      <c r="BZ7" s="36" t="b">
        <v>0</v>
      </c>
      <c r="CA7" s="36" t="s">
        <v>82</v>
      </c>
      <c r="CB7" s="36">
        <v>1</v>
      </c>
      <c r="CC7" s="36">
        <v>3</v>
      </c>
      <c r="CD7" s="36">
        <v>6</v>
      </c>
      <c r="CE7" s="36" t="s">
        <v>526</v>
      </c>
      <c r="CF7" s="36" t="b">
        <v>1</v>
      </c>
      <c r="CG7" s="36" t="b">
        <v>0</v>
      </c>
      <c r="CH7" s="36" t="b">
        <v>0</v>
      </c>
      <c r="CI7" s="36">
        <v>475</v>
      </c>
      <c r="CJ7" s="36">
        <v>2077</v>
      </c>
      <c r="CK7" s="36"/>
      <c r="CL7" s="36" t="s">
        <v>531</v>
      </c>
      <c r="CM7" s="53">
        <v>1</v>
      </c>
      <c r="CN7" s="53" t="b">
        <v>0</v>
      </c>
      <c r="CO7" t="str">
        <f>IFERROR(HYPERLINK("#Main!A"&amp;MATCH(A7,Main!A:A,0),"Open"),HYPERLINK("#Main!A1","Open"))</f>
        <v>Open</v>
      </c>
    </row>
    <row r="8" spans="1:94" ht="30" customHeight="1" x14ac:dyDescent="0.25">
      <c r="A8" s="32" t="s">
        <v>177</v>
      </c>
      <c r="B8" s="34">
        <v>200</v>
      </c>
      <c r="C8" s="27" t="s">
        <v>507</v>
      </c>
      <c r="D8" s="48">
        <v>30</v>
      </c>
      <c r="E8" s="28" t="s">
        <v>71</v>
      </c>
      <c r="F8" s="27" t="s">
        <v>283</v>
      </c>
      <c r="G8" s="34" t="s">
        <v>440</v>
      </c>
      <c r="H8" s="49">
        <v>3350.89</v>
      </c>
      <c r="I8" s="49">
        <v>21531.29</v>
      </c>
      <c r="J8" s="50" t="s">
        <v>177</v>
      </c>
      <c r="K8" s="50" t="s">
        <v>177</v>
      </c>
      <c r="L8" s="27" t="s">
        <v>508</v>
      </c>
      <c r="M8" s="27" t="s">
        <v>295</v>
      </c>
      <c r="N8" s="28" t="s">
        <v>2</v>
      </c>
      <c r="O8" s="27"/>
      <c r="P8" s="27" t="s">
        <v>441</v>
      </c>
      <c r="Q8" s="27" t="s">
        <v>442</v>
      </c>
      <c r="R8" s="27" t="s">
        <v>439</v>
      </c>
      <c r="S8" s="28">
        <v>40</v>
      </c>
      <c r="T8" s="28">
        <v>30</v>
      </c>
      <c r="U8" s="31">
        <v>70</v>
      </c>
      <c r="V8" s="27" t="s">
        <v>509</v>
      </c>
      <c r="W8" s="27">
        <v>0</v>
      </c>
      <c r="X8" s="27"/>
      <c r="Y8" s="30"/>
      <c r="Z8" s="27" t="b">
        <v>0</v>
      </c>
      <c r="AA8" s="27" t="s">
        <v>510</v>
      </c>
      <c r="AB8" s="27" t="s">
        <v>511</v>
      </c>
      <c r="AC8" s="27">
        <v>341.57</v>
      </c>
      <c r="AD8" s="34" t="b">
        <v>1</v>
      </c>
      <c r="AE8" s="27" t="s">
        <v>512</v>
      </c>
      <c r="AF8" s="27"/>
      <c r="AG8" s="27"/>
      <c r="AH8" s="27" t="s">
        <v>513</v>
      </c>
      <c r="AI8" s="51" t="b">
        <v>1</v>
      </c>
      <c r="AJ8" s="50" t="s">
        <v>177</v>
      </c>
      <c r="AK8" s="34" t="b">
        <v>1</v>
      </c>
      <c r="AL8" s="45" t="b">
        <v>0</v>
      </c>
      <c r="AM8" s="27">
        <v>0</v>
      </c>
      <c r="AN8" s="27" t="b">
        <v>0</v>
      </c>
      <c r="AO8" s="27"/>
      <c r="AP8" s="27"/>
      <c r="AQ8" s="45" t="b">
        <v>0</v>
      </c>
      <c r="AR8" s="27" t="b">
        <v>0</v>
      </c>
      <c r="AS8" s="27" t="b">
        <v>0</v>
      </c>
      <c r="AT8" s="27"/>
      <c r="AU8" s="40"/>
      <c r="AV8" s="40"/>
      <c r="AW8" s="40" t="s">
        <v>532</v>
      </c>
      <c r="AX8" s="27" t="s">
        <v>520</v>
      </c>
      <c r="AY8" s="27" t="s">
        <v>521</v>
      </c>
      <c r="AZ8" s="27">
        <v>0</v>
      </c>
      <c r="BA8" s="27"/>
      <c r="BB8" s="27">
        <v>32</v>
      </c>
      <c r="BC8" s="27">
        <v>15</v>
      </c>
      <c r="BD8" s="27">
        <v>2</v>
      </c>
      <c r="BE8" s="27" t="b">
        <v>0</v>
      </c>
      <c r="BF8" s="34" t="b">
        <v>1</v>
      </c>
      <c r="BG8" s="27">
        <v>0</v>
      </c>
      <c r="BH8" s="27">
        <v>0</v>
      </c>
      <c r="BI8" s="27">
        <v>0</v>
      </c>
      <c r="BJ8" s="27">
        <v>0</v>
      </c>
      <c r="BK8" s="27">
        <v>0</v>
      </c>
      <c r="BL8" s="27">
        <v>0</v>
      </c>
      <c r="BM8" s="27"/>
      <c r="BN8" s="27" t="s">
        <v>443</v>
      </c>
      <c r="BO8" s="27" t="s">
        <v>443</v>
      </c>
      <c r="BP8" s="27">
        <v>0</v>
      </c>
      <c r="BQ8" s="27">
        <v>0</v>
      </c>
      <c r="BR8" s="27">
        <v>0</v>
      </c>
      <c r="BS8" s="27">
        <v>0</v>
      </c>
      <c r="BT8" s="27"/>
      <c r="BU8" s="27">
        <v>0</v>
      </c>
      <c r="BV8" s="27" t="b">
        <v>1</v>
      </c>
      <c r="BW8" s="27">
        <v>1.9664999999999998E-2</v>
      </c>
      <c r="BX8" s="27">
        <v>100</v>
      </c>
      <c r="BY8" s="27">
        <v>8</v>
      </c>
      <c r="BZ8" s="27" t="b">
        <v>0</v>
      </c>
      <c r="CA8" s="27" t="s">
        <v>82</v>
      </c>
      <c r="CB8" s="27">
        <v>1</v>
      </c>
      <c r="CC8" s="27">
        <v>3</v>
      </c>
      <c r="CD8" s="27">
        <v>5</v>
      </c>
      <c r="CE8" s="27" t="s">
        <v>526</v>
      </c>
      <c r="CF8" s="27" t="b">
        <v>1</v>
      </c>
      <c r="CG8" s="27" t="b">
        <v>0</v>
      </c>
      <c r="CH8" s="27" t="b">
        <v>0</v>
      </c>
      <c r="CI8" s="27">
        <v>468</v>
      </c>
      <c r="CJ8" s="27">
        <v>2089</v>
      </c>
      <c r="CK8" s="27"/>
      <c r="CL8" s="27" t="s">
        <v>533</v>
      </c>
      <c r="CM8" s="50">
        <v>1</v>
      </c>
      <c r="CN8" s="50" t="b">
        <v>0</v>
      </c>
      <c r="CO8" s="33" t="str">
        <f>IFERROR(HYPERLINK("#Main!A"&amp;MATCH(A8,Main!A:A,0),"Open"),HYPERLINK("#Main!A1","Open"))</f>
        <v>Open</v>
      </c>
      <c r="CP8" s="33"/>
    </row>
    <row r="9" spans="1:94" ht="30" customHeight="1" x14ac:dyDescent="0.25">
      <c r="A9" s="29" t="s">
        <v>186</v>
      </c>
      <c r="B9" s="34">
        <v>200</v>
      </c>
      <c r="C9" s="36" t="s">
        <v>507</v>
      </c>
      <c r="D9" s="48">
        <v>40</v>
      </c>
      <c r="E9" s="28" t="s">
        <v>71</v>
      </c>
      <c r="F9" s="36" t="s">
        <v>283</v>
      </c>
      <c r="G9" s="34" t="s">
        <v>440</v>
      </c>
      <c r="H9" s="52">
        <v>81.59</v>
      </c>
      <c r="I9" s="52">
        <v>29324.73</v>
      </c>
      <c r="J9" s="53" t="s">
        <v>186</v>
      </c>
      <c r="K9" s="53" t="s">
        <v>186</v>
      </c>
      <c r="L9" s="36" t="s">
        <v>508</v>
      </c>
      <c r="M9" s="36" t="s">
        <v>295</v>
      </c>
      <c r="N9" s="28" t="s">
        <v>2</v>
      </c>
      <c r="O9" s="36"/>
      <c r="P9" s="36" t="s">
        <v>441</v>
      </c>
      <c r="Q9" s="36" t="s">
        <v>442</v>
      </c>
      <c r="R9" s="36" t="s">
        <v>439</v>
      </c>
      <c r="S9" s="28">
        <v>55</v>
      </c>
      <c r="T9" s="28">
        <v>40</v>
      </c>
      <c r="U9" s="34">
        <v>100</v>
      </c>
      <c r="V9" s="36" t="s">
        <v>509</v>
      </c>
      <c r="W9" s="36">
        <v>0</v>
      </c>
      <c r="X9" s="36"/>
      <c r="Y9" s="42"/>
      <c r="Z9" s="36" t="b">
        <v>0</v>
      </c>
      <c r="AA9" s="36" t="s">
        <v>510</v>
      </c>
      <c r="AB9" s="36" t="s">
        <v>511</v>
      </c>
      <c r="AC9" s="36">
        <v>371.04</v>
      </c>
      <c r="AD9" s="34" t="b">
        <v>1</v>
      </c>
      <c r="AE9" s="36" t="s">
        <v>512</v>
      </c>
      <c r="AF9" s="36"/>
      <c r="AG9" s="36"/>
      <c r="AH9" s="36" t="s">
        <v>513</v>
      </c>
      <c r="AI9" s="51" t="b">
        <v>1</v>
      </c>
      <c r="AJ9" s="53" t="s">
        <v>186</v>
      </c>
      <c r="AK9" s="34" t="b">
        <v>1</v>
      </c>
      <c r="AL9" s="45" t="b">
        <v>0</v>
      </c>
      <c r="AM9" s="36">
        <v>0</v>
      </c>
      <c r="AN9" s="36" t="b">
        <v>0</v>
      </c>
      <c r="AO9" s="36"/>
      <c r="AP9" s="36"/>
      <c r="AQ9" s="45" t="b">
        <v>0</v>
      </c>
      <c r="AR9" s="36" t="b">
        <v>0</v>
      </c>
      <c r="AS9" s="36" t="b">
        <v>0</v>
      </c>
      <c r="AT9" s="36"/>
      <c r="AU9" s="43"/>
      <c r="AV9" s="43"/>
      <c r="AW9" s="43" t="s">
        <v>534</v>
      </c>
      <c r="AX9" s="36" t="s">
        <v>520</v>
      </c>
      <c r="AY9" s="36" t="s">
        <v>521</v>
      </c>
      <c r="AZ9" s="36">
        <v>0</v>
      </c>
      <c r="BA9" s="36"/>
      <c r="BB9" s="36">
        <v>41</v>
      </c>
      <c r="BC9" s="36">
        <v>33</v>
      </c>
      <c r="BD9" s="36">
        <v>13</v>
      </c>
      <c r="BE9" s="36" t="b">
        <v>0</v>
      </c>
      <c r="BF9" s="34" t="b">
        <v>1</v>
      </c>
      <c r="BG9" s="36">
        <v>0</v>
      </c>
      <c r="BH9" s="36">
        <v>0</v>
      </c>
      <c r="BI9" s="36">
        <v>0</v>
      </c>
      <c r="BJ9" s="36">
        <v>0</v>
      </c>
      <c r="BK9" s="36">
        <v>0</v>
      </c>
      <c r="BL9" s="36">
        <v>0</v>
      </c>
      <c r="BM9" s="36"/>
      <c r="BN9" s="36" t="s">
        <v>443</v>
      </c>
      <c r="BO9" s="36" t="s">
        <v>443</v>
      </c>
      <c r="BP9" s="36">
        <v>0</v>
      </c>
      <c r="BQ9" s="36">
        <v>0</v>
      </c>
      <c r="BR9" s="36">
        <v>0</v>
      </c>
      <c r="BS9" s="36">
        <v>0</v>
      </c>
      <c r="BT9" s="36"/>
      <c r="BU9" s="36">
        <v>2</v>
      </c>
      <c r="BV9" s="36" t="b">
        <v>0</v>
      </c>
      <c r="BW9" s="36">
        <v>3.5214000000000002E-2</v>
      </c>
      <c r="BX9" s="36">
        <v>80</v>
      </c>
      <c r="BY9" s="36">
        <v>6</v>
      </c>
      <c r="BZ9" s="36" t="b">
        <v>0</v>
      </c>
      <c r="CA9" s="36" t="s">
        <v>82</v>
      </c>
      <c r="CB9" s="36">
        <v>1</v>
      </c>
      <c r="CC9" s="36">
        <v>2</v>
      </c>
      <c r="CD9" s="36">
        <v>5</v>
      </c>
      <c r="CE9" s="36" t="s">
        <v>535</v>
      </c>
      <c r="CF9" s="36" t="b">
        <v>1</v>
      </c>
      <c r="CG9" s="36" t="b">
        <v>0</v>
      </c>
      <c r="CH9" s="36" t="b">
        <v>0</v>
      </c>
      <c r="CI9" s="36">
        <v>381</v>
      </c>
      <c r="CJ9" s="36">
        <v>2467</v>
      </c>
      <c r="CK9" s="36"/>
      <c r="CL9" s="36" t="s">
        <v>536</v>
      </c>
      <c r="CM9" s="53">
        <v>1</v>
      </c>
      <c r="CN9" s="53" t="b">
        <v>0</v>
      </c>
      <c r="CO9" t="str">
        <f>IFERROR(HYPERLINK("#Main!A"&amp;MATCH(A9,Main!A:A,0),"Open"),HYPERLINK("#Main!A1","Open"))</f>
        <v>Open</v>
      </c>
    </row>
    <row r="10" spans="1:94" ht="30" customHeight="1" x14ac:dyDescent="0.25">
      <c r="A10" s="32" t="s">
        <v>194</v>
      </c>
      <c r="B10" s="34">
        <v>200</v>
      </c>
      <c r="C10" s="27" t="s">
        <v>507</v>
      </c>
      <c r="D10" s="48">
        <v>40</v>
      </c>
      <c r="E10" s="28" t="s">
        <v>71</v>
      </c>
      <c r="F10" s="27" t="s">
        <v>283</v>
      </c>
      <c r="G10" s="34" t="s">
        <v>440</v>
      </c>
      <c r="H10" s="49">
        <v>55.23</v>
      </c>
      <c r="I10" s="49">
        <v>18121.64</v>
      </c>
      <c r="J10" s="50" t="s">
        <v>194</v>
      </c>
      <c r="K10" s="50" t="s">
        <v>194</v>
      </c>
      <c r="L10" s="27" t="s">
        <v>508</v>
      </c>
      <c r="M10" s="27" t="s">
        <v>295</v>
      </c>
      <c r="N10" s="28" t="s">
        <v>2</v>
      </c>
      <c r="O10" s="27"/>
      <c r="P10" s="27" t="s">
        <v>441</v>
      </c>
      <c r="Q10" s="27" t="s">
        <v>442</v>
      </c>
      <c r="R10" s="27" t="s">
        <v>439</v>
      </c>
      <c r="S10" s="28">
        <v>55</v>
      </c>
      <c r="T10" s="28">
        <v>40</v>
      </c>
      <c r="U10" s="34">
        <v>100</v>
      </c>
      <c r="V10" s="27" t="s">
        <v>509</v>
      </c>
      <c r="W10" s="27">
        <v>0</v>
      </c>
      <c r="X10" s="27"/>
      <c r="Y10" s="30"/>
      <c r="Z10" s="27" t="b">
        <v>0</v>
      </c>
      <c r="AA10" s="27" t="s">
        <v>510</v>
      </c>
      <c r="AB10" s="27" t="s">
        <v>511</v>
      </c>
      <c r="AC10" s="27">
        <v>272.64</v>
      </c>
      <c r="AD10" s="34" t="b">
        <v>1</v>
      </c>
      <c r="AE10" s="27" t="s">
        <v>512</v>
      </c>
      <c r="AF10" s="27"/>
      <c r="AG10" s="27"/>
      <c r="AH10" s="27" t="s">
        <v>513</v>
      </c>
      <c r="AI10" s="51" t="b">
        <v>1</v>
      </c>
      <c r="AJ10" s="50" t="s">
        <v>194</v>
      </c>
      <c r="AK10" s="34" t="b">
        <v>1</v>
      </c>
      <c r="AL10" s="45" t="b">
        <v>0</v>
      </c>
      <c r="AM10" s="27">
        <v>0</v>
      </c>
      <c r="AN10" s="27" t="b">
        <v>0</v>
      </c>
      <c r="AO10" s="27"/>
      <c r="AP10" s="27"/>
      <c r="AQ10" s="45" t="b">
        <v>0</v>
      </c>
      <c r="AR10" s="27" t="b">
        <v>0</v>
      </c>
      <c r="AS10" s="27" t="b">
        <v>0</v>
      </c>
      <c r="AT10" s="27"/>
      <c r="AU10" s="40"/>
      <c r="AV10" s="40"/>
      <c r="AW10" s="40" t="s">
        <v>537</v>
      </c>
      <c r="AX10" s="27" t="s">
        <v>520</v>
      </c>
      <c r="AY10" s="27" t="s">
        <v>521</v>
      </c>
      <c r="AZ10" s="27">
        <v>0</v>
      </c>
      <c r="BA10" s="27"/>
      <c r="BB10" s="27">
        <v>19</v>
      </c>
      <c r="BC10" s="27">
        <v>10</v>
      </c>
      <c r="BD10" s="27">
        <v>2</v>
      </c>
      <c r="BE10" s="27" t="b">
        <v>0</v>
      </c>
      <c r="BF10" s="34" t="b">
        <v>1</v>
      </c>
      <c r="BG10" s="27">
        <v>0</v>
      </c>
      <c r="BH10" s="27">
        <v>0</v>
      </c>
      <c r="BI10" s="27">
        <v>0</v>
      </c>
      <c r="BJ10" s="27">
        <v>0</v>
      </c>
      <c r="BK10" s="27">
        <v>0</v>
      </c>
      <c r="BL10" s="27">
        <v>0</v>
      </c>
      <c r="BM10" s="27"/>
      <c r="BN10" s="27" t="s">
        <v>443</v>
      </c>
      <c r="BO10" s="27" t="s">
        <v>443</v>
      </c>
      <c r="BP10" s="27">
        <v>0</v>
      </c>
      <c r="BQ10" s="27">
        <v>0</v>
      </c>
      <c r="BR10" s="27">
        <v>0</v>
      </c>
      <c r="BS10" s="27">
        <v>0</v>
      </c>
      <c r="BT10" s="27"/>
      <c r="BU10" s="27">
        <v>2</v>
      </c>
      <c r="BV10" s="27" t="b">
        <v>0</v>
      </c>
      <c r="BW10" s="27">
        <v>3.5214000000000002E-2</v>
      </c>
      <c r="BX10" s="27">
        <v>40</v>
      </c>
      <c r="BY10" s="27">
        <v>4</v>
      </c>
      <c r="BZ10" s="27" t="b">
        <v>0</v>
      </c>
      <c r="CA10" s="27" t="s">
        <v>82</v>
      </c>
      <c r="CB10" s="27">
        <v>1</v>
      </c>
      <c r="CC10" s="27">
        <v>2</v>
      </c>
      <c r="CD10" s="27">
        <v>5</v>
      </c>
      <c r="CE10" s="27" t="s">
        <v>535</v>
      </c>
      <c r="CF10" s="27" t="b">
        <v>1</v>
      </c>
      <c r="CG10" s="27" t="b">
        <v>0</v>
      </c>
      <c r="CH10" s="27" t="b">
        <v>0</v>
      </c>
      <c r="CI10" s="27">
        <v>316</v>
      </c>
      <c r="CJ10" s="27">
        <v>2678</v>
      </c>
      <c r="CK10" s="27"/>
      <c r="CL10" s="27" t="s">
        <v>538</v>
      </c>
      <c r="CM10" s="50">
        <v>2</v>
      </c>
      <c r="CN10" s="50" t="b">
        <v>0</v>
      </c>
      <c r="CO10" s="33" t="str">
        <f>IFERROR(HYPERLINK("#Main!A"&amp;MATCH(A10,Main!A:A,0),"Open"),HYPERLINK("#Main!A1","Open"))</f>
        <v>Open</v>
      </c>
      <c r="CP10" s="33"/>
    </row>
    <row r="11" spans="1:94" ht="30" customHeight="1" x14ac:dyDescent="0.25">
      <c r="A11" s="29" t="s">
        <v>202</v>
      </c>
      <c r="B11" s="34">
        <v>200</v>
      </c>
      <c r="C11" s="36" t="s">
        <v>507</v>
      </c>
      <c r="D11" s="48">
        <v>17</v>
      </c>
      <c r="E11" s="28" t="s">
        <v>71</v>
      </c>
      <c r="F11" s="36" t="s">
        <v>283</v>
      </c>
      <c r="G11" s="34" t="s">
        <v>440</v>
      </c>
      <c r="H11" s="52">
        <v>2696.86</v>
      </c>
      <c r="I11" s="52">
        <v>21720.75</v>
      </c>
      <c r="J11" s="53" t="s">
        <v>202</v>
      </c>
      <c r="K11" s="53" t="s">
        <v>202</v>
      </c>
      <c r="L11" s="36" t="s">
        <v>508</v>
      </c>
      <c r="M11" s="36" t="s">
        <v>295</v>
      </c>
      <c r="N11" s="28" t="s">
        <v>2</v>
      </c>
      <c r="O11" s="36"/>
      <c r="P11" s="36" t="s">
        <v>441</v>
      </c>
      <c r="Q11" s="36" t="s">
        <v>442</v>
      </c>
      <c r="R11" s="36" t="s">
        <v>439</v>
      </c>
      <c r="S11" s="28">
        <v>19</v>
      </c>
      <c r="T11" s="28">
        <v>17</v>
      </c>
      <c r="U11" s="28">
        <v>25</v>
      </c>
      <c r="V11" s="36" t="s">
        <v>509</v>
      </c>
      <c r="W11" s="36">
        <v>0</v>
      </c>
      <c r="X11" s="36"/>
      <c r="Y11" s="42"/>
      <c r="Z11" s="36" t="b">
        <v>0</v>
      </c>
      <c r="AA11" s="36" t="s">
        <v>510</v>
      </c>
      <c r="AB11" s="36" t="s">
        <v>511</v>
      </c>
      <c r="AC11" s="36">
        <v>239.75</v>
      </c>
      <c r="AD11" s="34" t="b">
        <v>1</v>
      </c>
      <c r="AE11" s="36" t="s">
        <v>512</v>
      </c>
      <c r="AF11" s="36"/>
      <c r="AG11" s="36"/>
      <c r="AH11" s="36" t="s">
        <v>513</v>
      </c>
      <c r="AI11" s="51" t="b">
        <v>1</v>
      </c>
      <c r="AJ11" s="53" t="s">
        <v>202</v>
      </c>
      <c r="AK11" s="34" t="b">
        <v>1</v>
      </c>
      <c r="AL11" s="45" t="b">
        <v>0</v>
      </c>
      <c r="AM11" s="36">
        <v>0</v>
      </c>
      <c r="AN11" s="36" t="b">
        <v>0</v>
      </c>
      <c r="AO11" s="36"/>
      <c r="AP11" s="36"/>
      <c r="AQ11" s="45" t="b">
        <v>0</v>
      </c>
      <c r="AR11" s="36" t="b">
        <v>0</v>
      </c>
      <c r="AS11" s="36" t="b">
        <v>0</v>
      </c>
      <c r="AT11" s="36"/>
      <c r="AU11" s="43"/>
      <c r="AV11" s="43"/>
      <c r="AW11" s="43" t="s">
        <v>539</v>
      </c>
      <c r="AX11" s="36" t="s">
        <v>520</v>
      </c>
      <c r="AY11" s="36" t="s">
        <v>521</v>
      </c>
      <c r="AZ11" s="36">
        <v>0</v>
      </c>
      <c r="BA11" s="36"/>
      <c r="BB11" s="36">
        <v>19</v>
      </c>
      <c r="BC11" s="36">
        <v>10</v>
      </c>
      <c r="BD11" s="36">
        <v>2</v>
      </c>
      <c r="BE11" s="36" t="b">
        <v>0</v>
      </c>
      <c r="BF11" s="34" t="b">
        <v>1</v>
      </c>
      <c r="BG11" s="36">
        <v>0</v>
      </c>
      <c r="BH11" s="36">
        <v>0</v>
      </c>
      <c r="BI11" s="36">
        <v>0</v>
      </c>
      <c r="BJ11" s="36">
        <v>0</v>
      </c>
      <c r="BK11" s="36">
        <v>0</v>
      </c>
      <c r="BL11" s="36">
        <v>0</v>
      </c>
      <c r="BM11" s="36"/>
      <c r="BN11" s="36" t="s">
        <v>443</v>
      </c>
      <c r="BO11" s="36" t="s">
        <v>443</v>
      </c>
      <c r="BP11" s="36">
        <v>0</v>
      </c>
      <c r="BQ11" s="36">
        <v>0</v>
      </c>
      <c r="BR11" s="36">
        <v>0</v>
      </c>
      <c r="BS11" s="36">
        <v>0</v>
      </c>
      <c r="BT11" s="36"/>
      <c r="BU11" s="36">
        <v>0</v>
      </c>
      <c r="BV11" s="36" t="b">
        <v>1</v>
      </c>
      <c r="BW11" s="36">
        <v>1.9664999999999998E-2</v>
      </c>
      <c r="BX11" s="36">
        <v>30</v>
      </c>
      <c r="BY11" s="36">
        <v>3</v>
      </c>
      <c r="BZ11" s="36" t="b">
        <v>0</v>
      </c>
      <c r="CA11" s="36" t="s">
        <v>82</v>
      </c>
      <c r="CB11" s="36">
        <v>1</v>
      </c>
      <c r="CC11" s="36">
        <v>4</v>
      </c>
      <c r="CD11" s="36">
        <v>6</v>
      </c>
      <c r="CE11" s="36" t="s">
        <v>526</v>
      </c>
      <c r="CF11" s="36" t="b">
        <v>1</v>
      </c>
      <c r="CG11" s="36" t="b">
        <v>0</v>
      </c>
      <c r="CH11" s="36" t="b">
        <v>0</v>
      </c>
      <c r="CI11" s="36">
        <v>396</v>
      </c>
      <c r="CJ11" s="36">
        <v>0</v>
      </c>
      <c r="CK11" s="36"/>
      <c r="CL11" s="36" t="s">
        <v>540</v>
      </c>
      <c r="CM11" s="53">
        <v>2</v>
      </c>
      <c r="CN11" s="53" t="b">
        <v>0</v>
      </c>
      <c r="CO11" t="str">
        <f>IFERROR(HYPERLINK("#Main!A"&amp;MATCH(A11,Main!A:A,0),"Open"),HYPERLINK("#Main!A1","Open"))</f>
        <v>Open</v>
      </c>
    </row>
  </sheetData>
  <autoFilter ref="A1:CP11" xr:uid="{00000000-0009-0000-0000-000006000000}"/>
  <conditionalFormatting sqref="B2:B11">
    <cfRule type="cellIs" dxfId="49" priority="1" operator="equal">
      <formula>200</formula>
    </cfRule>
    <cfRule type="cellIs" dxfId="48" priority="2" operator="between">
      <formula>300</formula>
      <formula>399</formula>
    </cfRule>
    <cfRule type="cellIs" dxfId="47" priority="3" operator="greaterThanOrEqual">
      <formula>400</formula>
    </cfRule>
  </conditionalFormatting>
  <conditionalFormatting sqref="D2:D11">
    <cfRule type="colorScale" priority="6">
      <colorScale>
        <cfvo type="min"/>
        <cfvo type="percentile" val="50"/>
        <cfvo type="max"/>
        <color rgb="FFF8696B"/>
        <color rgb="FFFFEB84"/>
        <color rgb="FF63BE7B"/>
      </colorScale>
    </cfRule>
  </conditionalFormatting>
  <conditionalFormatting sqref="E2:E11">
    <cfRule type="expression" dxfId="46" priority="9" stopIfTrue="1">
      <formula>LOWER(E2)="critical"</formula>
    </cfRule>
    <cfRule type="expression" dxfId="45" priority="10" stopIfTrue="1">
      <formula>LOWER(E2)="warning"</formula>
    </cfRule>
    <cfRule type="expression" dxfId="44" priority="11" stopIfTrue="1">
      <formula>OR(LOWER(E2)="pass",LOWER(E2)="observation")</formula>
    </cfRule>
  </conditionalFormatting>
  <conditionalFormatting sqref="F2:F11">
    <cfRule type="expression" dxfId="43" priority="7" stopIfTrue="1">
      <formula>LOWER(F2)="yes"</formula>
    </cfRule>
    <cfRule type="expression" dxfId="42" priority="8" stopIfTrue="1">
      <formula>LOWER(F2)="no"</formula>
    </cfRule>
  </conditionalFormatting>
  <conditionalFormatting sqref="H2:H11">
    <cfRule type="colorScale" priority="4">
      <colorScale>
        <cfvo type="min"/>
        <cfvo type="percentile" val="50"/>
        <cfvo type="max"/>
        <color rgb="FF63BE7B"/>
        <color rgb="FFFFEB84"/>
        <color rgb="FFF8696B"/>
      </colorScale>
    </cfRule>
    <cfRule type="dataBar" priority="5">
      <dataBar>
        <cfvo type="min"/>
        <cfvo type="max"/>
        <color rgb="FF638EC6"/>
      </dataBar>
    </cfRule>
  </conditionalFormatting>
  <conditionalFormatting sqref="N2:N11">
    <cfRule type="expression" dxfId="41" priority="12" stopIfTrue="1">
      <formula>LOWER(N2)="done"</formula>
    </cfRule>
    <cfRule type="expression" dxfId="40" priority="13" stopIfTrue="1">
      <formula>OR(LOWER(N2)="to do",LOWER(N2)="in progress",LOWER(N2)="in review")</formula>
    </cfRule>
  </conditionalFormatting>
  <dataValidations count="100">
    <dataValidation type="custom" allowBlank="1" showInputMessage="1" promptTitle="URL" prompt="URL. Use this URL to inspect the page directly or jump to related tabs." sqref="A1" xr:uid="{00000000-0002-0000-0600-000000000000}">
      <formula1>TRUE</formula1>
    </dataValidation>
    <dataValidation type="custom" allowBlank="1" showInputMessage="1" promptTitle="Status Code" prompt="HTTP response code returned for this page/resource. Fix: Resolve 4xx/5xx errors and reduce unnecessary redirects." sqref="B1" xr:uid="{00000000-0002-0000-0600-000001000000}">
      <formula1>TRUE</formula1>
    </dataValidation>
    <dataValidation type="custom" allowBlank="1" showInputMessage="1" promptTitle="Status Class" prompt="Grouped HTTP class (2xx/3xx/4xx/5xx). Use this to quickly triage crawl health and error concentration." sqref="C1" xr:uid="{00000000-0002-0000-06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600-000003000000}">
      <formula1>TRUE</formula1>
    </dataValidation>
    <dataValidation type="custom" allowBlank="1" showInputMessage="1" promptTitle="Severity Badge" prompt="Issue impact level. Fix: Resolve Critical first, then Warning, then improvement opportunities." sqref="E1" xr:uid="{00000000-0002-0000-0600-000004000000}">
      <formula1>TRUE</formula1>
    </dataValidation>
    <dataValidation type="custom" allowBlank="1" showInputMessage="1" promptTitle="Action Needed" prompt="Action Needed. Review this metric to identify risk, then use linked tabs for details and remediation." sqref="F1" xr:uid="{00000000-0002-0000-0600-000005000000}">
      <formula1>TRUE</formula1>
    </dataValidation>
    <dataValidation type="custom" allowBlank="1" showInputMessage="1" promptTitle="Indexability Reason" prompt="Indexing/canonicalization signal. Fix: ensure indexable pages use correct canonicals and non-conflicting directives." sqref="G1" xr:uid="{00000000-0002-0000-0600-000006000000}">
      <formula1>TRUE</formula1>
    </dataValidation>
    <dataValidation type="custom" allowBlank="1" showInputMessage="1" promptTitle="TTFB (ms)" prompt="Time to First Byte: server responsiveness signal. Fix: optimise backend performance, caching, and CDN usage." sqref="H1" xr:uid="{00000000-0002-0000-0600-000007000000}">
      <formula1>TRUE</formula1>
    </dataValidation>
    <dataValidation type="custom" allowBlank="1" showInputMessage="1" promptTitle="Total Request Time (ms)" prompt="Page/request speed metric. Fix: optimise assets, server response time, and blocking resources." sqref="I1" xr:uid="{00000000-0002-0000-0600-000008000000}">
      <formula1>TRUE</formula1>
    </dataValidation>
    <dataValidation type="custom" allowBlank="1" showInputMessage="1" promptTitle="Final URL" prompt="Final URL. Use this URL to inspect the page directly or jump to related tabs." sqref="J1" xr:uid="{00000000-0002-0000-0600-000009000000}">
      <formula1>TRUE</formula1>
    </dataValidation>
    <dataValidation type="custom" allowBlank="1" showInputMessage="1" promptTitle="Canonical URL" prompt="Canonical URL. Use this URL to inspect the page directly or jump to related tabs." sqref="K1" xr:uid="{00000000-0002-0000-0600-00000A000000}">
      <formula1>TRUE</formula1>
    </dataValidation>
    <dataValidation type="custom" allowBlank="1" showInputMessage="1" promptTitle="Canonical Type" prompt="Indexing/canonicalization signal. Fix: ensure indexable pages use correct canonicals and non-conflicting directives." sqref="L1" xr:uid="{00000000-0002-0000-0600-00000B000000}">
      <formula1>TRUE</formula1>
    </dataValidation>
    <dataValidation type="custom" allowBlank="1" showInputMessage="1" promptTitle="Owner" prompt="Workflow management field for planning and tracking remediation progress." sqref="M1" xr:uid="{00000000-0002-0000-0600-00000C000000}">
      <formula1>TRUE</formula1>
    </dataValidation>
    <dataValidation type="custom" allowBlank="1" showInputMessage="1" promptTitle="Status" prompt="Workflow management field for planning and tracking remediation progress." sqref="N1" xr:uid="{00000000-0002-0000-0600-00000D000000}">
      <formula1>TRUE</formula1>
    </dataValidation>
    <dataValidation type="custom" allowBlank="1" showInputMessage="1" promptTitle="Sprint" prompt="Workflow management field for planning and tracking remediation progress." sqref="O1" xr:uid="{00000000-0002-0000-0600-00000E000000}">
      <formula1>TRUE</formula1>
    </dataValidation>
    <dataValidation type="custom" allowBlank="1" showInputMessage="1" promptTitle="Extraction State" prompt="Extraction State. Review this metric to identify risk, then use linked tabs for details and remediation." sqref="P1" xr:uid="{00000000-0002-0000-0600-00000F000000}">
      <formula1>TRUE</formula1>
    </dataValidation>
    <dataValidation type="custom" allowBlank="1" showInputMessage="1" promptTitle="Extraction Source" prompt="Extraction Source. Review this metric to identify risk, then use linked tabs for details and remediation." sqref="Q1" xr:uid="{00000000-0002-0000-0600-000010000000}">
      <formula1>TRUE</formula1>
    </dataValidation>
    <dataValidation type="custom" allowBlank="1" showInputMessage="1" promptTitle="Health Icon" prompt="Health Icon. Review this metric to identify risk, then use linked tabs for details and remediation." sqref="R1" xr:uid="{00000000-0002-0000-0600-000011000000}">
      <formula1>TRUE</formula1>
    </dataValidation>
    <dataValidation type="custom" allowBlank="1" showInputMessage="1" promptTitle="SEO Score" prompt="SEO Score. Review this metric to identify risk, then use linked tabs for details and remediation." sqref="S1" xr:uid="{00000000-0002-0000-0600-000012000000}">
      <formula1>TRUE</formula1>
    </dataValidation>
    <dataValidation type="custom" allowBlank="1" showInputMessage="1" promptTitle="Technical Health" prompt="Technical Health. Review this metric to identify risk, then use linked tabs for details and remediation." sqref="T1" xr:uid="{00000000-0002-0000-0600-000013000000}">
      <formula1>TRUE</formula1>
    </dataValidation>
    <dataValidation type="custom" allowBlank="1" showInputMessage="1" promptTitle="Copy Score" prompt="Copy Score. Review this metric to identify risk, then use linked tabs for details and remediation." sqref="U1" xr:uid="{00000000-0002-0000-0600-000014000000}">
      <formula1>TRUE</formula1>
    </dataValidation>
    <dataValidation type="custom" allowBlank="1" showInputMessage="1" promptTitle="Protocol" prompt="Protocol. Review this metric to identify risk, then use linked tabs for details and remediation." sqref="V1" xr:uid="{00000000-0002-0000-0600-000015000000}">
      <formula1>TRUE</formula1>
    </dataValidation>
    <dataValidation type="custom" allowBlank="1" showInputMessage="1" promptTitle="Redirect Chain Length" prompt="Redirect Chain Length. Review this metric to identify risk, then use linked tabs for details and remediation." sqref="W1" xr:uid="{00000000-0002-0000-0600-000016000000}">
      <formula1>TRUE</formula1>
    </dataValidation>
    <dataValidation type="custom" allowBlank="1" showInputMessage="1" promptTitle="Redirect Target" prompt="Redirect Target. Review this metric to identify risk, then use linked tabs for details and remediation." sqref="X1" xr:uid="{00000000-0002-0000-0600-000017000000}">
      <formula1>TRUE</formula1>
    </dataValidation>
    <dataValidation type="custom" allowBlank="1" showInputMessage="1" promptTitle="Redirect Hops" prompt="Redirect Hops. Review this metric to identify risk, then use linked tabs for details and remediation." sqref="Y1" xr:uid="{00000000-0002-0000-0600-000018000000}">
      <formula1>TRUE</formula1>
    </dataValidation>
    <dataValidation type="custom" allowBlank="1" showInputMessage="1" promptTitle="HTTP-&gt;HTTPS Redirect" prompt="HTTP-&gt;HTTPS Redirect. Review this metric to identify risk, then use linked tabs for details and remediation." sqref="Z1" xr:uid="{00000000-0002-0000-0600-000019000000}">
      <formula1>TRUE</formula1>
    </dataValidation>
    <dataValidation type="custom" allowBlank="1" showInputMessage="1" promptTitle="Content-Type" prompt="Content-Type. Review this metric to identify risk, then use linked tabs for details and remediation." sqref="AA1" xr:uid="{00000000-0002-0000-0600-00001A000000}">
      <formula1>TRUE</formula1>
    </dataValidation>
    <dataValidation type="custom" allowBlank="1" showInputMessage="1" promptTitle="HTTP Version" prompt="HTTP Version. Review this metric to identify risk, then use linked tabs for details and remediation." sqref="AB1" xr:uid="{00000000-0002-0000-0600-00001B000000}">
      <formula1>TRUE</formula1>
    </dataValidation>
    <dataValidation type="custom" allowBlank="1" showInputMessage="1" promptTitle="HTML Size (KB)" prompt="HTML Size (KB). Review this metric to identify risk, then use linked tabs for details and remediation." sqref="AC1" xr:uid="{00000000-0002-0000-0600-00001C000000}">
      <formula1>TRUE</formula1>
    </dataValidation>
    <dataValidation type="custom" allowBlank="1" showInputMessage="1" promptTitle="Compression Enabled" prompt="Compression Enabled. Review this metric to identify risk, then use linked tabs for details and remediation." sqref="AD1" xr:uid="{00000000-0002-0000-0600-00001D000000}">
      <formula1>TRUE</formula1>
    </dataValidation>
    <dataValidation type="custom" allowBlank="1" showInputMessage="1" promptTitle="Cache-Control" prompt="Cache-Control. Review this metric to identify risk, then use linked tabs for details and remediation." sqref="AE1" xr:uid="{00000000-0002-0000-0600-00001E000000}">
      <formula1>TRUE</formula1>
    </dataValidation>
    <dataValidation type="custom" allowBlank="1" showInputMessage="1" promptTitle="ETag" prompt="ETag. Review this metric to identify risk, then use linked tabs for details and remediation." sqref="AF1" xr:uid="{00000000-0002-0000-0600-00001F000000}">
      <formula1>TRUE</formula1>
    </dataValidation>
    <dataValidation type="custom" allowBlank="1" showInputMessage="1" promptTitle="X-Robots-Tag" prompt="Robots directives that influence indexation. Fix: remove unintended noindex/nofollow values on important pages." sqref="AG1" xr:uid="{00000000-0002-0000-0600-000020000000}">
      <formula1>TRUE</formula1>
    </dataValidation>
    <dataValidation type="custom" allowBlank="1" showInputMessage="1" promptTitle="Meta Robots Raw" prompt="Robots directives that influence indexation. Fix: remove unintended noindex/nofollow values on important pages." sqref="AH1" xr:uid="{00000000-0002-0000-0600-000021000000}">
      <formula1>TRUE</formula1>
    </dataValidation>
    <dataValidation type="custom" allowBlank="1" showInputMessage="1" promptTitle="Canonical Matches Final URL" prompt="Canonical Matches Final URL. Use this URL to inspect the page directly or jump to related tabs." sqref="AI1" xr:uid="{00000000-0002-0000-0600-000022000000}">
      <formula1>TRUE</formula1>
    </dataValidation>
    <dataValidation type="custom" allowBlank="1" showInputMessage="1" promptTitle="Canonical Absolute URL" prompt="Canonical Absolute URL. Use this URL to inspect the page directly or jump to related tabs." sqref="AJ1" xr:uid="{00000000-0002-0000-0600-000023000000}">
      <formula1>TRUE</formula1>
    </dataValidation>
    <dataValidation type="custom" allowBlank="1" showInputMessage="1" promptTitle="Canonical in Sitemap Match" prompt="Indexing/canonicalization signal. Fix: ensure indexable pages use correct canonicals and non-conflicting directives." sqref="AK1" xr:uid="{00000000-0002-0000-0600-000024000000}">
      <formula1>TRUE</formula1>
    </dataValidation>
    <dataValidation type="custom" allowBlank="1" showInputMessage="1" promptTitle="Hreflang Present" prompt="Hreflang Present. Review this metric to identify risk, then use linked tabs for details and remediation." sqref="AL1" xr:uid="{00000000-0002-0000-0600-000025000000}">
      <formula1>TRUE</formula1>
    </dataValidation>
    <dataValidation type="custom" allowBlank="1" showInputMessage="1" promptTitle="Hreflang Count" prompt="Hreflang Count. Review this metric to identify risk, then use linked tabs for details and remediation." sqref="AM1" xr:uid="{00000000-0002-0000-0600-000026000000}">
      <formula1>TRUE</formula1>
    </dataValidation>
    <dataValidation type="custom" allowBlank="1" showInputMessage="1" promptTitle="Hreflang Self Reference" prompt="Hreflang Self Reference. Review this metric to identify risk, then use linked tabs for details and remediation." sqref="AN1" xr:uid="{00000000-0002-0000-0600-000027000000}">
      <formula1>TRUE</formula1>
    </dataValidation>
    <dataValidation type="custom" allowBlank="1" showInputMessage="1" promptTitle="Hreflang Reciprocal Check" prompt="Hreflang Reciprocal Check. Review this metric to identify risk, then use linked tabs for details and remediation." sqref="AO1" xr:uid="{00000000-0002-0000-0600-000028000000}">
      <formula1>TRUE</formula1>
    </dataValidation>
    <dataValidation type="custom" allowBlank="1" showInputMessage="1" promptTitle="Hreflang Canonical Consistency" prompt="Indexing/canonicalization signal. Fix: ensure indexable pages use correct canonicals and non-conflicting directives." sqref="AP1" xr:uid="{00000000-0002-0000-0600-000029000000}">
      <formula1>TRUE</formula1>
    </dataValidation>
    <dataValidation type="custom" allowBlank="1" showInputMessage="1" promptTitle="x-default Present" prompt="x-default Present. Review this metric to identify risk, then use linked tabs for details and remediation." sqref="AQ1" xr:uid="{00000000-0002-0000-0600-00002A000000}">
      <formula1>TRUE</formula1>
    </dataValidation>
    <dataValidation type="custom" allowBlank="1" showInputMessage="1" promptTitle="Pagination rel=next" prompt="Pagination rel=next. Review this metric to identify risk, then use linked tabs for details and remediation." sqref="AR1" xr:uid="{00000000-0002-0000-0600-00002B000000}">
      <formula1>TRUE</formula1>
    </dataValidation>
    <dataValidation type="custom" allowBlank="1" showInputMessage="1" promptTitle="Pagination rel=prev" prompt="Pagination rel=prev. Review this metric to identify risk, then use linked tabs for details and remediation." sqref="AS1" xr:uid="{00000000-0002-0000-0600-00002C000000}">
      <formula1>TRUE</formula1>
    </dataValidation>
    <dataValidation type="custom" allowBlank="1" showInputMessage="1" promptTitle="Last-Modified" prompt="Last-Modified. Review this metric to identify risk, then use linked tabs for details and remediation." sqref="AT1" xr:uid="{00000000-0002-0000-0600-00002D000000}">
      <formula1>TRUE</formula1>
    </dataValidation>
    <dataValidation type="custom" allowBlank="1" showInputMessage="1" promptTitle="Published Date" prompt="Published Date. Review this metric to identify risk, then use linked tabs for details and remediation." sqref="AU1" xr:uid="{00000000-0002-0000-0600-00002E000000}">
      <formula1>TRUE</formula1>
    </dataValidation>
    <dataValidation type="custom" allowBlank="1" showInputMessage="1" promptTitle="Modified Date" prompt="Modified Date. Review this metric to identify risk, then use linked tabs for details and remediation." sqref="AV1" xr:uid="{00000000-0002-0000-0600-00002F000000}">
      <formula1>TRUE</formula1>
    </dataValidation>
    <dataValidation type="custom" allowBlank="1" showInputMessage="1" promptTitle="Last Updated" prompt="Last Updated. Review this metric to identify risk, then use linked tabs for details and remediation." sqref="AW1" xr:uid="{00000000-0002-0000-0600-000030000000}">
      <formula1>TRUE</formula1>
    </dataValidation>
    <dataValidation type="custom" allowBlank="1" showInputMessage="1" promptTitle="Change Frequency" prompt="Change Frequency. Review this metric to identify risk, then use linked tabs for details and remediation." sqref="AX1" xr:uid="{00000000-0002-0000-0600-000031000000}">
      <formula1>TRUE</formula1>
    </dataValidation>
    <dataValidation type="custom" allowBlank="1" showInputMessage="1" promptTitle="Priority" prompt="Priority. Review this metric to identify risk, then use linked tabs for details and remediation." sqref="AY1" xr:uid="{00000000-0002-0000-0600-000032000000}">
      <formula1>TRUE</formula1>
    </dataValidation>
    <dataValidation type="custom" allowBlank="1" showInputMessage="1" promptTitle="Schema Types Count" prompt="Structured data signal. Fix: add valid schema types and correct parsing/validation errors." sqref="AZ1" xr:uid="{00000000-0002-0000-0600-000033000000}">
      <formula1>TRUE</formula1>
    </dataValidation>
    <dataValidation type="custom" allowBlank="1" showInputMessage="1" promptTitle="Schema Types Found" prompt="Structured data signal. Fix: add valid schema types and correct parsing/validation errors." sqref="BA1" xr:uid="{00000000-0002-0000-0600-000034000000}">
      <formula1>TRUE</formula1>
    </dataValidation>
    <dataValidation type="custom" allowBlank="1" showInputMessage="1" promptTitle="Internal Links Count" prompt="Link quality and crawl-path metric. Fix: repair broken links and improve internal linking relevance." sqref="BB1" xr:uid="{00000000-0002-0000-0600-000035000000}">
      <formula1>TRUE</formula1>
    </dataValidation>
    <dataValidation type="custom" allowBlank="1" showInputMessage="1" promptTitle="Unique Internal Links Count" prompt="Link quality and crawl-path metric. Fix: repair broken links and improve internal linking relevance." sqref="BC1" xr:uid="{00000000-0002-0000-0600-000036000000}">
      <formula1>TRUE</formula1>
    </dataValidation>
    <dataValidation type="custom" allowBlank="1" showInputMessage="1" promptTitle="External Links Count" prompt="Link quality and crawl-path metric. Fix: repair broken links and improve internal linking relevance." sqref="BD1" xr:uid="{00000000-0002-0000-0600-000037000000}">
      <formula1>TRUE</formula1>
    </dataValidation>
    <dataValidation type="custom" allowBlank="1" showInputMessage="1" promptTitle="AI Crawlers Allowed (GPTBot/Clau" prompt="AI Crawlers Allowed (GPTBot/ClaudeBot/PerplexityBot). Review this metric to identify risk, then use linked tabs for details and remediation." sqref="BE1" xr:uid="{00000000-0002-0000-0600-000038000000}">
      <formula1>TRUE</formula1>
    </dataValidation>
    <dataValidation type="custom" allowBlank="1" showInputMessage="1" promptTitle="llms.txt Present" prompt="llms.txt Present. Review this metric to identify risk, then use linked tabs for details and remediation." sqref="BF1" xr:uid="{00000000-0002-0000-0600-000039000000}">
      <formula1>TRUE</formula1>
    </dataValidation>
    <dataValidation type="custom" allowBlank="1" showInputMessage="1" promptTitle="Desktop PSI Score" prompt="Desktop PSI Score. Review this metric to identify risk, then use linked tabs for details and remediation." sqref="BG1" xr:uid="{00000000-0002-0000-0600-00003A000000}">
      <formula1>TRUE</formula1>
    </dataValidation>
    <dataValidation type="custom" allowBlank="1" showInputMessage="1" promptTitle="Mobile PSI Score" prompt="Mobile PSI Score. Review this metric to identify risk, then use linked tabs for details and remediation." sqref="BH1" xr:uid="{00000000-0002-0000-0600-00003B000000}">
      <formula1>TRUE</formula1>
    </dataValidation>
    <dataValidation type="custom" allowBlank="1" showInputMessage="1" promptTitle="Mobile LCP (s)" prompt="Mobile LCP (s). Review this metric to identify risk, then use linked tabs for details and remediation." sqref="BI1" xr:uid="{00000000-0002-0000-0600-00003C000000}">
      <formula1>TRUE</formula1>
    </dataValidation>
    <dataValidation type="custom" allowBlank="1" showInputMessage="1" promptTitle="Mobile CLS" prompt="Mobile CLS. Review this metric to identify risk, then use linked tabs for details and remediation." sqref="BJ1" xr:uid="{00000000-0002-0000-0600-00003D000000}">
      <formula1>TRUE</formula1>
    </dataValidation>
    <dataValidation type="custom" allowBlank="1" showInputMessage="1" promptTitle="Mobile TTFB (s)" prompt="Time to First Byte: server responsiveness signal. Fix: optimise backend performance, caching, and CDN usage." sqref="BK1" xr:uid="{00000000-0002-0000-0600-00003E000000}">
      <formula1>TRUE</formula1>
    </dataValidation>
    <dataValidation type="custom" allowBlank="1" showInputMessage="1" promptTitle="CWV LCP (s)" prompt="CWV LCP (s). Review this metric to identify risk, then use linked tabs for details and remediation." sqref="BL1" xr:uid="{00000000-0002-0000-0600-00003F000000}">
      <formula1>TRUE</formula1>
    </dataValidation>
    <dataValidation type="custom" allowBlank="1" showInputMessage="1" promptTitle="CWV CLS" prompt="CWV CLS. Review this metric to identify risk, then use linked tabs for details and remediation." sqref="BM1" xr:uid="{00000000-0002-0000-0600-000040000000}">
      <formula1>TRUE</formula1>
    </dataValidation>
    <dataValidation type="custom" allowBlank="1" showInputMessage="1" promptTitle="CWV Data Source" prompt="CWV Data Source. Review this metric to identify risk, then use linked tabs for details and remediation." sqref="BN1" xr:uid="{00000000-0002-0000-0600-000041000000}">
      <formula1>TRUE</formula1>
    </dataValidation>
    <dataValidation type="custom" allowBlank="1" showInputMessage="1" promptTitle="Field vs Lab" prompt="Field vs Lab. Review this metric to identify risk, then use linked tabs for details and remediation." sqref="BO1" xr:uid="{00000000-0002-0000-0600-000042000000}">
      <formula1>TRUE</formula1>
    </dataValidation>
    <dataValidation type="custom" allowBlank="1" showInputMessage="1" promptTitle="GSC Clicks" prompt="GSC Clicks. Review this metric to identify risk, then use linked tabs for details and remediation." sqref="BP1" xr:uid="{00000000-0002-0000-0600-000043000000}">
      <formula1>TRUE</formula1>
    </dataValidation>
    <dataValidation type="custom" allowBlank="1" showInputMessage="1" promptTitle="GSC Impressions" prompt="GSC Impressions. Review this metric to identify risk, then use linked tabs for details and remediation." sqref="BQ1" xr:uid="{00000000-0002-0000-0600-000044000000}">
      <formula1>TRUE</formula1>
    </dataValidation>
    <dataValidation type="custom" allowBlank="1" showInputMessage="1" promptTitle="GSC CTR" prompt="GSC CTR. Review this metric to identify risk, then use linked tabs for details and remediation." sqref="BR1" xr:uid="{00000000-0002-0000-0600-000045000000}">
      <formula1>TRUE</formula1>
    </dataValidation>
    <dataValidation type="custom" allowBlank="1" showInputMessage="1" promptTitle="GSC Avg Position" prompt="GSC Avg Position. Review this metric to identify risk, then use linked tabs for details and remediation." sqref="BS1" xr:uid="{00000000-0002-0000-0600-000046000000}">
      <formula1>TRUE</formula1>
    </dataValidation>
    <dataValidation type="custom" allowBlank="1" showInputMessage="1" promptTitle="Click Depth" prompt="Click Depth. Review this metric to identify risk, then use linked tabs for details and remediation." sqref="BT1" xr:uid="{00000000-0002-0000-0600-000047000000}">
      <formula1>TRUE</formula1>
    </dataValidation>
    <dataValidation type="custom" allowBlank="1" showInputMessage="1" promptTitle="Internal Inlinks" prompt="Link quality and crawl-path metric. Fix: repair broken links and improve internal linking relevance." sqref="BU1" xr:uid="{00000000-0002-0000-0600-000048000000}">
      <formula1>TRUE</formula1>
    </dataValidation>
    <dataValidation type="custom" allowBlank="1" showInputMessage="1" promptTitle="Orphan Pages" prompt="Orphan Pages. Review this metric to identify risk, then use linked tabs for details and remediation." sqref="BV1" xr:uid="{00000000-0002-0000-0600-000049000000}">
      <formula1>TRUE</formula1>
    </dataValidation>
    <dataValidation type="custom" allowBlank="1" showInputMessage="1" promptTitle="Internal PageRank" prompt="Internal PageRank. Review this metric to identify risk, then use linked tabs for details and remediation." sqref="BW1" xr:uid="{00000000-0002-0000-0600-00004A000000}">
      <formula1>TRUE</formula1>
    </dataValidation>
    <dataValidation type="custom" allowBlank="1" showInputMessage="1" promptTitle="Regional Authority Score" prompt="Regional Authority Score. Review this metric to identify risk, then use linked tabs for details and remediation." sqref="BX1" xr:uid="{00000000-0002-0000-0600-00004B000000}">
      <formula1>TRUE</formula1>
    </dataValidation>
    <dataValidation type="custom" allowBlank="1" showInputMessage="1" promptTitle="Regional Entity Hits" prompt="Regional Entity Hits. Review this metric to identify risk, then use linked tabs for details and remediation." sqref="BY1" xr:uid="{00000000-0002-0000-0600-00004C000000}">
      <formula1>TRUE</formula1>
    </dataValidation>
    <dataValidation type="custom" allowBlank="1" showInputMessage="1" promptTitle="Answer Block Detected (First 60 " prompt="Answer Block Detected (First 60 Words). Review this metric to identify risk, then use linked tabs for details and remediation." sqref="BZ1" xr:uid="{00000000-0002-0000-0600-00004D000000}">
      <formula1>TRUE</formula1>
    </dataValidation>
    <dataValidation type="custom" allowBlank="1" showInputMessage="1" promptTitle="AEO Extractability Score" prompt="AEO Extractability Score. Review this metric to identify risk, then use linked tabs for details and remediation." sqref="CA1" xr:uid="{00000000-0002-0000-0600-00004E000000}">
      <formula1>TRUE</formula1>
    </dataValidation>
    <dataValidation type="custom" allowBlank="1" showInputMessage="1" promptTitle="Critical Issues Count" prompt="Critical Issues Count. Review this metric to identify risk, then use linked tabs for details and remediation." sqref="CB1" xr:uid="{00000000-0002-0000-0600-00004F000000}">
      <formula1>TRUE</formula1>
    </dataValidation>
    <dataValidation type="custom" allowBlank="1" showInputMessage="1" promptTitle="Warning Issues Count" prompt="Warning Issues Count. Review this metric to identify risk, then use linked tabs for details and remediation." sqref="CC1" xr:uid="{00000000-0002-0000-0600-000050000000}">
      <formula1>TRUE</formula1>
    </dataValidation>
    <dataValidation type="custom" allowBlank="1" showInputMessage="1" promptTitle="Observation Issues Count" prompt="Observation Issues Count. Review this metric to identify risk, then use linked tabs for details and remediation." sqref="CD1" xr:uid="{00000000-0002-0000-0600-000051000000}">
      <formula1>TRUE</formula1>
    </dataValidation>
    <dataValidation type="custom" allowBlank="1" showInputMessage="1" promptTitle="Inlinks Bucket" prompt="Link quality and crawl-path metric. Fix: repair broken links and improve internal linking relevance." sqref="CE1" xr:uid="{00000000-0002-0000-0600-000052000000}">
      <formula1>TRUE</formula1>
    </dataValidation>
    <dataValidation type="custom" allowBlank="1" showInputMessage="1" promptTitle="Important But Underlinked" prompt="Link quality and crawl-path metric. Fix: repair broken links and improve internal linking relevance." sqref="CF1" xr:uid="{00000000-0002-0000-0600-000053000000}">
      <formula1>TRUE</formula1>
    </dataValidation>
    <dataValidation type="custom" allowBlank="1" showInputMessage="1" promptTitle="SERP Title Truncation Risk" prompt="SERP Title Truncation Risk. Review this metric to identify risk, then use linked tabs for details and remediation." sqref="CG1" xr:uid="{00000000-0002-0000-0600-000054000000}">
      <formula1>TRUE</formula1>
    </dataValidation>
    <dataValidation type="custom" allowBlank="1" showInputMessage="1" promptTitle="SERP Meta Truncation Risk" prompt="SERP Meta Truncation Risk. Review this metric to identify risk, then use linked tabs for details and remediation." sqref="CH1" xr:uid="{00000000-0002-0000-0600-000055000000}">
      <formula1>TRUE</formula1>
    </dataValidation>
    <dataValidation type="custom" allowBlank="1" showInputMessage="1" promptTitle="SERP Title Pixel Approx" prompt="SERP Title Pixel Approx. Review this metric to identify risk, then use linked tabs for details and remediation." sqref="CI1" xr:uid="{00000000-0002-0000-0600-000056000000}">
      <formula1>TRUE</formula1>
    </dataValidation>
    <dataValidation type="custom" allowBlank="1" showInputMessage="1" promptTitle="SERP Meta Pixel Approx" prompt="SERP Meta Pixel Approx. Review this metric to identify risk, then use linked tabs for details and remediation." sqref="CJ1" xr:uid="{00000000-0002-0000-0600-000057000000}">
      <formula1>TRUE</formula1>
    </dataValidation>
    <dataValidation type="custom" allowBlank="1" showInputMessage="1" promptTitle="Cannibalization Hint" prompt="Cannibalization Hint. Review this metric to identify risk, then use linked tabs for details and remediation." sqref="CK1" xr:uid="{00000000-0002-0000-0600-000058000000}">
      <formula1>TRUE</formula1>
    </dataValidation>
    <dataValidation type="custom" allowBlank="1" showInputMessage="1" promptTitle="Stable Issue IDs" prompt="Stable Issue IDs. Review this metric to identify risk, then use linked tabs for details and remediation." sqref="CL1" xr:uid="{00000000-0002-0000-0600-000059000000}">
      <formula1>TRUE</formula1>
    </dataValidation>
    <dataValidation type="custom" allowBlank="1" showInputMessage="1" promptTitle="URL Depth" prompt="URL Depth. Use this URL to inspect the page directly or jump to related tabs." sqref="CM1" xr:uid="{00000000-0002-0000-0600-00005A000000}">
      <formula1>TRUE</formula1>
    </dataValidation>
    <dataValidation type="custom" allowBlank="1" showInputMessage="1" promptTitle="Param URL Flag" prompt="Param URL Flag. Use this URL to inspect the page directly or jump to related tabs." sqref="CN1" xr:uid="{00000000-0002-0000-0600-00005B000000}">
      <formula1>TRUE</formula1>
    </dataValidation>
    <dataValidation type="custom" allowBlank="1" showInputMessage="1" promptTitle="Open in Main" prompt="Navigation helper. Click to jump directly to the related record in another tab." sqref="CO1" xr:uid="{00000000-0002-0000-0600-00005C000000}">
      <formula1>TRUE</formula1>
    </dataValidation>
    <dataValidation type="custom" allowBlank="1" showInputMessage="1" promptTitle="BACK TO DASHBOARD" prompt="BACK TO DASHBOARD. Review this metric to identify risk, then use linked tabs for details and remediation." sqref="CP1" xr:uid="{00000000-0002-0000-0600-00005D000000}">
      <formula1>TRUE</formula1>
    </dataValidation>
    <dataValidation type="custom" allowBlank="1" showInputMessage="1" promptTitle="TTFB (ms)" prompt="Time to First Byte. Measures server responsiveness. Fix: Optimize server-side code or use a CDN." sqref="H1" xr:uid="{00000000-0002-0000-0600-00005E000000}">
      <formula1>TRUE</formula1>
    </dataValidation>
    <dataValidation type="custom" allowBlank="1" showInputMessage="1" promptTitle="Indexability Reason" prompt="Primary reason this URL may not be indexed. Fix: Resolve noindex directives, non-200 responses, and canonical mismatches." sqref="G1" xr:uid="{00000000-0002-0000-0600-00005F000000}">
      <formula1>TRUE</formula1>
    </dataValidation>
    <dataValidation type="custom" allowBlank="1" showInputMessage="1" promptTitle="Status Code" prompt="HTTP status returned for the URL. Fix: Resolve 4xx/5xx errors and remove unnecessary redirect chains." sqref="B1" xr:uid="{00000000-0002-0000-0600-000060000000}">
      <formula1>TRUE</formula1>
    </dataValidation>
    <dataValidation type="custom" allowBlank="1" showInputMessage="1" promptTitle="SEO Health Score" prompt="Weighted technical SEO quality score for this URL. Fix: Prioritize critical issues and improve warnings in FixPlan." sqref="D1" xr:uid="{00000000-0002-0000-0600-000061000000}">
      <formula1>TRUE</formula1>
    </dataValidation>
    <dataValidation type="custom" allowBlank="1" showInputMessage="1" promptTitle="Canonical Type" prompt="Canonical relationship classification. Fix: Use self-canonical on indexable pages; avoid unintended cross-canonicals." sqref="L1" xr:uid="{00000000-0002-0000-0600-000062000000}">
      <formula1>TRUE</formula1>
    </dataValidation>
    <dataValidation type="custom" allowBlank="1" showInputMessage="1" promptTitle="Redirect Chain Length" prompt="Number of redirect hops before final destination. Fix: Reduce to a single hop where possible." sqref="W1" xr:uid="{00000000-0002-0000-0600-000063000000}">
      <formula1>TRUE</formula1>
    </dataValidation>
  </dataValidations>
  <hyperlinks>
    <hyperlink ref="CP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2" customWidth="1"/>
    <col min="3" max="3" width="17" customWidth="1"/>
    <col min="4" max="4" width="28" customWidth="1"/>
    <col min="5" max="5" width="10" customWidth="1"/>
    <col min="6" max="6" width="17" customWidth="1"/>
    <col min="7" max="7" width="18" customWidth="1"/>
    <col min="8" max="8" width="15" customWidth="1"/>
    <col min="9" max="9" width="26" customWidth="1"/>
    <col min="10" max="10" width="19" customWidth="1"/>
    <col min="11" max="11" width="16" customWidth="1"/>
    <col min="12" max="12" width="25" customWidth="1"/>
  </cols>
  <sheetData>
    <row r="1" spans="1:14" ht="45" x14ac:dyDescent="0.25">
      <c r="A1" s="26" t="s">
        <v>102</v>
      </c>
      <c r="B1" s="26" t="s">
        <v>541</v>
      </c>
      <c r="C1" s="26" t="s">
        <v>542</v>
      </c>
      <c r="D1" s="26" t="s">
        <v>543</v>
      </c>
      <c r="E1" s="26" t="s">
        <v>544</v>
      </c>
      <c r="F1" s="26" t="s">
        <v>545</v>
      </c>
      <c r="G1" s="26" t="s">
        <v>546</v>
      </c>
      <c r="H1" s="26" t="s">
        <v>547</v>
      </c>
      <c r="I1" s="26" t="s">
        <v>548</v>
      </c>
      <c r="J1" s="26" t="s">
        <v>549</v>
      </c>
      <c r="K1" s="26" t="s">
        <v>550</v>
      </c>
      <c r="L1" s="26" t="s">
        <v>551</v>
      </c>
      <c r="M1" s="26" t="s">
        <v>122</v>
      </c>
      <c r="N1" s="35" t="s">
        <v>211</v>
      </c>
    </row>
    <row r="2" spans="1:14" ht="30" customHeight="1" x14ac:dyDescent="0.25">
      <c r="A2" s="32" t="s">
        <v>144</v>
      </c>
      <c r="B2" s="27">
        <v>354</v>
      </c>
      <c r="C2" s="45" t="s">
        <v>552</v>
      </c>
      <c r="D2" s="27">
        <v>179.2</v>
      </c>
      <c r="E2" s="27">
        <v>2</v>
      </c>
      <c r="F2" s="34" t="b">
        <v>0</v>
      </c>
      <c r="G2" s="27" t="b">
        <v>1</v>
      </c>
      <c r="H2" s="34" t="b">
        <v>0</v>
      </c>
      <c r="I2" s="34" t="b">
        <v>0</v>
      </c>
      <c r="J2" s="34" t="b">
        <v>0</v>
      </c>
      <c r="K2" s="27">
        <v>13</v>
      </c>
      <c r="L2" s="27"/>
      <c r="M2" s="33" t="str">
        <f>IFERROR(HYPERLINK("#Main!A"&amp;MATCH(A2,Main!A:A,0),"Open"),HYPERLINK("#Main!A1","Open"))</f>
        <v>Open</v>
      </c>
      <c r="N2" s="33"/>
    </row>
    <row r="3" spans="1:14" ht="15.75" x14ac:dyDescent="0.25">
      <c r="A3" s="29" t="s">
        <v>127</v>
      </c>
      <c r="B3" s="36">
        <v>35</v>
      </c>
      <c r="C3" s="28" t="s">
        <v>553</v>
      </c>
      <c r="D3" s="36">
        <v>189.07</v>
      </c>
      <c r="E3" s="36">
        <v>5</v>
      </c>
      <c r="F3" s="34" t="b">
        <v>0</v>
      </c>
      <c r="G3" s="36" t="b">
        <v>1</v>
      </c>
      <c r="H3" s="34" t="b">
        <v>0</v>
      </c>
      <c r="I3" s="34" t="b">
        <v>0</v>
      </c>
      <c r="J3" s="28" t="b">
        <v>1</v>
      </c>
      <c r="K3" s="36">
        <v>2</v>
      </c>
      <c r="L3" s="36"/>
      <c r="M3" t="str">
        <f>IFERROR(HYPERLINK("#Main!A"&amp;MATCH(A3,Main!A:A,0),"Open"),HYPERLINK("#Main!A1","Open"))</f>
        <v>Open</v>
      </c>
    </row>
    <row r="4" spans="1:14" ht="30" customHeight="1" x14ac:dyDescent="0.25">
      <c r="A4" s="32" t="s">
        <v>135</v>
      </c>
      <c r="B4" s="27">
        <v>235</v>
      </c>
      <c r="C4" s="28" t="s">
        <v>553</v>
      </c>
      <c r="D4" s="27">
        <v>172.76</v>
      </c>
      <c r="E4" s="27">
        <v>1</v>
      </c>
      <c r="F4" s="34" t="b">
        <v>0</v>
      </c>
      <c r="G4" s="27" t="b">
        <v>0</v>
      </c>
      <c r="H4" s="34" t="b">
        <v>0</v>
      </c>
      <c r="I4" s="34" t="b">
        <v>0</v>
      </c>
      <c r="J4" s="28" t="b">
        <v>1</v>
      </c>
      <c r="K4" s="27">
        <v>7</v>
      </c>
      <c r="L4" s="27"/>
      <c r="M4" s="33" t="str">
        <f>IFERROR(HYPERLINK("#Main!A"&amp;MATCH(A4,Main!A:A,0),"Open"),HYPERLINK("#Main!A1","Open"))</f>
        <v>Open</v>
      </c>
      <c r="N4" s="33"/>
    </row>
    <row r="5" spans="1:14" ht="30" customHeight="1" x14ac:dyDescent="0.25">
      <c r="A5" s="29" t="s">
        <v>152</v>
      </c>
      <c r="B5" s="36">
        <v>1668</v>
      </c>
      <c r="C5" s="34" t="s">
        <v>554</v>
      </c>
      <c r="D5" s="36">
        <v>178.62</v>
      </c>
      <c r="E5" s="36">
        <v>2</v>
      </c>
      <c r="F5" s="34" t="b">
        <v>0</v>
      </c>
      <c r="G5" s="36" t="b">
        <v>1</v>
      </c>
      <c r="H5" s="34" t="b">
        <v>0</v>
      </c>
      <c r="I5" s="34" t="b">
        <v>0</v>
      </c>
      <c r="J5" s="34" t="b">
        <v>0</v>
      </c>
      <c r="K5" s="36">
        <v>60</v>
      </c>
      <c r="L5" s="36"/>
      <c r="M5" t="str">
        <f>IFERROR(HYPERLINK("#Main!A"&amp;MATCH(A5,Main!A:A,0),"Open"),HYPERLINK("#Main!A1","Open"))</f>
        <v>Open</v>
      </c>
    </row>
    <row r="6" spans="1:14" ht="30" customHeight="1" x14ac:dyDescent="0.25">
      <c r="A6" s="32" t="s">
        <v>169</v>
      </c>
      <c r="B6" s="27">
        <v>120</v>
      </c>
      <c r="C6" s="28" t="s">
        <v>553</v>
      </c>
      <c r="D6" s="27">
        <v>145.94</v>
      </c>
      <c r="E6" s="27">
        <v>0</v>
      </c>
      <c r="F6" s="28" t="b">
        <v>1</v>
      </c>
      <c r="G6" s="27" t="b">
        <v>0</v>
      </c>
      <c r="H6" s="34" t="b">
        <v>0</v>
      </c>
      <c r="I6" s="34" t="b">
        <v>0</v>
      </c>
      <c r="J6" s="28" t="b">
        <v>1</v>
      </c>
      <c r="K6" s="27">
        <v>2</v>
      </c>
      <c r="L6" s="27"/>
      <c r="M6" s="33" t="str">
        <f>IFERROR(HYPERLINK("#Main!A"&amp;MATCH(A6,Main!A:A,0),"Open"),HYPERLINK("#Main!A1","Open"))</f>
        <v>Open</v>
      </c>
      <c r="N6" s="33"/>
    </row>
    <row r="7" spans="1:14" ht="30" customHeight="1" x14ac:dyDescent="0.25">
      <c r="A7" s="29" t="s">
        <v>161</v>
      </c>
      <c r="B7" s="36">
        <v>32</v>
      </c>
      <c r="C7" s="28" t="s">
        <v>553</v>
      </c>
      <c r="D7" s="36">
        <v>196.01</v>
      </c>
      <c r="E7" s="36">
        <v>0</v>
      </c>
      <c r="F7" s="28" t="b">
        <v>1</v>
      </c>
      <c r="G7" s="36" t="b">
        <v>0</v>
      </c>
      <c r="H7" s="34" t="b">
        <v>0</v>
      </c>
      <c r="I7" s="34" t="b">
        <v>0</v>
      </c>
      <c r="J7" s="28" t="b">
        <v>1</v>
      </c>
      <c r="K7" s="36">
        <v>3</v>
      </c>
      <c r="L7" s="36"/>
      <c r="M7" t="str">
        <f>IFERROR(HYPERLINK("#Main!A"&amp;MATCH(A7,Main!A:A,0),"Open"),HYPERLINK("#Main!A1","Open"))</f>
        <v>Open</v>
      </c>
    </row>
    <row r="8" spans="1:14" ht="30" customHeight="1" x14ac:dyDescent="0.25">
      <c r="A8" s="32" t="s">
        <v>177</v>
      </c>
      <c r="B8" s="27">
        <v>367</v>
      </c>
      <c r="C8" s="45" t="s">
        <v>552</v>
      </c>
      <c r="D8" s="27">
        <v>178.18</v>
      </c>
      <c r="E8" s="27">
        <v>0</v>
      </c>
      <c r="F8" s="28" t="b">
        <v>1</v>
      </c>
      <c r="G8" s="27" t="b">
        <v>0</v>
      </c>
      <c r="H8" s="34" t="b">
        <v>0</v>
      </c>
      <c r="I8" s="34" t="b">
        <v>0</v>
      </c>
      <c r="J8" s="34" t="b">
        <v>0</v>
      </c>
      <c r="K8" s="27">
        <v>13</v>
      </c>
      <c r="L8" s="27"/>
      <c r="M8" s="33" t="str">
        <f>IFERROR(HYPERLINK("#Main!A"&amp;MATCH(A8,Main!A:A,0),"Open"),HYPERLINK("#Main!A1","Open"))</f>
        <v>Open</v>
      </c>
      <c r="N8" s="33"/>
    </row>
    <row r="9" spans="1:14" ht="30" customHeight="1" x14ac:dyDescent="0.25">
      <c r="A9" s="29" t="s">
        <v>186</v>
      </c>
      <c r="B9" s="36">
        <v>415</v>
      </c>
      <c r="C9" s="45" t="s">
        <v>552</v>
      </c>
      <c r="D9" s="36">
        <v>168.54</v>
      </c>
      <c r="E9" s="36">
        <v>1</v>
      </c>
      <c r="F9" s="34" t="b">
        <v>0</v>
      </c>
      <c r="G9" s="36" t="b">
        <v>0</v>
      </c>
      <c r="H9" s="34" t="b">
        <v>0</v>
      </c>
      <c r="I9" s="34" t="b">
        <v>0</v>
      </c>
      <c r="J9" s="34" t="b">
        <v>0</v>
      </c>
      <c r="K9" s="36">
        <v>11</v>
      </c>
      <c r="L9" s="36"/>
      <c r="M9" t="str">
        <f>IFERROR(HYPERLINK("#Main!A"&amp;MATCH(A9,Main!A:A,0),"Open"),HYPERLINK("#Main!A1","Open"))</f>
        <v>Open</v>
      </c>
    </row>
    <row r="10" spans="1:14" ht="30" customHeight="1" x14ac:dyDescent="0.25">
      <c r="A10" s="32" t="s">
        <v>194</v>
      </c>
      <c r="B10" s="27">
        <v>326</v>
      </c>
      <c r="C10" s="45" t="s">
        <v>552</v>
      </c>
      <c r="D10" s="27">
        <v>176.75</v>
      </c>
      <c r="E10" s="27">
        <v>1</v>
      </c>
      <c r="F10" s="34" t="b">
        <v>0</v>
      </c>
      <c r="G10" s="27" t="b">
        <v>0</v>
      </c>
      <c r="H10" s="34" t="b">
        <v>0</v>
      </c>
      <c r="I10" s="34" t="b">
        <v>0</v>
      </c>
      <c r="J10" s="34" t="b">
        <v>0</v>
      </c>
      <c r="K10" s="27">
        <v>11</v>
      </c>
      <c r="L10" s="27"/>
      <c r="M10" s="33" t="str">
        <f>IFERROR(HYPERLINK("#Main!A"&amp;MATCH(A10,Main!A:A,0),"Open"),HYPERLINK("#Main!A1","Open"))</f>
        <v>Open</v>
      </c>
      <c r="N10" s="33"/>
    </row>
    <row r="11" spans="1:14" ht="30" customHeight="1" x14ac:dyDescent="0.25">
      <c r="A11" s="29" t="s">
        <v>202</v>
      </c>
      <c r="B11" s="36">
        <v>31</v>
      </c>
      <c r="C11" s="28" t="s">
        <v>553</v>
      </c>
      <c r="D11" s="36">
        <v>175.37</v>
      </c>
      <c r="E11" s="36">
        <v>0</v>
      </c>
      <c r="F11" s="28" t="b">
        <v>1</v>
      </c>
      <c r="G11" s="36" t="b">
        <v>0</v>
      </c>
      <c r="H11" s="34" t="b">
        <v>0</v>
      </c>
      <c r="I11" s="28" t="b">
        <v>1</v>
      </c>
      <c r="J11" s="28" t="b">
        <v>1</v>
      </c>
      <c r="K11" s="36">
        <v>1</v>
      </c>
      <c r="L11" s="36"/>
      <c r="M11" t="str">
        <f>IFERROR(HYPERLINK("#Main!A"&amp;MATCH(A11,Main!A:A,0),"Open"),HYPERLINK("#Main!A1","Open"))</f>
        <v>Open</v>
      </c>
    </row>
  </sheetData>
  <autoFilter ref="A1:N11" xr:uid="{00000000-0009-0000-0000-000007000000}"/>
  <conditionalFormatting sqref="B2:B11">
    <cfRule type="colorScale" priority="1">
      <colorScale>
        <cfvo type="min"/>
        <cfvo type="percentile" val="50"/>
        <cfvo type="max"/>
        <color rgb="FFF8696B"/>
        <color rgb="FFFFEB84"/>
        <color rgb="FF63BE7B"/>
      </colorScale>
    </cfRule>
    <cfRule type="dataBar" priority="2">
      <dataBar>
        <cfvo type="min"/>
        <cfvo type="max"/>
        <color rgb="FF63BE7B"/>
      </dataBar>
    </cfRule>
  </conditionalFormatting>
  <dataValidations count="14">
    <dataValidation type="custom" allowBlank="1" showInputMessage="1" promptTitle="URL" prompt="URL. Use this URL to inspect the page directly or jump to related tabs." sqref="A1" xr:uid="{00000000-0002-0000-0700-000000000000}">
      <formula1>TRUE</formula1>
    </dataValidation>
    <dataValidation type="custom" allowBlank="1" showInputMessage="1" promptTitle="Word Count" prompt="Content quality depth metric. Fix: expand thin content and improve clarity for search intent." sqref="B1" xr:uid="{00000000-0002-0000-0700-000001000000}">
      <formula1>TRUE</formula1>
    </dataValidation>
    <dataValidation type="custom" allowBlank="1" showInputMessage="1" promptTitle="Word Count Band" prompt="Content quality depth metric. Fix: expand thin content and improve clarity for search intent." sqref="C1" xr:uid="{00000000-0002-0000-0700-000002000000}">
      <formula1>TRUE</formula1>
    </dataValidation>
    <dataValidation type="custom" allowBlank="1" showInputMessage="1" promptTitle="Readability (Rough Flesch)" prompt="Content quality depth metric. Fix: expand thin content and improve clarity for search intent." sqref="D1" xr:uid="{00000000-0002-0000-0700-000003000000}">
      <formula1>TRUE</formula1>
    </dataValidation>
    <dataValidation type="custom" allowBlank="1" showInputMessage="1" promptTitle="H1 Count" prompt="H1 Count. Review this metric to identify risk, then use linked tabs for details and remediation." sqref="E1" xr:uid="{00000000-0002-0000-0700-000004000000}">
      <formula1>TRUE</formula1>
    </dataValidation>
    <dataValidation type="custom" allowBlank="1" showInputMessage="1" promptTitle="Missing H1 Flag" prompt="Missing H1 Flag. Review this metric to identify risk, then use linked tabs for details and remediation." sqref="F1" xr:uid="{00000000-0002-0000-0700-000005000000}">
      <formula1>TRUE</formula1>
    </dataValidation>
    <dataValidation type="custom" allowBlank="1" showInputMessage="1" promptTitle="Multiple H1 Flag" prompt="Multiple H1 Flag. Review this metric to identify risk, then use linked tabs for details and remediation." sqref="G1" xr:uid="{00000000-0002-0000-0700-000006000000}">
      <formula1>TRUE</formula1>
    </dataValidation>
    <dataValidation type="custom" allowBlank="1" showInputMessage="1" promptTitle="Title Missing" prompt="Title Missing. Review this metric to identify risk, then use linked tabs for details and remediation." sqref="H1" xr:uid="{00000000-0002-0000-0700-000007000000}">
      <formula1>TRUE</formula1>
    </dataValidation>
    <dataValidation type="custom" allowBlank="1" showInputMessage="1" promptTitle="Meta Description Missing" prompt="Meta Description Missing. Review this metric to identify risk, then use linked tabs for details and remediation." sqref="I1" xr:uid="{00000000-0002-0000-0700-000008000000}">
      <formula1>TRUE</formula1>
    </dataValidation>
    <dataValidation type="custom" allowBlank="1" showInputMessage="1" promptTitle="Thin Content Flag" prompt="Thin Content Flag. Review this metric to identify risk, then use linked tabs for details and remediation." sqref="J1" xr:uid="{00000000-0002-0000-0700-000009000000}">
      <formula1>TRUE</formula1>
    </dataValidation>
    <dataValidation type="custom" allowBlank="1" showInputMessage="1" promptTitle="Sentence Count" prompt="Sentence Count. Review this metric to identify risk, then use linked tabs for details and remediation." sqref="K1" xr:uid="{00000000-0002-0000-0700-00000A000000}">
      <formula1>TRUE</formula1>
    </dataValidation>
    <dataValidation type="custom" allowBlank="1" showInputMessage="1" promptTitle="Body Text-to-HTML Ratio" prompt="Body Text-to-HTML Ratio. Review this metric to identify risk, then use linked tabs for details and remediation." sqref="L1" xr:uid="{00000000-0002-0000-0700-00000B000000}">
      <formula1>TRUE</formula1>
    </dataValidation>
    <dataValidation type="custom" allowBlank="1" showInputMessage="1" promptTitle="Open in Main" prompt="Navigation helper. Click to jump directly to the related record in another tab." sqref="M1" xr:uid="{00000000-0002-0000-0700-00000C000000}">
      <formula1>TRUE</formula1>
    </dataValidation>
    <dataValidation type="custom" allowBlank="1" showInputMessage="1" promptTitle="BACK TO DASHBOARD" prompt="BACK TO DASHBOARD. Review this metric to identify risk, then use linked tabs for details and remediation." sqref="N1" xr:uid="{00000000-0002-0000-0700-00000D000000}">
      <formula1>TRUE</formula1>
    </dataValidation>
  </dataValidations>
  <hyperlinks>
    <hyperlink ref="N1" location="Dashboard!A1" display="BACK TO DASHBOARD" xr:uid="{00000000-0004-0000-0700-000000000000}"/>
    <hyperlink ref="A2" r:id="rId1" xr:uid="{00000000-0004-0000-0700-000001000000}"/>
    <hyperlink ref="A3" r:id="rId2" xr:uid="{00000000-0004-0000-0700-000002000000}"/>
    <hyperlink ref="A4" r:id="rId3" xr:uid="{00000000-0004-0000-0700-000003000000}"/>
    <hyperlink ref="A5" r:id="rId4" xr:uid="{00000000-0004-0000-0700-000004000000}"/>
    <hyperlink ref="A6" r:id="rId5" xr:uid="{00000000-0004-0000-0700-000005000000}"/>
    <hyperlink ref="A7" r:id="rId6" xr:uid="{00000000-0004-0000-0700-000006000000}"/>
    <hyperlink ref="A8" r:id="rId7" xr:uid="{00000000-0004-0000-0700-000007000000}"/>
    <hyperlink ref="A9" r:id="rId8" xr:uid="{00000000-0004-0000-0700-000008000000}"/>
    <hyperlink ref="A10" r:id="rId9" xr:uid="{00000000-0004-0000-0700-000009000000}"/>
    <hyperlink ref="A11" r:id="rId10" xr:uid="{00000000-0004-0000-0700-00000A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2" customWidth="1"/>
    <col min="4" max="4" width="60" customWidth="1"/>
    <col min="5" max="5" width="19" customWidth="1"/>
    <col min="6" max="6" width="24" customWidth="1"/>
    <col min="7" max="7" width="30" customWidth="1"/>
    <col min="8" max="8" width="27" customWidth="1"/>
    <col min="9" max="9" width="26" customWidth="1"/>
    <col min="10" max="10" width="14" customWidth="1"/>
    <col min="11" max="11" width="19" customWidth="1"/>
    <col min="12" max="12" width="26" customWidth="1"/>
    <col min="13" max="13" width="40" customWidth="1"/>
    <col min="14" max="14" width="26" customWidth="1"/>
    <col min="15" max="15" width="24" customWidth="1"/>
    <col min="16" max="16" width="15" customWidth="1"/>
    <col min="17" max="17" width="26" customWidth="1"/>
  </cols>
  <sheetData>
    <row r="1" spans="1:19" ht="45" x14ac:dyDescent="0.25">
      <c r="A1" s="26" t="s">
        <v>102</v>
      </c>
      <c r="B1" s="26" t="s">
        <v>555</v>
      </c>
      <c r="C1" s="26" t="s">
        <v>556</v>
      </c>
      <c r="D1" s="26" t="s">
        <v>210</v>
      </c>
      <c r="E1" s="26" t="s">
        <v>557</v>
      </c>
      <c r="F1" s="26" t="s">
        <v>558</v>
      </c>
      <c r="G1" s="26" t="s">
        <v>559</v>
      </c>
      <c r="H1" s="26" t="s">
        <v>560</v>
      </c>
      <c r="I1" s="26" t="s">
        <v>561</v>
      </c>
      <c r="J1" s="26" t="s">
        <v>562</v>
      </c>
      <c r="K1" s="26" t="s">
        <v>563</v>
      </c>
      <c r="L1" s="26" t="s">
        <v>564</v>
      </c>
      <c r="M1" s="26" t="s">
        <v>492</v>
      </c>
      <c r="N1" s="26" t="s">
        <v>493</v>
      </c>
      <c r="O1" s="26" t="s">
        <v>565</v>
      </c>
      <c r="P1" s="26" t="s">
        <v>547</v>
      </c>
      <c r="Q1" s="26" t="s">
        <v>548</v>
      </c>
      <c r="R1" s="26" t="s">
        <v>122</v>
      </c>
      <c r="S1" s="35" t="s">
        <v>211</v>
      </c>
    </row>
    <row r="2" spans="1:19" ht="30" customHeight="1" x14ac:dyDescent="0.25">
      <c r="A2" s="32" t="s">
        <v>144</v>
      </c>
      <c r="B2" s="49">
        <v>0</v>
      </c>
      <c r="C2" s="27" t="s">
        <v>566</v>
      </c>
      <c r="D2" s="27" t="s">
        <v>567</v>
      </c>
      <c r="E2" s="27">
        <v>0</v>
      </c>
      <c r="F2" s="27">
        <v>0</v>
      </c>
      <c r="G2" s="27">
        <v>0</v>
      </c>
      <c r="H2" s="45" t="b">
        <v>0</v>
      </c>
      <c r="I2" s="45" t="b">
        <v>0</v>
      </c>
      <c r="J2" s="27" t="b">
        <v>0</v>
      </c>
      <c r="K2" s="27" t="b">
        <v>0</v>
      </c>
      <c r="L2" s="27" t="b">
        <v>0</v>
      </c>
      <c r="M2" s="27" t="b">
        <v>0</v>
      </c>
      <c r="N2" s="27" t="s">
        <v>82</v>
      </c>
      <c r="O2" s="27"/>
      <c r="P2" s="34" t="b">
        <v>0</v>
      </c>
      <c r="Q2" s="34" t="b">
        <v>0</v>
      </c>
      <c r="R2" s="33" t="str">
        <f>IFERROR(HYPERLINK("#Main!A"&amp;MATCH(A2,Main!A:A,0),"Open"),HYPERLINK("#Main!A1","Open"))</f>
        <v>Open</v>
      </c>
      <c r="S2" s="33"/>
    </row>
    <row r="3" spans="1:19" ht="15.75" x14ac:dyDescent="0.25">
      <c r="A3" s="29" t="s">
        <v>127</v>
      </c>
      <c r="B3" s="52">
        <v>0</v>
      </c>
      <c r="C3" s="36" t="s">
        <v>566</v>
      </c>
      <c r="D3" s="36" t="s">
        <v>567</v>
      </c>
      <c r="E3" s="36">
        <v>0</v>
      </c>
      <c r="F3" s="36">
        <v>0</v>
      </c>
      <c r="G3" s="36">
        <v>0</v>
      </c>
      <c r="H3" s="45" t="b">
        <v>0</v>
      </c>
      <c r="I3" s="45" t="b">
        <v>0</v>
      </c>
      <c r="J3" s="36" t="b">
        <v>0</v>
      </c>
      <c r="K3" s="36" t="b">
        <v>0</v>
      </c>
      <c r="L3" s="36" t="b">
        <v>0</v>
      </c>
      <c r="M3" s="36" t="b">
        <v>0</v>
      </c>
      <c r="N3" s="36" t="s">
        <v>82</v>
      </c>
      <c r="O3" s="36"/>
      <c r="P3" s="34" t="b">
        <v>0</v>
      </c>
      <c r="Q3" s="34" t="b">
        <v>0</v>
      </c>
      <c r="R3" t="str">
        <f>IFERROR(HYPERLINK("#Main!A"&amp;MATCH(A3,Main!A:A,0),"Open"),HYPERLINK("#Main!A1","Open"))</f>
        <v>Open</v>
      </c>
    </row>
    <row r="4" spans="1:19" ht="30" customHeight="1" x14ac:dyDescent="0.25">
      <c r="A4" s="32" t="s">
        <v>135</v>
      </c>
      <c r="B4" s="49">
        <v>0</v>
      </c>
      <c r="C4" s="27" t="s">
        <v>566</v>
      </c>
      <c r="D4" s="27" t="s">
        <v>567</v>
      </c>
      <c r="E4" s="27">
        <v>0</v>
      </c>
      <c r="F4" s="27">
        <v>0</v>
      </c>
      <c r="G4" s="27">
        <v>0</v>
      </c>
      <c r="H4" s="45" t="b">
        <v>0</v>
      </c>
      <c r="I4" s="45" t="b">
        <v>0</v>
      </c>
      <c r="J4" s="27" t="b">
        <v>0</v>
      </c>
      <c r="K4" s="27" t="b">
        <v>0</v>
      </c>
      <c r="L4" s="27" t="b">
        <v>0</v>
      </c>
      <c r="M4" s="27" t="b">
        <v>0</v>
      </c>
      <c r="N4" s="27" t="s">
        <v>82</v>
      </c>
      <c r="O4" s="27"/>
      <c r="P4" s="34" t="b">
        <v>0</v>
      </c>
      <c r="Q4" s="34" t="b">
        <v>0</v>
      </c>
      <c r="R4" s="33" t="str">
        <f>IFERROR(HYPERLINK("#Main!A"&amp;MATCH(A4,Main!A:A,0),"Open"),HYPERLINK("#Main!A1","Open"))</f>
        <v>Open</v>
      </c>
      <c r="S4" s="33"/>
    </row>
    <row r="5" spans="1:19" ht="30" customHeight="1" x14ac:dyDescent="0.25">
      <c r="A5" s="29" t="s">
        <v>152</v>
      </c>
      <c r="B5" s="52">
        <v>0</v>
      </c>
      <c r="C5" s="36" t="s">
        <v>566</v>
      </c>
      <c r="D5" s="36" t="s">
        <v>567</v>
      </c>
      <c r="E5" s="36">
        <v>0</v>
      </c>
      <c r="F5" s="36">
        <v>0</v>
      </c>
      <c r="G5" s="36">
        <v>0</v>
      </c>
      <c r="H5" s="45" t="b">
        <v>0</v>
      </c>
      <c r="I5" s="45" t="b">
        <v>0</v>
      </c>
      <c r="J5" s="36" t="b">
        <v>0</v>
      </c>
      <c r="K5" s="36" t="b">
        <v>0</v>
      </c>
      <c r="L5" s="36" t="b">
        <v>0</v>
      </c>
      <c r="M5" s="36" t="b">
        <v>1</v>
      </c>
      <c r="N5" s="36" t="s">
        <v>82</v>
      </c>
      <c r="O5" s="36"/>
      <c r="P5" s="34" t="b">
        <v>0</v>
      </c>
      <c r="Q5" s="34" t="b">
        <v>0</v>
      </c>
      <c r="R5" t="str">
        <f>IFERROR(HYPERLINK("#Main!A"&amp;MATCH(A5,Main!A:A,0),"Open"),HYPERLINK("#Main!A1","Open"))</f>
        <v>Open</v>
      </c>
    </row>
    <row r="6" spans="1:19" ht="30" customHeight="1" x14ac:dyDescent="0.25">
      <c r="A6" s="32" t="s">
        <v>169</v>
      </c>
      <c r="B6" s="49">
        <v>0</v>
      </c>
      <c r="C6" s="27" t="s">
        <v>566</v>
      </c>
      <c r="D6" s="27" t="s">
        <v>567</v>
      </c>
      <c r="E6" s="27">
        <v>0</v>
      </c>
      <c r="F6" s="27">
        <v>0</v>
      </c>
      <c r="G6" s="27">
        <v>0</v>
      </c>
      <c r="H6" s="45" t="b">
        <v>0</v>
      </c>
      <c r="I6" s="45" t="b">
        <v>0</v>
      </c>
      <c r="J6" s="27" t="b">
        <v>0</v>
      </c>
      <c r="K6" s="27" t="b">
        <v>0</v>
      </c>
      <c r="L6" s="27" t="b">
        <v>0</v>
      </c>
      <c r="M6" s="27" t="b">
        <v>0</v>
      </c>
      <c r="N6" s="27" t="s">
        <v>82</v>
      </c>
      <c r="O6" s="27"/>
      <c r="P6" s="34" t="b">
        <v>0</v>
      </c>
      <c r="Q6" s="34" t="b">
        <v>0</v>
      </c>
      <c r="R6" s="33" t="str">
        <f>IFERROR(HYPERLINK("#Main!A"&amp;MATCH(A6,Main!A:A,0),"Open"),HYPERLINK("#Main!A1","Open"))</f>
        <v>Open</v>
      </c>
      <c r="S6" s="33"/>
    </row>
    <row r="7" spans="1:19" ht="30" customHeight="1" x14ac:dyDescent="0.25">
      <c r="A7" s="29" t="s">
        <v>161</v>
      </c>
      <c r="B7" s="52">
        <v>0</v>
      </c>
      <c r="C7" s="36" t="s">
        <v>566</v>
      </c>
      <c r="D7" s="36" t="s">
        <v>567</v>
      </c>
      <c r="E7" s="36">
        <v>0</v>
      </c>
      <c r="F7" s="36">
        <v>0</v>
      </c>
      <c r="G7" s="36">
        <v>0</v>
      </c>
      <c r="H7" s="45" t="b">
        <v>0</v>
      </c>
      <c r="I7" s="45" t="b">
        <v>0</v>
      </c>
      <c r="J7" s="36" t="b">
        <v>0</v>
      </c>
      <c r="K7" s="36" t="b">
        <v>0</v>
      </c>
      <c r="L7" s="36" t="b">
        <v>0</v>
      </c>
      <c r="M7" s="36" t="b">
        <v>0</v>
      </c>
      <c r="N7" s="36" t="s">
        <v>82</v>
      </c>
      <c r="O7" s="36"/>
      <c r="P7" s="34" t="b">
        <v>0</v>
      </c>
      <c r="Q7" s="34" t="b">
        <v>0</v>
      </c>
      <c r="R7" t="str">
        <f>IFERROR(HYPERLINK("#Main!A"&amp;MATCH(A7,Main!A:A,0),"Open"),HYPERLINK("#Main!A1","Open"))</f>
        <v>Open</v>
      </c>
    </row>
    <row r="8" spans="1:19" ht="30" customHeight="1" x14ac:dyDescent="0.25">
      <c r="A8" s="32" t="s">
        <v>177</v>
      </c>
      <c r="B8" s="49">
        <v>0</v>
      </c>
      <c r="C8" s="27" t="s">
        <v>566</v>
      </c>
      <c r="D8" s="27" t="s">
        <v>567</v>
      </c>
      <c r="E8" s="27">
        <v>0</v>
      </c>
      <c r="F8" s="27">
        <v>0</v>
      </c>
      <c r="G8" s="27">
        <v>0</v>
      </c>
      <c r="H8" s="45" t="b">
        <v>0</v>
      </c>
      <c r="I8" s="45" t="b">
        <v>0</v>
      </c>
      <c r="J8" s="27" t="b">
        <v>0</v>
      </c>
      <c r="K8" s="27" t="b">
        <v>0</v>
      </c>
      <c r="L8" s="27" t="b">
        <v>0</v>
      </c>
      <c r="M8" s="27" t="b">
        <v>0</v>
      </c>
      <c r="N8" s="27" t="s">
        <v>82</v>
      </c>
      <c r="O8" s="27"/>
      <c r="P8" s="34" t="b">
        <v>0</v>
      </c>
      <c r="Q8" s="34" t="b">
        <v>0</v>
      </c>
      <c r="R8" s="33" t="str">
        <f>IFERROR(HYPERLINK("#Main!A"&amp;MATCH(A8,Main!A:A,0),"Open"),HYPERLINK("#Main!A1","Open"))</f>
        <v>Open</v>
      </c>
      <c r="S8" s="33"/>
    </row>
    <row r="9" spans="1:19" ht="30" customHeight="1" x14ac:dyDescent="0.25">
      <c r="A9" s="29" t="s">
        <v>186</v>
      </c>
      <c r="B9" s="52">
        <v>0</v>
      </c>
      <c r="C9" s="36" t="s">
        <v>566</v>
      </c>
      <c r="D9" s="36" t="s">
        <v>567</v>
      </c>
      <c r="E9" s="36">
        <v>0</v>
      </c>
      <c r="F9" s="36">
        <v>0</v>
      </c>
      <c r="G9" s="36">
        <v>0</v>
      </c>
      <c r="H9" s="45" t="b">
        <v>0</v>
      </c>
      <c r="I9" s="45" t="b">
        <v>0</v>
      </c>
      <c r="J9" s="36" t="b">
        <v>0</v>
      </c>
      <c r="K9" s="36" t="b">
        <v>0</v>
      </c>
      <c r="L9" s="36" t="b">
        <v>0</v>
      </c>
      <c r="M9" s="36" t="b">
        <v>0</v>
      </c>
      <c r="N9" s="36" t="s">
        <v>82</v>
      </c>
      <c r="O9" s="36"/>
      <c r="P9" s="34" t="b">
        <v>0</v>
      </c>
      <c r="Q9" s="34" t="b">
        <v>0</v>
      </c>
      <c r="R9" t="str">
        <f>IFERROR(HYPERLINK("#Main!A"&amp;MATCH(A9,Main!A:A,0),"Open"),HYPERLINK("#Main!A1","Open"))</f>
        <v>Open</v>
      </c>
    </row>
    <row r="10" spans="1:19" ht="30" customHeight="1" x14ac:dyDescent="0.25">
      <c r="A10" s="32" t="s">
        <v>194</v>
      </c>
      <c r="B10" s="49">
        <v>0</v>
      </c>
      <c r="C10" s="27" t="s">
        <v>566</v>
      </c>
      <c r="D10" s="27" t="s">
        <v>567</v>
      </c>
      <c r="E10" s="27">
        <v>0</v>
      </c>
      <c r="F10" s="27">
        <v>0</v>
      </c>
      <c r="G10" s="27">
        <v>0</v>
      </c>
      <c r="H10" s="45" t="b">
        <v>0</v>
      </c>
      <c r="I10" s="45" t="b">
        <v>0</v>
      </c>
      <c r="J10" s="27" t="b">
        <v>0</v>
      </c>
      <c r="K10" s="27" t="b">
        <v>0</v>
      </c>
      <c r="L10" s="27" t="b">
        <v>0</v>
      </c>
      <c r="M10" s="27" t="b">
        <v>0</v>
      </c>
      <c r="N10" s="27" t="s">
        <v>82</v>
      </c>
      <c r="O10" s="27"/>
      <c r="P10" s="34" t="b">
        <v>0</v>
      </c>
      <c r="Q10" s="34" t="b">
        <v>0</v>
      </c>
      <c r="R10" s="33" t="str">
        <f>IFERROR(HYPERLINK("#Main!A"&amp;MATCH(A10,Main!A:A,0),"Open"),HYPERLINK("#Main!A1","Open"))</f>
        <v>Open</v>
      </c>
      <c r="S10" s="33"/>
    </row>
    <row r="11" spans="1:19" ht="30" customHeight="1" x14ac:dyDescent="0.25">
      <c r="A11" s="29" t="s">
        <v>202</v>
      </c>
      <c r="B11" s="52">
        <v>0</v>
      </c>
      <c r="C11" s="36" t="s">
        <v>566</v>
      </c>
      <c r="D11" s="36" t="s">
        <v>568</v>
      </c>
      <c r="E11" s="36">
        <v>0</v>
      </c>
      <c r="F11" s="36">
        <v>0</v>
      </c>
      <c r="G11" s="36">
        <v>0</v>
      </c>
      <c r="H11" s="45" t="b">
        <v>0</v>
      </c>
      <c r="I11" s="45" t="b">
        <v>0</v>
      </c>
      <c r="J11" s="36" t="b">
        <v>0</v>
      </c>
      <c r="K11" s="36" t="b">
        <v>0</v>
      </c>
      <c r="L11" s="36" t="b">
        <v>0</v>
      </c>
      <c r="M11" s="36" t="b">
        <v>0</v>
      </c>
      <c r="N11" s="36" t="s">
        <v>82</v>
      </c>
      <c r="O11" s="36"/>
      <c r="P11" s="34" t="b">
        <v>0</v>
      </c>
      <c r="Q11" s="28" t="b">
        <v>1</v>
      </c>
      <c r="R11" t="str">
        <f>IFERROR(HYPERLINK("#Main!A"&amp;MATCH(A11,Main!A:A,0),"Open"),HYPERLINK("#Main!A1","Open"))</f>
        <v>Open</v>
      </c>
    </row>
  </sheetData>
  <autoFilter ref="A1:S11" xr:uid="{00000000-0009-0000-0000-000008000000}"/>
  <conditionalFormatting sqref="B2:B11">
    <cfRule type="colorScale" priority="1">
      <colorScale>
        <cfvo type="min"/>
        <cfvo type="percentile" val="50"/>
        <cfvo type="max"/>
        <color rgb="FFF8696B"/>
        <color rgb="FFFFEB84"/>
        <color rgb="FF63BE7B"/>
      </colorScale>
    </cfRule>
  </conditionalFormatting>
  <conditionalFormatting sqref="G2:G11">
    <cfRule type="cellIs" dxfId="39" priority="2" operator="equal">
      <formula>0</formula>
    </cfRule>
    <cfRule type="cellIs" dxfId="38" priority="3" operator="between">
      <formula>1</formula>
      <formula>2</formula>
    </cfRule>
    <cfRule type="cellIs" dxfId="37" priority="4" operator="greaterThanOrEqual">
      <formula>3</formula>
    </cfRule>
  </conditionalFormatting>
  <dataValidations count="20">
    <dataValidation type="custom" allowBlank="1" showInputMessage="1" promptTitle="URL" prompt="URL. Use this URL to inspect the page directly or jump to related tabs." sqref="A1" xr:uid="{00000000-0002-0000-0800-000000000000}">
      <formula1>TRUE</formula1>
    </dataValidation>
    <dataValidation type="custom" allowBlank="1" showInputMessage="1" promptTitle="AEO Readiness Score" prompt="AEO Readiness Score. Review this metric to identify risk, then use linked tabs for details and remediation." sqref="B1" xr:uid="{00000000-0002-0000-0800-000001000000}">
      <formula1>TRUE</formula1>
    </dataValidation>
    <dataValidation type="custom" allowBlank="1" showInputMessage="1" promptTitle="AEO Badge" prompt="AEO Badge. Review this metric to identify risk, then use linked tabs for details and remediation." sqref="C1" xr:uid="{00000000-0002-0000-0800-000002000000}">
      <formula1>TRUE</formula1>
    </dataValidation>
    <dataValidation type="custom" allowBlank="1" showInputMessage="1" promptTitle="Why It Matters" prompt="Why It Matters. Review this metric to identify risk, then use linked tabs for details and remediation." sqref="D1" xr:uid="{00000000-0002-0000-0800-000003000000}">
      <formula1>TRUE</formula1>
    </dataValidation>
    <dataValidation type="custom" allowBlank="1" showInputMessage="1" promptTitle="FAQ Section Count" prompt="Summary grouping/navigation field. Use with hyperlinks to jump into detailed tabs." sqref="E1" xr:uid="{00000000-0002-0000-0800-000004000000}">
      <formula1>TRUE</formula1>
    </dataValidation>
    <dataValidation type="custom" allowBlank="1" showInputMessage="1" promptTitle="Question Heading Count" prompt="Question Heading Count. Review this metric to identify risk, then use linked tabs for details and remediation." sqref="F1" xr:uid="{00000000-0002-0000-0800-000005000000}">
      <formula1>TRUE</formula1>
    </dataValidation>
    <dataValidation type="custom" allowBlank="1" showInputMessage="1" promptTitle="Paragraphs 40-60 Words Count" prompt="Paragraphs 40-60 Words Count. Review this metric to identify risk, then use linked tabs for details and remediation." sqref="G1" xr:uid="{00000000-0002-0000-0800-000006000000}">
      <formula1>TRUE</formula1>
    </dataValidation>
    <dataValidation type="custom" allowBlank="1" showInputMessage="1" promptTitle="QAPage/FAQ Schema Present" prompt="Structured data signal. Fix: add valid schema types and correct parsing/validation errors." sqref="H1" xr:uid="{00000000-0002-0000-0800-000007000000}">
      <formula1>TRUE</formula1>
    </dataValidation>
    <dataValidation type="custom" allowBlank="1" showInputMessage="1" promptTitle="Speakable Schema Present" prompt="Structured data signal. Fix: add valid schema types and correct parsing/validation errors." sqref="I1" xr:uid="{00000000-0002-0000-0800-000008000000}">
      <formula1>TRUE</formula1>
    </dataValidation>
    <dataValidation type="custom" allowBlank="1" showInputMessage="1" promptTitle="HowTo Signal" prompt="HowTo Signal. Review this metric to identify risk, then use linked tabs for details and remediation." sqref="J1" xr:uid="{00000000-0002-0000-0800-000009000000}">
      <formula1>TRUE</formula1>
    </dataValidation>
    <dataValidation type="custom" allowBlank="1" showInputMessage="1" promptTitle="Definition Signal" prompt="Definition Signal. Review this metric to identify risk, then use linked tabs for details and remediation." sqref="K1" xr:uid="{00000000-0002-0000-0800-00000A000000}">
      <formula1>TRUE</formula1>
    </dataValidation>
    <dataValidation type="custom" allowBlank="1" showInputMessage="1" promptTitle="List/Table Answer Signal" prompt="List/Table Answer Signal. Review this metric to identify risk, then use linked tabs for details and remediation." sqref="L1" xr:uid="{00000000-0002-0000-0800-00000B000000}">
      <formula1>TRUE</formula1>
    </dataValidation>
    <dataValidation type="custom" allowBlank="1" showInputMessage="1" promptTitle="Answer Block Detected (First 60 " prompt="Answer Block Detected (First 60 Words). Review this metric to identify risk, then use linked tabs for details and remediation." sqref="M1" xr:uid="{00000000-0002-0000-0800-00000C000000}">
      <formula1>TRUE</formula1>
    </dataValidation>
    <dataValidation type="custom" allowBlank="1" showInputMessage="1" promptTitle="AEO Extractability Score" prompt="AEO Extractability Score. Review this metric to identify risk, then use linked tabs for details and remediation." sqref="N1" xr:uid="{00000000-0002-0000-0800-00000D000000}">
      <formula1>TRUE</formula1>
    </dataValidation>
    <dataValidation type="custom" allowBlank="1" showInputMessage="1" promptTitle="Snippet Preview Mockup" prompt="Snippet Preview Mockup. Review this metric to identify risk, then use linked tabs for details and remediation." sqref="O1" xr:uid="{00000000-0002-0000-0800-00000E000000}">
      <formula1>TRUE</formula1>
    </dataValidation>
    <dataValidation type="custom" allowBlank="1" showInputMessage="1" promptTitle="Title Missing" prompt="Title Missing. Review this metric to identify risk, then use linked tabs for details and remediation." sqref="P1" xr:uid="{00000000-0002-0000-0800-00000F000000}">
      <formula1>TRUE</formula1>
    </dataValidation>
    <dataValidation type="custom" allowBlank="1" showInputMessage="1" promptTitle="Meta Description Missing" prompt="Meta Description Missing. Review this metric to identify risk, then use linked tabs for details and remediation." sqref="Q1" xr:uid="{00000000-0002-0000-0800-000010000000}">
      <formula1>TRUE</formula1>
    </dataValidation>
    <dataValidation type="custom" allowBlank="1" showInputMessage="1" promptTitle="Open in Main" prompt="Navigation helper. Click to jump directly to the related record in another tab." sqref="R1" xr:uid="{00000000-0002-0000-0800-000011000000}">
      <formula1>TRUE</formula1>
    </dataValidation>
    <dataValidation type="custom" allowBlank="1" showInputMessage="1" promptTitle="BACK TO DASHBOARD" prompt="BACK TO DASHBOARD. Review this metric to identify risk, then use linked tabs for details and remediation." sqref="S1" xr:uid="{00000000-0002-0000-0800-000012000000}">
      <formula1>TRUE</formula1>
    </dataValidation>
    <dataValidation type="custom" allowBlank="1" showInputMessage="1" promptTitle="AEO Readiness Score" prompt="Composite Answer Engine Optimization quality score. Fix: Add concise answer sections, FAQ schema, and clear question headings." sqref="B1" xr:uid="{00000000-0002-0000-0800-000013000000}">
      <formula1>TRUE</formula1>
    </dataValidation>
  </dataValidations>
  <hyperlinks>
    <hyperlink ref="S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3" width="20" customWidth="1"/>
    <col min="4" max="4" width="21" customWidth="1"/>
    <col min="5" max="7" width="60" customWidth="1"/>
    <col min="8" max="9" width="21" customWidth="1"/>
  </cols>
  <sheetData>
    <row r="1" spans="1:11" ht="45" x14ac:dyDescent="0.25">
      <c r="A1" s="26" t="s">
        <v>102</v>
      </c>
      <c r="B1" s="26" t="s">
        <v>483</v>
      </c>
      <c r="C1" s="26" t="s">
        <v>482</v>
      </c>
      <c r="D1" s="26" t="s">
        <v>569</v>
      </c>
      <c r="E1" s="26" t="s">
        <v>570</v>
      </c>
      <c r="F1" s="26" t="s">
        <v>571</v>
      </c>
      <c r="G1" s="26" t="s">
        <v>245</v>
      </c>
      <c r="H1" s="26" t="s">
        <v>572</v>
      </c>
      <c r="I1" s="26" t="s">
        <v>573</v>
      </c>
      <c r="J1" s="26" t="s">
        <v>122</v>
      </c>
      <c r="K1" s="35" t="s">
        <v>211</v>
      </c>
    </row>
    <row r="2" spans="1:11" ht="30" customHeight="1" x14ac:dyDescent="0.25">
      <c r="A2" s="32" t="s">
        <v>144</v>
      </c>
      <c r="B2" s="27"/>
      <c r="C2" s="27">
        <v>0</v>
      </c>
      <c r="D2" s="27">
        <v>0</v>
      </c>
      <c r="E2" s="27" t="s">
        <v>148</v>
      </c>
      <c r="F2" s="27" t="s">
        <v>149</v>
      </c>
      <c r="G2" s="27" t="s">
        <v>133</v>
      </c>
      <c r="H2" s="34" t="b">
        <v>1</v>
      </c>
      <c r="I2" s="27" t="s">
        <v>574</v>
      </c>
      <c r="J2" s="33" t="str">
        <f>IFERROR(HYPERLINK("#Main!A"&amp;MATCH(A2,Main!A:A,0),"Open"),HYPERLINK("#Main!A1","Open"))</f>
        <v>Open</v>
      </c>
      <c r="K2" s="33"/>
    </row>
    <row r="3" spans="1:11" ht="15.75" x14ac:dyDescent="0.25">
      <c r="A3" s="29" t="s">
        <v>127</v>
      </c>
      <c r="B3" s="36"/>
      <c r="C3" s="36">
        <v>0</v>
      </c>
      <c r="D3" s="36">
        <v>0</v>
      </c>
      <c r="E3" s="36" t="s">
        <v>575</v>
      </c>
      <c r="F3" s="36" t="s">
        <v>576</v>
      </c>
      <c r="G3" s="36" t="s">
        <v>133</v>
      </c>
      <c r="H3" s="34" t="b">
        <v>1</v>
      </c>
      <c r="I3" s="36" t="s">
        <v>574</v>
      </c>
      <c r="J3" t="str">
        <f>IFERROR(HYPERLINK("#Main!A"&amp;MATCH(A3,Main!A:A,0),"Open"),HYPERLINK("#Main!A1","Open"))</f>
        <v>Open</v>
      </c>
    </row>
    <row r="4" spans="1:11" ht="30" customHeight="1" x14ac:dyDescent="0.25">
      <c r="A4" s="32" t="s">
        <v>135</v>
      </c>
      <c r="B4" s="27"/>
      <c r="C4" s="27">
        <v>0</v>
      </c>
      <c r="D4" s="27">
        <v>0</v>
      </c>
      <c r="E4" s="27" t="s">
        <v>139</v>
      </c>
      <c r="F4" s="27" t="s">
        <v>140</v>
      </c>
      <c r="G4" s="27" t="s">
        <v>133</v>
      </c>
      <c r="H4" s="34" t="b">
        <v>1</v>
      </c>
      <c r="I4" s="27" t="s">
        <v>574</v>
      </c>
      <c r="J4" s="33" t="str">
        <f>IFERROR(HYPERLINK("#Main!A"&amp;MATCH(A4,Main!A:A,0),"Open"),HYPERLINK("#Main!A1","Open"))</f>
        <v>Open</v>
      </c>
      <c r="K4" s="33"/>
    </row>
    <row r="5" spans="1:11" ht="30" customHeight="1" x14ac:dyDescent="0.25">
      <c r="A5" s="29" t="s">
        <v>152</v>
      </c>
      <c r="B5" s="36"/>
      <c r="C5" s="36">
        <v>0</v>
      </c>
      <c r="D5" s="36">
        <v>0</v>
      </c>
      <c r="E5" s="36" t="s">
        <v>156</v>
      </c>
      <c r="F5" s="36" t="s">
        <v>157</v>
      </c>
      <c r="G5" s="36" t="s">
        <v>159</v>
      </c>
      <c r="H5" s="34" t="b">
        <v>1</v>
      </c>
      <c r="I5" s="36" t="s">
        <v>574</v>
      </c>
      <c r="J5" t="str">
        <f>IFERROR(HYPERLINK("#Main!A"&amp;MATCH(A5,Main!A:A,0),"Open"),HYPERLINK("#Main!A1","Open"))</f>
        <v>Open</v>
      </c>
    </row>
    <row r="6" spans="1:11" ht="30" customHeight="1" x14ac:dyDescent="0.25">
      <c r="A6" s="32" t="s">
        <v>169</v>
      </c>
      <c r="B6" s="27"/>
      <c r="C6" s="27">
        <v>0</v>
      </c>
      <c r="D6" s="27">
        <v>0</v>
      </c>
      <c r="E6" s="27" t="s">
        <v>173</v>
      </c>
      <c r="F6" s="27" t="s">
        <v>174</v>
      </c>
      <c r="G6" s="27" t="s">
        <v>133</v>
      </c>
      <c r="H6" s="34" t="b">
        <v>1</v>
      </c>
      <c r="I6" s="27" t="s">
        <v>574</v>
      </c>
      <c r="J6" s="33" t="str">
        <f>IFERROR(HYPERLINK("#Main!A"&amp;MATCH(A6,Main!A:A,0),"Open"),HYPERLINK("#Main!A1","Open"))</f>
        <v>Open</v>
      </c>
      <c r="K6" s="33"/>
    </row>
    <row r="7" spans="1:11" ht="30" customHeight="1" x14ac:dyDescent="0.25">
      <c r="A7" s="29" t="s">
        <v>161</v>
      </c>
      <c r="B7" s="36"/>
      <c r="C7" s="36">
        <v>0</v>
      </c>
      <c r="D7" s="36">
        <v>0</v>
      </c>
      <c r="E7" s="36" t="s">
        <v>165</v>
      </c>
      <c r="F7" s="36" t="s">
        <v>166</v>
      </c>
      <c r="G7" s="36" t="s">
        <v>133</v>
      </c>
      <c r="H7" s="34" t="b">
        <v>1</v>
      </c>
      <c r="I7" s="36" t="s">
        <v>574</v>
      </c>
      <c r="J7" t="str">
        <f>IFERROR(HYPERLINK("#Main!A"&amp;MATCH(A7,Main!A:A,0),"Open"),HYPERLINK("#Main!A1","Open"))</f>
        <v>Open</v>
      </c>
    </row>
    <row r="8" spans="1:11" ht="30" customHeight="1" x14ac:dyDescent="0.25">
      <c r="A8" s="32" t="s">
        <v>177</v>
      </c>
      <c r="B8" s="27"/>
      <c r="C8" s="27">
        <v>0</v>
      </c>
      <c r="D8" s="27">
        <v>0</v>
      </c>
      <c r="E8" s="27" t="s">
        <v>181</v>
      </c>
      <c r="F8" s="27" t="s">
        <v>182</v>
      </c>
      <c r="G8" s="27" t="s">
        <v>133</v>
      </c>
      <c r="H8" s="34" t="b">
        <v>1</v>
      </c>
      <c r="I8" s="27" t="s">
        <v>574</v>
      </c>
      <c r="J8" s="33" t="str">
        <f>IFERROR(HYPERLINK("#Main!A"&amp;MATCH(A8,Main!A:A,0),"Open"),HYPERLINK("#Main!A1","Open"))</f>
        <v>Open</v>
      </c>
      <c r="K8" s="33"/>
    </row>
    <row r="9" spans="1:11" ht="30" customHeight="1" x14ac:dyDescent="0.25">
      <c r="A9" s="29" t="s">
        <v>186</v>
      </c>
      <c r="B9" s="36"/>
      <c r="C9" s="36">
        <v>0</v>
      </c>
      <c r="D9" s="36">
        <v>0</v>
      </c>
      <c r="E9" s="36" t="s">
        <v>190</v>
      </c>
      <c r="F9" s="36" t="s">
        <v>191</v>
      </c>
      <c r="G9" s="36" t="s">
        <v>159</v>
      </c>
      <c r="H9" s="34" t="b">
        <v>1</v>
      </c>
      <c r="I9" s="36" t="s">
        <v>574</v>
      </c>
      <c r="J9" t="str">
        <f>IFERROR(HYPERLINK("#Main!A"&amp;MATCH(A9,Main!A:A,0),"Open"),HYPERLINK("#Main!A1","Open"))</f>
        <v>Open</v>
      </c>
    </row>
    <row r="10" spans="1:11" ht="30" customHeight="1" x14ac:dyDescent="0.25">
      <c r="A10" s="32" t="s">
        <v>194</v>
      </c>
      <c r="B10" s="27"/>
      <c r="C10" s="27">
        <v>0</v>
      </c>
      <c r="D10" s="27">
        <v>0</v>
      </c>
      <c r="E10" s="27" t="s">
        <v>198</v>
      </c>
      <c r="F10" s="27" t="s">
        <v>199</v>
      </c>
      <c r="G10" s="27" t="s">
        <v>159</v>
      </c>
      <c r="H10" s="34" t="b">
        <v>1</v>
      </c>
      <c r="I10" s="27" t="s">
        <v>574</v>
      </c>
      <c r="J10" s="33" t="str">
        <f>IFERROR(HYPERLINK("#Main!A"&amp;MATCH(A10,Main!A:A,0),"Open"),HYPERLINK("#Main!A1","Open"))</f>
        <v>Open</v>
      </c>
      <c r="K10" s="33"/>
    </row>
    <row r="11" spans="1:11" ht="30" customHeight="1" x14ac:dyDescent="0.25">
      <c r="A11" s="29" t="s">
        <v>202</v>
      </c>
      <c r="B11" s="36"/>
      <c r="C11" s="36">
        <v>0</v>
      </c>
      <c r="D11" s="36">
        <v>0</v>
      </c>
      <c r="E11" s="36" t="s">
        <v>206</v>
      </c>
      <c r="F11" s="36"/>
      <c r="G11" s="36" t="s">
        <v>159</v>
      </c>
      <c r="H11" s="45" t="b">
        <v>0</v>
      </c>
      <c r="I11" s="36" t="s">
        <v>574</v>
      </c>
      <c r="J11" t="str">
        <f>IFERROR(HYPERLINK("#Main!A"&amp;MATCH(A11,Main!A:A,0),"Open"),HYPERLINK("#Main!A1","Open"))</f>
        <v>Open</v>
      </c>
    </row>
  </sheetData>
  <autoFilter ref="A1:K11" xr:uid="{00000000-0009-0000-0000-000009000000}"/>
  <dataValidations count="11">
    <dataValidation type="custom" allowBlank="1" showInputMessage="1" promptTitle="URL" prompt="URL. Use this URL to inspect the page directly or jump to related tabs." sqref="A1" xr:uid="{00000000-0002-0000-0900-000000000000}">
      <formula1>TRUE</formula1>
    </dataValidation>
    <dataValidation type="custom" allowBlank="1" showInputMessage="1" promptTitle="Schema Types Found" prompt="Structured data signal. Fix: add valid schema types and correct parsing/validation errors." sqref="B1" xr:uid="{00000000-0002-0000-0900-000001000000}">
      <formula1>TRUE</formula1>
    </dataValidation>
    <dataValidation type="custom" allowBlank="1" showInputMessage="1" promptTitle="Schema Types Count" prompt="Structured data signal. Fix: add valid schema types and correct parsing/validation errors." sqref="C1" xr:uid="{00000000-0002-0000-0900-000002000000}">
      <formula1>TRUE</formula1>
    </dataValidation>
    <dataValidation type="custom" allowBlank="1" showInputMessage="1" promptTitle="Schema Parse Errors" prompt="Structured data signal. Fix: add valid schema types and correct parsing/validation errors." sqref="D1" xr:uid="{00000000-0002-0000-0900-000003000000}">
      <formula1>TRUE</formula1>
    </dataValidation>
    <dataValidation type="custom" allowBlank="1" showInputMessage="1" promptTitle="OG Title" prompt="OG Title. Review this metric to identify risk, then use linked tabs for details and remediation." sqref="E1" xr:uid="{00000000-0002-0000-0900-000004000000}">
      <formula1>TRUE</formula1>
    </dataValidation>
    <dataValidation type="custom" allowBlank="1" showInputMessage="1" promptTitle="OG Description" prompt="OG Description. Review this metric to identify risk, then use linked tabs for details and remediation." sqref="F1" xr:uid="{00000000-0002-0000-0900-000005000000}">
      <formula1>TRUE</formula1>
    </dataValidation>
    <dataValidation type="custom" allowBlank="1" showInputMessage="1" promptTitle="OG Image" prompt="OG Image. Review this metric to identify risk, then use linked tabs for details and remediation." sqref="G1" xr:uid="{00000000-0002-0000-0900-000006000000}">
      <formula1>TRUE</formula1>
    </dataValidation>
    <dataValidation type="custom" allowBlank="1" showInputMessage="1" promptTitle="Open Graph Complete" prompt="Open Graph Complete. Review this metric to identify risk, then use linked tabs for details and remediation." sqref="H1" xr:uid="{00000000-0002-0000-0900-000007000000}">
      <formula1>TRUE</formula1>
    </dataValidation>
    <dataValidation type="custom" allowBlank="1" showInputMessage="1" promptTitle="Twitter Card Type" prompt="Twitter Card Type. Review this metric to identify risk, then use linked tabs for details and remediation." sqref="I1" xr:uid="{00000000-0002-0000-0900-000008000000}">
      <formula1>TRUE</formula1>
    </dataValidation>
    <dataValidation type="custom" allowBlank="1" showInputMessage="1" promptTitle="Open in Main" prompt="Navigation helper. Click to jump directly to the related record in another tab." sqref="J1" xr:uid="{00000000-0002-0000-0900-000009000000}">
      <formula1>TRUE</formula1>
    </dataValidation>
    <dataValidation type="custom" allowBlank="1" showInputMessage="1" promptTitle="BACK TO DASHBOARD" prompt="BACK TO DASHBOARD. Review this metric to identify risk, then use linked tabs for details and remediation." sqref="K1" xr:uid="{00000000-0002-0000-0900-00000A000000}">
      <formula1>TRUE</formula1>
    </dataValidation>
  </dataValidations>
  <hyperlinks>
    <hyperlink ref="K1" location="Dashboard!A1" display="BACK TO DASHBOARD" xr:uid="{00000000-0004-0000-0900-000000000000}"/>
    <hyperlink ref="A2" r:id="rId1" xr:uid="{00000000-0004-0000-0900-000001000000}"/>
    <hyperlink ref="A3" r:id="rId2" xr:uid="{00000000-0004-0000-0900-000002000000}"/>
    <hyperlink ref="A4" r:id="rId3" xr:uid="{00000000-0004-0000-0900-000003000000}"/>
    <hyperlink ref="A5" r:id="rId4" xr:uid="{00000000-0004-0000-0900-000004000000}"/>
    <hyperlink ref="A6" r:id="rId5" xr:uid="{00000000-0004-0000-0900-000005000000}"/>
    <hyperlink ref="A7" r:id="rId6" xr:uid="{00000000-0004-0000-0900-000006000000}"/>
    <hyperlink ref="A8" r:id="rId7" xr:uid="{00000000-0004-0000-0900-000007000000}"/>
    <hyperlink ref="A9" r:id="rId8" xr:uid="{00000000-0004-0000-0900-000008000000}"/>
    <hyperlink ref="A10" r:id="rId9" xr:uid="{00000000-0004-0000-0900-000009000000}"/>
    <hyperlink ref="A11" r:id="rId10" xr:uid="{00000000-0004-0000-0900-00000A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2" customWidth="1"/>
    <col min="3" max="4" width="29" customWidth="1"/>
    <col min="5" max="5" width="33" customWidth="1"/>
    <col min="6" max="6" width="27" customWidth="1"/>
    <col min="7" max="7" width="22" customWidth="1"/>
    <col min="8" max="9" width="31" customWidth="1"/>
    <col min="10" max="10" width="60" customWidth="1"/>
  </cols>
  <sheetData>
    <row r="1" spans="1:12" ht="45" x14ac:dyDescent="0.25">
      <c r="A1" s="26" t="s">
        <v>102</v>
      </c>
      <c r="B1" s="26" t="s">
        <v>484</v>
      </c>
      <c r="C1" s="26" t="s">
        <v>485</v>
      </c>
      <c r="D1" s="26" t="s">
        <v>577</v>
      </c>
      <c r="E1" s="26" t="s">
        <v>578</v>
      </c>
      <c r="F1" s="26" t="s">
        <v>579</v>
      </c>
      <c r="G1" s="26" t="s">
        <v>486</v>
      </c>
      <c r="H1" s="26" t="s">
        <v>580</v>
      </c>
      <c r="I1" s="26" t="s">
        <v>581</v>
      </c>
      <c r="J1" s="26" t="s">
        <v>582</v>
      </c>
      <c r="K1" s="26" t="s">
        <v>122</v>
      </c>
      <c r="L1" s="35" t="s">
        <v>211</v>
      </c>
    </row>
    <row r="2" spans="1:12" ht="120" customHeight="1" x14ac:dyDescent="0.25">
      <c r="A2" s="32" t="s">
        <v>144</v>
      </c>
      <c r="B2" s="27">
        <v>58</v>
      </c>
      <c r="C2" s="27">
        <v>15</v>
      </c>
      <c r="D2" s="28">
        <v>1</v>
      </c>
      <c r="E2" s="27">
        <v>0</v>
      </c>
      <c r="F2" s="34">
        <v>0</v>
      </c>
      <c r="G2" s="27">
        <v>3</v>
      </c>
      <c r="H2" s="27">
        <v>0</v>
      </c>
      <c r="I2" s="27">
        <v>0</v>
      </c>
      <c r="J2" s="27" t="s">
        <v>583</v>
      </c>
      <c r="K2" s="33" t="str">
        <f>IFERROR(HYPERLINK("#Main!A"&amp;MATCH(A2,Main!A:A,0),"Open"),HYPERLINK("#Main!A1","Open"))</f>
        <v>Open</v>
      </c>
      <c r="L2" s="33"/>
    </row>
    <row r="3" spans="1:12" ht="120" customHeight="1" x14ac:dyDescent="0.25">
      <c r="A3" s="29" t="s">
        <v>127</v>
      </c>
      <c r="B3" s="36">
        <v>63</v>
      </c>
      <c r="C3" s="36">
        <v>22</v>
      </c>
      <c r="D3" s="28">
        <v>1</v>
      </c>
      <c r="E3" s="36">
        <v>0</v>
      </c>
      <c r="F3" s="28">
        <v>3</v>
      </c>
      <c r="G3" s="36">
        <v>2</v>
      </c>
      <c r="H3" s="36">
        <v>0</v>
      </c>
      <c r="I3" s="36">
        <v>0</v>
      </c>
      <c r="J3" s="36" t="s">
        <v>584</v>
      </c>
      <c r="K3" t="str">
        <f>IFERROR(HYPERLINK("#Main!A"&amp;MATCH(A3,Main!A:A,0),"Open"),HYPERLINK("#Main!A1","Open"))</f>
        <v>Open</v>
      </c>
    </row>
    <row r="4" spans="1:12" ht="120" customHeight="1" x14ac:dyDescent="0.25">
      <c r="A4" s="32" t="s">
        <v>135</v>
      </c>
      <c r="B4" s="27">
        <v>32</v>
      </c>
      <c r="C4" s="27">
        <v>14</v>
      </c>
      <c r="D4" s="28">
        <v>1</v>
      </c>
      <c r="E4" s="27">
        <v>0</v>
      </c>
      <c r="F4" s="34">
        <v>0</v>
      </c>
      <c r="G4" s="27">
        <v>7</v>
      </c>
      <c r="H4" s="27">
        <v>0</v>
      </c>
      <c r="I4" s="27">
        <v>0</v>
      </c>
      <c r="J4" s="27" t="s">
        <v>585</v>
      </c>
      <c r="K4" s="33" t="str">
        <f>IFERROR(HYPERLINK("#Main!A"&amp;MATCH(A4,Main!A:A,0),"Open"),HYPERLINK("#Main!A1","Open"))</f>
        <v>Open</v>
      </c>
      <c r="L4" s="33"/>
    </row>
    <row r="5" spans="1:12" ht="120" customHeight="1" x14ac:dyDescent="0.25">
      <c r="A5" s="29" t="s">
        <v>152</v>
      </c>
      <c r="B5" s="36">
        <v>16</v>
      </c>
      <c r="C5" s="36">
        <v>9</v>
      </c>
      <c r="D5" s="28">
        <v>1</v>
      </c>
      <c r="E5" s="36">
        <v>0</v>
      </c>
      <c r="F5" s="34">
        <v>0</v>
      </c>
      <c r="G5" s="36">
        <v>4</v>
      </c>
      <c r="H5" s="36">
        <v>0</v>
      </c>
      <c r="I5" s="36">
        <v>0</v>
      </c>
      <c r="J5" s="36" t="s">
        <v>586</v>
      </c>
      <c r="K5" t="str">
        <f>IFERROR(HYPERLINK("#Main!A"&amp;MATCH(A5,Main!A:A,0),"Open"),HYPERLINK("#Main!A1","Open"))</f>
        <v>Open</v>
      </c>
    </row>
    <row r="6" spans="1:12" ht="120" customHeight="1" x14ac:dyDescent="0.25">
      <c r="A6" s="32" t="s">
        <v>169</v>
      </c>
      <c r="B6" s="27">
        <v>32</v>
      </c>
      <c r="C6" s="27">
        <v>14</v>
      </c>
      <c r="D6" s="28">
        <v>1</v>
      </c>
      <c r="E6" s="27">
        <v>0</v>
      </c>
      <c r="F6" s="34">
        <v>0</v>
      </c>
      <c r="G6" s="27">
        <v>4</v>
      </c>
      <c r="H6" s="27">
        <v>0</v>
      </c>
      <c r="I6" s="27">
        <v>0</v>
      </c>
      <c r="J6" s="27" t="s">
        <v>585</v>
      </c>
      <c r="K6" s="33" t="str">
        <f>IFERROR(HYPERLINK("#Main!A"&amp;MATCH(A6,Main!A:A,0),"Open"),HYPERLINK("#Main!A1","Open"))</f>
        <v>Open</v>
      </c>
      <c r="L6" s="33"/>
    </row>
    <row r="7" spans="1:12" ht="120" customHeight="1" x14ac:dyDescent="0.25">
      <c r="A7" s="29" t="s">
        <v>161</v>
      </c>
      <c r="B7" s="36">
        <v>99</v>
      </c>
      <c r="C7" s="36">
        <v>64</v>
      </c>
      <c r="D7" s="28">
        <v>1</v>
      </c>
      <c r="E7" s="36">
        <v>0</v>
      </c>
      <c r="F7" s="34">
        <v>0</v>
      </c>
      <c r="G7" s="36">
        <v>3</v>
      </c>
      <c r="H7" s="36">
        <v>0</v>
      </c>
      <c r="I7" s="36">
        <v>0</v>
      </c>
      <c r="J7" s="36" t="s">
        <v>587</v>
      </c>
      <c r="K7" t="str">
        <f>IFERROR(HYPERLINK("#Main!A"&amp;MATCH(A7,Main!A:A,0),"Open"),HYPERLINK("#Main!A1","Open"))</f>
        <v>Open</v>
      </c>
    </row>
    <row r="8" spans="1:12" ht="120" customHeight="1" x14ac:dyDescent="0.25">
      <c r="A8" s="32" t="s">
        <v>177</v>
      </c>
      <c r="B8" s="27">
        <v>32</v>
      </c>
      <c r="C8" s="27">
        <v>15</v>
      </c>
      <c r="D8" s="28">
        <v>2</v>
      </c>
      <c r="E8" s="27">
        <v>0</v>
      </c>
      <c r="F8" s="34">
        <v>0</v>
      </c>
      <c r="G8" s="27">
        <v>2</v>
      </c>
      <c r="H8" s="27">
        <v>0</v>
      </c>
      <c r="I8" s="27">
        <v>0</v>
      </c>
      <c r="J8" s="27" t="s">
        <v>588</v>
      </c>
      <c r="K8" s="33" t="str">
        <f>IFERROR(HYPERLINK("#Main!A"&amp;MATCH(A8,Main!A:A,0),"Open"),HYPERLINK("#Main!A1","Open"))</f>
        <v>Open</v>
      </c>
      <c r="L8" s="33"/>
    </row>
    <row r="9" spans="1:12" ht="120" customHeight="1" x14ac:dyDescent="0.25">
      <c r="A9" s="29" t="s">
        <v>186</v>
      </c>
      <c r="B9" s="36">
        <v>41</v>
      </c>
      <c r="C9" s="36">
        <v>33</v>
      </c>
      <c r="D9" s="28">
        <v>2</v>
      </c>
      <c r="E9" s="36">
        <v>0</v>
      </c>
      <c r="F9" s="34">
        <v>0</v>
      </c>
      <c r="G9" s="36">
        <v>13</v>
      </c>
      <c r="H9" s="36">
        <v>0</v>
      </c>
      <c r="I9" s="36">
        <v>0</v>
      </c>
      <c r="J9" s="36" t="s">
        <v>589</v>
      </c>
      <c r="K9" t="str">
        <f>IFERROR(HYPERLINK("#Main!A"&amp;MATCH(A9,Main!A:A,0),"Open"),HYPERLINK("#Main!A1","Open"))</f>
        <v>Open</v>
      </c>
    </row>
    <row r="10" spans="1:12" ht="120" customHeight="1" x14ac:dyDescent="0.25">
      <c r="A10" s="32" t="s">
        <v>194</v>
      </c>
      <c r="B10" s="27">
        <v>19</v>
      </c>
      <c r="C10" s="27">
        <v>10</v>
      </c>
      <c r="D10" s="28">
        <v>1</v>
      </c>
      <c r="E10" s="27">
        <v>0</v>
      </c>
      <c r="F10" s="34">
        <v>0</v>
      </c>
      <c r="G10" s="27">
        <v>2</v>
      </c>
      <c r="H10" s="27">
        <v>0</v>
      </c>
      <c r="I10" s="27">
        <v>0</v>
      </c>
      <c r="J10" s="27" t="s">
        <v>590</v>
      </c>
      <c r="K10" s="33" t="str">
        <f>IFERROR(HYPERLINK("#Main!A"&amp;MATCH(A10,Main!A:A,0),"Open"),HYPERLINK("#Main!A1","Open"))</f>
        <v>Open</v>
      </c>
      <c r="L10" s="33"/>
    </row>
    <row r="11" spans="1:12" ht="120" customHeight="1" x14ac:dyDescent="0.25">
      <c r="A11" s="29" t="s">
        <v>202</v>
      </c>
      <c r="B11" s="36">
        <v>19</v>
      </c>
      <c r="C11" s="36">
        <v>10</v>
      </c>
      <c r="D11" s="28">
        <v>1</v>
      </c>
      <c r="E11" s="36">
        <v>0</v>
      </c>
      <c r="F11" s="34">
        <v>0</v>
      </c>
      <c r="G11" s="36">
        <v>2</v>
      </c>
      <c r="H11" s="36">
        <v>0</v>
      </c>
      <c r="I11" s="36">
        <v>0</v>
      </c>
      <c r="J11" s="36" t="s">
        <v>590</v>
      </c>
      <c r="K11" t="str">
        <f>IFERROR(HYPERLINK("#Main!A"&amp;MATCH(A11,Main!A:A,0),"Open"),HYPERLINK("#Main!A1","Open"))</f>
        <v>Open</v>
      </c>
    </row>
  </sheetData>
  <autoFilter ref="A1:L11" xr:uid="{00000000-0009-0000-0000-00000A000000}"/>
  <dataValidations count="12">
    <dataValidation type="custom" allowBlank="1" showInputMessage="1" promptTitle="URL" prompt="URL. Use this URL to inspect the page directly or jump to related tabs." sqref="A1" xr:uid="{00000000-0002-0000-0A00-000000000000}">
      <formula1>TRUE</formula1>
    </dataValidation>
    <dataValidation type="custom" allowBlank="1" showInputMessage="1" promptTitle="Internal Links Count" prompt="Link quality and crawl-path metric. Fix: repair broken links and improve internal linking relevance." sqref="B1" xr:uid="{00000000-0002-0000-0A00-000001000000}">
      <formula1>TRUE</formula1>
    </dataValidation>
    <dataValidation type="custom" allowBlank="1" showInputMessage="1" promptTitle="Unique Internal Links Count" prompt="Link quality and crawl-path metric. Fix: repair broken links and improve internal linking relevance." sqref="C1" xr:uid="{00000000-0002-0000-0A00-000002000000}">
      <formula1>TRUE</formula1>
    </dataValidation>
    <dataValidation type="custom" allowBlank="1" showInputMessage="1" promptTitle="Broken Internal Links Count" prompt="Link quality and crawl-path metric. Fix: repair broken links and improve internal linking relevance." sqref="D1" xr:uid="{00000000-0002-0000-0A00-000003000000}">
      <formula1>TRUE</formula1>
    </dataValidation>
    <dataValidation type="custom" allowBlank="1" showInputMessage="1" promptTitle="Unresolved Internal Links Count" prompt="Link quality and crawl-path metric. Fix: repair broken links and improve internal linking relevance." sqref="E1" xr:uid="{00000000-0002-0000-0A00-000004000000}">
      <formula1>TRUE</formula1>
    </dataValidation>
    <dataValidation type="custom" allowBlank="1" showInputMessage="1" promptTitle="Generic Anchor Text Count" prompt="Link quality and crawl-path metric. Fix: repair broken links and improve internal linking relevance." sqref="F1" xr:uid="{00000000-0002-0000-0A00-000005000000}">
      <formula1>TRUE</formula1>
    </dataValidation>
    <dataValidation type="custom" allowBlank="1" showInputMessage="1" promptTitle="External Links Count" prompt="Link quality and crawl-path metric. Fix: repair broken links and improve internal linking relevance." sqref="G1" xr:uid="{00000000-0002-0000-0A00-000006000000}">
      <formula1>TRUE</formula1>
    </dataValidation>
    <dataValidation type="custom" allowBlank="1" showInputMessage="1" promptTitle="Nofollow Internal Links Count" prompt="Link quality and crawl-path metric. Fix: repair broken links and improve internal linking relevance." sqref="H1" xr:uid="{00000000-0002-0000-0A00-000007000000}">
      <formula1>TRUE</formula1>
    </dataValidation>
    <dataValidation type="custom" allowBlank="1" showInputMessage="1" promptTitle="Nofollow External Links Count" prompt="Link quality and crawl-path metric. Fix: repair broken links and improve internal linking relevance." sqref="I1" xr:uid="{00000000-0002-0000-0A00-000008000000}">
      <formula1>TRUE</formula1>
    </dataValidation>
    <dataValidation type="custom" allowBlank="1" showInputMessage="1" promptTitle="Internal Link Statuses" prompt="Link quality and crawl-path metric. Fix: repair broken links and improve internal linking relevance." sqref="J1" xr:uid="{00000000-0002-0000-0A00-000009000000}">
      <formula1>TRUE</formula1>
    </dataValidation>
    <dataValidation type="custom" allowBlank="1" showInputMessage="1" promptTitle="Open in Main" prompt="Navigation helper. Click to jump directly to the related record in another tab." sqref="K1" xr:uid="{00000000-0002-0000-0A00-00000A000000}">
      <formula1>TRUE</formula1>
    </dataValidation>
    <dataValidation type="custom" allowBlank="1" showInputMessage="1" promptTitle="BACK TO DASHBOARD" prompt="BACK TO DASHBOARD. Review this metric to identify risk, then use linked tabs for details and remediation." sqref="L1" xr:uid="{00000000-0002-0000-0A00-00000B000000}">
      <formula1>TRUE</formula1>
    </dataValidation>
  </dataValidations>
  <hyperlinks>
    <hyperlink ref="L1" location="Dashboard!A1" display="BACK TO DASHBOARD" xr:uid="{00000000-0004-0000-0A00-000000000000}"/>
    <hyperlink ref="A2" r:id="rId1" xr:uid="{00000000-0004-0000-0A00-000001000000}"/>
    <hyperlink ref="A3" r:id="rId2" xr:uid="{00000000-0004-0000-0A00-000002000000}"/>
    <hyperlink ref="A4" r:id="rId3" xr:uid="{00000000-0004-0000-0A00-000003000000}"/>
    <hyperlink ref="A5" r:id="rId4" xr:uid="{00000000-0004-0000-0A00-000004000000}"/>
    <hyperlink ref="A6" r:id="rId5" xr:uid="{00000000-0004-0000-0A00-000005000000}"/>
    <hyperlink ref="A7" r:id="rId6" xr:uid="{00000000-0004-0000-0A00-000006000000}"/>
    <hyperlink ref="A8" r:id="rId7" xr:uid="{00000000-0004-0000-0A00-000007000000}"/>
    <hyperlink ref="A9" r:id="rId8" xr:uid="{00000000-0004-0000-0A00-000008000000}"/>
    <hyperlink ref="A10" r:id="rId9" xr:uid="{00000000-0004-0000-0A00-000009000000}"/>
    <hyperlink ref="A11" r:id="rId10" xr:uid="{00000000-0004-0000-0A00-00000A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3" width="14" customWidth="1"/>
    <col min="4" max="4" width="21" customWidth="1"/>
    <col min="5" max="5" width="45" customWidth="1"/>
    <col min="6" max="6" width="16" customWidth="1"/>
    <col min="7" max="7" width="29" customWidth="1"/>
    <col min="8" max="8" width="28" customWidth="1"/>
    <col min="9" max="9" width="25" customWidth="1"/>
    <col min="10" max="10" width="14" customWidth="1"/>
    <col min="11" max="11" width="45" customWidth="1"/>
  </cols>
  <sheetData>
    <row r="1" spans="1:13" ht="45" x14ac:dyDescent="0.25">
      <c r="A1" s="26" t="s">
        <v>102</v>
      </c>
      <c r="B1" s="26" t="s">
        <v>395</v>
      </c>
      <c r="C1" s="26" t="s">
        <v>445</v>
      </c>
      <c r="D1" s="26" t="s">
        <v>446</v>
      </c>
      <c r="E1" s="26" t="s">
        <v>450</v>
      </c>
      <c r="F1" s="26" t="s">
        <v>451</v>
      </c>
      <c r="G1" s="26" t="s">
        <v>465</v>
      </c>
      <c r="H1" s="26" t="s">
        <v>467</v>
      </c>
      <c r="I1" s="26" t="s">
        <v>464</v>
      </c>
      <c r="J1" s="26" t="s">
        <v>463</v>
      </c>
      <c r="K1" s="26" t="s">
        <v>449</v>
      </c>
      <c r="L1" s="26" t="s">
        <v>122</v>
      </c>
      <c r="M1" s="35" t="s">
        <v>211</v>
      </c>
    </row>
    <row r="2" spans="1:13" ht="30" customHeight="1" x14ac:dyDescent="0.25">
      <c r="A2" s="32" t="s">
        <v>144</v>
      </c>
      <c r="B2" s="34">
        <v>200</v>
      </c>
      <c r="C2" s="27" t="s">
        <v>507</v>
      </c>
      <c r="D2" s="34" t="s">
        <v>440</v>
      </c>
      <c r="E2" s="30" t="s">
        <v>144</v>
      </c>
      <c r="F2" s="27" t="s">
        <v>508</v>
      </c>
      <c r="G2" s="54" t="b">
        <v>1</v>
      </c>
      <c r="H2" s="34" t="b">
        <v>1</v>
      </c>
      <c r="I2" s="27" t="s">
        <v>513</v>
      </c>
      <c r="J2" s="27"/>
      <c r="K2" s="30" t="s">
        <v>144</v>
      </c>
      <c r="L2" s="33" t="str">
        <f>IFERROR(HYPERLINK("#Main!A"&amp;MATCH(A2,Main!A:A,0),"Open"),HYPERLINK("#Main!A1","Open"))</f>
        <v>Open</v>
      </c>
      <c r="M2" s="33"/>
    </row>
    <row r="3" spans="1:13" ht="15.75" x14ac:dyDescent="0.25">
      <c r="A3" s="29" t="s">
        <v>127</v>
      </c>
      <c r="B3" s="34">
        <v>200</v>
      </c>
      <c r="C3" s="36" t="s">
        <v>507</v>
      </c>
      <c r="D3" s="34" t="s">
        <v>440</v>
      </c>
      <c r="E3" s="42" t="s">
        <v>127</v>
      </c>
      <c r="F3" s="36" t="s">
        <v>508</v>
      </c>
      <c r="G3" s="54" t="b">
        <v>1</v>
      </c>
      <c r="H3" s="34" t="b">
        <v>1</v>
      </c>
      <c r="I3" s="36" t="s">
        <v>513</v>
      </c>
      <c r="J3" s="36"/>
      <c r="K3" s="42" t="s">
        <v>127</v>
      </c>
      <c r="L3" t="str">
        <f>IFERROR(HYPERLINK("#Main!A"&amp;MATCH(A3,Main!A:A,0),"Open"),HYPERLINK("#Main!A1","Open"))</f>
        <v>Open</v>
      </c>
    </row>
    <row r="4" spans="1:13" ht="30" customHeight="1" x14ac:dyDescent="0.25">
      <c r="A4" s="32" t="s">
        <v>135</v>
      </c>
      <c r="B4" s="34">
        <v>200</v>
      </c>
      <c r="C4" s="27" t="s">
        <v>507</v>
      </c>
      <c r="D4" s="34" t="s">
        <v>440</v>
      </c>
      <c r="E4" s="30" t="s">
        <v>135</v>
      </c>
      <c r="F4" s="27" t="s">
        <v>508</v>
      </c>
      <c r="G4" s="54" t="b">
        <v>1</v>
      </c>
      <c r="H4" s="34" t="b">
        <v>1</v>
      </c>
      <c r="I4" s="27" t="s">
        <v>513</v>
      </c>
      <c r="J4" s="27"/>
      <c r="K4" s="30" t="s">
        <v>135</v>
      </c>
      <c r="L4" s="33" t="str">
        <f>IFERROR(HYPERLINK("#Main!A"&amp;MATCH(A4,Main!A:A,0),"Open"),HYPERLINK("#Main!A1","Open"))</f>
        <v>Open</v>
      </c>
      <c r="M4" s="33"/>
    </row>
    <row r="5" spans="1:13" ht="30" customHeight="1" x14ac:dyDescent="0.25">
      <c r="A5" s="29" t="s">
        <v>152</v>
      </c>
      <c r="B5" s="34">
        <v>200</v>
      </c>
      <c r="C5" s="36" t="s">
        <v>507</v>
      </c>
      <c r="D5" s="34" t="s">
        <v>440</v>
      </c>
      <c r="E5" s="42" t="s">
        <v>152</v>
      </c>
      <c r="F5" s="36" t="s">
        <v>508</v>
      </c>
      <c r="G5" s="54" t="b">
        <v>1</v>
      </c>
      <c r="H5" s="34" t="b">
        <v>1</v>
      </c>
      <c r="I5" s="36" t="s">
        <v>513</v>
      </c>
      <c r="J5" s="36"/>
      <c r="K5" s="42" t="s">
        <v>152</v>
      </c>
      <c r="L5" t="str">
        <f>IFERROR(HYPERLINK("#Main!A"&amp;MATCH(A5,Main!A:A,0),"Open"),HYPERLINK("#Main!A1","Open"))</f>
        <v>Open</v>
      </c>
    </row>
    <row r="6" spans="1:13" ht="30" customHeight="1" x14ac:dyDescent="0.25">
      <c r="A6" s="32" t="s">
        <v>169</v>
      </c>
      <c r="B6" s="34">
        <v>200</v>
      </c>
      <c r="C6" s="27" t="s">
        <v>507</v>
      </c>
      <c r="D6" s="34" t="s">
        <v>440</v>
      </c>
      <c r="E6" s="30" t="s">
        <v>169</v>
      </c>
      <c r="F6" s="27" t="s">
        <v>508</v>
      </c>
      <c r="G6" s="54" t="b">
        <v>1</v>
      </c>
      <c r="H6" s="34" t="b">
        <v>1</v>
      </c>
      <c r="I6" s="27" t="s">
        <v>513</v>
      </c>
      <c r="J6" s="27"/>
      <c r="K6" s="30" t="s">
        <v>169</v>
      </c>
      <c r="L6" s="33" t="str">
        <f>IFERROR(HYPERLINK("#Main!A"&amp;MATCH(A6,Main!A:A,0),"Open"),HYPERLINK("#Main!A1","Open"))</f>
        <v>Open</v>
      </c>
      <c r="M6" s="33"/>
    </row>
    <row r="7" spans="1:13" ht="30" customHeight="1" x14ac:dyDescent="0.25">
      <c r="A7" s="29" t="s">
        <v>161</v>
      </c>
      <c r="B7" s="34">
        <v>200</v>
      </c>
      <c r="C7" s="36" t="s">
        <v>507</v>
      </c>
      <c r="D7" s="34" t="s">
        <v>440</v>
      </c>
      <c r="E7" s="42" t="s">
        <v>161</v>
      </c>
      <c r="F7" s="36" t="s">
        <v>508</v>
      </c>
      <c r="G7" s="54" t="b">
        <v>1</v>
      </c>
      <c r="H7" s="34" t="b">
        <v>1</v>
      </c>
      <c r="I7" s="36" t="s">
        <v>513</v>
      </c>
      <c r="J7" s="36"/>
      <c r="K7" s="42" t="s">
        <v>161</v>
      </c>
      <c r="L7" t="str">
        <f>IFERROR(HYPERLINK("#Main!A"&amp;MATCH(A7,Main!A:A,0),"Open"),HYPERLINK("#Main!A1","Open"))</f>
        <v>Open</v>
      </c>
    </row>
    <row r="8" spans="1:13" ht="30" customHeight="1" x14ac:dyDescent="0.25">
      <c r="A8" s="32" t="s">
        <v>177</v>
      </c>
      <c r="B8" s="34">
        <v>200</v>
      </c>
      <c r="C8" s="27" t="s">
        <v>507</v>
      </c>
      <c r="D8" s="34" t="s">
        <v>440</v>
      </c>
      <c r="E8" s="30" t="s">
        <v>177</v>
      </c>
      <c r="F8" s="27" t="s">
        <v>508</v>
      </c>
      <c r="G8" s="54" t="b">
        <v>1</v>
      </c>
      <c r="H8" s="34" t="b">
        <v>1</v>
      </c>
      <c r="I8" s="27" t="s">
        <v>513</v>
      </c>
      <c r="J8" s="27"/>
      <c r="K8" s="30" t="s">
        <v>177</v>
      </c>
      <c r="L8" s="33" t="str">
        <f>IFERROR(HYPERLINK("#Main!A"&amp;MATCH(A8,Main!A:A,0),"Open"),HYPERLINK("#Main!A1","Open"))</f>
        <v>Open</v>
      </c>
      <c r="M8" s="33"/>
    </row>
    <row r="9" spans="1:13" ht="30" customHeight="1" x14ac:dyDescent="0.25">
      <c r="A9" s="29" t="s">
        <v>186</v>
      </c>
      <c r="B9" s="34">
        <v>200</v>
      </c>
      <c r="C9" s="36" t="s">
        <v>507</v>
      </c>
      <c r="D9" s="34" t="s">
        <v>440</v>
      </c>
      <c r="E9" s="42" t="s">
        <v>186</v>
      </c>
      <c r="F9" s="36" t="s">
        <v>508</v>
      </c>
      <c r="G9" s="54" t="b">
        <v>1</v>
      </c>
      <c r="H9" s="34" t="b">
        <v>1</v>
      </c>
      <c r="I9" s="36" t="s">
        <v>513</v>
      </c>
      <c r="J9" s="36"/>
      <c r="K9" s="42" t="s">
        <v>186</v>
      </c>
      <c r="L9" t="str">
        <f>IFERROR(HYPERLINK("#Main!A"&amp;MATCH(A9,Main!A:A,0),"Open"),HYPERLINK("#Main!A1","Open"))</f>
        <v>Open</v>
      </c>
    </row>
    <row r="10" spans="1:13" ht="30" customHeight="1" x14ac:dyDescent="0.25">
      <c r="A10" s="32" t="s">
        <v>194</v>
      </c>
      <c r="B10" s="34">
        <v>200</v>
      </c>
      <c r="C10" s="27" t="s">
        <v>507</v>
      </c>
      <c r="D10" s="34" t="s">
        <v>440</v>
      </c>
      <c r="E10" s="30" t="s">
        <v>194</v>
      </c>
      <c r="F10" s="27" t="s">
        <v>508</v>
      </c>
      <c r="G10" s="54" t="b">
        <v>1</v>
      </c>
      <c r="H10" s="34" t="b">
        <v>1</v>
      </c>
      <c r="I10" s="27" t="s">
        <v>513</v>
      </c>
      <c r="J10" s="27"/>
      <c r="K10" s="30" t="s">
        <v>194</v>
      </c>
      <c r="L10" s="33" t="str">
        <f>IFERROR(HYPERLINK("#Main!A"&amp;MATCH(A10,Main!A:A,0),"Open"),HYPERLINK("#Main!A1","Open"))</f>
        <v>Open</v>
      </c>
      <c r="M10" s="33"/>
    </row>
    <row r="11" spans="1:13" ht="30" customHeight="1" x14ac:dyDescent="0.25">
      <c r="A11" s="29" t="s">
        <v>202</v>
      </c>
      <c r="B11" s="34">
        <v>200</v>
      </c>
      <c r="C11" s="36" t="s">
        <v>507</v>
      </c>
      <c r="D11" s="34" t="s">
        <v>440</v>
      </c>
      <c r="E11" s="42" t="s">
        <v>202</v>
      </c>
      <c r="F11" s="36" t="s">
        <v>508</v>
      </c>
      <c r="G11" s="54" t="b">
        <v>1</v>
      </c>
      <c r="H11" s="34" t="b">
        <v>1</v>
      </c>
      <c r="I11" s="36" t="s">
        <v>513</v>
      </c>
      <c r="J11" s="36"/>
      <c r="K11" s="42" t="s">
        <v>202</v>
      </c>
      <c r="L11" t="str">
        <f>IFERROR(HYPERLINK("#Main!A"&amp;MATCH(A11,Main!A:A,0),"Open"),HYPERLINK("#Main!A1","Open"))</f>
        <v>Open</v>
      </c>
    </row>
  </sheetData>
  <autoFilter ref="A1:M11" xr:uid="{00000000-0009-0000-0000-00000B000000}"/>
  <conditionalFormatting sqref="B2:B11">
    <cfRule type="cellIs" dxfId="36" priority="1" operator="equal">
      <formula>200</formula>
    </cfRule>
    <cfRule type="cellIs" dxfId="35" priority="2" operator="between">
      <formula>300</formula>
      <formula>399</formula>
    </cfRule>
    <cfRule type="cellIs" dxfId="34" priority="3" operator="greaterThanOrEqual">
      <formula>400</formula>
    </cfRule>
  </conditionalFormatting>
  <dataValidations count="13">
    <dataValidation type="custom" allowBlank="1" showInputMessage="1" promptTitle="URL" prompt="URL. Use this URL to inspect the page directly or jump to related tabs." sqref="A1" xr:uid="{00000000-0002-0000-0B00-000000000000}">
      <formula1>TRUE</formula1>
    </dataValidation>
    <dataValidation type="custom" allowBlank="1" showInputMessage="1" promptTitle="Status Code" prompt="HTTP response code returned for this page/resource. Fix: Resolve 4xx/5xx errors and reduce unnecessary redirects." sqref="B1" xr:uid="{00000000-0002-0000-0B00-000001000000}">
      <formula1>TRUE</formula1>
    </dataValidation>
    <dataValidation type="custom" allowBlank="1" showInputMessage="1" promptTitle="Status Class" prompt="Grouped HTTP class (2xx/3xx/4xx/5xx). Use this to quickly triage crawl health and error concentration." sqref="C1" xr:uid="{00000000-0002-0000-0B00-000002000000}">
      <formula1>TRUE</formula1>
    </dataValidation>
    <dataValidation type="custom" allowBlank="1" showInputMessage="1" promptTitle="Indexability Reason" prompt="Indexing/canonicalization signal. Fix: ensure indexable pages use correct canonicals and non-conflicting directives." sqref="D1" xr:uid="{00000000-0002-0000-0B00-000003000000}">
      <formula1>TRUE</formula1>
    </dataValidation>
    <dataValidation type="custom" allowBlank="1" showInputMessage="1" promptTitle="Canonical URL" prompt="Canonical URL. Use this URL to inspect the page directly or jump to related tabs." sqref="E1" xr:uid="{00000000-0002-0000-0B00-000004000000}">
      <formula1>TRUE</formula1>
    </dataValidation>
    <dataValidation type="custom" allowBlank="1" showInputMessage="1" promptTitle="Canonical Type" prompt="Indexing/canonicalization signal. Fix: ensure indexable pages use correct canonicals and non-conflicting directives." sqref="F1" xr:uid="{00000000-0002-0000-0B00-000005000000}">
      <formula1>TRUE</formula1>
    </dataValidation>
    <dataValidation type="custom" allowBlank="1" showInputMessage="1" promptTitle="Canonical Matches Final URL" prompt="Canonical Matches Final URL. Use this URL to inspect the page directly or jump to related tabs." sqref="G1" xr:uid="{00000000-0002-0000-0B00-000006000000}">
      <formula1>TRUE</formula1>
    </dataValidation>
    <dataValidation type="custom" allowBlank="1" showInputMessage="1" promptTitle="Canonical in Sitemap Match" prompt="Indexing/canonicalization signal. Fix: ensure indexable pages use correct canonicals and non-conflicting directives." sqref="H1" xr:uid="{00000000-0002-0000-0B00-000007000000}">
      <formula1>TRUE</formula1>
    </dataValidation>
    <dataValidation type="custom" allowBlank="1" showInputMessage="1" promptTitle="Meta Robots Raw" prompt="Robots directives that influence indexation. Fix: remove unintended noindex/nofollow values on important pages." sqref="I1" xr:uid="{00000000-0002-0000-0B00-000008000000}">
      <formula1>TRUE</formula1>
    </dataValidation>
    <dataValidation type="custom" allowBlank="1" showInputMessage="1" promptTitle="X-Robots-Tag" prompt="Robots directives that influence indexation. Fix: remove unintended noindex/nofollow values on important pages." sqref="J1" xr:uid="{00000000-0002-0000-0B00-000009000000}">
      <formula1>TRUE</formula1>
    </dataValidation>
    <dataValidation type="custom" allowBlank="1" showInputMessage="1" promptTitle="Final URL" prompt="Final URL. Use this URL to inspect the page directly or jump to related tabs." sqref="K1" xr:uid="{00000000-0002-0000-0B00-00000A000000}">
      <formula1>TRUE</formula1>
    </dataValidation>
    <dataValidation type="custom" allowBlank="1" showInputMessage="1" promptTitle="Open in Main" prompt="Navigation helper. Click to jump directly to the related record in another tab." sqref="L1" xr:uid="{00000000-0002-0000-0B00-00000B000000}">
      <formula1>TRUE</formula1>
    </dataValidation>
    <dataValidation type="custom" allowBlank="1" showInputMessage="1" promptTitle="BACK TO DASHBOARD" prompt="BACK TO DASHBOARD. Review this metric to identify risk, then use linked tabs for details and remediation." sqref="M1" xr:uid="{00000000-0002-0000-0B00-00000C000000}">
      <formula1>TRUE</formula1>
    </dataValidation>
  </dataValidations>
  <hyperlinks>
    <hyperlink ref="M1" location="Dashboard!A1" display="BACK TO DASHBOARD" xr:uid="{00000000-0004-0000-0B00-000000000000}"/>
    <hyperlink ref="A2" r:id="rId1" xr:uid="{00000000-0004-0000-0B00-000001000000}"/>
    <hyperlink ref="A3" r:id="rId2" xr:uid="{00000000-0004-0000-0B00-000002000000}"/>
    <hyperlink ref="A4" r:id="rId3" xr:uid="{00000000-0004-0000-0B00-000003000000}"/>
    <hyperlink ref="A5" r:id="rId4" xr:uid="{00000000-0004-0000-0B00-000004000000}"/>
    <hyperlink ref="A6" r:id="rId5" xr:uid="{00000000-0004-0000-0B00-000005000000}"/>
    <hyperlink ref="A7" r:id="rId6" xr:uid="{00000000-0004-0000-0B00-000006000000}"/>
    <hyperlink ref="A8" r:id="rId7" xr:uid="{00000000-0004-0000-0B00-000007000000}"/>
    <hyperlink ref="A9" r:id="rId8" xr:uid="{00000000-0004-0000-0B00-000008000000}"/>
    <hyperlink ref="A10" r:id="rId9" xr:uid="{00000000-0004-0000-0B00-000009000000}"/>
    <hyperlink ref="A11" r:id="rId10" xr:uid="{00000000-0004-0000-0B00-00000A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3" width="45" customWidth="1"/>
    <col min="4" max="4" width="23" customWidth="1"/>
    <col min="5" max="5" width="17" customWidth="1"/>
    <col min="6" max="6" width="15" customWidth="1"/>
    <col min="7" max="7" width="22" customWidth="1"/>
    <col min="8" max="8" width="20" customWidth="1"/>
  </cols>
  <sheetData>
    <row r="1" spans="1:10" ht="45" x14ac:dyDescent="0.25">
      <c r="A1" s="26" t="s">
        <v>102</v>
      </c>
      <c r="B1" s="26" t="s">
        <v>395</v>
      </c>
      <c r="C1" s="26" t="s">
        <v>449</v>
      </c>
      <c r="D1" s="26" t="s">
        <v>453</v>
      </c>
      <c r="E1" s="26" t="s">
        <v>454</v>
      </c>
      <c r="F1" s="26" t="s">
        <v>455</v>
      </c>
      <c r="G1" s="26" t="s">
        <v>456</v>
      </c>
      <c r="H1" s="26" t="s">
        <v>591</v>
      </c>
      <c r="I1" s="26" t="s">
        <v>122</v>
      </c>
      <c r="J1" s="35" t="s">
        <v>211</v>
      </c>
    </row>
    <row r="2" spans="1:10" ht="30" customHeight="1" x14ac:dyDescent="0.25">
      <c r="A2" s="32" t="s">
        <v>144</v>
      </c>
      <c r="B2" s="34">
        <v>200</v>
      </c>
      <c r="C2" s="30" t="s">
        <v>144</v>
      </c>
      <c r="D2" s="27">
        <v>0</v>
      </c>
      <c r="E2" s="27"/>
      <c r="F2" s="30"/>
      <c r="G2" s="27" t="b">
        <v>0</v>
      </c>
      <c r="H2" s="34" t="b">
        <v>0</v>
      </c>
      <c r="I2" s="33" t="str">
        <f>IFERROR(HYPERLINK("#Main!A"&amp;MATCH(A2,Main!A:A,0),"Open"),HYPERLINK("#Main!A1","Open"))</f>
        <v>Open</v>
      </c>
      <c r="J2" s="33"/>
    </row>
    <row r="3" spans="1:10" ht="15.75" x14ac:dyDescent="0.25">
      <c r="A3" s="29" t="s">
        <v>127</v>
      </c>
      <c r="B3" s="34">
        <v>200</v>
      </c>
      <c r="C3" s="42" t="s">
        <v>127</v>
      </c>
      <c r="D3" s="36">
        <v>0</v>
      </c>
      <c r="E3" s="36"/>
      <c r="F3" s="42"/>
      <c r="G3" s="36" t="b">
        <v>0</v>
      </c>
      <c r="H3" s="34" t="b">
        <v>0</v>
      </c>
      <c r="I3" t="str">
        <f>IFERROR(HYPERLINK("#Main!A"&amp;MATCH(A3,Main!A:A,0),"Open"),HYPERLINK("#Main!A1","Open"))</f>
        <v>Open</v>
      </c>
    </row>
    <row r="4" spans="1:10" ht="30" customHeight="1" x14ac:dyDescent="0.25">
      <c r="A4" s="32" t="s">
        <v>135</v>
      </c>
      <c r="B4" s="34">
        <v>200</v>
      </c>
      <c r="C4" s="30" t="s">
        <v>135</v>
      </c>
      <c r="D4" s="27">
        <v>0</v>
      </c>
      <c r="E4" s="27"/>
      <c r="F4" s="30"/>
      <c r="G4" s="27" t="b">
        <v>0</v>
      </c>
      <c r="H4" s="34" t="b">
        <v>0</v>
      </c>
      <c r="I4" s="33" t="str">
        <f>IFERROR(HYPERLINK("#Main!A"&amp;MATCH(A4,Main!A:A,0),"Open"),HYPERLINK("#Main!A1","Open"))</f>
        <v>Open</v>
      </c>
      <c r="J4" s="33"/>
    </row>
    <row r="5" spans="1:10" ht="30" customHeight="1" x14ac:dyDescent="0.25">
      <c r="A5" s="29" t="s">
        <v>152</v>
      </c>
      <c r="B5" s="34">
        <v>200</v>
      </c>
      <c r="C5" s="42" t="s">
        <v>152</v>
      </c>
      <c r="D5" s="36">
        <v>0</v>
      </c>
      <c r="E5" s="36"/>
      <c r="F5" s="42"/>
      <c r="G5" s="36" t="b">
        <v>0</v>
      </c>
      <c r="H5" s="34" t="b">
        <v>0</v>
      </c>
      <c r="I5" t="str">
        <f>IFERROR(HYPERLINK("#Main!A"&amp;MATCH(A5,Main!A:A,0),"Open"),HYPERLINK("#Main!A1","Open"))</f>
        <v>Open</v>
      </c>
    </row>
    <row r="6" spans="1:10" ht="30" customHeight="1" x14ac:dyDescent="0.25">
      <c r="A6" s="32" t="s">
        <v>169</v>
      </c>
      <c r="B6" s="34">
        <v>200</v>
      </c>
      <c r="C6" s="30" t="s">
        <v>169</v>
      </c>
      <c r="D6" s="27">
        <v>0</v>
      </c>
      <c r="E6" s="27"/>
      <c r="F6" s="30"/>
      <c r="G6" s="27" t="b">
        <v>0</v>
      </c>
      <c r="H6" s="34" t="b">
        <v>0</v>
      </c>
      <c r="I6" s="33" t="str">
        <f>IFERROR(HYPERLINK("#Main!A"&amp;MATCH(A6,Main!A:A,0),"Open"),HYPERLINK("#Main!A1","Open"))</f>
        <v>Open</v>
      </c>
      <c r="J6" s="33"/>
    </row>
    <row r="7" spans="1:10" ht="30" customHeight="1" x14ac:dyDescent="0.25">
      <c r="A7" s="29" t="s">
        <v>161</v>
      </c>
      <c r="B7" s="34">
        <v>200</v>
      </c>
      <c r="C7" s="42" t="s">
        <v>161</v>
      </c>
      <c r="D7" s="36">
        <v>0</v>
      </c>
      <c r="E7" s="36"/>
      <c r="F7" s="42"/>
      <c r="G7" s="36" t="b">
        <v>0</v>
      </c>
      <c r="H7" s="34" t="b">
        <v>0</v>
      </c>
      <c r="I7" t="str">
        <f>IFERROR(HYPERLINK("#Main!A"&amp;MATCH(A7,Main!A:A,0),"Open"),HYPERLINK("#Main!A1","Open"))</f>
        <v>Open</v>
      </c>
    </row>
    <row r="8" spans="1:10" ht="30" customHeight="1" x14ac:dyDescent="0.25">
      <c r="A8" s="32" t="s">
        <v>177</v>
      </c>
      <c r="B8" s="34">
        <v>200</v>
      </c>
      <c r="C8" s="30" t="s">
        <v>177</v>
      </c>
      <c r="D8" s="27">
        <v>0</v>
      </c>
      <c r="E8" s="27"/>
      <c r="F8" s="30"/>
      <c r="G8" s="27" t="b">
        <v>0</v>
      </c>
      <c r="H8" s="34" t="b">
        <v>0</v>
      </c>
      <c r="I8" s="33" t="str">
        <f>IFERROR(HYPERLINK("#Main!A"&amp;MATCH(A8,Main!A:A,0),"Open"),HYPERLINK("#Main!A1","Open"))</f>
        <v>Open</v>
      </c>
      <c r="J8" s="33"/>
    </row>
    <row r="9" spans="1:10" ht="30" customHeight="1" x14ac:dyDescent="0.25">
      <c r="A9" s="29" t="s">
        <v>186</v>
      </c>
      <c r="B9" s="34">
        <v>200</v>
      </c>
      <c r="C9" s="42" t="s">
        <v>186</v>
      </c>
      <c r="D9" s="36">
        <v>0</v>
      </c>
      <c r="E9" s="36"/>
      <c r="F9" s="42"/>
      <c r="G9" s="36" t="b">
        <v>0</v>
      </c>
      <c r="H9" s="34" t="b">
        <v>0</v>
      </c>
      <c r="I9" t="str">
        <f>IFERROR(HYPERLINK("#Main!A"&amp;MATCH(A9,Main!A:A,0),"Open"),HYPERLINK("#Main!A1","Open"))</f>
        <v>Open</v>
      </c>
    </row>
    <row r="10" spans="1:10" ht="30" customHeight="1" x14ac:dyDescent="0.25">
      <c r="A10" s="32" t="s">
        <v>194</v>
      </c>
      <c r="B10" s="34">
        <v>200</v>
      </c>
      <c r="C10" s="30" t="s">
        <v>194</v>
      </c>
      <c r="D10" s="27">
        <v>0</v>
      </c>
      <c r="E10" s="27"/>
      <c r="F10" s="30"/>
      <c r="G10" s="27" t="b">
        <v>0</v>
      </c>
      <c r="H10" s="34" t="b">
        <v>0</v>
      </c>
      <c r="I10" s="33" t="str">
        <f>IFERROR(HYPERLINK("#Main!A"&amp;MATCH(A10,Main!A:A,0),"Open"),HYPERLINK("#Main!A1","Open"))</f>
        <v>Open</v>
      </c>
      <c r="J10" s="33"/>
    </row>
    <row r="11" spans="1:10" ht="30" customHeight="1" x14ac:dyDescent="0.25">
      <c r="A11" s="29" t="s">
        <v>202</v>
      </c>
      <c r="B11" s="34">
        <v>200</v>
      </c>
      <c r="C11" s="42" t="s">
        <v>202</v>
      </c>
      <c r="D11" s="36">
        <v>0</v>
      </c>
      <c r="E11" s="36"/>
      <c r="F11" s="42"/>
      <c r="G11" s="36" t="b">
        <v>0</v>
      </c>
      <c r="H11" s="34" t="b">
        <v>0</v>
      </c>
      <c r="I11" t="str">
        <f>IFERROR(HYPERLINK("#Main!A"&amp;MATCH(A11,Main!A:A,0),"Open"),HYPERLINK("#Main!A1","Open"))</f>
        <v>Open</v>
      </c>
    </row>
  </sheetData>
  <autoFilter ref="A1:J11" xr:uid="{00000000-0009-0000-0000-00000C000000}"/>
  <conditionalFormatting sqref="B2:B11">
    <cfRule type="cellIs" dxfId="33" priority="1" operator="equal">
      <formula>200</formula>
    </cfRule>
    <cfRule type="cellIs" dxfId="32" priority="2" operator="between">
      <formula>300</formula>
      <formula>399</formula>
    </cfRule>
    <cfRule type="cellIs" dxfId="31" priority="3" operator="greaterThanOrEqual">
      <formula>400</formula>
    </cfRule>
  </conditionalFormatting>
  <dataValidations count="10">
    <dataValidation type="custom" allowBlank="1" showInputMessage="1" promptTitle="URL" prompt="URL. Use this URL to inspect the page directly or jump to related tabs." sqref="A1" xr:uid="{00000000-0002-0000-0C00-000000000000}">
      <formula1>TRUE</formula1>
    </dataValidation>
    <dataValidation type="custom" allowBlank="1" showInputMessage="1" promptTitle="Status Code" prompt="HTTP response code returned for this page/resource. Fix: Resolve 4xx/5xx errors and reduce unnecessary redirects." sqref="B1" xr:uid="{00000000-0002-0000-0C00-000001000000}">
      <formula1>TRUE</formula1>
    </dataValidation>
    <dataValidation type="custom" allowBlank="1" showInputMessage="1" promptTitle="Final URL" prompt="Final URL. Use this URL to inspect the page directly or jump to related tabs." sqref="C1" xr:uid="{00000000-0002-0000-0C00-000002000000}">
      <formula1>TRUE</formula1>
    </dataValidation>
    <dataValidation type="custom" allowBlank="1" showInputMessage="1" promptTitle="Redirect Chain Length" prompt="Redirect Chain Length. Review this metric to identify risk, then use linked tabs for details and remediation." sqref="D1" xr:uid="{00000000-0002-0000-0C00-000003000000}">
      <formula1>TRUE</formula1>
    </dataValidation>
    <dataValidation type="custom" allowBlank="1" showInputMessage="1" promptTitle="Redirect Target" prompt="Redirect Target. Review this metric to identify risk, then use linked tabs for details and remediation." sqref="E1" xr:uid="{00000000-0002-0000-0C00-000004000000}">
      <formula1>TRUE</formula1>
    </dataValidation>
    <dataValidation type="custom" allowBlank="1" showInputMessage="1" promptTitle="Redirect Hops" prompt="Redirect Hops. Review this metric to identify risk, then use linked tabs for details and remediation." sqref="F1" xr:uid="{00000000-0002-0000-0C00-000005000000}">
      <formula1>TRUE</formula1>
    </dataValidation>
    <dataValidation type="custom" allowBlank="1" showInputMessage="1" promptTitle="HTTP-&gt;HTTPS Redirect" prompt="HTTP-&gt;HTTPS Redirect. Review this metric to identify risk, then use linked tabs for details and remediation." sqref="G1" xr:uid="{00000000-0002-0000-0C00-000006000000}">
      <formula1>TRUE</formula1>
    </dataValidation>
    <dataValidation type="custom" allowBlank="1" showInputMessage="1" promptTitle="Redirect Loop Flag" prompt="Redirect Loop Flag. Review this metric to identify risk, then use linked tabs for details and remediation." sqref="H1" xr:uid="{00000000-0002-0000-0C00-000007000000}">
      <formula1>TRUE</formula1>
    </dataValidation>
    <dataValidation type="custom" allowBlank="1" showInputMessage="1" promptTitle="Open in Main" prompt="Navigation helper. Click to jump directly to the related record in another tab." sqref="I1" xr:uid="{00000000-0002-0000-0C00-000008000000}">
      <formula1>TRUE</formula1>
    </dataValidation>
    <dataValidation type="custom" allowBlank="1" showInputMessage="1" promptTitle="BACK TO DASHBOARD" prompt="BACK TO DASHBOARD. Review this metric to identify risk, then use linked tabs for details and remediation." sqref="J1" xr:uid="{00000000-0002-0000-0C00-000009000000}">
      <formula1>TRUE</formula1>
    </dataValidation>
  </dataValidations>
  <hyperlinks>
    <hyperlink ref="J1" location="Dashboard!A1" display="BACK TO DASHBOARD" xr:uid="{00000000-0004-0000-0C00-000000000000}"/>
    <hyperlink ref="A2" r:id="rId1" xr:uid="{00000000-0004-0000-0C00-000001000000}"/>
    <hyperlink ref="A3" r:id="rId2" xr:uid="{00000000-0004-0000-0C00-000002000000}"/>
    <hyperlink ref="A4" r:id="rId3" xr:uid="{00000000-0004-0000-0C00-000003000000}"/>
    <hyperlink ref="A5" r:id="rId4" xr:uid="{00000000-0004-0000-0C00-000004000000}"/>
    <hyperlink ref="A6" r:id="rId5" xr:uid="{00000000-0004-0000-0C00-000005000000}"/>
    <hyperlink ref="A7" r:id="rId6" xr:uid="{00000000-0004-0000-0C00-000006000000}"/>
    <hyperlink ref="A8" r:id="rId7" xr:uid="{00000000-0004-0000-0C00-000007000000}"/>
    <hyperlink ref="A9" r:id="rId8" xr:uid="{00000000-0004-0000-0C00-000008000000}"/>
    <hyperlink ref="A10" r:id="rId9" xr:uid="{00000000-0004-0000-0C00-000009000000}"/>
    <hyperlink ref="A11" r:id="rId10" xr:uid="{00000000-0004-0000-0C00-00000A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9" customWidth="1"/>
    <col min="7" max="7" width="16" customWidth="1"/>
    <col min="8" max="8" width="23" customWidth="1"/>
    <col min="9" max="9" width="22" customWidth="1"/>
    <col min="10" max="10" width="15" customWidth="1"/>
    <col min="11" max="11" width="45" customWidth="1"/>
    <col min="12" max="12" width="7" customWidth="1"/>
    <col min="13" max="14" width="8" customWidth="1"/>
    <col min="15" max="15" width="21" customWidth="1"/>
    <col min="16" max="16" width="29" customWidth="1"/>
    <col min="17" max="17" width="16" customWidth="1"/>
  </cols>
  <sheetData>
    <row r="1" spans="1:20" ht="45" x14ac:dyDescent="0.25">
      <c r="A1" s="26" t="s">
        <v>102</v>
      </c>
      <c r="B1" s="26" t="s">
        <v>592</v>
      </c>
      <c r="C1" s="26" t="s">
        <v>400</v>
      </c>
      <c r="D1" s="26" t="s">
        <v>399</v>
      </c>
      <c r="E1" s="26" t="s">
        <v>429</v>
      </c>
      <c r="F1" s="26" t="s">
        <v>430</v>
      </c>
      <c r="G1" s="26" t="s">
        <v>593</v>
      </c>
      <c r="H1" s="26" t="s">
        <v>494</v>
      </c>
      <c r="I1" s="26" t="s">
        <v>495</v>
      </c>
      <c r="J1" s="26" t="s">
        <v>265</v>
      </c>
      <c r="K1" s="26" t="s">
        <v>594</v>
      </c>
      <c r="L1" s="26" t="s">
        <v>68</v>
      </c>
      <c r="M1" s="26" t="s">
        <v>64</v>
      </c>
      <c r="N1" s="26" t="s">
        <v>267</v>
      </c>
      <c r="O1" s="26" t="s">
        <v>446</v>
      </c>
      <c r="P1" s="26" t="s">
        <v>577</v>
      </c>
      <c r="Q1" s="26" t="s">
        <v>451</v>
      </c>
      <c r="R1" s="26" t="s">
        <v>122</v>
      </c>
      <c r="S1" s="26" t="s">
        <v>595</v>
      </c>
      <c r="T1" s="35" t="s">
        <v>211</v>
      </c>
    </row>
    <row r="2" spans="1:20" ht="30" customHeight="1" x14ac:dyDescent="0.25">
      <c r="A2" s="32" t="s">
        <v>202</v>
      </c>
      <c r="B2" s="27">
        <v>153</v>
      </c>
      <c r="C2" s="28" t="s">
        <v>71</v>
      </c>
      <c r="D2" s="48">
        <v>17</v>
      </c>
      <c r="E2" s="27">
        <v>0</v>
      </c>
      <c r="F2" s="27">
        <v>0</v>
      </c>
      <c r="G2" s="27" t="s">
        <v>596</v>
      </c>
      <c r="H2" s="27">
        <v>1</v>
      </c>
      <c r="I2" s="27">
        <v>4</v>
      </c>
      <c r="J2" s="27" t="s">
        <v>283</v>
      </c>
      <c r="K2" s="27" t="s">
        <v>597</v>
      </c>
      <c r="L2" s="27" t="s">
        <v>295</v>
      </c>
      <c r="M2" s="28" t="s">
        <v>2</v>
      </c>
      <c r="N2" s="27"/>
      <c r="O2" s="34" t="s">
        <v>440</v>
      </c>
      <c r="P2" s="28">
        <v>1</v>
      </c>
      <c r="Q2" s="27" t="s">
        <v>508</v>
      </c>
      <c r="R2" s="33" t="str">
        <f>IFERROR(HYPERLINK("#Main!A"&amp;MATCH(A2,Main!A:A,0),"Open"),HYPERLINK("#Main!A1","Open"))</f>
        <v>Open</v>
      </c>
      <c r="S2" s="33" t="str">
        <f>IFERROR(HYPERLINK("#Technical!A"&amp;MATCH(A2,Technical!A:A,0),"Open"),HYPERLINK("#Technical!A1","Open"))</f>
        <v>Open</v>
      </c>
      <c r="T2" s="33"/>
    </row>
    <row r="3" spans="1:20" ht="15.75" x14ac:dyDescent="0.25">
      <c r="A3" s="29" t="s">
        <v>127</v>
      </c>
      <c r="B3" s="36">
        <v>136</v>
      </c>
      <c r="C3" s="28" t="s">
        <v>71</v>
      </c>
      <c r="D3" s="48">
        <v>24</v>
      </c>
      <c r="E3" s="36">
        <v>0</v>
      </c>
      <c r="F3" s="36">
        <v>0</v>
      </c>
      <c r="G3" s="36" t="s">
        <v>596</v>
      </c>
      <c r="H3" s="36">
        <v>1</v>
      </c>
      <c r="I3" s="36">
        <v>3</v>
      </c>
      <c r="J3" s="36" t="s">
        <v>283</v>
      </c>
      <c r="K3" s="36" t="s">
        <v>597</v>
      </c>
      <c r="L3" s="36" t="s">
        <v>295</v>
      </c>
      <c r="M3" s="28" t="s">
        <v>2</v>
      </c>
      <c r="N3" s="36"/>
      <c r="O3" s="34" t="s">
        <v>440</v>
      </c>
      <c r="P3" s="28">
        <v>1</v>
      </c>
      <c r="Q3" s="36" t="s">
        <v>508</v>
      </c>
      <c r="R3" t="str">
        <f>IFERROR(HYPERLINK("#Main!A"&amp;MATCH(A3,Main!A:A,0),"Open"),HYPERLINK("#Main!A1","Open"))</f>
        <v>Open</v>
      </c>
      <c r="S3" t="str">
        <f>IFERROR(HYPERLINK("#Technical!A"&amp;MATCH(A3,Technical!A:A,0),"Open"),HYPERLINK("#Technical!A1","Open"))</f>
        <v>Open</v>
      </c>
    </row>
    <row r="4" spans="1:20" ht="30" customHeight="1" x14ac:dyDescent="0.25">
      <c r="A4" s="32" t="s">
        <v>169</v>
      </c>
      <c r="B4" s="27">
        <v>133</v>
      </c>
      <c r="C4" s="28" t="s">
        <v>71</v>
      </c>
      <c r="D4" s="48">
        <v>27</v>
      </c>
      <c r="E4" s="27">
        <v>0</v>
      </c>
      <c r="F4" s="27">
        <v>0</v>
      </c>
      <c r="G4" s="27" t="s">
        <v>596</v>
      </c>
      <c r="H4" s="27">
        <v>1</v>
      </c>
      <c r="I4" s="27">
        <v>3</v>
      </c>
      <c r="J4" s="27" t="s">
        <v>283</v>
      </c>
      <c r="K4" s="27" t="s">
        <v>597</v>
      </c>
      <c r="L4" s="27" t="s">
        <v>295</v>
      </c>
      <c r="M4" s="28" t="s">
        <v>2</v>
      </c>
      <c r="N4" s="27"/>
      <c r="O4" s="34" t="s">
        <v>440</v>
      </c>
      <c r="P4" s="28">
        <v>1</v>
      </c>
      <c r="Q4" s="27" t="s">
        <v>508</v>
      </c>
      <c r="R4" s="33" t="str">
        <f>IFERROR(HYPERLINK("#Main!A"&amp;MATCH(A4,Main!A:A,0),"Open"),HYPERLINK("#Main!A1","Open"))</f>
        <v>Open</v>
      </c>
      <c r="S4" s="33" t="str">
        <f>IFERROR(HYPERLINK("#Technical!A"&amp;MATCH(A4,Technical!A:A,0),"Open"),HYPERLINK("#Technical!A1","Open"))</f>
        <v>Open</v>
      </c>
      <c r="T4" s="33"/>
    </row>
    <row r="5" spans="1:20" ht="30" customHeight="1" x14ac:dyDescent="0.25">
      <c r="A5" s="29" t="s">
        <v>161</v>
      </c>
      <c r="B5" s="36">
        <v>133</v>
      </c>
      <c r="C5" s="28" t="s">
        <v>71</v>
      </c>
      <c r="D5" s="48">
        <v>27</v>
      </c>
      <c r="E5" s="36">
        <v>0</v>
      </c>
      <c r="F5" s="36">
        <v>0</v>
      </c>
      <c r="G5" s="36" t="s">
        <v>596</v>
      </c>
      <c r="H5" s="36">
        <v>1</v>
      </c>
      <c r="I5" s="36">
        <v>3</v>
      </c>
      <c r="J5" s="36" t="s">
        <v>283</v>
      </c>
      <c r="K5" s="36" t="s">
        <v>597</v>
      </c>
      <c r="L5" s="36" t="s">
        <v>295</v>
      </c>
      <c r="M5" s="28" t="s">
        <v>2</v>
      </c>
      <c r="N5" s="36"/>
      <c r="O5" s="34" t="s">
        <v>440</v>
      </c>
      <c r="P5" s="28">
        <v>1</v>
      </c>
      <c r="Q5" s="36" t="s">
        <v>508</v>
      </c>
      <c r="R5" t="str">
        <f>IFERROR(HYPERLINK("#Main!A"&amp;MATCH(A5,Main!A:A,0),"Open"),HYPERLINK("#Main!A1","Open"))</f>
        <v>Open</v>
      </c>
      <c r="S5" t="str">
        <f>IFERROR(HYPERLINK("#Technical!A"&amp;MATCH(A5,Technical!A:A,0),"Open"),HYPERLINK("#Technical!A1","Open"))</f>
        <v>Open</v>
      </c>
    </row>
    <row r="6" spans="1:20" ht="30" customHeight="1" x14ac:dyDescent="0.25">
      <c r="A6" s="32" t="s">
        <v>144</v>
      </c>
      <c r="B6" s="27">
        <v>130</v>
      </c>
      <c r="C6" s="28" t="s">
        <v>71</v>
      </c>
      <c r="D6" s="48">
        <v>30</v>
      </c>
      <c r="E6" s="27">
        <v>0</v>
      </c>
      <c r="F6" s="27">
        <v>0</v>
      </c>
      <c r="G6" s="27" t="s">
        <v>596</v>
      </c>
      <c r="H6" s="27">
        <v>1</v>
      </c>
      <c r="I6" s="27">
        <v>3</v>
      </c>
      <c r="J6" s="27" t="s">
        <v>283</v>
      </c>
      <c r="K6" s="27" t="s">
        <v>597</v>
      </c>
      <c r="L6" s="27" t="s">
        <v>295</v>
      </c>
      <c r="M6" s="28" t="s">
        <v>2</v>
      </c>
      <c r="N6" s="27"/>
      <c r="O6" s="34" t="s">
        <v>440</v>
      </c>
      <c r="P6" s="28">
        <v>1</v>
      </c>
      <c r="Q6" s="27" t="s">
        <v>508</v>
      </c>
      <c r="R6" s="33" t="str">
        <f>IFERROR(HYPERLINK("#Main!A"&amp;MATCH(A6,Main!A:A,0),"Open"),HYPERLINK("#Main!A1","Open"))</f>
        <v>Open</v>
      </c>
      <c r="S6" s="33" t="str">
        <f>IFERROR(HYPERLINK("#Technical!A"&amp;MATCH(A6,Technical!A:A,0),"Open"),HYPERLINK("#Technical!A1","Open"))</f>
        <v>Open</v>
      </c>
      <c r="T6" s="33"/>
    </row>
    <row r="7" spans="1:20" ht="30" customHeight="1" x14ac:dyDescent="0.25">
      <c r="A7" s="29" t="s">
        <v>152</v>
      </c>
      <c r="B7" s="36">
        <v>130</v>
      </c>
      <c r="C7" s="28" t="s">
        <v>71</v>
      </c>
      <c r="D7" s="48">
        <v>30</v>
      </c>
      <c r="E7" s="36">
        <v>0</v>
      </c>
      <c r="F7" s="36">
        <v>0</v>
      </c>
      <c r="G7" s="36" t="s">
        <v>596</v>
      </c>
      <c r="H7" s="36">
        <v>1</v>
      </c>
      <c r="I7" s="36">
        <v>3</v>
      </c>
      <c r="J7" s="36" t="s">
        <v>283</v>
      </c>
      <c r="K7" s="36" t="s">
        <v>597</v>
      </c>
      <c r="L7" s="36" t="s">
        <v>295</v>
      </c>
      <c r="M7" s="28" t="s">
        <v>2</v>
      </c>
      <c r="N7" s="36"/>
      <c r="O7" s="34" t="s">
        <v>440</v>
      </c>
      <c r="P7" s="28">
        <v>1</v>
      </c>
      <c r="Q7" s="36" t="s">
        <v>508</v>
      </c>
      <c r="R7" t="str">
        <f>IFERROR(HYPERLINK("#Main!A"&amp;MATCH(A7,Main!A:A,0),"Open"),HYPERLINK("#Main!A1","Open"))</f>
        <v>Open</v>
      </c>
      <c r="S7" t="str">
        <f>IFERROR(HYPERLINK("#Technical!A"&amp;MATCH(A7,Technical!A:A,0),"Open"),HYPERLINK("#Technical!A1","Open"))</f>
        <v>Open</v>
      </c>
    </row>
    <row r="8" spans="1:20" ht="30" customHeight="1" x14ac:dyDescent="0.25">
      <c r="A8" s="32" t="s">
        <v>177</v>
      </c>
      <c r="B8" s="27">
        <v>130</v>
      </c>
      <c r="C8" s="28" t="s">
        <v>71</v>
      </c>
      <c r="D8" s="48">
        <v>30</v>
      </c>
      <c r="E8" s="27">
        <v>0</v>
      </c>
      <c r="F8" s="27">
        <v>0</v>
      </c>
      <c r="G8" s="27" t="s">
        <v>596</v>
      </c>
      <c r="H8" s="27">
        <v>1</v>
      </c>
      <c r="I8" s="27">
        <v>3</v>
      </c>
      <c r="J8" s="27" t="s">
        <v>283</v>
      </c>
      <c r="K8" s="27" t="s">
        <v>597</v>
      </c>
      <c r="L8" s="27" t="s">
        <v>295</v>
      </c>
      <c r="M8" s="28" t="s">
        <v>2</v>
      </c>
      <c r="N8" s="27"/>
      <c r="O8" s="34" t="s">
        <v>440</v>
      </c>
      <c r="P8" s="28">
        <v>2</v>
      </c>
      <c r="Q8" s="27" t="s">
        <v>508</v>
      </c>
      <c r="R8" s="33" t="str">
        <f>IFERROR(HYPERLINK("#Main!A"&amp;MATCH(A8,Main!A:A,0),"Open"),HYPERLINK("#Main!A1","Open"))</f>
        <v>Open</v>
      </c>
      <c r="S8" s="33" t="str">
        <f>IFERROR(HYPERLINK("#Technical!A"&amp;MATCH(A8,Technical!A:A,0),"Open"),HYPERLINK("#Technical!A1","Open"))</f>
        <v>Open</v>
      </c>
      <c r="T8" s="33"/>
    </row>
    <row r="9" spans="1:20" ht="30" customHeight="1" x14ac:dyDescent="0.25">
      <c r="A9" s="29" t="s">
        <v>135</v>
      </c>
      <c r="B9" s="36">
        <v>113</v>
      </c>
      <c r="C9" s="28" t="s">
        <v>71</v>
      </c>
      <c r="D9" s="48">
        <v>37</v>
      </c>
      <c r="E9" s="36">
        <v>0</v>
      </c>
      <c r="F9" s="36">
        <v>0</v>
      </c>
      <c r="G9" s="36" t="s">
        <v>596</v>
      </c>
      <c r="H9" s="36">
        <v>1</v>
      </c>
      <c r="I9" s="36">
        <v>2</v>
      </c>
      <c r="J9" s="36" t="s">
        <v>283</v>
      </c>
      <c r="K9" s="36" t="s">
        <v>597</v>
      </c>
      <c r="L9" s="36" t="s">
        <v>295</v>
      </c>
      <c r="M9" s="28" t="s">
        <v>2</v>
      </c>
      <c r="N9" s="36"/>
      <c r="O9" s="34" t="s">
        <v>440</v>
      </c>
      <c r="P9" s="28">
        <v>1</v>
      </c>
      <c r="Q9" s="36" t="s">
        <v>508</v>
      </c>
      <c r="R9" t="str">
        <f>IFERROR(HYPERLINK("#Main!A"&amp;MATCH(A9,Main!A:A,0),"Open"),HYPERLINK("#Main!A1","Open"))</f>
        <v>Open</v>
      </c>
      <c r="S9" t="str">
        <f>IFERROR(HYPERLINK("#Technical!A"&amp;MATCH(A9,Technical!A:A,0),"Open"),HYPERLINK("#Technical!A1","Open"))</f>
        <v>Open</v>
      </c>
    </row>
    <row r="10" spans="1:20" ht="30" customHeight="1" x14ac:dyDescent="0.25">
      <c r="A10" s="32" t="s">
        <v>186</v>
      </c>
      <c r="B10" s="27">
        <v>110</v>
      </c>
      <c r="C10" s="28" t="s">
        <v>71</v>
      </c>
      <c r="D10" s="48">
        <v>40</v>
      </c>
      <c r="E10" s="27">
        <v>0</v>
      </c>
      <c r="F10" s="27">
        <v>0</v>
      </c>
      <c r="G10" s="27" t="s">
        <v>596</v>
      </c>
      <c r="H10" s="27">
        <v>1</v>
      </c>
      <c r="I10" s="27">
        <v>2</v>
      </c>
      <c r="J10" s="27" t="s">
        <v>283</v>
      </c>
      <c r="K10" s="27" t="s">
        <v>597</v>
      </c>
      <c r="L10" s="27" t="s">
        <v>295</v>
      </c>
      <c r="M10" s="28" t="s">
        <v>2</v>
      </c>
      <c r="N10" s="27"/>
      <c r="O10" s="34" t="s">
        <v>440</v>
      </c>
      <c r="P10" s="28">
        <v>2</v>
      </c>
      <c r="Q10" s="27" t="s">
        <v>508</v>
      </c>
      <c r="R10" s="33" t="str">
        <f>IFERROR(HYPERLINK("#Main!A"&amp;MATCH(A10,Main!A:A,0),"Open"),HYPERLINK("#Main!A1","Open"))</f>
        <v>Open</v>
      </c>
      <c r="S10" s="33" t="str">
        <f>IFERROR(HYPERLINK("#Technical!A"&amp;MATCH(A10,Technical!A:A,0),"Open"),HYPERLINK("#Technical!A1","Open"))</f>
        <v>Open</v>
      </c>
      <c r="T10" s="33"/>
    </row>
    <row r="11" spans="1:20" ht="30" customHeight="1" x14ac:dyDescent="0.25">
      <c r="A11" s="29" t="s">
        <v>194</v>
      </c>
      <c r="B11" s="36">
        <v>110</v>
      </c>
      <c r="C11" s="28" t="s">
        <v>71</v>
      </c>
      <c r="D11" s="48">
        <v>40</v>
      </c>
      <c r="E11" s="36">
        <v>0</v>
      </c>
      <c r="F11" s="36">
        <v>0</v>
      </c>
      <c r="G11" s="36" t="s">
        <v>596</v>
      </c>
      <c r="H11" s="36">
        <v>1</v>
      </c>
      <c r="I11" s="36">
        <v>2</v>
      </c>
      <c r="J11" s="36" t="s">
        <v>283</v>
      </c>
      <c r="K11" s="36" t="s">
        <v>597</v>
      </c>
      <c r="L11" s="36" t="s">
        <v>295</v>
      </c>
      <c r="M11" s="28" t="s">
        <v>2</v>
      </c>
      <c r="N11" s="36"/>
      <c r="O11" s="34" t="s">
        <v>440</v>
      </c>
      <c r="P11" s="28">
        <v>1</v>
      </c>
      <c r="Q11" s="36" t="s">
        <v>508</v>
      </c>
      <c r="R11" t="str">
        <f>IFERROR(HYPERLINK("#Main!A"&amp;MATCH(A11,Main!A:A,0),"Open"),HYPERLINK("#Main!A1","Open"))</f>
        <v>Open</v>
      </c>
      <c r="S11" t="str">
        <f>IFERROR(HYPERLINK("#Technical!A"&amp;MATCH(A11,Technical!A:A,0),"Open"),HYPERLINK("#Technical!A1","Open"))</f>
        <v>Open</v>
      </c>
    </row>
  </sheetData>
  <autoFilter ref="A1:T11" xr:uid="{00000000-0009-0000-0000-00000D000000}"/>
  <conditionalFormatting sqref="C2:C11">
    <cfRule type="expression" dxfId="30" priority="4" stopIfTrue="1">
      <formula>LOWER(C2)="critical"</formula>
    </cfRule>
    <cfRule type="expression" dxfId="29" priority="5" stopIfTrue="1">
      <formula>LOWER(C2)="warning"</formula>
    </cfRule>
    <cfRule type="expression" dxfId="28"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27" priority="2" stopIfTrue="1">
      <formula>LOWER(J2)="yes"</formula>
    </cfRule>
    <cfRule type="expression" dxfId="26" priority="3" stopIfTrue="1">
      <formula>LOWER(J2)="no"</formula>
    </cfRule>
  </conditionalFormatting>
  <conditionalFormatting sqref="M2:M11">
    <cfRule type="expression" dxfId="25" priority="7" stopIfTrue="1">
      <formula>LOWER(M2)="done"</formula>
    </cfRule>
    <cfRule type="expression" dxfId="24" priority="8" stopIfTrue="1">
      <formula>OR(LOWER(M2)="to do",LOWER(M2)="in progress",LOWER(M2)="in review")</formula>
    </cfRule>
  </conditionalFormatting>
  <dataValidations count="20">
    <dataValidation type="custom" allowBlank="1" showInputMessage="1" promptTitle="URL" prompt="URL. Use this URL to inspect the page directly or jump to related tabs." sqref="A1" xr:uid="{00000000-0002-0000-0D00-000000000000}">
      <formula1>TRUE</formula1>
    </dataValidation>
    <dataValidation type="custom" allowBlank="1" showInputMessage="1" promptTitle="Business Risk Score" prompt="Business Risk Score. Review this metric to identify risk, then use linked tabs for details and remediation." sqref="B1" xr:uid="{00000000-0002-0000-0D00-000001000000}">
      <formula1>TRUE</formula1>
    </dataValidation>
    <dataValidation type="custom" allowBlank="1" showInputMessage="1" promptTitle="Severity Badge" prompt="Issue impact level. Fix: Resolve Critical first, then Warning, then improvement opportunities." sqref="C1" xr:uid="{00000000-0002-0000-0D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D00-000003000000}">
      <formula1>TRUE</formula1>
    </dataValidation>
    <dataValidation type="custom" allowBlank="1" showInputMessage="1" promptTitle="GSC Impressions" prompt="GSC Impressions. Review this metric to identify risk, then use linked tabs for details and remediation." sqref="E1" xr:uid="{00000000-0002-0000-0D00-000004000000}">
      <formula1>TRUE</formula1>
    </dataValidation>
    <dataValidation type="custom" allowBlank="1" showInputMessage="1" promptTitle="GSC CTR" prompt="GSC CTR. Review this metric to identify risk, then use linked tabs for details and remediation." sqref="F1" xr:uid="{00000000-0002-0000-0D00-000005000000}">
      <formula1>TRUE</formula1>
    </dataValidation>
    <dataValidation type="custom" allowBlank="1" showInputMessage="1" promptTitle="Revenue Intent" prompt="Revenue Intent. Review this metric to identify risk, then use linked tabs for details and remediation." sqref="G1" xr:uid="{00000000-0002-0000-0D00-000006000000}">
      <formula1>TRUE</formula1>
    </dataValidation>
    <dataValidation type="custom" allowBlank="1" showInputMessage="1" promptTitle="Critical Issues Count" prompt="Critical Issues Count. Review this metric to identify risk, then use linked tabs for details and remediation." sqref="H1" xr:uid="{00000000-0002-0000-0D00-000007000000}">
      <formula1>TRUE</formula1>
    </dataValidation>
    <dataValidation type="custom" allowBlank="1" showInputMessage="1" promptTitle="Warning Issues Count" prompt="Warning Issues Count. Review this metric to identify risk, then use linked tabs for details and remediation." sqref="I1" xr:uid="{00000000-0002-0000-0D00-000008000000}">
      <formula1>TRUE</formula1>
    </dataValidation>
    <dataValidation type="custom" allowBlank="1" showInputMessage="1" promptTitle="Action Needed" prompt="Action Needed. Review this metric to identify risk, then use linked tabs for details and remediation." sqref="J1" xr:uid="{00000000-0002-0000-0D00-000009000000}">
      <formula1>TRUE</formula1>
    </dataValidation>
    <dataValidation type="custom" allowBlank="1" showInputMessage="1" promptTitle="Why Prioritized" prompt="Why Prioritized. Review this metric to identify risk, then use linked tabs for details and remediation." sqref="K1" xr:uid="{00000000-0002-0000-0D00-00000A000000}">
      <formula1>TRUE</formula1>
    </dataValidation>
    <dataValidation type="custom" allowBlank="1" showInputMessage="1" promptTitle="Owner" prompt="Workflow management field for planning and tracking remediation progress." sqref="L1" xr:uid="{00000000-0002-0000-0D00-00000B000000}">
      <formula1>TRUE</formula1>
    </dataValidation>
    <dataValidation type="custom" allowBlank="1" showInputMessage="1" promptTitle="Status" prompt="Workflow management field for planning and tracking remediation progress." sqref="M1" xr:uid="{00000000-0002-0000-0D00-00000C000000}">
      <formula1>TRUE</formula1>
    </dataValidation>
    <dataValidation type="custom" allowBlank="1" showInputMessage="1" promptTitle="Sprint" prompt="Workflow management field for planning and tracking remediation progress." sqref="N1" xr:uid="{00000000-0002-0000-0D00-00000D000000}">
      <formula1>TRUE</formula1>
    </dataValidation>
    <dataValidation type="custom" allowBlank="1" showInputMessage="1" promptTitle="Indexability Reason" prompt="Indexing/canonicalization signal. Fix: ensure indexable pages use correct canonicals and non-conflicting directives." sqref="O1" xr:uid="{00000000-0002-0000-0D00-00000E000000}">
      <formula1>TRUE</formula1>
    </dataValidation>
    <dataValidation type="custom" allowBlank="1" showInputMessage="1" promptTitle="Broken Internal Links Count" prompt="Link quality and crawl-path metric. Fix: repair broken links and improve internal linking relevance." sqref="P1" xr:uid="{00000000-0002-0000-0D00-00000F000000}">
      <formula1>TRUE</formula1>
    </dataValidation>
    <dataValidation type="custom" allowBlank="1" showInputMessage="1" promptTitle="Canonical Type" prompt="Indexing/canonicalization signal. Fix: ensure indexable pages use correct canonicals and non-conflicting directives." sqref="Q1" xr:uid="{00000000-0002-0000-0D00-000010000000}">
      <formula1>TRUE</formula1>
    </dataValidation>
    <dataValidation type="custom" allowBlank="1" showInputMessage="1" promptTitle="Open in Main" prompt="Navigation helper. Click to jump directly to the related record in another tab." sqref="R1" xr:uid="{00000000-0002-0000-0D00-000011000000}">
      <formula1>TRUE</formula1>
    </dataValidation>
    <dataValidation type="custom" allowBlank="1" showInputMessage="1" promptTitle="Open in Technical" prompt="Open in Technical. Review this metric to identify risk, then use linked tabs for details and remediation." sqref="S1" xr:uid="{00000000-0002-0000-0D00-000012000000}">
      <formula1>TRUE</formula1>
    </dataValidation>
    <dataValidation type="custom" allowBlank="1" showInputMessage="1" promptTitle="BACK TO DASHBOARD" prompt="BACK TO DASHBOARD. Review this metric to identify risk, then use linked tabs for details and remediation." sqref="T1" xr:uid="{00000000-0002-0000-0D00-000013000000}">
      <formula1>TRUE</formula1>
    </dataValidation>
  </dataValidations>
  <hyperlinks>
    <hyperlink ref="T1" location="Dashboard!A1" display="BACK TO DASHBOARD" xr:uid="{00000000-0004-0000-0D00-000000000000}"/>
    <hyperlink ref="A2" r:id="rId1" xr:uid="{00000000-0004-0000-0D00-000001000000}"/>
    <hyperlink ref="A3" r:id="rId2" xr:uid="{00000000-0004-0000-0D00-000002000000}"/>
    <hyperlink ref="A4" r:id="rId3" xr:uid="{00000000-0004-0000-0D00-000003000000}"/>
    <hyperlink ref="A5" r:id="rId4" xr:uid="{00000000-0004-0000-0D00-000004000000}"/>
    <hyperlink ref="A6" r:id="rId5" xr:uid="{00000000-0004-0000-0D00-000005000000}"/>
    <hyperlink ref="A7" r:id="rId6" xr:uid="{00000000-0004-0000-0D00-000006000000}"/>
    <hyperlink ref="A8" r:id="rId7" xr:uid="{00000000-0004-0000-0D00-000007000000}"/>
    <hyperlink ref="A9" r:id="rId8" xr:uid="{00000000-0004-0000-0D00-000008000000}"/>
    <hyperlink ref="A10" r:id="rId9" xr:uid="{00000000-0004-0000-0D00-000009000000}"/>
    <hyperlink ref="A11" r:id="rId10" xr:uid="{00000000-0004-0000-0D00-00000A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97"/>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6" t="s">
        <v>102</v>
      </c>
      <c r="B1" s="26" t="s">
        <v>598</v>
      </c>
      <c r="C1" s="26" t="s">
        <v>599</v>
      </c>
      <c r="D1" s="26" t="s">
        <v>600</v>
      </c>
      <c r="E1" s="26" t="s">
        <v>77</v>
      </c>
      <c r="F1" s="26" t="s">
        <v>601</v>
      </c>
      <c r="G1" s="26" t="s">
        <v>251</v>
      </c>
      <c r="H1" s="26" t="s">
        <v>602</v>
      </c>
      <c r="I1" s="26" t="s">
        <v>603</v>
      </c>
      <c r="J1" s="26" t="s">
        <v>604</v>
      </c>
      <c r="K1" s="26" t="s">
        <v>605</v>
      </c>
      <c r="L1" s="26" t="s">
        <v>606</v>
      </c>
      <c r="M1" s="26" t="s">
        <v>265</v>
      </c>
      <c r="N1" s="26" t="s">
        <v>68</v>
      </c>
      <c r="O1" s="26" t="s">
        <v>64</v>
      </c>
      <c r="P1" s="26" t="s">
        <v>259</v>
      </c>
      <c r="Q1" s="26" t="s">
        <v>607</v>
      </c>
      <c r="R1" s="26" t="s">
        <v>210</v>
      </c>
      <c r="S1" s="26" t="s">
        <v>122</v>
      </c>
      <c r="T1" s="26" t="s">
        <v>595</v>
      </c>
      <c r="U1" s="35" t="s">
        <v>211</v>
      </c>
    </row>
    <row r="2" spans="1:21" ht="30" customHeight="1" x14ac:dyDescent="0.25">
      <c r="A2" s="32" t="s">
        <v>127</v>
      </c>
      <c r="B2" s="27">
        <v>8</v>
      </c>
      <c r="C2" s="55" t="s">
        <v>608</v>
      </c>
      <c r="D2" s="27" t="s">
        <v>24</v>
      </c>
      <c r="E2" s="28" t="s">
        <v>71</v>
      </c>
      <c r="F2" s="27" t="s">
        <v>609</v>
      </c>
      <c r="G2" s="38">
        <v>105</v>
      </c>
      <c r="H2" s="27">
        <v>1</v>
      </c>
      <c r="I2" s="27" t="s">
        <v>526</v>
      </c>
      <c r="J2" s="27" t="s">
        <v>610</v>
      </c>
      <c r="K2" s="56" t="s">
        <v>24</v>
      </c>
      <c r="L2" s="27" t="s">
        <v>577</v>
      </c>
      <c r="M2" s="27" t="s">
        <v>283</v>
      </c>
      <c r="N2" s="27" t="s">
        <v>295</v>
      </c>
      <c r="O2" s="28" t="s">
        <v>2</v>
      </c>
      <c r="P2" s="27">
        <v>10</v>
      </c>
      <c r="Q2" s="27" t="s">
        <v>611</v>
      </c>
      <c r="R2" s="27" t="s">
        <v>612</v>
      </c>
      <c r="S2" s="33" t="str">
        <f>IFERROR(HYPERLINK("#Main!A"&amp;MATCH(A2,Main!A:A,0),"Open"),HYPERLINK("#Main!A1","Open"))</f>
        <v>Open</v>
      </c>
      <c r="T2" s="33" t="str">
        <f>IFERROR(HYPERLINK("#Technical!A"&amp;MATCH(A2,Technical!A:A,0),"Open"),HYPERLINK("#Technical!A1","Open"))</f>
        <v>Open</v>
      </c>
      <c r="U2" s="33"/>
    </row>
    <row r="3" spans="1:21" ht="30" customHeight="1" x14ac:dyDescent="0.25">
      <c r="A3" s="29" t="s">
        <v>135</v>
      </c>
      <c r="B3" s="36">
        <v>84</v>
      </c>
      <c r="C3" s="55" t="s">
        <v>613</v>
      </c>
      <c r="D3" s="36" t="s">
        <v>24</v>
      </c>
      <c r="E3" s="28" t="s">
        <v>71</v>
      </c>
      <c r="F3" s="36" t="s">
        <v>609</v>
      </c>
      <c r="G3" s="41">
        <v>105</v>
      </c>
      <c r="H3" s="36">
        <v>1</v>
      </c>
      <c r="I3" s="36" t="s">
        <v>526</v>
      </c>
      <c r="J3" s="36" t="s">
        <v>610</v>
      </c>
      <c r="K3" s="57" t="s">
        <v>24</v>
      </c>
      <c r="L3" s="36" t="s">
        <v>577</v>
      </c>
      <c r="M3" s="36" t="s">
        <v>283</v>
      </c>
      <c r="N3" s="36" t="s">
        <v>295</v>
      </c>
      <c r="O3" s="28" t="s">
        <v>2</v>
      </c>
      <c r="P3" s="36">
        <v>10</v>
      </c>
      <c r="Q3" s="36" t="s">
        <v>614</v>
      </c>
      <c r="R3" s="36" t="s">
        <v>612</v>
      </c>
      <c r="S3" t="str">
        <f>IFERROR(HYPERLINK("#Main!A"&amp;MATCH(A3,Main!A:A,0),"Open"),HYPERLINK("#Main!A1","Open"))</f>
        <v>Open</v>
      </c>
      <c r="T3" t="str">
        <f>IFERROR(HYPERLINK("#Technical!A"&amp;MATCH(A3,Technical!A:A,0),"Open"),HYPERLINK("#Technical!A1","Open"))</f>
        <v>Open</v>
      </c>
    </row>
    <row r="4" spans="1:21" ht="30" customHeight="1" x14ac:dyDescent="0.25">
      <c r="A4" s="32" t="s">
        <v>144</v>
      </c>
      <c r="B4" s="27">
        <v>28165</v>
      </c>
      <c r="C4" s="55" t="s">
        <v>615</v>
      </c>
      <c r="D4" s="27" t="s">
        <v>24</v>
      </c>
      <c r="E4" s="28" t="s">
        <v>71</v>
      </c>
      <c r="F4" s="27" t="s">
        <v>609</v>
      </c>
      <c r="G4" s="38">
        <v>105</v>
      </c>
      <c r="H4" s="27">
        <v>1</v>
      </c>
      <c r="I4" s="27" t="s">
        <v>526</v>
      </c>
      <c r="J4" s="27" t="s">
        <v>610</v>
      </c>
      <c r="K4" s="56" t="s">
        <v>24</v>
      </c>
      <c r="L4" s="27" t="s">
        <v>577</v>
      </c>
      <c r="M4" s="27" t="s">
        <v>283</v>
      </c>
      <c r="N4" s="27" t="s">
        <v>295</v>
      </c>
      <c r="O4" s="28" t="s">
        <v>2</v>
      </c>
      <c r="P4" s="27">
        <v>10</v>
      </c>
      <c r="Q4" s="27" t="s">
        <v>616</v>
      </c>
      <c r="R4" s="27" t="s">
        <v>612</v>
      </c>
      <c r="S4" s="33" t="str">
        <f>IFERROR(HYPERLINK("#Main!A"&amp;MATCH(A4,Main!A:A,0),"Open"),HYPERLINK("#Main!A1","Open"))</f>
        <v>Open</v>
      </c>
      <c r="T4" s="33" t="str">
        <f>IFERROR(HYPERLINK("#Technical!A"&amp;MATCH(A4,Technical!A:A,0),"Open"),HYPERLINK("#Technical!A1","Open"))</f>
        <v>Open</v>
      </c>
      <c r="U4" s="33"/>
    </row>
    <row r="5" spans="1:21" ht="30" customHeight="1" x14ac:dyDescent="0.25">
      <c r="A5" s="29" t="s">
        <v>152</v>
      </c>
      <c r="B5" s="36">
        <v>16125</v>
      </c>
      <c r="C5" s="55" t="s">
        <v>617</v>
      </c>
      <c r="D5" s="36" t="s">
        <v>24</v>
      </c>
      <c r="E5" s="28" t="s">
        <v>71</v>
      </c>
      <c r="F5" s="36" t="s">
        <v>609</v>
      </c>
      <c r="G5" s="41">
        <v>105</v>
      </c>
      <c r="H5" s="36">
        <v>1</v>
      </c>
      <c r="I5" s="36" t="s">
        <v>526</v>
      </c>
      <c r="J5" s="36" t="s">
        <v>610</v>
      </c>
      <c r="K5" s="57" t="s">
        <v>24</v>
      </c>
      <c r="L5" s="36" t="s">
        <v>577</v>
      </c>
      <c r="M5" s="36" t="s">
        <v>283</v>
      </c>
      <c r="N5" s="36" t="s">
        <v>295</v>
      </c>
      <c r="O5" s="28" t="s">
        <v>2</v>
      </c>
      <c r="P5" s="36">
        <v>10</v>
      </c>
      <c r="Q5" s="36" t="s">
        <v>618</v>
      </c>
      <c r="R5" s="36" t="s">
        <v>612</v>
      </c>
      <c r="S5" t="str">
        <f>IFERROR(HYPERLINK("#Main!A"&amp;MATCH(A5,Main!A:A,0),"Open"),HYPERLINK("#Main!A1","Open"))</f>
        <v>Open</v>
      </c>
      <c r="T5" t="str">
        <f>IFERROR(HYPERLINK("#Technical!A"&amp;MATCH(A5,Technical!A:A,0),"Open"),HYPERLINK("#Technical!A1","Open"))</f>
        <v>Open</v>
      </c>
    </row>
    <row r="6" spans="1:21" ht="30" customHeight="1" x14ac:dyDescent="0.25">
      <c r="A6" s="32" t="s">
        <v>161</v>
      </c>
      <c r="B6" s="27">
        <v>4494</v>
      </c>
      <c r="C6" s="55" t="s">
        <v>619</v>
      </c>
      <c r="D6" s="27" t="s">
        <v>24</v>
      </c>
      <c r="E6" s="28" t="s">
        <v>71</v>
      </c>
      <c r="F6" s="27" t="s">
        <v>609</v>
      </c>
      <c r="G6" s="38">
        <v>105</v>
      </c>
      <c r="H6" s="27">
        <v>1</v>
      </c>
      <c r="I6" s="27" t="s">
        <v>526</v>
      </c>
      <c r="J6" s="27" t="s">
        <v>610</v>
      </c>
      <c r="K6" s="56" t="s">
        <v>24</v>
      </c>
      <c r="L6" s="27" t="s">
        <v>577</v>
      </c>
      <c r="M6" s="27" t="s">
        <v>283</v>
      </c>
      <c r="N6" s="27" t="s">
        <v>295</v>
      </c>
      <c r="O6" s="28" t="s">
        <v>2</v>
      </c>
      <c r="P6" s="27">
        <v>10</v>
      </c>
      <c r="Q6" s="27" t="s">
        <v>620</v>
      </c>
      <c r="R6" s="27" t="s">
        <v>612</v>
      </c>
      <c r="S6" s="33" t="str">
        <f>IFERROR(HYPERLINK("#Main!A"&amp;MATCH(A6,Main!A:A,0),"Open"),HYPERLINK("#Main!A1","Open"))</f>
        <v>Open</v>
      </c>
      <c r="T6" s="33" t="str">
        <f>IFERROR(HYPERLINK("#Technical!A"&amp;MATCH(A6,Technical!A:A,0),"Open"),HYPERLINK("#Technical!A1","Open"))</f>
        <v>Open</v>
      </c>
      <c r="U6" s="33"/>
    </row>
    <row r="7" spans="1:21" ht="30" customHeight="1" x14ac:dyDescent="0.25">
      <c r="A7" s="29" t="s">
        <v>169</v>
      </c>
      <c r="B7" s="36">
        <v>5619</v>
      </c>
      <c r="C7" s="55" t="s">
        <v>621</v>
      </c>
      <c r="D7" s="36" t="s">
        <v>24</v>
      </c>
      <c r="E7" s="28" t="s">
        <v>71</v>
      </c>
      <c r="F7" s="36" t="s">
        <v>609</v>
      </c>
      <c r="G7" s="41">
        <v>105</v>
      </c>
      <c r="H7" s="36">
        <v>1</v>
      </c>
      <c r="I7" s="36" t="s">
        <v>526</v>
      </c>
      <c r="J7" s="36" t="s">
        <v>610</v>
      </c>
      <c r="K7" s="57" t="s">
        <v>24</v>
      </c>
      <c r="L7" s="36" t="s">
        <v>577</v>
      </c>
      <c r="M7" s="36" t="s">
        <v>283</v>
      </c>
      <c r="N7" s="36" t="s">
        <v>295</v>
      </c>
      <c r="O7" s="28" t="s">
        <v>2</v>
      </c>
      <c r="P7" s="36">
        <v>10</v>
      </c>
      <c r="Q7" s="36" t="s">
        <v>622</v>
      </c>
      <c r="R7" s="36" t="s">
        <v>612</v>
      </c>
      <c r="S7" t="str">
        <f>IFERROR(HYPERLINK("#Main!A"&amp;MATCH(A7,Main!A:A,0),"Open"),HYPERLINK("#Main!A1","Open"))</f>
        <v>Open</v>
      </c>
      <c r="T7" t="str">
        <f>IFERROR(HYPERLINK("#Technical!A"&amp;MATCH(A7,Technical!A:A,0),"Open"),HYPERLINK("#Technical!A1","Open"))</f>
        <v>Open</v>
      </c>
    </row>
    <row r="8" spans="1:21" ht="30" customHeight="1" x14ac:dyDescent="0.25">
      <c r="A8" s="32" t="s">
        <v>177</v>
      </c>
      <c r="B8" s="27">
        <v>4941</v>
      </c>
      <c r="C8" s="55" t="s">
        <v>623</v>
      </c>
      <c r="D8" s="27" t="s">
        <v>24</v>
      </c>
      <c r="E8" s="28" t="s">
        <v>71</v>
      </c>
      <c r="F8" s="27" t="s">
        <v>609</v>
      </c>
      <c r="G8" s="38">
        <v>105</v>
      </c>
      <c r="H8" s="27">
        <v>2</v>
      </c>
      <c r="I8" s="27" t="s">
        <v>526</v>
      </c>
      <c r="J8" s="27" t="s">
        <v>610</v>
      </c>
      <c r="K8" s="56" t="s">
        <v>24</v>
      </c>
      <c r="L8" s="27" t="s">
        <v>577</v>
      </c>
      <c r="M8" s="27" t="s">
        <v>283</v>
      </c>
      <c r="N8" s="27" t="s">
        <v>295</v>
      </c>
      <c r="O8" s="28" t="s">
        <v>2</v>
      </c>
      <c r="P8" s="27">
        <v>10</v>
      </c>
      <c r="Q8" s="27" t="s">
        <v>624</v>
      </c>
      <c r="R8" s="27" t="s">
        <v>612</v>
      </c>
      <c r="S8" s="33" t="str">
        <f>IFERROR(HYPERLINK("#Main!A"&amp;MATCH(A8,Main!A:A,0),"Open"),HYPERLINK("#Main!A1","Open"))</f>
        <v>Open</v>
      </c>
      <c r="T8" s="33" t="str">
        <f>IFERROR(HYPERLINK("#Technical!A"&amp;MATCH(A8,Technical!A:A,0),"Open"),HYPERLINK("#Technical!A1","Open"))</f>
        <v>Open</v>
      </c>
      <c r="U8" s="33"/>
    </row>
    <row r="9" spans="1:21" ht="30" customHeight="1" x14ac:dyDescent="0.25">
      <c r="A9" s="29" t="s">
        <v>186</v>
      </c>
      <c r="B9" s="36">
        <v>12371</v>
      </c>
      <c r="C9" s="55" t="s">
        <v>625</v>
      </c>
      <c r="D9" s="36" t="s">
        <v>24</v>
      </c>
      <c r="E9" s="28" t="s">
        <v>71</v>
      </c>
      <c r="F9" s="36" t="s">
        <v>609</v>
      </c>
      <c r="G9" s="41">
        <v>105</v>
      </c>
      <c r="H9" s="36">
        <v>2</v>
      </c>
      <c r="I9" s="36" t="s">
        <v>526</v>
      </c>
      <c r="J9" s="36" t="s">
        <v>610</v>
      </c>
      <c r="K9" s="57" t="s">
        <v>24</v>
      </c>
      <c r="L9" s="36" t="s">
        <v>577</v>
      </c>
      <c r="M9" s="36" t="s">
        <v>283</v>
      </c>
      <c r="N9" s="36" t="s">
        <v>295</v>
      </c>
      <c r="O9" s="28" t="s">
        <v>2</v>
      </c>
      <c r="P9" s="36">
        <v>10</v>
      </c>
      <c r="Q9" s="36" t="s">
        <v>626</v>
      </c>
      <c r="R9" s="36" t="s">
        <v>612</v>
      </c>
      <c r="S9" t="str">
        <f>IFERROR(HYPERLINK("#Main!A"&amp;MATCH(A9,Main!A:A,0),"Open"),HYPERLINK("#Main!A1","Open"))</f>
        <v>Open</v>
      </c>
      <c r="T9" t="str">
        <f>IFERROR(HYPERLINK("#Technical!A"&amp;MATCH(A9,Technical!A:A,0),"Open"),HYPERLINK("#Technical!A1","Open"))</f>
        <v>Open</v>
      </c>
    </row>
    <row r="10" spans="1:21" ht="30" customHeight="1" x14ac:dyDescent="0.25">
      <c r="A10" s="32" t="s">
        <v>194</v>
      </c>
      <c r="B10" s="27">
        <v>12954</v>
      </c>
      <c r="C10" s="55" t="s">
        <v>627</v>
      </c>
      <c r="D10" s="27" t="s">
        <v>24</v>
      </c>
      <c r="E10" s="28" t="s">
        <v>71</v>
      </c>
      <c r="F10" s="27" t="s">
        <v>609</v>
      </c>
      <c r="G10" s="38">
        <v>105</v>
      </c>
      <c r="H10" s="27">
        <v>1</v>
      </c>
      <c r="I10" s="27" t="s">
        <v>526</v>
      </c>
      <c r="J10" s="27" t="s">
        <v>610</v>
      </c>
      <c r="K10" s="56" t="s">
        <v>24</v>
      </c>
      <c r="L10" s="27" t="s">
        <v>577</v>
      </c>
      <c r="M10" s="27" t="s">
        <v>283</v>
      </c>
      <c r="N10" s="27" t="s">
        <v>295</v>
      </c>
      <c r="O10" s="28" t="s">
        <v>2</v>
      </c>
      <c r="P10" s="27">
        <v>10</v>
      </c>
      <c r="Q10" s="27" t="s">
        <v>628</v>
      </c>
      <c r="R10" s="27" t="s">
        <v>612</v>
      </c>
      <c r="S10" s="33" t="str">
        <f>IFERROR(HYPERLINK("#Main!A"&amp;MATCH(A10,Main!A:A,0),"Open"),HYPERLINK("#Main!A1","Open"))</f>
        <v>Open</v>
      </c>
      <c r="T10" s="33" t="str">
        <f>IFERROR(HYPERLINK("#Technical!A"&amp;MATCH(A10,Technical!A:A,0),"Open"),HYPERLINK("#Technical!A1","Open"))</f>
        <v>Open</v>
      </c>
      <c r="U10" s="33"/>
    </row>
    <row r="11" spans="1:21" ht="30" customHeight="1" x14ac:dyDescent="0.25">
      <c r="A11" s="29" t="s">
        <v>202</v>
      </c>
      <c r="B11" s="36">
        <v>13164</v>
      </c>
      <c r="C11" s="55" t="s">
        <v>629</v>
      </c>
      <c r="D11" s="36" t="s">
        <v>24</v>
      </c>
      <c r="E11" s="28" t="s">
        <v>71</v>
      </c>
      <c r="F11" s="36" t="s">
        <v>609</v>
      </c>
      <c r="G11" s="41">
        <v>105</v>
      </c>
      <c r="H11" s="36">
        <v>1</v>
      </c>
      <c r="I11" s="36" t="s">
        <v>526</v>
      </c>
      <c r="J11" s="36" t="s">
        <v>610</v>
      </c>
      <c r="K11" s="57" t="s">
        <v>24</v>
      </c>
      <c r="L11" s="36" t="s">
        <v>577</v>
      </c>
      <c r="M11" s="36" t="s">
        <v>283</v>
      </c>
      <c r="N11" s="36" t="s">
        <v>295</v>
      </c>
      <c r="O11" s="28" t="s">
        <v>2</v>
      </c>
      <c r="P11" s="36">
        <v>10</v>
      </c>
      <c r="Q11" s="36" t="s">
        <v>630</v>
      </c>
      <c r="R11" s="36" t="s">
        <v>612</v>
      </c>
      <c r="S11" t="str">
        <f>IFERROR(HYPERLINK("#Main!A"&amp;MATCH(A11,Main!A:A,0),"Open"),HYPERLINK("#Main!A1","Open"))</f>
        <v>Open</v>
      </c>
      <c r="T11" t="str">
        <f>IFERROR(HYPERLINK("#Technical!A"&amp;MATCH(A11,Technical!A:A,0),"Open"),HYPERLINK("#Technical!A1","Open"))</f>
        <v>Open</v>
      </c>
    </row>
    <row r="12" spans="1:21" ht="30" customHeight="1" x14ac:dyDescent="0.25">
      <c r="A12" s="32" t="s">
        <v>202</v>
      </c>
      <c r="B12" s="27">
        <v>13164</v>
      </c>
      <c r="C12" s="55" t="s">
        <v>629</v>
      </c>
      <c r="D12" s="27" t="s">
        <v>631</v>
      </c>
      <c r="E12" s="31" t="s">
        <v>72</v>
      </c>
      <c r="F12" s="27" t="s">
        <v>632</v>
      </c>
      <c r="G12" s="38">
        <v>67</v>
      </c>
      <c r="H12" s="27" t="s">
        <v>633</v>
      </c>
      <c r="I12" s="27" t="s">
        <v>634</v>
      </c>
      <c r="J12" s="27" t="s">
        <v>635</v>
      </c>
      <c r="K12" s="56" t="s">
        <v>12</v>
      </c>
      <c r="L12" s="27" t="s">
        <v>216</v>
      </c>
      <c r="M12" s="27" t="s">
        <v>283</v>
      </c>
      <c r="N12" s="27" t="s">
        <v>290</v>
      </c>
      <c r="O12" s="28" t="s">
        <v>2</v>
      </c>
      <c r="P12" s="27">
        <v>4</v>
      </c>
      <c r="Q12" s="27" t="s">
        <v>636</v>
      </c>
      <c r="R12" s="27" t="s">
        <v>637</v>
      </c>
      <c r="S12" s="33" t="str">
        <f>IFERROR(HYPERLINK("#Main!A"&amp;MATCH(A12,Main!A:A,0),"Open"),HYPERLINK("#Main!A1","Open"))</f>
        <v>Open</v>
      </c>
      <c r="T12" s="33" t="str">
        <f>IFERROR(HYPERLINK("#Technical!A"&amp;MATCH(A12,Technical!A:A,0),"Open"),HYPERLINK("#Technical!A1","Open"))</f>
        <v>Open</v>
      </c>
      <c r="U12" s="33"/>
    </row>
    <row r="13" spans="1:21" ht="30" customHeight="1" x14ac:dyDescent="0.25">
      <c r="A13" s="29" t="s">
        <v>127</v>
      </c>
      <c r="B13" s="36">
        <v>8</v>
      </c>
      <c r="C13" s="55" t="s">
        <v>608</v>
      </c>
      <c r="D13" s="36" t="s">
        <v>18</v>
      </c>
      <c r="E13" s="31" t="s">
        <v>72</v>
      </c>
      <c r="F13" s="36" t="s">
        <v>638</v>
      </c>
      <c r="G13" s="41">
        <v>67</v>
      </c>
      <c r="H13" s="36">
        <v>0</v>
      </c>
      <c r="I13" s="36" t="s">
        <v>639</v>
      </c>
      <c r="J13" s="36" t="s">
        <v>640</v>
      </c>
      <c r="K13" s="57" t="s">
        <v>20</v>
      </c>
      <c r="L13" s="36" t="s">
        <v>555</v>
      </c>
      <c r="M13" s="36" t="s">
        <v>283</v>
      </c>
      <c r="N13" s="36" t="s">
        <v>290</v>
      </c>
      <c r="O13" s="28" t="s">
        <v>2</v>
      </c>
      <c r="P13" s="36">
        <v>4</v>
      </c>
      <c r="Q13" s="36" t="s">
        <v>641</v>
      </c>
      <c r="R13" s="36" t="s">
        <v>642</v>
      </c>
      <c r="S13" t="str">
        <f>IFERROR(HYPERLINK("#Main!A"&amp;MATCH(A13,Main!A:A,0),"Open"),HYPERLINK("#Main!A1","Open"))</f>
        <v>Open</v>
      </c>
      <c r="T13" t="str">
        <f>IFERROR(HYPERLINK("#Technical!A"&amp;MATCH(A13,Technical!A:A,0),"Open"),HYPERLINK("#Technical!A1","Open"))</f>
        <v>Open</v>
      </c>
    </row>
    <row r="14" spans="1:21" ht="30" customHeight="1" x14ac:dyDescent="0.25">
      <c r="A14" s="32" t="s">
        <v>135</v>
      </c>
      <c r="B14" s="27">
        <v>84</v>
      </c>
      <c r="C14" s="55" t="s">
        <v>613</v>
      </c>
      <c r="D14" s="27" t="s">
        <v>18</v>
      </c>
      <c r="E14" s="31" t="s">
        <v>72</v>
      </c>
      <c r="F14" s="27" t="s">
        <v>638</v>
      </c>
      <c r="G14" s="38">
        <v>67</v>
      </c>
      <c r="H14" s="27">
        <v>0</v>
      </c>
      <c r="I14" s="27" t="s">
        <v>639</v>
      </c>
      <c r="J14" s="27" t="s">
        <v>640</v>
      </c>
      <c r="K14" s="56" t="s">
        <v>20</v>
      </c>
      <c r="L14" s="27" t="s">
        <v>555</v>
      </c>
      <c r="M14" s="27" t="s">
        <v>283</v>
      </c>
      <c r="N14" s="27" t="s">
        <v>290</v>
      </c>
      <c r="O14" s="28" t="s">
        <v>2</v>
      </c>
      <c r="P14" s="27">
        <v>4</v>
      </c>
      <c r="Q14" s="27" t="s">
        <v>643</v>
      </c>
      <c r="R14" s="27" t="s">
        <v>642</v>
      </c>
      <c r="S14" s="33" t="str">
        <f>IFERROR(HYPERLINK("#Main!A"&amp;MATCH(A14,Main!A:A,0),"Open"),HYPERLINK("#Main!A1","Open"))</f>
        <v>Open</v>
      </c>
      <c r="T14" s="33" t="str">
        <f>IFERROR(HYPERLINK("#Technical!A"&amp;MATCH(A14,Technical!A:A,0),"Open"),HYPERLINK("#Technical!A1","Open"))</f>
        <v>Open</v>
      </c>
      <c r="U14" s="33"/>
    </row>
    <row r="15" spans="1:21" ht="30" customHeight="1" x14ac:dyDescent="0.25">
      <c r="A15" s="29" t="s">
        <v>144</v>
      </c>
      <c r="B15" s="36">
        <v>28165</v>
      </c>
      <c r="C15" s="55" t="s">
        <v>615</v>
      </c>
      <c r="D15" s="36" t="s">
        <v>18</v>
      </c>
      <c r="E15" s="31" t="s">
        <v>72</v>
      </c>
      <c r="F15" s="36" t="s">
        <v>638</v>
      </c>
      <c r="G15" s="41">
        <v>67</v>
      </c>
      <c r="H15" s="36">
        <v>0</v>
      </c>
      <c r="I15" s="36" t="s">
        <v>639</v>
      </c>
      <c r="J15" s="36" t="s">
        <v>640</v>
      </c>
      <c r="K15" s="57" t="s">
        <v>20</v>
      </c>
      <c r="L15" s="36" t="s">
        <v>555</v>
      </c>
      <c r="M15" s="36" t="s">
        <v>283</v>
      </c>
      <c r="N15" s="36" t="s">
        <v>290</v>
      </c>
      <c r="O15" s="28" t="s">
        <v>2</v>
      </c>
      <c r="P15" s="36">
        <v>4</v>
      </c>
      <c r="Q15" s="36" t="s">
        <v>644</v>
      </c>
      <c r="R15" s="36" t="s">
        <v>642</v>
      </c>
      <c r="S15" t="str">
        <f>IFERROR(HYPERLINK("#Main!A"&amp;MATCH(A15,Main!A:A,0),"Open"),HYPERLINK("#Main!A1","Open"))</f>
        <v>Open</v>
      </c>
      <c r="T15" t="str">
        <f>IFERROR(HYPERLINK("#Technical!A"&amp;MATCH(A15,Technical!A:A,0),"Open"),HYPERLINK("#Technical!A1","Open"))</f>
        <v>Open</v>
      </c>
    </row>
    <row r="16" spans="1:21" ht="30" customHeight="1" x14ac:dyDescent="0.25">
      <c r="A16" s="32" t="s">
        <v>152</v>
      </c>
      <c r="B16" s="27">
        <v>16125</v>
      </c>
      <c r="C16" s="55" t="s">
        <v>617</v>
      </c>
      <c r="D16" s="27" t="s">
        <v>18</v>
      </c>
      <c r="E16" s="31" t="s">
        <v>72</v>
      </c>
      <c r="F16" s="27" t="s">
        <v>638</v>
      </c>
      <c r="G16" s="38">
        <v>67</v>
      </c>
      <c r="H16" s="27">
        <v>0</v>
      </c>
      <c r="I16" s="27" t="s">
        <v>639</v>
      </c>
      <c r="J16" s="27" t="s">
        <v>640</v>
      </c>
      <c r="K16" s="56" t="s">
        <v>20</v>
      </c>
      <c r="L16" s="27" t="s">
        <v>555</v>
      </c>
      <c r="M16" s="27" t="s">
        <v>283</v>
      </c>
      <c r="N16" s="27" t="s">
        <v>290</v>
      </c>
      <c r="O16" s="28" t="s">
        <v>2</v>
      </c>
      <c r="P16" s="27">
        <v>4</v>
      </c>
      <c r="Q16" s="27" t="s">
        <v>645</v>
      </c>
      <c r="R16" s="27" t="s">
        <v>642</v>
      </c>
      <c r="S16" s="33" t="str">
        <f>IFERROR(HYPERLINK("#Main!A"&amp;MATCH(A16,Main!A:A,0),"Open"),HYPERLINK("#Main!A1","Open"))</f>
        <v>Open</v>
      </c>
      <c r="T16" s="33" t="str">
        <f>IFERROR(HYPERLINK("#Technical!A"&amp;MATCH(A16,Technical!A:A,0),"Open"),HYPERLINK("#Technical!A1","Open"))</f>
        <v>Open</v>
      </c>
      <c r="U16" s="33"/>
    </row>
    <row r="17" spans="1:21" ht="30" customHeight="1" x14ac:dyDescent="0.25">
      <c r="A17" s="29" t="s">
        <v>161</v>
      </c>
      <c r="B17" s="36">
        <v>4494</v>
      </c>
      <c r="C17" s="55" t="s">
        <v>619</v>
      </c>
      <c r="D17" s="36" t="s">
        <v>18</v>
      </c>
      <c r="E17" s="31" t="s">
        <v>72</v>
      </c>
      <c r="F17" s="36" t="s">
        <v>638</v>
      </c>
      <c r="G17" s="41">
        <v>67</v>
      </c>
      <c r="H17" s="36">
        <v>0</v>
      </c>
      <c r="I17" s="36" t="s">
        <v>639</v>
      </c>
      <c r="J17" s="36" t="s">
        <v>640</v>
      </c>
      <c r="K17" s="57" t="s">
        <v>20</v>
      </c>
      <c r="L17" s="36" t="s">
        <v>555</v>
      </c>
      <c r="M17" s="36" t="s">
        <v>283</v>
      </c>
      <c r="N17" s="36" t="s">
        <v>290</v>
      </c>
      <c r="O17" s="28" t="s">
        <v>2</v>
      </c>
      <c r="P17" s="36">
        <v>4</v>
      </c>
      <c r="Q17" s="36" t="s">
        <v>646</v>
      </c>
      <c r="R17" s="36" t="s">
        <v>642</v>
      </c>
      <c r="S17" t="str">
        <f>IFERROR(HYPERLINK("#Main!A"&amp;MATCH(A17,Main!A:A,0),"Open"),HYPERLINK("#Main!A1","Open"))</f>
        <v>Open</v>
      </c>
      <c r="T17" t="str">
        <f>IFERROR(HYPERLINK("#Technical!A"&amp;MATCH(A17,Technical!A:A,0),"Open"),HYPERLINK("#Technical!A1","Open"))</f>
        <v>Open</v>
      </c>
    </row>
    <row r="18" spans="1:21" ht="30" customHeight="1" x14ac:dyDescent="0.25">
      <c r="A18" s="32" t="s">
        <v>169</v>
      </c>
      <c r="B18" s="27">
        <v>5619</v>
      </c>
      <c r="C18" s="55" t="s">
        <v>621</v>
      </c>
      <c r="D18" s="27" t="s">
        <v>18</v>
      </c>
      <c r="E18" s="31" t="s">
        <v>72</v>
      </c>
      <c r="F18" s="27" t="s">
        <v>638</v>
      </c>
      <c r="G18" s="38">
        <v>67</v>
      </c>
      <c r="H18" s="27">
        <v>0</v>
      </c>
      <c r="I18" s="27" t="s">
        <v>639</v>
      </c>
      <c r="J18" s="27" t="s">
        <v>640</v>
      </c>
      <c r="K18" s="56" t="s">
        <v>20</v>
      </c>
      <c r="L18" s="27" t="s">
        <v>555</v>
      </c>
      <c r="M18" s="27" t="s">
        <v>283</v>
      </c>
      <c r="N18" s="27" t="s">
        <v>290</v>
      </c>
      <c r="O18" s="28" t="s">
        <v>2</v>
      </c>
      <c r="P18" s="27">
        <v>4</v>
      </c>
      <c r="Q18" s="27" t="s">
        <v>647</v>
      </c>
      <c r="R18" s="27" t="s">
        <v>642</v>
      </c>
      <c r="S18" s="33" t="str">
        <f>IFERROR(HYPERLINK("#Main!A"&amp;MATCH(A18,Main!A:A,0),"Open"),HYPERLINK("#Main!A1","Open"))</f>
        <v>Open</v>
      </c>
      <c r="T18" s="33" t="str">
        <f>IFERROR(HYPERLINK("#Technical!A"&amp;MATCH(A18,Technical!A:A,0),"Open"),HYPERLINK("#Technical!A1","Open"))</f>
        <v>Open</v>
      </c>
      <c r="U18" s="33"/>
    </row>
    <row r="19" spans="1:21" ht="30" customHeight="1" x14ac:dyDescent="0.25">
      <c r="A19" s="29" t="s">
        <v>177</v>
      </c>
      <c r="B19" s="36">
        <v>4941</v>
      </c>
      <c r="C19" s="55" t="s">
        <v>623</v>
      </c>
      <c r="D19" s="36" t="s">
        <v>18</v>
      </c>
      <c r="E19" s="31" t="s">
        <v>72</v>
      </c>
      <c r="F19" s="36" t="s">
        <v>638</v>
      </c>
      <c r="G19" s="41">
        <v>67</v>
      </c>
      <c r="H19" s="36">
        <v>0</v>
      </c>
      <c r="I19" s="36" t="s">
        <v>639</v>
      </c>
      <c r="J19" s="36" t="s">
        <v>640</v>
      </c>
      <c r="K19" s="57" t="s">
        <v>20</v>
      </c>
      <c r="L19" s="36" t="s">
        <v>555</v>
      </c>
      <c r="M19" s="36" t="s">
        <v>283</v>
      </c>
      <c r="N19" s="36" t="s">
        <v>290</v>
      </c>
      <c r="O19" s="28" t="s">
        <v>2</v>
      </c>
      <c r="P19" s="36">
        <v>4</v>
      </c>
      <c r="Q19" s="36" t="s">
        <v>648</v>
      </c>
      <c r="R19" s="36" t="s">
        <v>642</v>
      </c>
      <c r="S19" t="str">
        <f>IFERROR(HYPERLINK("#Main!A"&amp;MATCH(A19,Main!A:A,0),"Open"),HYPERLINK("#Main!A1","Open"))</f>
        <v>Open</v>
      </c>
      <c r="T19" t="str">
        <f>IFERROR(HYPERLINK("#Technical!A"&amp;MATCH(A19,Technical!A:A,0),"Open"),HYPERLINK("#Technical!A1","Open"))</f>
        <v>Open</v>
      </c>
    </row>
    <row r="20" spans="1:21" ht="30" customHeight="1" x14ac:dyDescent="0.25">
      <c r="A20" s="32" t="s">
        <v>186</v>
      </c>
      <c r="B20" s="27">
        <v>12371</v>
      </c>
      <c r="C20" s="55" t="s">
        <v>625</v>
      </c>
      <c r="D20" s="27" t="s">
        <v>18</v>
      </c>
      <c r="E20" s="31" t="s">
        <v>72</v>
      </c>
      <c r="F20" s="27" t="s">
        <v>638</v>
      </c>
      <c r="G20" s="38">
        <v>67</v>
      </c>
      <c r="H20" s="27">
        <v>0</v>
      </c>
      <c r="I20" s="27" t="s">
        <v>639</v>
      </c>
      <c r="J20" s="27" t="s">
        <v>640</v>
      </c>
      <c r="K20" s="56" t="s">
        <v>20</v>
      </c>
      <c r="L20" s="27" t="s">
        <v>555</v>
      </c>
      <c r="M20" s="27" t="s">
        <v>283</v>
      </c>
      <c r="N20" s="27" t="s">
        <v>290</v>
      </c>
      <c r="O20" s="28" t="s">
        <v>2</v>
      </c>
      <c r="P20" s="27">
        <v>4</v>
      </c>
      <c r="Q20" s="27" t="s">
        <v>649</v>
      </c>
      <c r="R20" s="27" t="s">
        <v>642</v>
      </c>
      <c r="S20" s="33" t="str">
        <f>IFERROR(HYPERLINK("#Main!A"&amp;MATCH(A20,Main!A:A,0),"Open"),HYPERLINK("#Main!A1","Open"))</f>
        <v>Open</v>
      </c>
      <c r="T20" s="33" t="str">
        <f>IFERROR(HYPERLINK("#Technical!A"&amp;MATCH(A20,Technical!A:A,0),"Open"),HYPERLINK("#Technical!A1","Open"))</f>
        <v>Open</v>
      </c>
      <c r="U20" s="33"/>
    </row>
    <row r="21" spans="1:21" ht="30" customHeight="1" x14ac:dyDescent="0.25">
      <c r="A21" s="29" t="s">
        <v>194</v>
      </c>
      <c r="B21" s="36">
        <v>12954</v>
      </c>
      <c r="C21" s="55" t="s">
        <v>627</v>
      </c>
      <c r="D21" s="36" t="s">
        <v>18</v>
      </c>
      <c r="E21" s="31" t="s">
        <v>72</v>
      </c>
      <c r="F21" s="36" t="s">
        <v>638</v>
      </c>
      <c r="G21" s="41">
        <v>67</v>
      </c>
      <c r="H21" s="36">
        <v>0</v>
      </c>
      <c r="I21" s="36" t="s">
        <v>639</v>
      </c>
      <c r="J21" s="36" t="s">
        <v>640</v>
      </c>
      <c r="K21" s="57" t="s">
        <v>20</v>
      </c>
      <c r="L21" s="36" t="s">
        <v>555</v>
      </c>
      <c r="M21" s="36" t="s">
        <v>283</v>
      </c>
      <c r="N21" s="36" t="s">
        <v>290</v>
      </c>
      <c r="O21" s="28" t="s">
        <v>2</v>
      </c>
      <c r="P21" s="36">
        <v>4</v>
      </c>
      <c r="Q21" s="36" t="s">
        <v>650</v>
      </c>
      <c r="R21" s="36" t="s">
        <v>642</v>
      </c>
      <c r="S21" t="str">
        <f>IFERROR(HYPERLINK("#Main!A"&amp;MATCH(A21,Main!A:A,0),"Open"),HYPERLINK("#Main!A1","Open"))</f>
        <v>Open</v>
      </c>
      <c r="T21" t="str">
        <f>IFERROR(HYPERLINK("#Technical!A"&amp;MATCH(A21,Technical!A:A,0),"Open"),HYPERLINK("#Technical!A1","Open"))</f>
        <v>Open</v>
      </c>
    </row>
    <row r="22" spans="1:21" ht="30" customHeight="1" x14ac:dyDescent="0.25">
      <c r="A22" s="32" t="s">
        <v>202</v>
      </c>
      <c r="B22" s="27">
        <v>13164</v>
      </c>
      <c r="C22" s="55" t="s">
        <v>629</v>
      </c>
      <c r="D22" s="27" t="s">
        <v>18</v>
      </c>
      <c r="E22" s="31" t="s">
        <v>72</v>
      </c>
      <c r="F22" s="27" t="s">
        <v>638</v>
      </c>
      <c r="G22" s="38">
        <v>67</v>
      </c>
      <c r="H22" s="27">
        <v>0</v>
      </c>
      <c r="I22" s="27" t="s">
        <v>639</v>
      </c>
      <c r="J22" s="27" t="s">
        <v>640</v>
      </c>
      <c r="K22" s="56" t="s">
        <v>20</v>
      </c>
      <c r="L22" s="27" t="s">
        <v>555</v>
      </c>
      <c r="M22" s="27" t="s">
        <v>283</v>
      </c>
      <c r="N22" s="27" t="s">
        <v>290</v>
      </c>
      <c r="O22" s="28" t="s">
        <v>2</v>
      </c>
      <c r="P22" s="27">
        <v>4</v>
      </c>
      <c r="Q22" s="27" t="s">
        <v>651</v>
      </c>
      <c r="R22" s="27" t="s">
        <v>642</v>
      </c>
      <c r="S22" s="33" t="str">
        <f>IFERROR(HYPERLINK("#Main!A"&amp;MATCH(A22,Main!A:A,0),"Open"),HYPERLINK("#Main!A1","Open"))</f>
        <v>Open</v>
      </c>
      <c r="T22" s="33" t="str">
        <f>IFERROR(HYPERLINK("#Technical!A"&amp;MATCH(A22,Technical!A:A,0),"Open"),HYPERLINK("#Technical!A1","Open"))</f>
        <v>Open</v>
      </c>
      <c r="U22" s="33"/>
    </row>
    <row r="23" spans="1:21" ht="30" customHeight="1" x14ac:dyDescent="0.25">
      <c r="A23" s="29" t="s">
        <v>127</v>
      </c>
      <c r="B23" s="36">
        <v>8</v>
      </c>
      <c r="C23" s="55" t="s">
        <v>608</v>
      </c>
      <c r="D23" s="36" t="s">
        <v>652</v>
      </c>
      <c r="E23" s="31" t="s">
        <v>72</v>
      </c>
      <c r="F23" s="36" t="s">
        <v>653</v>
      </c>
      <c r="G23" s="41">
        <v>67</v>
      </c>
      <c r="H23" s="36">
        <v>79.03</v>
      </c>
      <c r="I23" s="36" t="s">
        <v>654</v>
      </c>
      <c r="J23" s="36" t="s">
        <v>655</v>
      </c>
      <c r="K23" s="57" t="s">
        <v>40</v>
      </c>
      <c r="L23" s="36" t="s">
        <v>656</v>
      </c>
      <c r="M23" s="36" t="s">
        <v>283</v>
      </c>
      <c r="N23" s="36" t="s">
        <v>290</v>
      </c>
      <c r="O23" s="28" t="s">
        <v>2</v>
      </c>
      <c r="P23" s="36">
        <v>4</v>
      </c>
      <c r="Q23" s="36" t="s">
        <v>657</v>
      </c>
      <c r="R23" s="36" t="s">
        <v>658</v>
      </c>
      <c r="S23" t="str">
        <f>IFERROR(HYPERLINK("#Main!A"&amp;MATCH(A23,Main!A:A,0),"Open"),HYPERLINK("#Main!A1","Open"))</f>
        <v>Open</v>
      </c>
      <c r="T23" t="str">
        <f>IFERROR(HYPERLINK("#Technical!A"&amp;MATCH(A23,Technical!A:A,0),"Open"),HYPERLINK("#Technical!A1","Open"))</f>
        <v>Open</v>
      </c>
    </row>
    <row r="24" spans="1:21" ht="30" customHeight="1" x14ac:dyDescent="0.25">
      <c r="A24" s="32" t="s">
        <v>127</v>
      </c>
      <c r="B24" s="27">
        <v>8</v>
      </c>
      <c r="C24" s="55" t="s">
        <v>608</v>
      </c>
      <c r="D24" s="27" t="s">
        <v>652</v>
      </c>
      <c r="E24" s="31" t="s">
        <v>72</v>
      </c>
      <c r="F24" s="27" t="s">
        <v>659</v>
      </c>
      <c r="G24" s="38">
        <v>67</v>
      </c>
      <c r="H24" s="27">
        <v>35</v>
      </c>
      <c r="I24" s="27" t="s">
        <v>660</v>
      </c>
      <c r="J24" s="27" t="s">
        <v>661</v>
      </c>
      <c r="K24" s="56" t="s">
        <v>18</v>
      </c>
      <c r="L24" s="27" t="s">
        <v>541</v>
      </c>
      <c r="M24" s="27" t="s">
        <v>283</v>
      </c>
      <c r="N24" s="27" t="s">
        <v>290</v>
      </c>
      <c r="O24" s="28" t="s">
        <v>2</v>
      </c>
      <c r="P24" s="27">
        <v>4</v>
      </c>
      <c r="Q24" s="27" t="s">
        <v>662</v>
      </c>
      <c r="R24" s="27" t="s">
        <v>663</v>
      </c>
      <c r="S24" s="33" t="str">
        <f>IFERROR(HYPERLINK("#Main!A"&amp;MATCH(A24,Main!A:A,0),"Open"),HYPERLINK("#Main!A1","Open"))</f>
        <v>Open</v>
      </c>
      <c r="T24" s="33" t="str">
        <f>IFERROR(HYPERLINK("#Technical!A"&amp;MATCH(A24,Technical!A:A,0),"Open"),HYPERLINK("#Technical!A1","Open"))</f>
        <v>Open</v>
      </c>
      <c r="U24" s="33"/>
    </row>
    <row r="25" spans="1:21" ht="30" customHeight="1" x14ac:dyDescent="0.25">
      <c r="A25" s="29" t="s">
        <v>135</v>
      </c>
      <c r="B25" s="36">
        <v>84</v>
      </c>
      <c r="C25" s="55" t="s">
        <v>613</v>
      </c>
      <c r="D25" s="36" t="s">
        <v>652</v>
      </c>
      <c r="E25" s="31" t="s">
        <v>72</v>
      </c>
      <c r="F25" s="36" t="s">
        <v>653</v>
      </c>
      <c r="G25" s="41">
        <v>67</v>
      </c>
      <c r="H25" s="36">
        <v>72.73</v>
      </c>
      <c r="I25" s="36" t="s">
        <v>654</v>
      </c>
      <c r="J25" s="36" t="s">
        <v>655</v>
      </c>
      <c r="K25" s="57" t="s">
        <v>40</v>
      </c>
      <c r="L25" s="36" t="s">
        <v>656</v>
      </c>
      <c r="M25" s="36" t="s">
        <v>283</v>
      </c>
      <c r="N25" s="36" t="s">
        <v>290</v>
      </c>
      <c r="O25" s="28" t="s">
        <v>2</v>
      </c>
      <c r="P25" s="36">
        <v>4</v>
      </c>
      <c r="Q25" s="36" t="s">
        <v>664</v>
      </c>
      <c r="R25" s="36" t="s">
        <v>658</v>
      </c>
      <c r="S25" t="str">
        <f>IFERROR(HYPERLINK("#Main!A"&amp;MATCH(A25,Main!A:A,0),"Open"),HYPERLINK("#Main!A1","Open"))</f>
        <v>Open</v>
      </c>
      <c r="T25" t="str">
        <f>IFERROR(HYPERLINK("#Technical!A"&amp;MATCH(A25,Technical!A:A,0),"Open"),HYPERLINK("#Technical!A1","Open"))</f>
        <v>Open</v>
      </c>
    </row>
    <row r="26" spans="1:21" ht="30" customHeight="1" x14ac:dyDescent="0.25">
      <c r="A26" s="32" t="s">
        <v>135</v>
      </c>
      <c r="B26" s="27">
        <v>84</v>
      </c>
      <c r="C26" s="55" t="s">
        <v>613</v>
      </c>
      <c r="D26" s="27" t="s">
        <v>652</v>
      </c>
      <c r="E26" s="31" t="s">
        <v>72</v>
      </c>
      <c r="F26" s="27" t="s">
        <v>659</v>
      </c>
      <c r="G26" s="38">
        <v>67</v>
      </c>
      <c r="H26" s="27">
        <v>235</v>
      </c>
      <c r="I26" s="27" t="s">
        <v>660</v>
      </c>
      <c r="J26" s="27" t="s">
        <v>661</v>
      </c>
      <c r="K26" s="56" t="s">
        <v>18</v>
      </c>
      <c r="L26" s="27" t="s">
        <v>541</v>
      </c>
      <c r="M26" s="27" t="s">
        <v>283</v>
      </c>
      <c r="N26" s="27" t="s">
        <v>290</v>
      </c>
      <c r="O26" s="28" t="s">
        <v>2</v>
      </c>
      <c r="P26" s="27">
        <v>4</v>
      </c>
      <c r="Q26" s="27" t="s">
        <v>665</v>
      </c>
      <c r="R26" s="27" t="s">
        <v>663</v>
      </c>
      <c r="S26" s="33" t="str">
        <f>IFERROR(HYPERLINK("#Main!A"&amp;MATCH(A26,Main!A:A,0),"Open"),HYPERLINK("#Main!A1","Open"))</f>
        <v>Open</v>
      </c>
      <c r="T26" s="33" t="str">
        <f>IFERROR(HYPERLINK("#Technical!A"&amp;MATCH(A26,Technical!A:A,0),"Open"),HYPERLINK("#Technical!A1","Open"))</f>
        <v>Open</v>
      </c>
      <c r="U26" s="33"/>
    </row>
    <row r="27" spans="1:21" ht="30" customHeight="1" x14ac:dyDescent="0.25">
      <c r="A27" s="29" t="s">
        <v>144</v>
      </c>
      <c r="B27" s="36">
        <v>28165</v>
      </c>
      <c r="C27" s="55" t="s">
        <v>615</v>
      </c>
      <c r="D27" s="36" t="s">
        <v>652</v>
      </c>
      <c r="E27" s="31" t="s">
        <v>72</v>
      </c>
      <c r="F27" s="36" t="s">
        <v>653</v>
      </c>
      <c r="G27" s="41">
        <v>67</v>
      </c>
      <c r="H27" s="36">
        <v>77.5</v>
      </c>
      <c r="I27" s="36" t="s">
        <v>654</v>
      </c>
      <c r="J27" s="36" t="s">
        <v>655</v>
      </c>
      <c r="K27" s="57" t="s">
        <v>40</v>
      </c>
      <c r="L27" s="36" t="s">
        <v>656</v>
      </c>
      <c r="M27" s="36" t="s">
        <v>283</v>
      </c>
      <c r="N27" s="36" t="s">
        <v>290</v>
      </c>
      <c r="O27" s="28" t="s">
        <v>2</v>
      </c>
      <c r="P27" s="36">
        <v>4</v>
      </c>
      <c r="Q27" s="36" t="s">
        <v>666</v>
      </c>
      <c r="R27" s="36" t="s">
        <v>658</v>
      </c>
      <c r="S27" t="str">
        <f>IFERROR(HYPERLINK("#Main!A"&amp;MATCH(A27,Main!A:A,0),"Open"),HYPERLINK("#Main!A1","Open"))</f>
        <v>Open</v>
      </c>
      <c r="T27" t="str">
        <f>IFERROR(HYPERLINK("#Technical!A"&amp;MATCH(A27,Technical!A:A,0),"Open"),HYPERLINK("#Technical!A1","Open"))</f>
        <v>Open</v>
      </c>
    </row>
    <row r="28" spans="1:21" ht="30" customHeight="1" x14ac:dyDescent="0.25">
      <c r="A28" s="32" t="s">
        <v>152</v>
      </c>
      <c r="B28" s="27">
        <v>16125</v>
      </c>
      <c r="C28" s="55" t="s">
        <v>617</v>
      </c>
      <c r="D28" s="27" t="s">
        <v>652</v>
      </c>
      <c r="E28" s="31" t="s">
        <v>72</v>
      </c>
      <c r="F28" s="27" t="s">
        <v>653</v>
      </c>
      <c r="G28" s="38">
        <v>67</v>
      </c>
      <c r="H28" s="27">
        <v>73.12</v>
      </c>
      <c r="I28" s="27" t="s">
        <v>654</v>
      </c>
      <c r="J28" s="27" t="s">
        <v>655</v>
      </c>
      <c r="K28" s="56" t="s">
        <v>40</v>
      </c>
      <c r="L28" s="27" t="s">
        <v>656</v>
      </c>
      <c r="M28" s="27" t="s">
        <v>283</v>
      </c>
      <c r="N28" s="27" t="s">
        <v>290</v>
      </c>
      <c r="O28" s="28" t="s">
        <v>2</v>
      </c>
      <c r="P28" s="27">
        <v>4</v>
      </c>
      <c r="Q28" s="27" t="s">
        <v>667</v>
      </c>
      <c r="R28" s="27" t="s">
        <v>658</v>
      </c>
      <c r="S28" s="33" t="str">
        <f>IFERROR(HYPERLINK("#Main!A"&amp;MATCH(A28,Main!A:A,0),"Open"),HYPERLINK("#Main!A1","Open"))</f>
        <v>Open</v>
      </c>
      <c r="T28" s="33" t="str">
        <f>IFERROR(HYPERLINK("#Technical!A"&amp;MATCH(A28,Technical!A:A,0),"Open"),HYPERLINK("#Technical!A1","Open"))</f>
        <v>Open</v>
      </c>
      <c r="U28" s="33"/>
    </row>
    <row r="29" spans="1:21" ht="30" customHeight="1" x14ac:dyDescent="0.25">
      <c r="A29" s="29" t="s">
        <v>161</v>
      </c>
      <c r="B29" s="36">
        <v>4494</v>
      </c>
      <c r="C29" s="55" t="s">
        <v>619</v>
      </c>
      <c r="D29" s="36" t="s">
        <v>652</v>
      </c>
      <c r="E29" s="31" t="s">
        <v>72</v>
      </c>
      <c r="F29" s="36" t="s">
        <v>653</v>
      </c>
      <c r="G29" s="41">
        <v>67</v>
      </c>
      <c r="H29" s="36">
        <v>53.57</v>
      </c>
      <c r="I29" s="36" t="s">
        <v>654</v>
      </c>
      <c r="J29" s="36" t="s">
        <v>655</v>
      </c>
      <c r="K29" s="57" t="s">
        <v>40</v>
      </c>
      <c r="L29" s="36" t="s">
        <v>656</v>
      </c>
      <c r="M29" s="36" t="s">
        <v>283</v>
      </c>
      <c r="N29" s="36" t="s">
        <v>290</v>
      </c>
      <c r="O29" s="28" t="s">
        <v>2</v>
      </c>
      <c r="P29" s="36">
        <v>4</v>
      </c>
      <c r="Q29" s="36" t="s">
        <v>668</v>
      </c>
      <c r="R29" s="36" t="s">
        <v>658</v>
      </c>
      <c r="S29" t="str">
        <f>IFERROR(HYPERLINK("#Main!A"&amp;MATCH(A29,Main!A:A,0),"Open"),HYPERLINK("#Main!A1","Open"))</f>
        <v>Open</v>
      </c>
      <c r="T29" t="str">
        <f>IFERROR(HYPERLINK("#Technical!A"&amp;MATCH(A29,Technical!A:A,0),"Open"),HYPERLINK("#Technical!A1","Open"))</f>
        <v>Open</v>
      </c>
    </row>
    <row r="30" spans="1:21" ht="30" customHeight="1" x14ac:dyDescent="0.25">
      <c r="A30" s="32" t="s">
        <v>161</v>
      </c>
      <c r="B30" s="27">
        <v>4494</v>
      </c>
      <c r="C30" s="55" t="s">
        <v>619</v>
      </c>
      <c r="D30" s="27" t="s">
        <v>652</v>
      </c>
      <c r="E30" s="31" t="s">
        <v>72</v>
      </c>
      <c r="F30" s="27" t="s">
        <v>669</v>
      </c>
      <c r="G30" s="38">
        <v>67</v>
      </c>
      <c r="H30" s="27">
        <v>0</v>
      </c>
      <c r="I30" s="27" t="s">
        <v>670</v>
      </c>
      <c r="J30" s="27" t="s">
        <v>671</v>
      </c>
      <c r="K30" s="56" t="s">
        <v>18</v>
      </c>
      <c r="L30" s="27" t="s">
        <v>545</v>
      </c>
      <c r="M30" s="27" t="s">
        <v>283</v>
      </c>
      <c r="N30" s="27" t="s">
        <v>290</v>
      </c>
      <c r="O30" s="28" t="s">
        <v>2</v>
      </c>
      <c r="P30" s="27">
        <v>4</v>
      </c>
      <c r="Q30" s="27" t="s">
        <v>672</v>
      </c>
      <c r="R30" s="27" t="s">
        <v>673</v>
      </c>
      <c r="S30" s="33" t="str">
        <f>IFERROR(HYPERLINK("#Main!A"&amp;MATCH(A30,Main!A:A,0),"Open"),HYPERLINK("#Main!A1","Open"))</f>
        <v>Open</v>
      </c>
      <c r="T30" s="33" t="str">
        <f>IFERROR(HYPERLINK("#Technical!A"&amp;MATCH(A30,Technical!A:A,0),"Open"),HYPERLINK("#Technical!A1","Open"))</f>
        <v>Open</v>
      </c>
      <c r="U30" s="33"/>
    </row>
    <row r="31" spans="1:21" ht="30" customHeight="1" x14ac:dyDescent="0.25">
      <c r="A31" s="29" t="s">
        <v>161</v>
      </c>
      <c r="B31" s="36">
        <v>4494</v>
      </c>
      <c r="C31" s="55" t="s">
        <v>619</v>
      </c>
      <c r="D31" s="36" t="s">
        <v>652</v>
      </c>
      <c r="E31" s="31" t="s">
        <v>72</v>
      </c>
      <c r="F31" s="36" t="s">
        <v>659</v>
      </c>
      <c r="G31" s="41">
        <v>67</v>
      </c>
      <c r="H31" s="36">
        <v>32</v>
      </c>
      <c r="I31" s="36" t="s">
        <v>660</v>
      </c>
      <c r="J31" s="36" t="s">
        <v>661</v>
      </c>
      <c r="K31" s="57" t="s">
        <v>18</v>
      </c>
      <c r="L31" s="36" t="s">
        <v>541</v>
      </c>
      <c r="M31" s="36" t="s">
        <v>283</v>
      </c>
      <c r="N31" s="36" t="s">
        <v>290</v>
      </c>
      <c r="O31" s="28" t="s">
        <v>2</v>
      </c>
      <c r="P31" s="36">
        <v>4</v>
      </c>
      <c r="Q31" s="36" t="s">
        <v>674</v>
      </c>
      <c r="R31" s="36" t="s">
        <v>663</v>
      </c>
      <c r="S31" t="str">
        <f>IFERROR(HYPERLINK("#Main!A"&amp;MATCH(A31,Main!A:A,0),"Open"),HYPERLINK("#Main!A1","Open"))</f>
        <v>Open</v>
      </c>
      <c r="T31" t="str">
        <f>IFERROR(HYPERLINK("#Technical!A"&amp;MATCH(A31,Technical!A:A,0),"Open"),HYPERLINK("#Technical!A1","Open"))</f>
        <v>Open</v>
      </c>
    </row>
    <row r="32" spans="1:21" ht="30" customHeight="1" x14ac:dyDescent="0.25">
      <c r="A32" s="32" t="s">
        <v>169</v>
      </c>
      <c r="B32" s="27">
        <v>5619</v>
      </c>
      <c r="C32" s="55" t="s">
        <v>621</v>
      </c>
      <c r="D32" s="27" t="s">
        <v>652</v>
      </c>
      <c r="E32" s="31" t="s">
        <v>72</v>
      </c>
      <c r="F32" s="27" t="s">
        <v>653</v>
      </c>
      <c r="G32" s="38">
        <v>67</v>
      </c>
      <c r="H32" s="27">
        <v>65.22</v>
      </c>
      <c r="I32" s="27" t="s">
        <v>654</v>
      </c>
      <c r="J32" s="27" t="s">
        <v>655</v>
      </c>
      <c r="K32" s="56" t="s">
        <v>40</v>
      </c>
      <c r="L32" s="27" t="s">
        <v>656</v>
      </c>
      <c r="M32" s="27" t="s">
        <v>283</v>
      </c>
      <c r="N32" s="27" t="s">
        <v>290</v>
      </c>
      <c r="O32" s="28" t="s">
        <v>2</v>
      </c>
      <c r="P32" s="27">
        <v>4</v>
      </c>
      <c r="Q32" s="27" t="s">
        <v>675</v>
      </c>
      <c r="R32" s="27" t="s">
        <v>658</v>
      </c>
      <c r="S32" s="33" t="str">
        <f>IFERROR(HYPERLINK("#Main!A"&amp;MATCH(A32,Main!A:A,0),"Open"),HYPERLINK("#Main!A1","Open"))</f>
        <v>Open</v>
      </c>
      <c r="T32" s="33" t="str">
        <f>IFERROR(HYPERLINK("#Technical!A"&amp;MATCH(A32,Technical!A:A,0),"Open"),HYPERLINK("#Technical!A1","Open"))</f>
        <v>Open</v>
      </c>
      <c r="U32" s="33"/>
    </row>
    <row r="33" spans="1:21" ht="30" customHeight="1" x14ac:dyDescent="0.25">
      <c r="A33" s="29" t="s">
        <v>169</v>
      </c>
      <c r="B33" s="36">
        <v>5619</v>
      </c>
      <c r="C33" s="55" t="s">
        <v>621</v>
      </c>
      <c r="D33" s="36" t="s">
        <v>652</v>
      </c>
      <c r="E33" s="31" t="s">
        <v>72</v>
      </c>
      <c r="F33" s="36" t="s">
        <v>669</v>
      </c>
      <c r="G33" s="41">
        <v>67</v>
      </c>
      <c r="H33" s="36">
        <v>0</v>
      </c>
      <c r="I33" s="36" t="s">
        <v>670</v>
      </c>
      <c r="J33" s="36" t="s">
        <v>671</v>
      </c>
      <c r="K33" s="57" t="s">
        <v>18</v>
      </c>
      <c r="L33" s="36" t="s">
        <v>545</v>
      </c>
      <c r="M33" s="36" t="s">
        <v>283</v>
      </c>
      <c r="N33" s="36" t="s">
        <v>290</v>
      </c>
      <c r="O33" s="28" t="s">
        <v>2</v>
      </c>
      <c r="P33" s="36">
        <v>4</v>
      </c>
      <c r="Q33" s="36" t="s">
        <v>676</v>
      </c>
      <c r="R33" s="36" t="s">
        <v>673</v>
      </c>
      <c r="S33" t="str">
        <f>IFERROR(HYPERLINK("#Main!A"&amp;MATCH(A33,Main!A:A,0),"Open"),HYPERLINK("#Main!A1","Open"))</f>
        <v>Open</v>
      </c>
      <c r="T33" t="str">
        <f>IFERROR(HYPERLINK("#Technical!A"&amp;MATCH(A33,Technical!A:A,0),"Open"),HYPERLINK("#Technical!A1","Open"))</f>
        <v>Open</v>
      </c>
    </row>
    <row r="34" spans="1:21" ht="30" customHeight="1" x14ac:dyDescent="0.25">
      <c r="A34" s="32" t="s">
        <v>169</v>
      </c>
      <c r="B34" s="27">
        <v>5619</v>
      </c>
      <c r="C34" s="55" t="s">
        <v>621</v>
      </c>
      <c r="D34" s="27" t="s">
        <v>652</v>
      </c>
      <c r="E34" s="31" t="s">
        <v>72</v>
      </c>
      <c r="F34" s="27" t="s">
        <v>659</v>
      </c>
      <c r="G34" s="38">
        <v>67</v>
      </c>
      <c r="H34" s="27">
        <v>120</v>
      </c>
      <c r="I34" s="27" t="s">
        <v>660</v>
      </c>
      <c r="J34" s="27" t="s">
        <v>661</v>
      </c>
      <c r="K34" s="56" t="s">
        <v>18</v>
      </c>
      <c r="L34" s="27" t="s">
        <v>541</v>
      </c>
      <c r="M34" s="27" t="s">
        <v>283</v>
      </c>
      <c r="N34" s="27" t="s">
        <v>290</v>
      </c>
      <c r="O34" s="28" t="s">
        <v>2</v>
      </c>
      <c r="P34" s="27">
        <v>4</v>
      </c>
      <c r="Q34" s="27" t="s">
        <v>677</v>
      </c>
      <c r="R34" s="27" t="s">
        <v>663</v>
      </c>
      <c r="S34" s="33" t="str">
        <f>IFERROR(HYPERLINK("#Main!A"&amp;MATCH(A34,Main!A:A,0),"Open"),HYPERLINK("#Main!A1","Open"))</f>
        <v>Open</v>
      </c>
      <c r="T34" s="33" t="str">
        <f>IFERROR(HYPERLINK("#Technical!A"&amp;MATCH(A34,Technical!A:A,0),"Open"),HYPERLINK("#Technical!A1","Open"))</f>
        <v>Open</v>
      </c>
      <c r="U34" s="33"/>
    </row>
    <row r="35" spans="1:21" ht="30" customHeight="1" x14ac:dyDescent="0.25">
      <c r="A35" s="29" t="s">
        <v>177</v>
      </c>
      <c r="B35" s="36">
        <v>4941</v>
      </c>
      <c r="C35" s="55" t="s">
        <v>623</v>
      </c>
      <c r="D35" s="36" t="s">
        <v>652</v>
      </c>
      <c r="E35" s="31" t="s">
        <v>72</v>
      </c>
      <c r="F35" s="36" t="s">
        <v>653</v>
      </c>
      <c r="G35" s="41">
        <v>67</v>
      </c>
      <c r="H35" s="36">
        <v>50</v>
      </c>
      <c r="I35" s="36" t="s">
        <v>654</v>
      </c>
      <c r="J35" s="36" t="s">
        <v>655</v>
      </c>
      <c r="K35" s="57" t="s">
        <v>40</v>
      </c>
      <c r="L35" s="36" t="s">
        <v>656</v>
      </c>
      <c r="M35" s="36" t="s">
        <v>283</v>
      </c>
      <c r="N35" s="36" t="s">
        <v>290</v>
      </c>
      <c r="O35" s="28" t="s">
        <v>2</v>
      </c>
      <c r="P35" s="36">
        <v>4</v>
      </c>
      <c r="Q35" s="36" t="s">
        <v>678</v>
      </c>
      <c r="R35" s="36" t="s">
        <v>658</v>
      </c>
      <c r="S35" t="str">
        <f>IFERROR(HYPERLINK("#Main!A"&amp;MATCH(A35,Main!A:A,0),"Open"),HYPERLINK("#Main!A1","Open"))</f>
        <v>Open</v>
      </c>
      <c r="T35" t="str">
        <f>IFERROR(HYPERLINK("#Technical!A"&amp;MATCH(A35,Technical!A:A,0),"Open"),HYPERLINK("#Technical!A1","Open"))</f>
        <v>Open</v>
      </c>
    </row>
    <row r="36" spans="1:21" ht="30" customHeight="1" x14ac:dyDescent="0.25">
      <c r="A36" s="32" t="s">
        <v>177</v>
      </c>
      <c r="B36" s="27">
        <v>4941</v>
      </c>
      <c r="C36" s="55" t="s">
        <v>623</v>
      </c>
      <c r="D36" s="27" t="s">
        <v>652</v>
      </c>
      <c r="E36" s="31" t="s">
        <v>72</v>
      </c>
      <c r="F36" s="27" t="s">
        <v>669</v>
      </c>
      <c r="G36" s="38">
        <v>67</v>
      </c>
      <c r="H36" s="27">
        <v>0</v>
      </c>
      <c r="I36" s="27" t="s">
        <v>670</v>
      </c>
      <c r="J36" s="27" t="s">
        <v>671</v>
      </c>
      <c r="K36" s="56" t="s">
        <v>18</v>
      </c>
      <c r="L36" s="27" t="s">
        <v>545</v>
      </c>
      <c r="M36" s="27" t="s">
        <v>283</v>
      </c>
      <c r="N36" s="27" t="s">
        <v>290</v>
      </c>
      <c r="O36" s="28" t="s">
        <v>2</v>
      </c>
      <c r="P36" s="27">
        <v>4</v>
      </c>
      <c r="Q36" s="27" t="s">
        <v>679</v>
      </c>
      <c r="R36" s="27" t="s">
        <v>673</v>
      </c>
      <c r="S36" s="33" t="str">
        <f>IFERROR(HYPERLINK("#Main!A"&amp;MATCH(A36,Main!A:A,0),"Open"),HYPERLINK("#Main!A1","Open"))</f>
        <v>Open</v>
      </c>
      <c r="T36" s="33" t="str">
        <f>IFERROR(HYPERLINK("#Technical!A"&amp;MATCH(A36,Technical!A:A,0),"Open"),HYPERLINK("#Technical!A1","Open"))</f>
        <v>Open</v>
      </c>
      <c r="U36" s="33"/>
    </row>
    <row r="37" spans="1:21" ht="30" customHeight="1" x14ac:dyDescent="0.25">
      <c r="A37" s="29" t="s">
        <v>186</v>
      </c>
      <c r="B37" s="36">
        <v>12371</v>
      </c>
      <c r="C37" s="55" t="s">
        <v>625</v>
      </c>
      <c r="D37" s="36" t="s">
        <v>652</v>
      </c>
      <c r="E37" s="31" t="s">
        <v>72</v>
      </c>
      <c r="F37" s="36" t="s">
        <v>653</v>
      </c>
      <c r="G37" s="41">
        <v>67</v>
      </c>
      <c r="H37" s="36">
        <v>33.93</v>
      </c>
      <c r="I37" s="36" t="s">
        <v>654</v>
      </c>
      <c r="J37" s="36" t="s">
        <v>655</v>
      </c>
      <c r="K37" s="57" t="s">
        <v>40</v>
      </c>
      <c r="L37" s="36" t="s">
        <v>656</v>
      </c>
      <c r="M37" s="36" t="s">
        <v>283</v>
      </c>
      <c r="N37" s="36" t="s">
        <v>290</v>
      </c>
      <c r="O37" s="28" t="s">
        <v>2</v>
      </c>
      <c r="P37" s="36">
        <v>4</v>
      </c>
      <c r="Q37" s="36" t="s">
        <v>680</v>
      </c>
      <c r="R37" s="36" t="s">
        <v>658</v>
      </c>
      <c r="S37" t="str">
        <f>IFERROR(HYPERLINK("#Main!A"&amp;MATCH(A37,Main!A:A,0),"Open"),HYPERLINK("#Main!A1","Open"))</f>
        <v>Open</v>
      </c>
      <c r="T37" t="str">
        <f>IFERROR(HYPERLINK("#Technical!A"&amp;MATCH(A37,Technical!A:A,0),"Open"),HYPERLINK("#Technical!A1","Open"))</f>
        <v>Open</v>
      </c>
    </row>
    <row r="38" spans="1:21" ht="30" customHeight="1" x14ac:dyDescent="0.25">
      <c r="A38" s="32" t="s">
        <v>194</v>
      </c>
      <c r="B38" s="27">
        <v>12954</v>
      </c>
      <c r="C38" s="55" t="s">
        <v>627</v>
      </c>
      <c r="D38" s="27" t="s">
        <v>652</v>
      </c>
      <c r="E38" s="31" t="s">
        <v>72</v>
      </c>
      <c r="F38" s="27" t="s">
        <v>653</v>
      </c>
      <c r="G38" s="38">
        <v>67</v>
      </c>
      <c r="H38" s="27">
        <v>72</v>
      </c>
      <c r="I38" s="27" t="s">
        <v>654</v>
      </c>
      <c r="J38" s="27" t="s">
        <v>655</v>
      </c>
      <c r="K38" s="56" t="s">
        <v>40</v>
      </c>
      <c r="L38" s="27" t="s">
        <v>656</v>
      </c>
      <c r="M38" s="27" t="s">
        <v>283</v>
      </c>
      <c r="N38" s="27" t="s">
        <v>290</v>
      </c>
      <c r="O38" s="28" t="s">
        <v>2</v>
      </c>
      <c r="P38" s="27">
        <v>4</v>
      </c>
      <c r="Q38" s="27" t="s">
        <v>681</v>
      </c>
      <c r="R38" s="27" t="s">
        <v>658</v>
      </c>
      <c r="S38" s="33" t="str">
        <f>IFERROR(HYPERLINK("#Main!A"&amp;MATCH(A38,Main!A:A,0),"Open"),HYPERLINK("#Main!A1","Open"))</f>
        <v>Open</v>
      </c>
      <c r="T38" s="33" t="str">
        <f>IFERROR(HYPERLINK("#Technical!A"&amp;MATCH(A38,Technical!A:A,0),"Open"),HYPERLINK("#Technical!A1","Open"))</f>
        <v>Open</v>
      </c>
      <c r="U38" s="33"/>
    </row>
    <row r="39" spans="1:21" ht="30" customHeight="1" x14ac:dyDescent="0.25">
      <c r="A39" s="29" t="s">
        <v>202</v>
      </c>
      <c r="B39" s="36">
        <v>13164</v>
      </c>
      <c r="C39" s="55" t="s">
        <v>629</v>
      </c>
      <c r="D39" s="36" t="s">
        <v>652</v>
      </c>
      <c r="E39" s="31" t="s">
        <v>72</v>
      </c>
      <c r="F39" s="36" t="s">
        <v>653</v>
      </c>
      <c r="G39" s="41">
        <v>67</v>
      </c>
      <c r="H39" s="36">
        <v>75</v>
      </c>
      <c r="I39" s="36" t="s">
        <v>654</v>
      </c>
      <c r="J39" s="36" t="s">
        <v>655</v>
      </c>
      <c r="K39" s="57" t="s">
        <v>40</v>
      </c>
      <c r="L39" s="36" t="s">
        <v>656</v>
      </c>
      <c r="M39" s="36" t="s">
        <v>283</v>
      </c>
      <c r="N39" s="36" t="s">
        <v>290</v>
      </c>
      <c r="O39" s="28" t="s">
        <v>2</v>
      </c>
      <c r="P39" s="36">
        <v>4</v>
      </c>
      <c r="Q39" s="36" t="s">
        <v>682</v>
      </c>
      <c r="R39" s="36" t="s">
        <v>658</v>
      </c>
      <c r="S39" t="str">
        <f>IFERROR(HYPERLINK("#Main!A"&amp;MATCH(A39,Main!A:A,0),"Open"),HYPERLINK("#Main!A1","Open"))</f>
        <v>Open</v>
      </c>
      <c r="T39" t="str">
        <f>IFERROR(HYPERLINK("#Technical!A"&amp;MATCH(A39,Technical!A:A,0),"Open"),HYPERLINK("#Technical!A1","Open"))</f>
        <v>Open</v>
      </c>
    </row>
    <row r="40" spans="1:21" ht="30" customHeight="1" x14ac:dyDescent="0.25">
      <c r="A40" s="32" t="s">
        <v>202</v>
      </c>
      <c r="B40" s="27">
        <v>13164</v>
      </c>
      <c r="C40" s="55" t="s">
        <v>629</v>
      </c>
      <c r="D40" s="27" t="s">
        <v>652</v>
      </c>
      <c r="E40" s="31" t="s">
        <v>72</v>
      </c>
      <c r="F40" s="27" t="s">
        <v>669</v>
      </c>
      <c r="G40" s="38">
        <v>67</v>
      </c>
      <c r="H40" s="27">
        <v>0</v>
      </c>
      <c r="I40" s="27" t="s">
        <v>670</v>
      </c>
      <c r="J40" s="27" t="s">
        <v>671</v>
      </c>
      <c r="K40" s="56" t="s">
        <v>18</v>
      </c>
      <c r="L40" s="27" t="s">
        <v>545</v>
      </c>
      <c r="M40" s="27" t="s">
        <v>283</v>
      </c>
      <c r="N40" s="27" t="s">
        <v>290</v>
      </c>
      <c r="O40" s="28" t="s">
        <v>2</v>
      </c>
      <c r="P40" s="27">
        <v>4</v>
      </c>
      <c r="Q40" s="27" t="s">
        <v>683</v>
      </c>
      <c r="R40" s="27" t="s">
        <v>673</v>
      </c>
      <c r="S40" s="33" t="str">
        <f>IFERROR(HYPERLINK("#Main!A"&amp;MATCH(A40,Main!A:A,0),"Open"),HYPERLINK("#Main!A1","Open"))</f>
        <v>Open</v>
      </c>
      <c r="T40" s="33" t="str">
        <f>IFERROR(HYPERLINK("#Technical!A"&amp;MATCH(A40,Technical!A:A,0),"Open"),HYPERLINK("#Technical!A1","Open"))</f>
        <v>Open</v>
      </c>
      <c r="U40" s="33"/>
    </row>
    <row r="41" spans="1:21" ht="30" customHeight="1" x14ac:dyDescent="0.25">
      <c r="A41" s="29" t="s">
        <v>202</v>
      </c>
      <c r="B41" s="36">
        <v>13164</v>
      </c>
      <c r="C41" s="55" t="s">
        <v>629</v>
      </c>
      <c r="D41" s="36" t="s">
        <v>652</v>
      </c>
      <c r="E41" s="31" t="s">
        <v>72</v>
      </c>
      <c r="F41" s="36" t="s">
        <v>659</v>
      </c>
      <c r="G41" s="41">
        <v>67</v>
      </c>
      <c r="H41" s="36">
        <v>31</v>
      </c>
      <c r="I41" s="36" t="s">
        <v>660</v>
      </c>
      <c r="J41" s="36" t="s">
        <v>661</v>
      </c>
      <c r="K41" s="57" t="s">
        <v>18</v>
      </c>
      <c r="L41" s="36" t="s">
        <v>541</v>
      </c>
      <c r="M41" s="36" t="s">
        <v>283</v>
      </c>
      <c r="N41" s="36" t="s">
        <v>290</v>
      </c>
      <c r="O41" s="28" t="s">
        <v>2</v>
      </c>
      <c r="P41" s="36">
        <v>4</v>
      </c>
      <c r="Q41" s="36" t="s">
        <v>684</v>
      </c>
      <c r="R41" s="36" t="s">
        <v>663</v>
      </c>
      <c r="S41" t="str">
        <f>IFERROR(HYPERLINK("#Main!A"&amp;MATCH(A41,Main!A:A,0),"Open"),HYPERLINK("#Main!A1","Open"))</f>
        <v>Open</v>
      </c>
      <c r="T41" t="str">
        <f>IFERROR(HYPERLINK("#Technical!A"&amp;MATCH(A41,Technical!A:A,0),"Open"),HYPERLINK("#Technical!A1","Open"))</f>
        <v>Open</v>
      </c>
    </row>
    <row r="42" spans="1:21" ht="45" customHeight="1" x14ac:dyDescent="0.25">
      <c r="A42" s="32" t="s">
        <v>127</v>
      </c>
      <c r="B42" s="27">
        <v>8</v>
      </c>
      <c r="C42" s="55" t="s">
        <v>608</v>
      </c>
      <c r="D42" s="27" t="s">
        <v>685</v>
      </c>
      <c r="E42" s="31" t="s">
        <v>72</v>
      </c>
      <c r="F42" s="27" t="s">
        <v>686</v>
      </c>
      <c r="G42" s="38">
        <v>67</v>
      </c>
      <c r="H42" s="27">
        <v>0</v>
      </c>
      <c r="I42" s="27" t="s">
        <v>687</v>
      </c>
      <c r="J42" s="27" t="s">
        <v>688</v>
      </c>
      <c r="K42" s="56" t="s">
        <v>22</v>
      </c>
      <c r="L42" s="27" t="s">
        <v>482</v>
      </c>
      <c r="M42" s="27" t="s">
        <v>283</v>
      </c>
      <c r="N42" s="27" t="s">
        <v>290</v>
      </c>
      <c r="O42" s="28" t="s">
        <v>2</v>
      </c>
      <c r="P42" s="27">
        <v>4</v>
      </c>
      <c r="Q42" s="27" t="s">
        <v>689</v>
      </c>
      <c r="R42" s="27" t="s">
        <v>690</v>
      </c>
      <c r="S42" s="33" t="str">
        <f>IFERROR(HYPERLINK("#Main!A"&amp;MATCH(A42,Main!A:A,0),"Open"),HYPERLINK("#Main!A1","Open"))</f>
        <v>Open</v>
      </c>
      <c r="T42" s="33" t="str">
        <f>IFERROR(HYPERLINK("#Technical!A"&amp;MATCH(A42,Technical!A:A,0),"Open"),HYPERLINK("#Technical!A1","Open"))</f>
        <v>Open</v>
      </c>
      <c r="U42" s="33"/>
    </row>
    <row r="43" spans="1:21" ht="45" customHeight="1" x14ac:dyDescent="0.25">
      <c r="A43" s="29" t="s">
        <v>135</v>
      </c>
      <c r="B43" s="36">
        <v>84</v>
      </c>
      <c r="C43" s="55" t="s">
        <v>613</v>
      </c>
      <c r="D43" s="36" t="s">
        <v>685</v>
      </c>
      <c r="E43" s="31" t="s">
        <v>72</v>
      </c>
      <c r="F43" s="36" t="s">
        <v>686</v>
      </c>
      <c r="G43" s="41">
        <v>67</v>
      </c>
      <c r="H43" s="36">
        <v>0</v>
      </c>
      <c r="I43" s="36" t="s">
        <v>687</v>
      </c>
      <c r="J43" s="36" t="s">
        <v>688</v>
      </c>
      <c r="K43" s="57" t="s">
        <v>22</v>
      </c>
      <c r="L43" s="36" t="s">
        <v>482</v>
      </c>
      <c r="M43" s="36" t="s">
        <v>283</v>
      </c>
      <c r="N43" s="36" t="s">
        <v>290</v>
      </c>
      <c r="O43" s="28" t="s">
        <v>2</v>
      </c>
      <c r="P43" s="36">
        <v>4</v>
      </c>
      <c r="Q43" s="36" t="s">
        <v>691</v>
      </c>
      <c r="R43" s="36" t="s">
        <v>690</v>
      </c>
      <c r="S43" t="str">
        <f>IFERROR(HYPERLINK("#Main!A"&amp;MATCH(A43,Main!A:A,0),"Open"),HYPERLINK("#Main!A1","Open"))</f>
        <v>Open</v>
      </c>
      <c r="T43" t="str">
        <f>IFERROR(HYPERLINK("#Technical!A"&amp;MATCH(A43,Technical!A:A,0),"Open"),HYPERLINK("#Technical!A1","Open"))</f>
        <v>Open</v>
      </c>
    </row>
    <row r="44" spans="1:21" ht="45" customHeight="1" x14ac:dyDescent="0.25">
      <c r="A44" s="32" t="s">
        <v>144</v>
      </c>
      <c r="B44" s="27">
        <v>28165</v>
      </c>
      <c r="C44" s="55" t="s">
        <v>615</v>
      </c>
      <c r="D44" s="27" t="s">
        <v>685</v>
      </c>
      <c r="E44" s="31" t="s">
        <v>72</v>
      </c>
      <c r="F44" s="27" t="s">
        <v>686</v>
      </c>
      <c r="G44" s="38">
        <v>67</v>
      </c>
      <c r="H44" s="27">
        <v>0</v>
      </c>
      <c r="I44" s="27" t="s">
        <v>687</v>
      </c>
      <c r="J44" s="27" t="s">
        <v>688</v>
      </c>
      <c r="K44" s="56" t="s">
        <v>22</v>
      </c>
      <c r="L44" s="27" t="s">
        <v>482</v>
      </c>
      <c r="M44" s="27" t="s">
        <v>283</v>
      </c>
      <c r="N44" s="27" t="s">
        <v>290</v>
      </c>
      <c r="O44" s="28" t="s">
        <v>2</v>
      </c>
      <c r="P44" s="27">
        <v>4</v>
      </c>
      <c r="Q44" s="27" t="s">
        <v>692</v>
      </c>
      <c r="R44" s="27" t="s">
        <v>690</v>
      </c>
      <c r="S44" s="33" t="str">
        <f>IFERROR(HYPERLINK("#Main!A"&amp;MATCH(A44,Main!A:A,0),"Open"),HYPERLINK("#Main!A1","Open"))</f>
        <v>Open</v>
      </c>
      <c r="T44" s="33" t="str">
        <f>IFERROR(HYPERLINK("#Technical!A"&amp;MATCH(A44,Technical!A:A,0),"Open"),HYPERLINK("#Technical!A1","Open"))</f>
        <v>Open</v>
      </c>
      <c r="U44" s="33"/>
    </row>
    <row r="45" spans="1:21" ht="45" customHeight="1" x14ac:dyDescent="0.25">
      <c r="A45" s="29" t="s">
        <v>152</v>
      </c>
      <c r="B45" s="36">
        <v>16125</v>
      </c>
      <c r="C45" s="55" t="s">
        <v>617</v>
      </c>
      <c r="D45" s="36" t="s">
        <v>685</v>
      </c>
      <c r="E45" s="31" t="s">
        <v>72</v>
      </c>
      <c r="F45" s="36" t="s">
        <v>686</v>
      </c>
      <c r="G45" s="41">
        <v>67</v>
      </c>
      <c r="H45" s="36">
        <v>0</v>
      </c>
      <c r="I45" s="36" t="s">
        <v>687</v>
      </c>
      <c r="J45" s="36" t="s">
        <v>688</v>
      </c>
      <c r="K45" s="57" t="s">
        <v>22</v>
      </c>
      <c r="L45" s="36" t="s">
        <v>482</v>
      </c>
      <c r="M45" s="36" t="s">
        <v>283</v>
      </c>
      <c r="N45" s="36" t="s">
        <v>290</v>
      </c>
      <c r="O45" s="28" t="s">
        <v>2</v>
      </c>
      <c r="P45" s="36">
        <v>4</v>
      </c>
      <c r="Q45" s="36" t="s">
        <v>693</v>
      </c>
      <c r="R45" s="36" t="s">
        <v>690</v>
      </c>
      <c r="S45" t="str">
        <f>IFERROR(HYPERLINK("#Main!A"&amp;MATCH(A45,Main!A:A,0),"Open"),HYPERLINK("#Main!A1","Open"))</f>
        <v>Open</v>
      </c>
      <c r="T45" t="str">
        <f>IFERROR(HYPERLINK("#Technical!A"&amp;MATCH(A45,Technical!A:A,0),"Open"),HYPERLINK("#Technical!A1","Open"))</f>
        <v>Open</v>
      </c>
    </row>
    <row r="46" spans="1:21" ht="45" customHeight="1" x14ac:dyDescent="0.25">
      <c r="A46" s="32" t="s">
        <v>161</v>
      </c>
      <c r="B46" s="27">
        <v>4494</v>
      </c>
      <c r="C46" s="55" t="s">
        <v>619</v>
      </c>
      <c r="D46" s="27" t="s">
        <v>685</v>
      </c>
      <c r="E46" s="31" t="s">
        <v>72</v>
      </c>
      <c r="F46" s="27" t="s">
        <v>686</v>
      </c>
      <c r="G46" s="38">
        <v>67</v>
      </c>
      <c r="H46" s="27">
        <v>0</v>
      </c>
      <c r="I46" s="27" t="s">
        <v>687</v>
      </c>
      <c r="J46" s="27" t="s">
        <v>688</v>
      </c>
      <c r="K46" s="56" t="s">
        <v>22</v>
      </c>
      <c r="L46" s="27" t="s">
        <v>482</v>
      </c>
      <c r="M46" s="27" t="s">
        <v>283</v>
      </c>
      <c r="N46" s="27" t="s">
        <v>290</v>
      </c>
      <c r="O46" s="28" t="s">
        <v>2</v>
      </c>
      <c r="P46" s="27">
        <v>4</v>
      </c>
      <c r="Q46" s="27" t="s">
        <v>694</v>
      </c>
      <c r="R46" s="27" t="s">
        <v>690</v>
      </c>
      <c r="S46" s="33" t="str">
        <f>IFERROR(HYPERLINK("#Main!A"&amp;MATCH(A46,Main!A:A,0),"Open"),HYPERLINK("#Main!A1","Open"))</f>
        <v>Open</v>
      </c>
      <c r="T46" s="33" t="str">
        <f>IFERROR(HYPERLINK("#Technical!A"&amp;MATCH(A46,Technical!A:A,0),"Open"),HYPERLINK("#Technical!A1","Open"))</f>
        <v>Open</v>
      </c>
      <c r="U46" s="33"/>
    </row>
    <row r="47" spans="1:21" ht="45" customHeight="1" x14ac:dyDescent="0.25">
      <c r="A47" s="29" t="s">
        <v>169</v>
      </c>
      <c r="B47" s="36">
        <v>5619</v>
      </c>
      <c r="C47" s="55" t="s">
        <v>621</v>
      </c>
      <c r="D47" s="36" t="s">
        <v>685</v>
      </c>
      <c r="E47" s="31" t="s">
        <v>72</v>
      </c>
      <c r="F47" s="36" t="s">
        <v>686</v>
      </c>
      <c r="G47" s="41">
        <v>67</v>
      </c>
      <c r="H47" s="36">
        <v>0</v>
      </c>
      <c r="I47" s="36" t="s">
        <v>687</v>
      </c>
      <c r="J47" s="36" t="s">
        <v>688</v>
      </c>
      <c r="K47" s="57" t="s">
        <v>22</v>
      </c>
      <c r="L47" s="36" t="s">
        <v>482</v>
      </c>
      <c r="M47" s="36" t="s">
        <v>283</v>
      </c>
      <c r="N47" s="36" t="s">
        <v>290</v>
      </c>
      <c r="O47" s="28" t="s">
        <v>2</v>
      </c>
      <c r="P47" s="36">
        <v>4</v>
      </c>
      <c r="Q47" s="36" t="s">
        <v>695</v>
      </c>
      <c r="R47" s="36" t="s">
        <v>690</v>
      </c>
      <c r="S47" t="str">
        <f>IFERROR(HYPERLINK("#Main!A"&amp;MATCH(A47,Main!A:A,0),"Open"),HYPERLINK("#Main!A1","Open"))</f>
        <v>Open</v>
      </c>
      <c r="T47" t="str">
        <f>IFERROR(HYPERLINK("#Technical!A"&amp;MATCH(A47,Technical!A:A,0),"Open"),HYPERLINK("#Technical!A1","Open"))</f>
        <v>Open</v>
      </c>
    </row>
    <row r="48" spans="1:21" ht="45" customHeight="1" x14ac:dyDescent="0.25">
      <c r="A48" s="32" t="s">
        <v>177</v>
      </c>
      <c r="B48" s="27">
        <v>4941</v>
      </c>
      <c r="C48" s="55" t="s">
        <v>623</v>
      </c>
      <c r="D48" s="27" t="s">
        <v>685</v>
      </c>
      <c r="E48" s="31" t="s">
        <v>72</v>
      </c>
      <c r="F48" s="27" t="s">
        <v>686</v>
      </c>
      <c r="G48" s="38">
        <v>67</v>
      </c>
      <c r="H48" s="27">
        <v>0</v>
      </c>
      <c r="I48" s="27" t="s">
        <v>687</v>
      </c>
      <c r="J48" s="27" t="s">
        <v>688</v>
      </c>
      <c r="K48" s="56" t="s">
        <v>22</v>
      </c>
      <c r="L48" s="27" t="s">
        <v>482</v>
      </c>
      <c r="M48" s="27" t="s">
        <v>283</v>
      </c>
      <c r="N48" s="27" t="s">
        <v>290</v>
      </c>
      <c r="O48" s="28" t="s">
        <v>2</v>
      </c>
      <c r="P48" s="27">
        <v>4</v>
      </c>
      <c r="Q48" s="27" t="s">
        <v>696</v>
      </c>
      <c r="R48" s="27" t="s">
        <v>690</v>
      </c>
      <c r="S48" s="33" t="str">
        <f>IFERROR(HYPERLINK("#Main!A"&amp;MATCH(A48,Main!A:A,0),"Open"),HYPERLINK("#Main!A1","Open"))</f>
        <v>Open</v>
      </c>
      <c r="T48" s="33" t="str">
        <f>IFERROR(HYPERLINK("#Technical!A"&amp;MATCH(A48,Technical!A:A,0),"Open"),HYPERLINK("#Technical!A1","Open"))</f>
        <v>Open</v>
      </c>
      <c r="U48" s="33"/>
    </row>
    <row r="49" spans="1:21" ht="45" customHeight="1" x14ac:dyDescent="0.25">
      <c r="A49" s="29" t="s">
        <v>186</v>
      </c>
      <c r="B49" s="36">
        <v>12371</v>
      </c>
      <c r="C49" s="55" t="s">
        <v>625</v>
      </c>
      <c r="D49" s="36" t="s">
        <v>685</v>
      </c>
      <c r="E49" s="31" t="s">
        <v>72</v>
      </c>
      <c r="F49" s="36" t="s">
        <v>686</v>
      </c>
      <c r="G49" s="41">
        <v>67</v>
      </c>
      <c r="H49" s="36">
        <v>0</v>
      </c>
      <c r="I49" s="36" t="s">
        <v>687</v>
      </c>
      <c r="J49" s="36" t="s">
        <v>688</v>
      </c>
      <c r="K49" s="57" t="s">
        <v>22</v>
      </c>
      <c r="L49" s="36" t="s">
        <v>482</v>
      </c>
      <c r="M49" s="36" t="s">
        <v>283</v>
      </c>
      <c r="N49" s="36" t="s">
        <v>290</v>
      </c>
      <c r="O49" s="28" t="s">
        <v>2</v>
      </c>
      <c r="P49" s="36">
        <v>4</v>
      </c>
      <c r="Q49" s="36" t="s">
        <v>697</v>
      </c>
      <c r="R49" s="36" t="s">
        <v>690</v>
      </c>
      <c r="S49" t="str">
        <f>IFERROR(HYPERLINK("#Main!A"&amp;MATCH(A49,Main!A:A,0),"Open"),HYPERLINK("#Main!A1","Open"))</f>
        <v>Open</v>
      </c>
      <c r="T49" t="str">
        <f>IFERROR(HYPERLINK("#Technical!A"&amp;MATCH(A49,Technical!A:A,0),"Open"),HYPERLINK("#Technical!A1","Open"))</f>
        <v>Open</v>
      </c>
    </row>
    <row r="50" spans="1:21" ht="45" customHeight="1" x14ac:dyDescent="0.25">
      <c r="A50" s="32" t="s">
        <v>194</v>
      </c>
      <c r="B50" s="27">
        <v>12954</v>
      </c>
      <c r="C50" s="55" t="s">
        <v>627</v>
      </c>
      <c r="D50" s="27" t="s">
        <v>685</v>
      </c>
      <c r="E50" s="31" t="s">
        <v>72</v>
      </c>
      <c r="F50" s="27" t="s">
        <v>686</v>
      </c>
      <c r="G50" s="38">
        <v>67</v>
      </c>
      <c r="H50" s="27">
        <v>0</v>
      </c>
      <c r="I50" s="27" t="s">
        <v>687</v>
      </c>
      <c r="J50" s="27" t="s">
        <v>688</v>
      </c>
      <c r="K50" s="56" t="s">
        <v>22</v>
      </c>
      <c r="L50" s="27" t="s">
        <v>482</v>
      </c>
      <c r="M50" s="27" t="s">
        <v>283</v>
      </c>
      <c r="N50" s="27" t="s">
        <v>290</v>
      </c>
      <c r="O50" s="28" t="s">
        <v>2</v>
      </c>
      <c r="P50" s="27">
        <v>4</v>
      </c>
      <c r="Q50" s="27" t="s">
        <v>698</v>
      </c>
      <c r="R50" s="27" t="s">
        <v>690</v>
      </c>
      <c r="S50" s="33" t="str">
        <f>IFERROR(HYPERLINK("#Main!A"&amp;MATCH(A50,Main!A:A,0),"Open"),HYPERLINK("#Main!A1","Open"))</f>
        <v>Open</v>
      </c>
      <c r="T50" s="33" t="str">
        <f>IFERROR(HYPERLINK("#Technical!A"&amp;MATCH(A50,Technical!A:A,0),"Open"),HYPERLINK("#Technical!A1","Open"))</f>
        <v>Open</v>
      </c>
      <c r="U50" s="33"/>
    </row>
    <row r="51" spans="1:21" ht="45" customHeight="1" x14ac:dyDescent="0.25">
      <c r="A51" s="29" t="s">
        <v>202</v>
      </c>
      <c r="B51" s="36">
        <v>13164</v>
      </c>
      <c r="C51" s="55" t="s">
        <v>629</v>
      </c>
      <c r="D51" s="36" t="s">
        <v>685</v>
      </c>
      <c r="E51" s="31" t="s">
        <v>72</v>
      </c>
      <c r="F51" s="36" t="s">
        <v>686</v>
      </c>
      <c r="G51" s="41">
        <v>67</v>
      </c>
      <c r="H51" s="36">
        <v>0</v>
      </c>
      <c r="I51" s="36" t="s">
        <v>687</v>
      </c>
      <c r="J51" s="36" t="s">
        <v>688</v>
      </c>
      <c r="K51" s="57" t="s">
        <v>22</v>
      </c>
      <c r="L51" s="36" t="s">
        <v>482</v>
      </c>
      <c r="M51" s="36" t="s">
        <v>283</v>
      </c>
      <c r="N51" s="36" t="s">
        <v>290</v>
      </c>
      <c r="O51" s="28" t="s">
        <v>2</v>
      </c>
      <c r="P51" s="36">
        <v>4</v>
      </c>
      <c r="Q51" s="36" t="s">
        <v>699</v>
      </c>
      <c r="R51" s="36" t="s">
        <v>690</v>
      </c>
      <c r="S51" t="str">
        <f>IFERROR(HYPERLINK("#Main!A"&amp;MATCH(A51,Main!A:A,0),"Open"),HYPERLINK("#Main!A1","Open"))</f>
        <v>Open</v>
      </c>
      <c r="T51" t="str">
        <f>IFERROR(HYPERLINK("#Technical!A"&amp;MATCH(A51,Technical!A:A,0),"Open"),HYPERLINK("#Technical!A1","Open"))</f>
        <v>Open</v>
      </c>
    </row>
    <row r="52" spans="1:21" ht="30" customHeight="1" x14ac:dyDescent="0.25">
      <c r="A52" s="32" t="s">
        <v>135</v>
      </c>
      <c r="B52" s="27">
        <v>84</v>
      </c>
      <c r="C52" s="55" t="s">
        <v>613</v>
      </c>
      <c r="D52" s="27" t="s">
        <v>631</v>
      </c>
      <c r="E52" s="46" t="s">
        <v>351</v>
      </c>
      <c r="F52" s="27" t="s">
        <v>700</v>
      </c>
      <c r="G52" s="38">
        <v>37</v>
      </c>
      <c r="H52" s="27">
        <v>405</v>
      </c>
      <c r="I52" s="27" t="s">
        <v>634</v>
      </c>
      <c r="J52" s="27" t="s">
        <v>701</v>
      </c>
      <c r="K52" s="56" t="s">
        <v>12</v>
      </c>
      <c r="L52" s="27" t="s">
        <v>216</v>
      </c>
      <c r="M52" s="27" t="s">
        <v>355</v>
      </c>
      <c r="N52" s="27" t="s">
        <v>290</v>
      </c>
      <c r="O52" s="28" t="s">
        <v>2</v>
      </c>
      <c r="P52" s="27">
        <v>4</v>
      </c>
      <c r="Q52" s="27" t="s">
        <v>702</v>
      </c>
      <c r="R52" s="27" t="s">
        <v>703</v>
      </c>
      <c r="S52" s="33" t="str">
        <f>IFERROR(HYPERLINK("#Main!A"&amp;MATCH(A52,Main!A:A,0),"Open"),HYPERLINK("#Main!A1","Open"))</f>
        <v>Open</v>
      </c>
      <c r="T52" s="33" t="str">
        <f>IFERROR(HYPERLINK("#Technical!A"&amp;MATCH(A52,Technical!A:A,0),"Open"),HYPERLINK("#Technical!A1","Open"))</f>
        <v>Open</v>
      </c>
      <c r="U52" s="33"/>
    </row>
    <row r="53" spans="1:21" ht="30" customHeight="1" x14ac:dyDescent="0.25">
      <c r="A53" s="29" t="s">
        <v>144</v>
      </c>
      <c r="B53" s="36">
        <v>28165</v>
      </c>
      <c r="C53" s="55" t="s">
        <v>615</v>
      </c>
      <c r="D53" s="36" t="s">
        <v>631</v>
      </c>
      <c r="E53" s="46" t="s">
        <v>351</v>
      </c>
      <c r="F53" s="36" t="s">
        <v>700</v>
      </c>
      <c r="G53" s="41">
        <v>37</v>
      </c>
      <c r="H53" s="36">
        <v>423</v>
      </c>
      <c r="I53" s="36" t="s">
        <v>634</v>
      </c>
      <c r="J53" s="36" t="s">
        <v>701</v>
      </c>
      <c r="K53" s="57" t="s">
        <v>12</v>
      </c>
      <c r="L53" s="36" t="s">
        <v>216</v>
      </c>
      <c r="M53" s="36" t="s">
        <v>355</v>
      </c>
      <c r="N53" s="36" t="s">
        <v>290</v>
      </c>
      <c r="O53" s="28" t="s">
        <v>2</v>
      </c>
      <c r="P53" s="36">
        <v>4</v>
      </c>
      <c r="Q53" s="36" t="s">
        <v>704</v>
      </c>
      <c r="R53" s="36" t="s">
        <v>703</v>
      </c>
      <c r="S53" t="str">
        <f>IFERROR(HYPERLINK("#Main!A"&amp;MATCH(A53,Main!A:A,0),"Open"),HYPERLINK("#Main!A1","Open"))</f>
        <v>Open</v>
      </c>
      <c r="T53" t="str">
        <f>IFERROR(HYPERLINK("#Technical!A"&amp;MATCH(A53,Technical!A:A,0),"Open"),HYPERLINK("#Technical!A1","Open"))</f>
        <v>Open</v>
      </c>
    </row>
    <row r="54" spans="1:21" ht="30" customHeight="1" x14ac:dyDescent="0.25">
      <c r="A54" s="32" t="s">
        <v>152</v>
      </c>
      <c r="B54" s="27">
        <v>16125</v>
      </c>
      <c r="C54" s="55" t="s">
        <v>617</v>
      </c>
      <c r="D54" s="27" t="s">
        <v>631</v>
      </c>
      <c r="E54" s="46" t="s">
        <v>351</v>
      </c>
      <c r="F54" s="27" t="s">
        <v>700</v>
      </c>
      <c r="G54" s="38">
        <v>37</v>
      </c>
      <c r="H54" s="27">
        <v>406</v>
      </c>
      <c r="I54" s="27" t="s">
        <v>634</v>
      </c>
      <c r="J54" s="27" t="s">
        <v>701</v>
      </c>
      <c r="K54" s="56" t="s">
        <v>12</v>
      </c>
      <c r="L54" s="27" t="s">
        <v>216</v>
      </c>
      <c r="M54" s="27" t="s">
        <v>355</v>
      </c>
      <c r="N54" s="27" t="s">
        <v>290</v>
      </c>
      <c r="O54" s="28" t="s">
        <v>2</v>
      </c>
      <c r="P54" s="27">
        <v>4</v>
      </c>
      <c r="Q54" s="27" t="s">
        <v>705</v>
      </c>
      <c r="R54" s="27" t="s">
        <v>703</v>
      </c>
      <c r="S54" s="33" t="str">
        <f>IFERROR(HYPERLINK("#Main!A"&amp;MATCH(A54,Main!A:A,0),"Open"),HYPERLINK("#Main!A1","Open"))</f>
        <v>Open</v>
      </c>
      <c r="T54" s="33" t="str">
        <f>IFERROR(HYPERLINK("#Technical!A"&amp;MATCH(A54,Technical!A:A,0),"Open"),HYPERLINK("#Technical!A1","Open"))</f>
        <v>Open</v>
      </c>
      <c r="U54" s="33"/>
    </row>
    <row r="55" spans="1:21" ht="30" customHeight="1" x14ac:dyDescent="0.25">
      <c r="A55" s="29" t="s">
        <v>161</v>
      </c>
      <c r="B55" s="36">
        <v>4494</v>
      </c>
      <c r="C55" s="55" t="s">
        <v>619</v>
      </c>
      <c r="D55" s="36" t="s">
        <v>631</v>
      </c>
      <c r="E55" s="46" t="s">
        <v>351</v>
      </c>
      <c r="F55" s="36" t="s">
        <v>700</v>
      </c>
      <c r="G55" s="41">
        <v>37</v>
      </c>
      <c r="H55" s="36">
        <v>387</v>
      </c>
      <c r="I55" s="36" t="s">
        <v>634</v>
      </c>
      <c r="J55" s="36" t="s">
        <v>701</v>
      </c>
      <c r="K55" s="57" t="s">
        <v>12</v>
      </c>
      <c r="L55" s="36" t="s">
        <v>216</v>
      </c>
      <c r="M55" s="36" t="s">
        <v>355</v>
      </c>
      <c r="N55" s="36" t="s">
        <v>290</v>
      </c>
      <c r="O55" s="28" t="s">
        <v>2</v>
      </c>
      <c r="P55" s="36">
        <v>4</v>
      </c>
      <c r="Q55" s="36" t="s">
        <v>706</v>
      </c>
      <c r="R55" s="36" t="s">
        <v>703</v>
      </c>
      <c r="S55" t="str">
        <f>IFERROR(HYPERLINK("#Main!A"&amp;MATCH(A55,Main!A:A,0),"Open"),HYPERLINK("#Main!A1","Open"))</f>
        <v>Open</v>
      </c>
      <c r="T55" t="str">
        <f>IFERROR(HYPERLINK("#Technical!A"&amp;MATCH(A55,Technical!A:A,0),"Open"),HYPERLINK("#Technical!A1","Open"))</f>
        <v>Open</v>
      </c>
    </row>
    <row r="56" spans="1:21" ht="30" customHeight="1" x14ac:dyDescent="0.25">
      <c r="A56" s="32" t="s">
        <v>169</v>
      </c>
      <c r="B56" s="27">
        <v>5619</v>
      </c>
      <c r="C56" s="55" t="s">
        <v>621</v>
      </c>
      <c r="D56" s="27" t="s">
        <v>631</v>
      </c>
      <c r="E56" s="46" t="s">
        <v>351</v>
      </c>
      <c r="F56" s="27" t="s">
        <v>700</v>
      </c>
      <c r="G56" s="38">
        <v>37</v>
      </c>
      <c r="H56" s="27">
        <v>335</v>
      </c>
      <c r="I56" s="27" t="s">
        <v>634</v>
      </c>
      <c r="J56" s="27" t="s">
        <v>701</v>
      </c>
      <c r="K56" s="56" t="s">
        <v>12</v>
      </c>
      <c r="L56" s="27" t="s">
        <v>216</v>
      </c>
      <c r="M56" s="27" t="s">
        <v>355</v>
      </c>
      <c r="N56" s="27" t="s">
        <v>290</v>
      </c>
      <c r="O56" s="28" t="s">
        <v>2</v>
      </c>
      <c r="P56" s="27">
        <v>4</v>
      </c>
      <c r="Q56" s="27" t="s">
        <v>707</v>
      </c>
      <c r="R56" s="27" t="s">
        <v>703</v>
      </c>
      <c r="S56" s="33" t="str">
        <f>IFERROR(HYPERLINK("#Main!A"&amp;MATCH(A56,Main!A:A,0),"Open"),HYPERLINK("#Main!A1","Open"))</f>
        <v>Open</v>
      </c>
      <c r="T56" s="33" t="str">
        <f>IFERROR(HYPERLINK("#Technical!A"&amp;MATCH(A56,Technical!A:A,0),"Open"),HYPERLINK("#Technical!A1","Open"))</f>
        <v>Open</v>
      </c>
      <c r="U56" s="33"/>
    </row>
    <row r="57" spans="1:21" ht="30" customHeight="1" x14ac:dyDescent="0.25">
      <c r="A57" s="29" t="s">
        <v>177</v>
      </c>
      <c r="B57" s="36">
        <v>4941</v>
      </c>
      <c r="C57" s="55" t="s">
        <v>623</v>
      </c>
      <c r="D57" s="36" t="s">
        <v>631</v>
      </c>
      <c r="E57" s="46" t="s">
        <v>351</v>
      </c>
      <c r="F57" s="36" t="s">
        <v>700</v>
      </c>
      <c r="G57" s="41">
        <v>37</v>
      </c>
      <c r="H57" s="36">
        <v>337</v>
      </c>
      <c r="I57" s="36" t="s">
        <v>634</v>
      </c>
      <c r="J57" s="36" t="s">
        <v>701</v>
      </c>
      <c r="K57" s="57" t="s">
        <v>12</v>
      </c>
      <c r="L57" s="36" t="s">
        <v>216</v>
      </c>
      <c r="M57" s="36" t="s">
        <v>355</v>
      </c>
      <c r="N57" s="36" t="s">
        <v>290</v>
      </c>
      <c r="O57" s="28" t="s">
        <v>2</v>
      </c>
      <c r="P57" s="36">
        <v>4</v>
      </c>
      <c r="Q57" s="36" t="s">
        <v>708</v>
      </c>
      <c r="R57" s="36" t="s">
        <v>703</v>
      </c>
      <c r="S57" t="str">
        <f>IFERROR(HYPERLINK("#Main!A"&amp;MATCH(A57,Main!A:A,0),"Open"),HYPERLINK("#Main!A1","Open"))</f>
        <v>Open</v>
      </c>
      <c r="T57" t="str">
        <f>IFERROR(HYPERLINK("#Technical!A"&amp;MATCH(A57,Technical!A:A,0),"Open"),HYPERLINK("#Technical!A1","Open"))</f>
        <v>Open</v>
      </c>
    </row>
    <row r="58" spans="1:21" ht="30" customHeight="1" x14ac:dyDescent="0.25">
      <c r="A58" s="32" t="s">
        <v>186</v>
      </c>
      <c r="B58" s="27">
        <v>12371</v>
      </c>
      <c r="C58" s="55" t="s">
        <v>625</v>
      </c>
      <c r="D58" s="27" t="s">
        <v>631</v>
      </c>
      <c r="E58" s="46" t="s">
        <v>351</v>
      </c>
      <c r="F58" s="27" t="s">
        <v>700</v>
      </c>
      <c r="G58" s="38">
        <v>37</v>
      </c>
      <c r="H58" s="27">
        <v>398</v>
      </c>
      <c r="I58" s="27" t="s">
        <v>634</v>
      </c>
      <c r="J58" s="27" t="s">
        <v>701</v>
      </c>
      <c r="K58" s="56" t="s">
        <v>12</v>
      </c>
      <c r="L58" s="27" t="s">
        <v>216</v>
      </c>
      <c r="M58" s="27" t="s">
        <v>355</v>
      </c>
      <c r="N58" s="27" t="s">
        <v>290</v>
      </c>
      <c r="O58" s="28" t="s">
        <v>2</v>
      </c>
      <c r="P58" s="27">
        <v>4</v>
      </c>
      <c r="Q58" s="27" t="s">
        <v>709</v>
      </c>
      <c r="R58" s="27" t="s">
        <v>703</v>
      </c>
      <c r="S58" s="33" t="str">
        <f>IFERROR(HYPERLINK("#Main!A"&amp;MATCH(A58,Main!A:A,0),"Open"),HYPERLINK("#Main!A1","Open"))</f>
        <v>Open</v>
      </c>
      <c r="T58" s="33" t="str">
        <f>IFERROR(HYPERLINK("#Technical!A"&amp;MATCH(A58,Technical!A:A,0),"Open"),HYPERLINK("#Technical!A1","Open"))</f>
        <v>Open</v>
      </c>
      <c r="U58" s="33"/>
    </row>
    <row r="59" spans="1:21" ht="30" customHeight="1" x14ac:dyDescent="0.25">
      <c r="A59" s="29" t="s">
        <v>194</v>
      </c>
      <c r="B59" s="36">
        <v>12954</v>
      </c>
      <c r="C59" s="55" t="s">
        <v>627</v>
      </c>
      <c r="D59" s="36" t="s">
        <v>631</v>
      </c>
      <c r="E59" s="46" t="s">
        <v>351</v>
      </c>
      <c r="F59" s="36" t="s">
        <v>700</v>
      </c>
      <c r="G59" s="41">
        <v>37</v>
      </c>
      <c r="H59" s="36">
        <v>432</v>
      </c>
      <c r="I59" s="36" t="s">
        <v>634</v>
      </c>
      <c r="J59" s="36" t="s">
        <v>701</v>
      </c>
      <c r="K59" s="57" t="s">
        <v>12</v>
      </c>
      <c r="L59" s="36" t="s">
        <v>216</v>
      </c>
      <c r="M59" s="36" t="s">
        <v>355</v>
      </c>
      <c r="N59" s="36" t="s">
        <v>290</v>
      </c>
      <c r="O59" s="28" t="s">
        <v>2</v>
      </c>
      <c r="P59" s="36">
        <v>4</v>
      </c>
      <c r="Q59" s="36" t="s">
        <v>710</v>
      </c>
      <c r="R59" s="36" t="s">
        <v>703</v>
      </c>
      <c r="S59" t="str">
        <f>IFERROR(HYPERLINK("#Main!A"&amp;MATCH(A59,Main!A:A,0),"Open"),HYPERLINK("#Main!A1","Open"))</f>
        <v>Open</v>
      </c>
      <c r="T59" t="str">
        <f>IFERROR(HYPERLINK("#Technical!A"&amp;MATCH(A59,Technical!A:A,0),"Open"),HYPERLINK("#Technical!A1","Open"))</f>
        <v>Open</v>
      </c>
    </row>
    <row r="60" spans="1:21" ht="30" customHeight="1" x14ac:dyDescent="0.25">
      <c r="A60" s="32" t="s">
        <v>127</v>
      </c>
      <c r="B60" s="27">
        <v>8</v>
      </c>
      <c r="C60" s="55" t="s">
        <v>608</v>
      </c>
      <c r="D60" s="27" t="s">
        <v>18</v>
      </c>
      <c r="E60" s="46" t="s">
        <v>351</v>
      </c>
      <c r="F60" s="27" t="s">
        <v>711</v>
      </c>
      <c r="G60" s="38">
        <v>37</v>
      </c>
      <c r="H60" s="27">
        <v>0</v>
      </c>
      <c r="I60" s="27" t="s">
        <v>712</v>
      </c>
      <c r="J60" s="27" t="s">
        <v>713</v>
      </c>
      <c r="K60" s="56" t="s">
        <v>20</v>
      </c>
      <c r="L60" s="27" t="s">
        <v>559</v>
      </c>
      <c r="M60" s="27" t="s">
        <v>355</v>
      </c>
      <c r="N60" s="27" t="s">
        <v>290</v>
      </c>
      <c r="O60" s="28" t="s">
        <v>2</v>
      </c>
      <c r="P60" s="27">
        <v>4</v>
      </c>
      <c r="Q60" s="27" t="s">
        <v>714</v>
      </c>
      <c r="R60" s="27" t="s">
        <v>715</v>
      </c>
      <c r="S60" s="33" t="str">
        <f>IFERROR(HYPERLINK("#Main!A"&amp;MATCH(A60,Main!A:A,0),"Open"),HYPERLINK("#Main!A1","Open"))</f>
        <v>Open</v>
      </c>
      <c r="T60" s="33" t="str">
        <f>IFERROR(HYPERLINK("#Technical!A"&amp;MATCH(A60,Technical!A:A,0),"Open"),HYPERLINK("#Technical!A1","Open"))</f>
        <v>Open</v>
      </c>
      <c r="U60" s="33"/>
    </row>
    <row r="61" spans="1:21" ht="30" customHeight="1" x14ac:dyDescent="0.25">
      <c r="A61" s="29" t="s">
        <v>135</v>
      </c>
      <c r="B61" s="36">
        <v>84</v>
      </c>
      <c r="C61" s="55" t="s">
        <v>613</v>
      </c>
      <c r="D61" s="36" t="s">
        <v>18</v>
      </c>
      <c r="E61" s="46" t="s">
        <v>351</v>
      </c>
      <c r="F61" s="36" t="s">
        <v>711</v>
      </c>
      <c r="G61" s="41">
        <v>37</v>
      </c>
      <c r="H61" s="36">
        <v>0</v>
      </c>
      <c r="I61" s="36" t="s">
        <v>712</v>
      </c>
      <c r="J61" s="36" t="s">
        <v>713</v>
      </c>
      <c r="K61" s="57" t="s">
        <v>20</v>
      </c>
      <c r="L61" s="36" t="s">
        <v>559</v>
      </c>
      <c r="M61" s="36" t="s">
        <v>355</v>
      </c>
      <c r="N61" s="36" t="s">
        <v>290</v>
      </c>
      <c r="O61" s="28" t="s">
        <v>2</v>
      </c>
      <c r="P61" s="36">
        <v>4</v>
      </c>
      <c r="Q61" s="36" t="s">
        <v>716</v>
      </c>
      <c r="R61" s="36" t="s">
        <v>715</v>
      </c>
      <c r="S61" t="str">
        <f>IFERROR(HYPERLINK("#Main!A"&amp;MATCH(A61,Main!A:A,0),"Open"),HYPERLINK("#Main!A1","Open"))</f>
        <v>Open</v>
      </c>
      <c r="T61" t="str">
        <f>IFERROR(HYPERLINK("#Technical!A"&amp;MATCH(A61,Technical!A:A,0),"Open"),HYPERLINK("#Technical!A1","Open"))</f>
        <v>Open</v>
      </c>
    </row>
    <row r="62" spans="1:21" ht="30" customHeight="1" x14ac:dyDescent="0.25">
      <c r="A62" s="32" t="s">
        <v>144</v>
      </c>
      <c r="B62" s="27">
        <v>28165</v>
      </c>
      <c r="C62" s="55" t="s">
        <v>615</v>
      </c>
      <c r="D62" s="27" t="s">
        <v>18</v>
      </c>
      <c r="E62" s="46" t="s">
        <v>351</v>
      </c>
      <c r="F62" s="27" t="s">
        <v>711</v>
      </c>
      <c r="G62" s="38">
        <v>37</v>
      </c>
      <c r="H62" s="27">
        <v>0</v>
      </c>
      <c r="I62" s="27" t="s">
        <v>712</v>
      </c>
      <c r="J62" s="27" t="s">
        <v>713</v>
      </c>
      <c r="K62" s="56" t="s">
        <v>20</v>
      </c>
      <c r="L62" s="27" t="s">
        <v>559</v>
      </c>
      <c r="M62" s="27" t="s">
        <v>355</v>
      </c>
      <c r="N62" s="27" t="s">
        <v>290</v>
      </c>
      <c r="O62" s="28" t="s">
        <v>2</v>
      </c>
      <c r="P62" s="27">
        <v>4</v>
      </c>
      <c r="Q62" s="27" t="s">
        <v>717</v>
      </c>
      <c r="R62" s="27" t="s">
        <v>715</v>
      </c>
      <c r="S62" s="33" t="str">
        <f>IFERROR(HYPERLINK("#Main!A"&amp;MATCH(A62,Main!A:A,0),"Open"),HYPERLINK("#Main!A1","Open"))</f>
        <v>Open</v>
      </c>
      <c r="T62" s="33" t="str">
        <f>IFERROR(HYPERLINK("#Technical!A"&amp;MATCH(A62,Technical!A:A,0),"Open"),HYPERLINK("#Technical!A1","Open"))</f>
        <v>Open</v>
      </c>
      <c r="U62" s="33"/>
    </row>
    <row r="63" spans="1:21" ht="30" customHeight="1" x14ac:dyDescent="0.25">
      <c r="A63" s="29" t="s">
        <v>152</v>
      </c>
      <c r="B63" s="36">
        <v>16125</v>
      </c>
      <c r="C63" s="55" t="s">
        <v>617</v>
      </c>
      <c r="D63" s="36" t="s">
        <v>18</v>
      </c>
      <c r="E63" s="46" t="s">
        <v>351</v>
      </c>
      <c r="F63" s="36" t="s">
        <v>711</v>
      </c>
      <c r="G63" s="41">
        <v>37</v>
      </c>
      <c r="H63" s="36">
        <v>0</v>
      </c>
      <c r="I63" s="36" t="s">
        <v>712</v>
      </c>
      <c r="J63" s="36" t="s">
        <v>713</v>
      </c>
      <c r="K63" s="57" t="s">
        <v>20</v>
      </c>
      <c r="L63" s="36" t="s">
        <v>559</v>
      </c>
      <c r="M63" s="36" t="s">
        <v>355</v>
      </c>
      <c r="N63" s="36" t="s">
        <v>290</v>
      </c>
      <c r="O63" s="28" t="s">
        <v>2</v>
      </c>
      <c r="P63" s="36">
        <v>4</v>
      </c>
      <c r="Q63" s="36" t="s">
        <v>718</v>
      </c>
      <c r="R63" s="36" t="s">
        <v>715</v>
      </c>
      <c r="S63" t="str">
        <f>IFERROR(HYPERLINK("#Main!A"&amp;MATCH(A63,Main!A:A,0),"Open"),HYPERLINK("#Main!A1","Open"))</f>
        <v>Open</v>
      </c>
      <c r="T63" t="str">
        <f>IFERROR(HYPERLINK("#Technical!A"&amp;MATCH(A63,Technical!A:A,0),"Open"),HYPERLINK("#Technical!A1","Open"))</f>
        <v>Open</v>
      </c>
    </row>
    <row r="64" spans="1:21" ht="30" customHeight="1" x14ac:dyDescent="0.25">
      <c r="A64" s="32" t="s">
        <v>161</v>
      </c>
      <c r="B64" s="27">
        <v>4494</v>
      </c>
      <c r="C64" s="55" t="s">
        <v>619</v>
      </c>
      <c r="D64" s="27" t="s">
        <v>18</v>
      </c>
      <c r="E64" s="46" t="s">
        <v>351</v>
      </c>
      <c r="F64" s="27" t="s">
        <v>711</v>
      </c>
      <c r="G64" s="38">
        <v>37</v>
      </c>
      <c r="H64" s="27">
        <v>0</v>
      </c>
      <c r="I64" s="27" t="s">
        <v>712</v>
      </c>
      <c r="J64" s="27" t="s">
        <v>713</v>
      </c>
      <c r="K64" s="56" t="s">
        <v>20</v>
      </c>
      <c r="L64" s="27" t="s">
        <v>559</v>
      </c>
      <c r="M64" s="27" t="s">
        <v>355</v>
      </c>
      <c r="N64" s="27" t="s">
        <v>290</v>
      </c>
      <c r="O64" s="28" t="s">
        <v>2</v>
      </c>
      <c r="P64" s="27">
        <v>4</v>
      </c>
      <c r="Q64" s="27" t="s">
        <v>719</v>
      </c>
      <c r="R64" s="27" t="s">
        <v>715</v>
      </c>
      <c r="S64" s="33" t="str">
        <f>IFERROR(HYPERLINK("#Main!A"&amp;MATCH(A64,Main!A:A,0),"Open"),HYPERLINK("#Main!A1","Open"))</f>
        <v>Open</v>
      </c>
      <c r="T64" s="33" t="str">
        <f>IFERROR(HYPERLINK("#Technical!A"&amp;MATCH(A64,Technical!A:A,0),"Open"),HYPERLINK("#Technical!A1","Open"))</f>
        <v>Open</v>
      </c>
      <c r="U64" s="33"/>
    </row>
    <row r="65" spans="1:21" ht="30" customHeight="1" x14ac:dyDescent="0.25">
      <c r="A65" s="29" t="s">
        <v>169</v>
      </c>
      <c r="B65" s="36">
        <v>5619</v>
      </c>
      <c r="C65" s="55" t="s">
        <v>621</v>
      </c>
      <c r="D65" s="36" t="s">
        <v>18</v>
      </c>
      <c r="E65" s="46" t="s">
        <v>351</v>
      </c>
      <c r="F65" s="36" t="s">
        <v>711</v>
      </c>
      <c r="G65" s="41">
        <v>37</v>
      </c>
      <c r="H65" s="36">
        <v>0</v>
      </c>
      <c r="I65" s="36" t="s">
        <v>712</v>
      </c>
      <c r="J65" s="36" t="s">
        <v>713</v>
      </c>
      <c r="K65" s="57" t="s">
        <v>20</v>
      </c>
      <c r="L65" s="36" t="s">
        <v>559</v>
      </c>
      <c r="M65" s="36" t="s">
        <v>355</v>
      </c>
      <c r="N65" s="36" t="s">
        <v>290</v>
      </c>
      <c r="O65" s="28" t="s">
        <v>2</v>
      </c>
      <c r="P65" s="36">
        <v>4</v>
      </c>
      <c r="Q65" s="36" t="s">
        <v>720</v>
      </c>
      <c r="R65" s="36" t="s">
        <v>715</v>
      </c>
      <c r="S65" t="str">
        <f>IFERROR(HYPERLINK("#Main!A"&amp;MATCH(A65,Main!A:A,0),"Open"),HYPERLINK("#Main!A1","Open"))</f>
        <v>Open</v>
      </c>
      <c r="T65" t="str">
        <f>IFERROR(HYPERLINK("#Technical!A"&amp;MATCH(A65,Technical!A:A,0),"Open"),HYPERLINK("#Technical!A1","Open"))</f>
        <v>Open</v>
      </c>
    </row>
    <row r="66" spans="1:21" ht="30" customHeight="1" x14ac:dyDescent="0.25">
      <c r="A66" s="32" t="s">
        <v>177</v>
      </c>
      <c r="B66" s="27">
        <v>4941</v>
      </c>
      <c r="C66" s="55" t="s">
        <v>623</v>
      </c>
      <c r="D66" s="27" t="s">
        <v>18</v>
      </c>
      <c r="E66" s="46" t="s">
        <v>351</v>
      </c>
      <c r="F66" s="27" t="s">
        <v>711</v>
      </c>
      <c r="G66" s="38">
        <v>37</v>
      </c>
      <c r="H66" s="27">
        <v>0</v>
      </c>
      <c r="I66" s="27" t="s">
        <v>712</v>
      </c>
      <c r="J66" s="27" t="s">
        <v>713</v>
      </c>
      <c r="K66" s="56" t="s">
        <v>20</v>
      </c>
      <c r="L66" s="27" t="s">
        <v>559</v>
      </c>
      <c r="M66" s="27" t="s">
        <v>355</v>
      </c>
      <c r="N66" s="27" t="s">
        <v>290</v>
      </c>
      <c r="O66" s="28" t="s">
        <v>2</v>
      </c>
      <c r="P66" s="27">
        <v>4</v>
      </c>
      <c r="Q66" s="27" t="s">
        <v>721</v>
      </c>
      <c r="R66" s="27" t="s">
        <v>715</v>
      </c>
      <c r="S66" s="33" t="str">
        <f>IFERROR(HYPERLINK("#Main!A"&amp;MATCH(A66,Main!A:A,0),"Open"),HYPERLINK("#Main!A1","Open"))</f>
        <v>Open</v>
      </c>
      <c r="T66" s="33" t="str">
        <f>IFERROR(HYPERLINK("#Technical!A"&amp;MATCH(A66,Technical!A:A,0),"Open"),HYPERLINK("#Technical!A1","Open"))</f>
        <v>Open</v>
      </c>
      <c r="U66" s="33"/>
    </row>
    <row r="67" spans="1:21" ht="30" customHeight="1" x14ac:dyDescent="0.25">
      <c r="A67" s="29" t="s">
        <v>186</v>
      </c>
      <c r="B67" s="36">
        <v>12371</v>
      </c>
      <c r="C67" s="55" t="s">
        <v>625</v>
      </c>
      <c r="D67" s="36" t="s">
        <v>18</v>
      </c>
      <c r="E67" s="46" t="s">
        <v>351</v>
      </c>
      <c r="F67" s="36" t="s">
        <v>711</v>
      </c>
      <c r="G67" s="41">
        <v>37</v>
      </c>
      <c r="H67" s="36">
        <v>0</v>
      </c>
      <c r="I67" s="36" t="s">
        <v>712</v>
      </c>
      <c r="J67" s="36" t="s">
        <v>713</v>
      </c>
      <c r="K67" s="57" t="s">
        <v>20</v>
      </c>
      <c r="L67" s="36" t="s">
        <v>559</v>
      </c>
      <c r="M67" s="36" t="s">
        <v>355</v>
      </c>
      <c r="N67" s="36" t="s">
        <v>290</v>
      </c>
      <c r="O67" s="28" t="s">
        <v>2</v>
      </c>
      <c r="P67" s="36">
        <v>4</v>
      </c>
      <c r="Q67" s="36" t="s">
        <v>722</v>
      </c>
      <c r="R67" s="36" t="s">
        <v>715</v>
      </c>
      <c r="S67" t="str">
        <f>IFERROR(HYPERLINK("#Main!A"&amp;MATCH(A67,Main!A:A,0),"Open"),HYPERLINK("#Main!A1","Open"))</f>
        <v>Open</v>
      </c>
      <c r="T67" t="str">
        <f>IFERROR(HYPERLINK("#Technical!A"&amp;MATCH(A67,Technical!A:A,0),"Open"),HYPERLINK("#Technical!A1","Open"))</f>
        <v>Open</v>
      </c>
    </row>
    <row r="68" spans="1:21" ht="30" customHeight="1" x14ac:dyDescent="0.25">
      <c r="A68" s="32" t="s">
        <v>194</v>
      </c>
      <c r="B68" s="27">
        <v>12954</v>
      </c>
      <c r="C68" s="55" t="s">
        <v>627</v>
      </c>
      <c r="D68" s="27" t="s">
        <v>18</v>
      </c>
      <c r="E68" s="46" t="s">
        <v>351</v>
      </c>
      <c r="F68" s="27" t="s">
        <v>711</v>
      </c>
      <c r="G68" s="38">
        <v>37</v>
      </c>
      <c r="H68" s="27">
        <v>0</v>
      </c>
      <c r="I68" s="27" t="s">
        <v>712</v>
      </c>
      <c r="J68" s="27" t="s">
        <v>713</v>
      </c>
      <c r="K68" s="56" t="s">
        <v>20</v>
      </c>
      <c r="L68" s="27" t="s">
        <v>559</v>
      </c>
      <c r="M68" s="27" t="s">
        <v>355</v>
      </c>
      <c r="N68" s="27" t="s">
        <v>290</v>
      </c>
      <c r="O68" s="28" t="s">
        <v>2</v>
      </c>
      <c r="P68" s="27">
        <v>4</v>
      </c>
      <c r="Q68" s="27" t="s">
        <v>723</v>
      </c>
      <c r="R68" s="27" t="s">
        <v>715</v>
      </c>
      <c r="S68" s="33" t="str">
        <f>IFERROR(HYPERLINK("#Main!A"&amp;MATCH(A68,Main!A:A,0),"Open"),HYPERLINK("#Main!A1","Open"))</f>
        <v>Open</v>
      </c>
      <c r="T68" s="33" t="str">
        <f>IFERROR(HYPERLINK("#Technical!A"&amp;MATCH(A68,Technical!A:A,0),"Open"),HYPERLINK("#Technical!A1","Open"))</f>
        <v>Open</v>
      </c>
      <c r="U68" s="33"/>
    </row>
    <row r="69" spans="1:21" ht="30" customHeight="1" x14ac:dyDescent="0.25">
      <c r="A69" s="29" t="s">
        <v>202</v>
      </c>
      <c r="B69" s="36">
        <v>13164</v>
      </c>
      <c r="C69" s="55" t="s">
        <v>629</v>
      </c>
      <c r="D69" s="36" t="s">
        <v>18</v>
      </c>
      <c r="E69" s="46" t="s">
        <v>351</v>
      </c>
      <c r="F69" s="36" t="s">
        <v>711</v>
      </c>
      <c r="G69" s="41">
        <v>37</v>
      </c>
      <c r="H69" s="36">
        <v>0</v>
      </c>
      <c r="I69" s="36" t="s">
        <v>712</v>
      </c>
      <c r="J69" s="36" t="s">
        <v>713</v>
      </c>
      <c r="K69" s="57" t="s">
        <v>20</v>
      </c>
      <c r="L69" s="36" t="s">
        <v>559</v>
      </c>
      <c r="M69" s="36" t="s">
        <v>355</v>
      </c>
      <c r="N69" s="36" t="s">
        <v>290</v>
      </c>
      <c r="O69" s="28" t="s">
        <v>2</v>
      </c>
      <c r="P69" s="36">
        <v>4</v>
      </c>
      <c r="Q69" s="36" t="s">
        <v>724</v>
      </c>
      <c r="R69" s="36" t="s">
        <v>715</v>
      </c>
      <c r="S69" t="str">
        <f>IFERROR(HYPERLINK("#Main!A"&amp;MATCH(A69,Main!A:A,0),"Open"),HYPERLINK("#Main!A1","Open"))</f>
        <v>Open</v>
      </c>
      <c r="T69" t="str">
        <f>IFERROR(HYPERLINK("#Technical!A"&amp;MATCH(A69,Technical!A:A,0),"Open"),HYPERLINK("#Technical!A1","Open"))</f>
        <v>Open</v>
      </c>
    </row>
    <row r="70" spans="1:21" ht="30" customHeight="1" x14ac:dyDescent="0.25">
      <c r="A70" s="32" t="s">
        <v>127</v>
      </c>
      <c r="B70" s="27">
        <v>8</v>
      </c>
      <c r="C70" s="55" t="s">
        <v>608</v>
      </c>
      <c r="D70" s="27" t="s">
        <v>652</v>
      </c>
      <c r="E70" s="46" t="s">
        <v>351</v>
      </c>
      <c r="F70" s="27" t="s">
        <v>725</v>
      </c>
      <c r="G70" s="38">
        <v>37</v>
      </c>
      <c r="H70" s="27">
        <v>5</v>
      </c>
      <c r="I70" s="27" t="s">
        <v>726</v>
      </c>
      <c r="J70" s="27" t="s">
        <v>727</v>
      </c>
      <c r="K70" s="56" t="s">
        <v>18</v>
      </c>
      <c r="L70" s="27" t="s">
        <v>546</v>
      </c>
      <c r="M70" s="27" t="s">
        <v>355</v>
      </c>
      <c r="N70" s="27" t="s">
        <v>290</v>
      </c>
      <c r="O70" s="28" t="s">
        <v>2</v>
      </c>
      <c r="P70" s="27">
        <v>4</v>
      </c>
      <c r="Q70" s="27" t="s">
        <v>728</v>
      </c>
      <c r="R70" s="27" t="s">
        <v>729</v>
      </c>
      <c r="S70" s="33" t="str">
        <f>IFERROR(HYPERLINK("#Main!A"&amp;MATCH(A70,Main!A:A,0),"Open"),HYPERLINK("#Main!A1","Open"))</f>
        <v>Open</v>
      </c>
      <c r="T70" s="33" t="str">
        <f>IFERROR(HYPERLINK("#Technical!A"&amp;MATCH(A70,Technical!A:A,0),"Open"),HYPERLINK("#Technical!A1","Open"))</f>
        <v>Open</v>
      </c>
      <c r="U70" s="33"/>
    </row>
    <row r="71" spans="1:21" ht="30" customHeight="1" x14ac:dyDescent="0.25">
      <c r="A71" s="29" t="s">
        <v>127</v>
      </c>
      <c r="B71" s="36">
        <v>8</v>
      </c>
      <c r="C71" s="55" t="s">
        <v>608</v>
      </c>
      <c r="D71" s="36" t="s">
        <v>652</v>
      </c>
      <c r="E71" s="46" t="s">
        <v>351</v>
      </c>
      <c r="F71" s="36" t="s">
        <v>730</v>
      </c>
      <c r="G71" s="41">
        <v>37</v>
      </c>
      <c r="H71" s="36">
        <v>0</v>
      </c>
      <c r="I71" s="36" t="s">
        <v>731</v>
      </c>
      <c r="J71" s="36" t="s">
        <v>732</v>
      </c>
      <c r="K71" s="57" t="s">
        <v>20</v>
      </c>
      <c r="L71" s="36" t="s">
        <v>558</v>
      </c>
      <c r="M71" s="36" t="s">
        <v>355</v>
      </c>
      <c r="N71" s="36" t="s">
        <v>290</v>
      </c>
      <c r="O71" s="28" t="s">
        <v>2</v>
      </c>
      <c r="P71" s="36">
        <v>4</v>
      </c>
      <c r="Q71" s="36" t="s">
        <v>733</v>
      </c>
      <c r="R71" s="36" t="s">
        <v>734</v>
      </c>
      <c r="S71" t="str">
        <f>IFERROR(HYPERLINK("#Main!A"&amp;MATCH(A71,Main!A:A,0),"Open"),HYPERLINK("#Main!A1","Open"))</f>
        <v>Open</v>
      </c>
      <c r="T71" t="str">
        <f>IFERROR(HYPERLINK("#Technical!A"&amp;MATCH(A71,Technical!A:A,0),"Open"),HYPERLINK("#Technical!A1","Open"))</f>
        <v>Open</v>
      </c>
    </row>
    <row r="72" spans="1:21" ht="30" customHeight="1" x14ac:dyDescent="0.25">
      <c r="A72" s="32" t="s">
        <v>135</v>
      </c>
      <c r="B72" s="27">
        <v>84</v>
      </c>
      <c r="C72" s="55" t="s">
        <v>613</v>
      </c>
      <c r="D72" s="27" t="s">
        <v>652</v>
      </c>
      <c r="E72" s="46" t="s">
        <v>351</v>
      </c>
      <c r="F72" s="27" t="s">
        <v>730</v>
      </c>
      <c r="G72" s="38">
        <v>37</v>
      </c>
      <c r="H72" s="27">
        <v>0</v>
      </c>
      <c r="I72" s="27" t="s">
        <v>731</v>
      </c>
      <c r="J72" s="27" t="s">
        <v>732</v>
      </c>
      <c r="K72" s="56" t="s">
        <v>20</v>
      </c>
      <c r="L72" s="27" t="s">
        <v>558</v>
      </c>
      <c r="M72" s="27" t="s">
        <v>355</v>
      </c>
      <c r="N72" s="27" t="s">
        <v>290</v>
      </c>
      <c r="O72" s="28" t="s">
        <v>2</v>
      </c>
      <c r="P72" s="27">
        <v>4</v>
      </c>
      <c r="Q72" s="27" t="s">
        <v>735</v>
      </c>
      <c r="R72" s="27" t="s">
        <v>734</v>
      </c>
      <c r="S72" s="33" t="str">
        <f>IFERROR(HYPERLINK("#Main!A"&amp;MATCH(A72,Main!A:A,0),"Open"),HYPERLINK("#Main!A1","Open"))</f>
        <v>Open</v>
      </c>
      <c r="T72" s="33" t="str">
        <f>IFERROR(HYPERLINK("#Technical!A"&amp;MATCH(A72,Technical!A:A,0),"Open"),HYPERLINK("#Technical!A1","Open"))</f>
        <v>Open</v>
      </c>
      <c r="U72" s="33"/>
    </row>
    <row r="73" spans="1:21" ht="30" customHeight="1" x14ac:dyDescent="0.25">
      <c r="A73" s="29" t="s">
        <v>144</v>
      </c>
      <c r="B73" s="36">
        <v>28165</v>
      </c>
      <c r="C73" s="55" t="s">
        <v>615</v>
      </c>
      <c r="D73" s="36" t="s">
        <v>652</v>
      </c>
      <c r="E73" s="46" t="s">
        <v>351</v>
      </c>
      <c r="F73" s="36" t="s">
        <v>725</v>
      </c>
      <c r="G73" s="41">
        <v>37</v>
      </c>
      <c r="H73" s="36">
        <v>2</v>
      </c>
      <c r="I73" s="36" t="s">
        <v>726</v>
      </c>
      <c r="J73" s="36" t="s">
        <v>727</v>
      </c>
      <c r="K73" s="57" t="s">
        <v>18</v>
      </c>
      <c r="L73" s="36" t="s">
        <v>546</v>
      </c>
      <c r="M73" s="36" t="s">
        <v>355</v>
      </c>
      <c r="N73" s="36" t="s">
        <v>290</v>
      </c>
      <c r="O73" s="28" t="s">
        <v>2</v>
      </c>
      <c r="P73" s="36">
        <v>4</v>
      </c>
      <c r="Q73" s="36" t="s">
        <v>736</v>
      </c>
      <c r="R73" s="36" t="s">
        <v>729</v>
      </c>
      <c r="S73" t="str">
        <f>IFERROR(HYPERLINK("#Main!A"&amp;MATCH(A73,Main!A:A,0),"Open"),HYPERLINK("#Main!A1","Open"))</f>
        <v>Open</v>
      </c>
      <c r="T73" t="str">
        <f>IFERROR(HYPERLINK("#Technical!A"&amp;MATCH(A73,Technical!A:A,0),"Open"),HYPERLINK("#Technical!A1","Open"))</f>
        <v>Open</v>
      </c>
    </row>
    <row r="74" spans="1:21" ht="30" customHeight="1" x14ac:dyDescent="0.25">
      <c r="A74" s="32" t="s">
        <v>144</v>
      </c>
      <c r="B74" s="27">
        <v>28165</v>
      </c>
      <c r="C74" s="55" t="s">
        <v>615</v>
      </c>
      <c r="D74" s="27" t="s">
        <v>652</v>
      </c>
      <c r="E74" s="46" t="s">
        <v>351</v>
      </c>
      <c r="F74" s="27" t="s">
        <v>730</v>
      </c>
      <c r="G74" s="38">
        <v>37</v>
      </c>
      <c r="H74" s="27">
        <v>0</v>
      </c>
      <c r="I74" s="27" t="s">
        <v>731</v>
      </c>
      <c r="J74" s="27" t="s">
        <v>732</v>
      </c>
      <c r="K74" s="56" t="s">
        <v>20</v>
      </c>
      <c r="L74" s="27" t="s">
        <v>558</v>
      </c>
      <c r="M74" s="27" t="s">
        <v>355</v>
      </c>
      <c r="N74" s="27" t="s">
        <v>290</v>
      </c>
      <c r="O74" s="28" t="s">
        <v>2</v>
      </c>
      <c r="P74" s="27">
        <v>4</v>
      </c>
      <c r="Q74" s="27" t="s">
        <v>737</v>
      </c>
      <c r="R74" s="27" t="s">
        <v>734</v>
      </c>
      <c r="S74" s="33" t="str">
        <f>IFERROR(HYPERLINK("#Main!A"&amp;MATCH(A74,Main!A:A,0),"Open"),HYPERLINK("#Main!A1","Open"))</f>
        <v>Open</v>
      </c>
      <c r="T74" s="33" t="str">
        <f>IFERROR(HYPERLINK("#Technical!A"&amp;MATCH(A74,Technical!A:A,0),"Open"),HYPERLINK("#Technical!A1","Open"))</f>
        <v>Open</v>
      </c>
      <c r="U74" s="33"/>
    </row>
    <row r="75" spans="1:21" ht="30" customHeight="1" x14ac:dyDescent="0.25">
      <c r="A75" s="29" t="s">
        <v>152</v>
      </c>
      <c r="B75" s="36">
        <v>16125</v>
      </c>
      <c r="C75" s="55" t="s">
        <v>617</v>
      </c>
      <c r="D75" s="36" t="s">
        <v>652</v>
      </c>
      <c r="E75" s="46" t="s">
        <v>351</v>
      </c>
      <c r="F75" s="36" t="s">
        <v>725</v>
      </c>
      <c r="G75" s="41">
        <v>37</v>
      </c>
      <c r="H75" s="36">
        <v>2</v>
      </c>
      <c r="I75" s="36" t="s">
        <v>726</v>
      </c>
      <c r="J75" s="36" t="s">
        <v>727</v>
      </c>
      <c r="K75" s="57" t="s">
        <v>18</v>
      </c>
      <c r="L75" s="36" t="s">
        <v>546</v>
      </c>
      <c r="M75" s="36" t="s">
        <v>355</v>
      </c>
      <c r="N75" s="36" t="s">
        <v>290</v>
      </c>
      <c r="O75" s="28" t="s">
        <v>2</v>
      </c>
      <c r="P75" s="36">
        <v>4</v>
      </c>
      <c r="Q75" s="36" t="s">
        <v>738</v>
      </c>
      <c r="R75" s="36" t="s">
        <v>729</v>
      </c>
      <c r="S75" t="str">
        <f>IFERROR(HYPERLINK("#Main!A"&amp;MATCH(A75,Main!A:A,0),"Open"),HYPERLINK("#Main!A1","Open"))</f>
        <v>Open</v>
      </c>
      <c r="T75" t="str">
        <f>IFERROR(HYPERLINK("#Technical!A"&amp;MATCH(A75,Technical!A:A,0),"Open"),HYPERLINK("#Technical!A1","Open"))</f>
        <v>Open</v>
      </c>
    </row>
    <row r="76" spans="1:21" ht="30" customHeight="1" x14ac:dyDescent="0.25">
      <c r="A76" s="32" t="s">
        <v>152</v>
      </c>
      <c r="B76" s="27">
        <v>16125</v>
      </c>
      <c r="C76" s="55" t="s">
        <v>617</v>
      </c>
      <c r="D76" s="27" t="s">
        <v>652</v>
      </c>
      <c r="E76" s="46" t="s">
        <v>351</v>
      </c>
      <c r="F76" s="27" t="s">
        <v>730</v>
      </c>
      <c r="G76" s="38">
        <v>37</v>
      </c>
      <c r="H76" s="27">
        <v>0</v>
      </c>
      <c r="I76" s="27" t="s">
        <v>731</v>
      </c>
      <c r="J76" s="27" t="s">
        <v>732</v>
      </c>
      <c r="K76" s="56" t="s">
        <v>20</v>
      </c>
      <c r="L76" s="27" t="s">
        <v>558</v>
      </c>
      <c r="M76" s="27" t="s">
        <v>355</v>
      </c>
      <c r="N76" s="27" t="s">
        <v>290</v>
      </c>
      <c r="O76" s="28" t="s">
        <v>2</v>
      </c>
      <c r="P76" s="27">
        <v>4</v>
      </c>
      <c r="Q76" s="27" t="s">
        <v>739</v>
      </c>
      <c r="R76" s="27" t="s">
        <v>734</v>
      </c>
      <c r="S76" s="33" t="str">
        <f>IFERROR(HYPERLINK("#Main!A"&amp;MATCH(A76,Main!A:A,0),"Open"),HYPERLINK("#Main!A1","Open"))</f>
        <v>Open</v>
      </c>
      <c r="T76" s="33" t="str">
        <f>IFERROR(HYPERLINK("#Technical!A"&amp;MATCH(A76,Technical!A:A,0),"Open"),HYPERLINK("#Technical!A1","Open"))</f>
        <v>Open</v>
      </c>
      <c r="U76" s="33"/>
    </row>
    <row r="77" spans="1:21" ht="30" customHeight="1" x14ac:dyDescent="0.25">
      <c r="A77" s="29" t="s">
        <v>161</v>
      </c>
      <c r="B77" s="36">
        <v>4494</v>
      </c>
      <c r="C77" s="55" t="s">
        <v>619</v>
      </c>
      <c r="D77" s="36" t="s">
        <v>652</v>
      </c>
      <c r="E77" s="46" t="s">
        <v>351</v>
      </c>
      <c r="F77" s="36" t="s">
        <v>730</v>
      </c>
      <c r="G77" s="41">
        <v>37</v>
      </c>
      <c r="H77" s="36">
        <v>0</v>
      </c>
      <c r="I77" s="36" t="s">
        <v>731</v>
      </c>
      <c r="J77" s="36" t="s">
        <v>732</v>
      </c>
      <c r="K77" s="57" t="s">
        <v>20</v>
      </c>
      <c r="L77" s="36" t="s">
        <v>558</v>
      </c>
      <c r="M77" s="36" t="s">
        <v>355</v>
      </c>
      <c r="N77" s="36" t="s">
        <v>290</v>
      </c>
      <c r="O77" s="28" t="s">
        <v>2</v>
      </c>
      <c r="P77" s="36">
        <v>4</v>
      </c>
      <c r="Q77" s="36" t="s">
        <v>740</v>
      </c>
      <c r="R77" s="36" t="s">
        <v>734</v>
      </c>
      <c r="S77" t="str">
        <f>IFERROR(HYPERLINK("#Main!A"&amp;MATCH(A77,Main!A:A,0),"Open"),HYPERLINK("#Main!A1","Open"))</f>
        <v>Open</v>
      </c>
      <c r="T77" t="str">
        <f>IFERROR(HYPERLINK("#Technical!A"&amp;MATCH(A77,Technical!A:A,0),"Open"),HYPERLINK("#Technical!A1","Open"))</f>
        <v>Open</v>
      </c>
    </row>
    <row r="78" spans="1:21" ht="30" customHeight="1" x14ac:dyDescent="0.25">
      <c r="A78" s="32" t="s">
        <v>169</v>
      </c>
      <c r="B78" s="27">
        <v>5619</v>
      </c>
      <c r="C78" s="55" t="s">
        <v>621</v>
      </c>
      <c r="D78" s="27" t="s">
        <v>652</v>
      </c>
      <c r="E78" s="46" t="s">
        <v>351</v>
      </c>
      <c r="F78" s="27" t="s">
        <v>730</v>
      </c>
      <c r="G78" s="38">
        <v>37</v>
      </c>
      <c r="H78" s="27">
        <v>0</v>
      </c>
      <c r="I78" s="27" t="s">
        <v>731</v>
      </c>
      <c r="J78" s="27" t="s">
        <v>732</v>
      </c>
      <c r="K78" s="56" t="s">
        <v>20</v>
      </c>
      <c r="L78" s="27" t="s">
        <v>558</v>
      </c>
      <c r="M78" s="27" t="s">
        <v>355</v>
      </c>
      <c r="N78" s="27" t="s">
        <v>290</v>
      </c>
      <c r="O78" s="28" t="s">
        <v>2</v>
      </c>
      <c r="P78" s="27">
        <v>4</v>
      </c>
      <c r="Q78" s="27" t="s">
        <v>741</v>
      </c>
      <c r="R78" s="27" t="s">
        <v>734</v>
      </c>
      <c r="S78" s="33" t="str">
        <f>IFERROR(HYPERLINK("#Main!A"&amp;MATCH(A78,Main!A:A,0),"Open"),HYPERLINK("#Main!A1","Open"))</f>
        <v>Open</v>
      </c>
      <c r="T78" s="33" t="str">
        <f>IFERROR(HYPERLINK("#Technical!A"&amp;MATCH(A78,Technical!A:A,0),"Open"),HYPERLINK("#Technical!A1","Open"))</f>
        <v>Open</v>
      </c>
      <c r="U78" s="33"/>
    </row>
    <row r="79" spans="1:21" ht="30" customHeight="1" x14ac:dyDescent="0.25">
      <c r="A79" s="29" t="s">
        <v>177</v>
      </c>
      <c r="B79" s="36">
        <v>4941</v>
      </c>
      <c r="C79" s="55" t="s">
        <v>623</v>
      </c>
      <c r="D79" s="36" t="s">
        <v>652</v>
      </c>
      <c r="E79" s="46" t="s">
        <v>351</v>
      </c>
      <c r="F79" s="36" t="s">
        <v>730</v>
      </c>
      <c r="G79" s="41">
        <v>37</v>
      </c>
      <c r="H79" s="36">
        <v>0</v>
      </c>
      <c r="I79" s="36" t="s">
        <v>731</v>
      </c>
      <c r="J79" s="36" t="s">
        <v>732</v>
      </c>
      <c r="K79" s="57" t="s">
        <v>20</v>
      </c>
      <c r="L79" s="36" t="s">
        <v>558</v>
      </c>
      <c r="M79" s="36" t="s">
        <v>355</v>
      </c>
      <c r="N79" s="36" t="s">
        <v>290</v>
      </c>
      <c r="O79" s="28" t="s">
        <v>2</v>
      </c>
      <c r="P79" s="36">
        <v>4</v>
      </c>
      <c r="Q79" s="36" t="s">
        <v>742</v>
      </c>
      <c r="R79" s="36" t="s">
        <v>734</v>
      </c>
      <c r="S79" t="str">
        <f>IFERROR(HYPERLINK("#Main!A"&amp;MATCH(A79,Main!A:A,0),"Open"),HYPERLINK("#Main!A1","Open"))</f>
        <v>Open</v>
      </c>
      <c r="T79" t="str">
        <f>IFERROR(HYPERLINK("#Technical!A"&amp;MATCH(A79,Technical!A:A,0),"Open"),HYPERLINK("#Technical!A1","Open"))</f>
        <v>Open</v>
      </c>
    </row>
    <row r="80" spans="1:21" ht="30" customHeight="1" x14ac:dyDescent="0.25">
      <c r="A80" s="32" t="s">
        <v>186</v>
      </c>
      <c r="B80" s="27">
        <v>12371</v>
      </c>
      <c r="C80" s="55" t="s">
        <v>625</v>
      </c>
      <c r="D80" s="27" t="s">
        <v>652</v>
      </c>
      <c r="E80" s="46" t="s">
        <v>351</v>
      </c>
      <c r="F80" s="27" t="s">
        <v>730</v>
      </c>
      <c r="G80" s="38">
        <v>37</v>
      </c>
      <c r="H80" s="27">
        <v>0</v>
      </c>
      <c r="I80" s="27" t="s">
        <v>731</v>
      </c>
      <c r="J80" s="27" t="s">
        <v>732</v>
      </c>
      <c r="K80" s="56" t="s">
        <v>20</v>
      </c>
      <c r="L80" s="27" t="s">
        <v>558</v>
      </c>
      <c r="M80" s="27" t="s">
        <v>355</v>
      </c>
      <c r="N80" s="27" t="s">
        <v>290</v>
      </c>
      <c r="O80" s="28" t="s">
        <v>2</v>
      </c>
      <c r="P80" s="27">
        <v>4</v>
      </c>
      <c r="Q80" s="27" t="s">
        <v>743</v>
      </c>
      <c r="R80" s="27" t="s">
        <v>734</v>
      </c>
      <c r="S80" s="33" t="str">
        <f>IFERROR(HYPERLINK("#Main!A"&amp;MATCH(A80,Main!A:A,0),"Open"),HYPERLINK("#Main!A1","Open"))</f>
        <v>Open</v>
      </c>
      <c r="T80" s="33" t="str">
        <f>IFERROR(HYPERLINK("#Technical!A"&amp;MATCH(A80,Technical!A:A,0),"Open"),HYPERLINK("#Technical!A1","Open"))</f>
        <v>Open</v>
      </c>
      <c r="U80" s="33"/>
    </row>
    <row r="81" spans="1:21" ht="30" customHeight="1" x14ac:dyDescent="0.25">
      <c r="A81" s="29" t="s">
        <v>194</v>
      </c>
      <c r="B81" s="36">
        <v>12954</v>
      </c>
      <c r="C81" s="55" t="s">
        <v>627</v>
      </c>
      <c r="D81" s="36" t="s">
        <v>652</v>
      </c>
      <c r="E81" s="46" t="s">
        <v>351</v>
      </c>
      <c r="F81" s="36" t="s">
        <v>730</v>
      </c>
      <c r="G81" s="41">
        <v>37</v>
      </c>
      <c r="H81" s="36">
        <v>0</v>
      </c>
      <c r="I81" s="36" t="s">
        <v>731</v>
      </c>
      <c r="J81" s="36" t="s">
        <v>732</v>
      </c>
      <c r="K81" s="57" t="s">
        <v>20</v>
      </c>
      <c r="L81" s="36" t="s">
        <v>558</v>
      </c>
      <c r="M81" s="36" t="s">
        <v>355</v>
      </c>
      <c r="N81" s="36" t="s">
        <v>290</v>
      </c>
      <c r="O81" s="28" t="s">
        <v>2</v>
      </c>
      <c r="P81" s="36">
        <v>4</v>
      </c>
      <c r="Q81" s="36" t="s">
        <v>744</v>
      </c>
      <c r="R81" s="36" t="s">
        <v>734</v>
      </c>
      <c r="S81" t="str">
        <f>IFERROR(HYPERLINK("#Main!A"&amp;MATCH(A81,Main!A:A,0),"Open"),HYPERLINK("#Main!A1","Open"))</f>
        <v>Open</v>
      </c>
      <c r="T81" t="str">
        <f>IFERROR(HYPERLINK("#Technical!A"&amp;MATCH(A81,Technical!A:A,0),"Open"),HYPERLINK("#Technical!A1","Open"))</f>
        <v>Open</v>
      </c>
    </row>
    <row r="82" spans="1:21" ht="30" customHeight="1" x14ac:dyDescent="0.25">
      <c r="A82" s="32" t="s">
        <v>202</v>
      </c>
      <c r="B82" s="27">
        <v>13164</v>
      </c>
      <c r="C82" s="55" t="s">
        <v>629</v>
      </c>
      <c r="D82" s="27" t="s">
        <v>652</v>
      </c>
      <c r="E82" s="46" t="s">
        <v>351</v>
      </c>
      <c r="F82" s="27" t="s">
        <v>730</v>
      </c>
      <c r="G82" s="38">
        <v>37</v>
      </c>
      <c r="H82" s="27">
        <v>0</v>
      </c>
      <c r="I82" s="27" t="s">
        <v>731</v>
      </c>
      <c r="J82" s="27" t="s">
        <v>732</v>
      </c>
      <c r="K82" s="56" t="s">
        <v>20</v>
      </c>
      <c r="L82" s="27" t="s">
        <v>558</v>
      </c>
      <c r="M82" s="27" t="s">
        <v>355</v>
      </c>
      <c r="N82" s="27" t="s">
        <v>290</v>
      </c>
      <c r="O82" s="28" t="s">
        <v>2</v>
      </c>
      <c r="P82" s="27">
        <v>4</v>
      </c>
      <c r="Q82" s="27" t="s">
        <v>745</v>
      </c>
      <c r="R82" s="27" t="s">
        <v>734</v>
      </c>
      <c r="S82" s="33" t="str">
        <f>IFERROR(HYPERLINK("#Main!A"&amp;MATCH(A82,Main!A:A,0),"Open"),HYPERLINK("#Main!A1","Open"))</f>
        <v>Open</v>
      </c>
      <c r="T82" s="33" t="str">
        <f>IFERROR(HYPERLINK("#Technical!A"&amp;MATCH(A82,Technical!A:A,0),"Open"),HYPERLINK("#Technical!A1","Open"))</f>
        <v>Open</v>
      </c>
      <c r="U82" s="33"/>
    </row>
    <row r="83" spans="1:21" ht="45" customHeight="1" x14ac:dyDescent="0.25">
      <c r="A83" s="29" t="s">
        <v>127</v>
      </c>
      <c r="B83" s="36">
        <v>8</v>
      </c>
      <c r="C83" s="55" t="s">
        <v>608</v>
      </c>
      <c r="D83" s="36" t="s">
        <v>685</v>
      </c>
      <c r="E83" s="46" t="s">
        <v>351</v>
      </c>
      <c r="F83" s="36" t="s">
        <v>746</v>
      </c>
      <c r="G83" s="41">
        <v>37</v>
      </c>
      <c r="H83" s="36" t="b">
        <v>0</v>
      </c>
      <c r="I83" s="36" t="s">
        <v>747</v>
      </c>
      <c r="J83" s="36" t="s">
        <v>748</v>
      </c>
      <c r="K83" s="57" t="s">
        <v>20</v>
      </c>
      <c r="L83" s="36" t="s">
        <v>560</v>
      </c>
      <c r="M83" s="36" t="s">
        <v>355</v>
      </c>
      <c r="N83" s="36" t="s">
        <v>290</v>
      </c>
      <c r="O83" s="28" t="s">
        <v>2</v>
      </c>
      <c r="P83" s="36">
        <v>4</v>
      </c>
      <c r="Q83" s="36" t="s">
        <v>749</v>
      </c>
      <c r="R83" s="36" t="s">
        <v>750</v>
      </c>
      <c r="S83" t="str">
        <f>IFERROR(HYPERLINK("#Main!A"&amp;MATCH(A83,Main!A:A,0),"Open"),HYPERLINK("#Main!A1","Open"))</f>
        <v>Open</v>
      </c>
      <c r="T83" t="str">
        <f>IFERROR(HYPERLINK("#Technical!A"&amp;MATCH(A83,Technical!A:A,0),"Open"),HYPERLINK("#Technical!A1","Open"))</f>
        <v>Open</v>
      </c>
    </row>
    <row r="84" spans="1:21" ht="45" customHeight="1" x14ac:dyDescent="0.25">
      <c r="A84" s="32" t="s">
        <v>135</v>
      </c>
      <c r="B84" s="27">
        <v>84</v>
      </c>
      <c r="C84" s="55" t="s">
        <v>613</v>
      </c>
      <c r="D84" s="27" t="s">
        <v>685</v>
      </c>
      <c r="E84" s="46" t="s">
        <v>351</v>
      </c>
      <c r="F84" s="27" t="s">
        <v>746</v>
      </c>
      <c r="G84" s="38">
        <v>37</v>
      </c>
      <c r="H84" s="27" t="b">
        <v>0</v>
      </c>
      <c r="I84" s="27" t="s">
        <v>747</v>
      </c>
      <c r="J84" s="27" t="s">
        <v>748</v>
      </c>
      <c r="K84" s="56" t="s">
        <v>20</v>
      </c>
      <c r="L84" s="27" t="s">
        <v>560</v>
      </c>
      <c r="M84" s="27" t="s">
        <v>355</v>
      </c>
      <c r="N84" s="27" t="s">
        <v>290</v>
      </c>
      <c r="O84" s="28" t="s">
        <v>2</v>
      </c>
      <c r="P84" s="27">
        <v>4</v>
      </c>
      <c r="Q84" s="27" t="s">
        <v>751</v>
      </c>
      <c r="R84" s="27" t="s">
        <v>750</v>
      </c>
      <c r="S84" s="33" t="str">
        <f>IFERROR(HYPERLINK("#Main!A"&amp;MATCH(A84,Main!A:A,0),"Open"),HYPERLINK("#Main!A1","Open"))</f>
        <v>Open</v>
      </c>
      <c r="T84" s="33" t="str">
        <f>IFERROR(HYPERLINK("#Technical!A"&amp;MATCH(A84,Technical!A:A,0),"Open"),HYPERLINK("#Technical!A1","Open"))</f>
        <v>Open</v>
      </c>
      <c r="U84" s="33"/>
    </row>
    <row r="85" spans="1:21" ht="45" customHeight="1" x14ac:dyDescent="0.25">
      <c r="A85" s="29" t="s">
        <v>144</v>
      </c>
      <c r="B85" s="36">
        <v>28165</v>
      </c>
      <c r="C85" s="55" t="s">
        <v>615</v>
      </c>
      <c r="D85" s="36" t="s">
        <v>685</v>
      </c>
      <c r="E85" s="46" t="s">
        <v>351</v>
      </c>
      <c r="F85" s="36" t="s">
        <v>746</v>
      </c>
      <c r="G85" s="41">
        <v>37</v>
      </c>
      <c r="H85" s="36" t="b">
        <v>0</v>
      </c>
      <c r="I85" s="36" t="s">
        <v>747</v>
      </c>
      <c r="J85" s="36" t="s">
        <v>748</v>
      </c>
      <c r="K85" s="57" t="s">
        <v>20</v>
      </c>
      <c r="L85" s="36" t="s">
        <v>560</v>
      </c>
      <c r="M85" s="36" t="s">
        <v>355</v>
      </c>
      <c r="N85" s="36" t="s">
        <v>290</v>
      </c>
      <c r="O85" s="28" t="s">
        <v>2</v>
      </c>
      <c r="P85" s="36">
        <v>4</v>
      </c>
      <c r="Q85" s="36" t="s">
        <v>752</v>
      </c>
      <c r="R85" s="36" t="s">
        <v>750</v>
      </c>
      <c r="S85" t="str">
        <f>IFERROR(HYPERLINK("#Main!A"&amp;MATCH(A85,Main!A:A,0),"Open"),HYPERLINK("#Main!A1","Open"))</f>
        <v>Open</v>
      </c>
      <c r="T85" t="str">
        <f>IFERROR(HYPERLINK("#Technical!A"&amp;MATCH(A85,Technical!A:A,0),"Open"),HYPERLINK("#Technical!A1","Open"))</f>
        <v>Open</v>
      </c>
    </row>
    <row r="86" spans="1:21" ht="45" customHeight="1" x14ac:dyDescent="0.25">
      <c r="A86" s="32" t="s">
        <v>152</v>
      </c>
      <c r="B86" s="27">
        <v>16125</v>
      </c>
      <c r="C86" s="55" t="s">
        <v>617</v>
      </c>
      <c r="D86" s="27" t="s">
        <v>685</v>
      </c>
      <c r="E86" s="46" t="s">
        <v>351</v>
      </c>
      <c r="F86" s="27" t="s">
        <v>746</v>
      </c>
      <c r="G86" s="38">
        <v>37</v>
      </c>
      <c r="H86" s="27" t="b">
        <v>0</v>
      </c>
      <c r="I86" s="27" t="s">
        <v>747</v>
      </c>
      <c r="J86" s="27" t="s">
        <v>748</v>
      </c>
      <c r="K86" s="56" t="s">
        <v>20</v>
      </c>
      <c r="L86" s="27" t="s">
        <v>560</v>
      </c>
      <c r="M86" s="27" t="s">
        <v>355</v>
      </c>
      <c r="N86" s="27" t="s">
        <v>290</v>
      </c>
      <c r="O86" s="28" t="s">
        <v>2</v>
      </c>
      <c r="P86" s="27">
        <v>4</v>
      </c>
      <c r="Q86" s="27" t="s">
        <v>753</v>
      </c>
      <c r="R86" s="27" t="s">
        <v>750</v>
      </c>
      <c r="S86" s="33" t="str">
        <f>IFERROR(HYPERLINK("#Main!A"&amp;MATCH(A86,Main!A:A,0),"Open"),HYPERLINK("#Main!A1","Open"))</f>
        <v>Open</v>
      </c>
      <c r="T86" s="33" t="str">
        <f>IFERROR(HYPERLINK("#Technical!A"&amp;MATCH(A86,Technical!A:A,0),"Open"),HYPERLINK("#Technical!A1","Open"))</f>
        <v>Open</v>
      </c>
      <c r="U86" s="33"/>
    </row>
    <row r="87" spans="1:21" ht="45" customHeight="1" x14ac:dyDescent="0.25">
      <c r="A87" s="29" t="s">
        <v>161</v>
      </c>
      <c r="B87" s="36">
        <v>4494</v>
      </c>
      <c r="C87" s="55" t="s">
        <v>619</v>
      </c>
      <c r="D87" s="36" t="s">
        <v>685</v>
      </c>
      <c r="E87" s="46" t="s">
        <v>351</v>
      </c>
      <c r="F87" s="36" t="s">
        <v>746</v>
      </c>
      <c r="G87" s="41">
        <v>37</v>
      </c>
      <c r="H87" s="36" t="b">
        <v>0</v>
      </c>
      <c r="I87" s="36" t="s">
        <v>747</v>
      </c>
      <c r="J87" s="36" t="s">
        <v>748</v>
      </c>
      <c r="K87" s="57" t="s">
        <v>20</v>
      </c>
      <c r="L87" s="36" t="s">
        <v>560</v>
      </c>
      <c r="M87" s="36" t="s">
        <v>355</v>
      </c>
      <c r="N87" s="36" t="s">
        <v>290</v>
      </c>
      <c r="O87" s="28" t="s">
        <v>2</v>
      </c>
      <c r="P87" s="36">
        <v>4</v>
      </c>
      <c r="Q87" s="36" t="s">
        <v>754</v>
      </c>
      <c r="R87" s="36" t="s">
        <v>750</v>
      </c>
      <c r="S87" t="str">
        <f>IFERROR(HYPERLINK("#Main!A"&amp;MATCH(A87,Main!A:A,0),"Open"),HYPERLINK("#Main!A1","Open"))</f>
        <v>Open</v>
      </c>
      <c r="T87" t="str">
        <f>IFERROR(HYPERLINK("#Technical!A"&amp;MATCH(A87,Technical!A:A,0),"Open"),HYPERLINK("#Technical!A1","Open"))</f>
        <v>Open</v>
      </c>
    </row>
    <row r="88" spans="1:21" ht="45" customHeight="1" x14ac:dyDescent="0.25">
      <c r="A88" s="32" t="s">
        <v>169</v>
      </c>
      <c r="B88" s="27">
        <v>5619</v>
      </c>
      <c r="C88" s="55" t="s">
        <v>621</v>
      </c>
      <c r="D88" s="27" t="s">
        <v>685</v>
      </c>
      <c r="E88" s="46" t="s">
        <v>351</v>
      </c>
      <c r="F88" s="27" t="s">
        <v>746</v>
      </c>
      <c r="G88" s="38">
        <v>37</v>
      </c>
      <c r="H88" s="27" t="b">
        <v>0</v>
      </c>
      <c r="I88" s="27" t="s">
        <v>747</v>
      </c>
      <c r="J88" s="27" t="s">
        <v>748</v>
      </c>
      <c r="K88" s="56" t="s">
        <v>20</v>
      </c>
      <c r="L88" s="27" t="s">
        <v>560</v>
      </c>
      <c r="M88" s="27" t="s">
        <v>355</v>
      </c>
      <c r="N88" s="27" t="s">
        <v>290</v>
      </c>
      <c r="O88" s="28" t="s">
        <v>2</v>
      </c>
      <c r="P88" s="27">
        <v>4</v>
      </c>
      <c r="Q88" s="27" t="s">
        <v>755</v>
      </c>
      <c r="R88" s="27" t="s">
        <v>750</v>
      </c>
      <c r="S88" s="33" t="str">
        <f>IFERROR(HYPERLINK("#Main!A"&amp;MATCH(A88,Main!A:A,0),"Open"),HYPERLINK("#Main!A1","Open"))</f>
        <v>Open</v>
      </c>
      <c r="T88" s="33" t="str">
        <f>IFERROR(HYPERLINK("#Technical!A"&amp;MATCH(A88,Technical!A:A,0),"Open"),HYPERLINK("#Technical!A1","Open"))</f>
        <v>Open</v>
      </c>
      <c r="U88" s="33"/>
    </row>
    <row r="89" spans="1:21" ht="45" customHeight="1" x14ac:dyDescent="0.25">
      <c r="A89" s="29" t="s">
        <v>177</v>
      </c>
      <c r="B89" s="36">
        <v>4941</v>
      </c>
      <c r="C89" s="55" t="s">
        <v>623</v>
      </c>
      <c r="D89" s="36" t="s">
        <v>685</v>
      </c>
      <c r="E89" s="46" t="s">
        <v>351</v>
      </c>
      <c r="F89" s="36" t="s">
        <v>746</v>
      </c>
      <c r="G89" s="41">
        <v>37</v>
      </c>
      <c r="H89" s="36" t="b">
        <v>0</v>
      </c>
      <c r="I89" s="36" t="s">
        <v>747</v>
      </c>
      <c r="J89" s="36" t="s">
        <v>748</v>
      </c>
      <c r="K89" s="57" t="s">
        <v>20</v>
      </c>
      <c r="L89" s="36" t="s">
        <v>560</v>
      </c>
      <c r="M89" s="36" t="s">
        <v>355</v>
      </c>
      <c r="N89" s="36" t="s">
        <v>290</v>
      </c>
      <c r="O89" s="28" t="s">
        <v>2</v>
      </c>
      <c r="P89" s="36">
        <v>4</v>
      </c>
      <c r="Q89" s="36" t="s">
        <v>756</v>
      </c>
      <c r="R89" s="36" t="s">
        <v>750</v>
      </c>
      <c r="S89" t="str">
        <f>IFERROR(HYPERLINK("#Main!A"&amp;MATCH(A89,Main!A:A,0),"Open"),HYPERLINK("#Main!A1","Open"))</f>
        <v>Open</v>
      </c>
      <c r="T89" t="str">
        <f>IFERROR(HYPERLINK("#Technical!A"&amp;MATCH(A89,Technical!A:A,0),"Open"),HYPERLINK("#Technical!A1","Open"))</f>
        <v>Open</v>
      </c>
    </row>
    <row r="90" spans="1:21" ht="45" customHeight="1" x14ac:dyDescent="0.25">
      <c r="A90" s="32" t="s">
        <v>186</v>
      </c>
      <c r="B90" s="27">
        <v>12371</v>
      </c>
      <c r="C90" s="55" t="s">
        <v>625</v>
      </c>
      <c r="D90" s="27" t="s">
        <v>685</v>
      </c>
      <c r="E90" s="46" t="s">
        <v>351</v>
      </c>
      <c r="F90" s="27" t="s">
        <v>746</v>
      </c>
      <c r="G90" s="38">
        <v>37</v>
      </c>
      <c r="H90" s="27" t="b">
        <v>0</v>
      </c>
      <c r="I90" s="27" t="s">
        <v>747</v>
      </c>
      <c r="J90" s="27" t="s">
        <v>748</v>
      </c>
      <c r="K90" s="56" t="s">
        <v>20</v>
      </c>
      <c r="L90" s="27" t="s">
        <v>560</v>
      </c>
      <c r="M90" s="27" t="s">
        <v>355</v>
      </c>
      <c r="N90" s="27" t="s">
        <v>290</v>
      </c>
      <c r="O90" s="28" t="s">
        <v>2</v>
      </c>
      <c r="P90" s="27">
        <v>4</v>
      </c>
      <c r="Q90" s="27" t="s">
        <v>757</v>
      </c>
      <c r="R90" s="27" t="s">
        <v>750</v>
      </c>
      <c r="S90" s="33" t="str">
        <f>IFERROR(HYPERLINK("#Main!A"&amp;MATCH(A90,Main!A:A,0),"Open"),HYPERLINK("#Main!A1","Open"))</f>
        <v>Open</v>
      </c>
      <c r="T90" s="33" t="str">
        <f>IFERROR(HYPERLINK("#Technical!A"&amp;MATCH(A90,Technical!A:A,0),"Open"),HYPERLINK("#Technical!A1","Open"))</f>
        <v>Open</v>
      </c>
      <c r="U90" s="33"/>
    </row>
    <row r="91" spans="1:21" ht="45" customHeight="1" x14ac:dyDescent="0.25">
      <c r="A91" s="29" t="s">
        <v>194</v>
      </c>
      <c r="B91" s="36">
        <v>12954</v>
      </c>
      <c r="C91" s="55" t="s">
        <v>627</v>
      </c>
      <c r="D91" s="36" t="s">
        <v>685</v>
      </c>
      <c r="E91" s="46" t="s">
        <v>351</v>
      </c>
      <c r="F91" s="36" t="s">
        <v>746</v>
      </c>
      <c r="G91" s="41">
        <v>37</v>
      </c>
      <c r="H91" s="36" t="b">
        <v>0</v>
      </c>
      <c r="I91" s="36" t="s">
        <v>747</v>
      </c>
      <c r="J91" s="36" t="s">
        <v>748</v>
      </c>
      <c r="K91" s="57" t="s">
        <v>20</v>
      </c>
      <c r="L91" s="36" t="s">
        <v>560</v>
      </c>
      <c r="M91" s="36" t="s">
        <v>355</v>
      </c>
      <c r="N91" s="36" t="s">
        <v>290</v>
      </c>
      <c r="O91" s="28" t="s">
        <v>2</v>
      </c>
      <c r="P91" s="36">
        <v>4</v>
      </c>
      <c r="Q91" s="36" t="s">
        <v>758</v>
      </c>
      <c r="R91" s="36" t="s">
        <v>750</v>
      </c>
      <c r="S91" t="str">
        <f>IFERROR(HYPERLINK("#Main!A"&amp;MATCH(A91,Main!A:A,0),"Open"),HYPERLINK("#Main!A1","Open"))</f>
        <v>Open</v>
      </c>
      <c r="T91" t="str">
        <f>IFERROR(HYPERLINK("#Technical!A"&amp;MATCH(A91,Technical!A:A,0),"Open"),HYPERLINK("#Technical!A1","Open"))</f>
        <v>Open</v>
      </c>
    </row>
    <row r="92" spans="1:21" ht="45" customHeight="1" x14ac:dyDescent="0.25">
      <c r="A92" s="32" t="s">
        <v>202</v>
      </c>
      <c r="B92" s="27">
        <v>13164</v>
      </c>
      <c r="C92" s="55" t="s">
        <v>629</v>
      </c>
      <c r="D92" s="27" t="s">
        <v>685</v>
      </c>
      <c r="E92" s="46" t="s">
        <v>351</v>
      </c>
      <c r="F92" s="27" t="s">
        <v>746</v>
      </c>
      <c r="G92" s="38">
        <v>37</v>
      </c>
      <c r="H92" s="27" t="b">
        <v>0</v>
      </c>
      <c r="I92" s="27" t="s">
        <v>747</v>
      </c>
      <c r="J92" s="27" t="s">
        <v>748</v>
      </c>
      <c r="K92" s="56" t="s">
        <v>20</v>
      </c>
      <c r="L92" s="27" t="s">
        <v>560</v>
      </c>
      <c r="M92" s="27" t="s">
        <v>355</v>
      </c>
      <c r="N92" s="27" t="s">
        <v>290</v>
      </c>
      <c r="O92" s="28" t="s">
        <v>2</v>
      </c>
      <c r="P92" s="27">
        <v>4</v>
      </c>
      <c r="Q92" s="27" t="s">
        <v>759</v>
      </c>
      <c r="R92" s="27" t="s">
        <v>750</v>
      </c>
      <c r="S92" s="33" t="str">
        <f>IFERROR(HYPERLINK("#Main!A"&amp;MATCH(A92,Main!A:A,0),"Open"),HYPERLINK("#Main!A1","Open"))</f>
        <v>Open</v>
      </c>
      <c r="T92" s="33" t="str">
        <f>IFERROR(HYPERLINK("#Technical!A"&amp;MATCH(A92,Technical!A:A,0),"Open"),HYPERLINK("#Technical!A1","Open"))</f>
        <v>Open</v>
      </c>
      <c r="U92" s="33"/>
    </row>
    <row r="93" spans="1:21" ht="30" customHeight="1" x14ac:dyDescent="0.25">
      <c r="A93" s="29" t="s">
        <v>127</v>
      </c>
      <c r="B93" s="36">
        <v>8</v>
      </c>
      <c r="C93" s="55" t="s">
        <v>608</v>
      </c>
      <c r="D93" s="36" t="s">
        <v>397</v>
      </c>
      <c r="E93" s="46" t="s">
        <v>351</v>
      </c>
      <c r="F93" s="36" t="s">
        <v>760</v>
      </c>
      <c r="G93" s="41">
        <v>37</v>
      </c>
      <c r="H93" s="36">
        <v>66</v>
      </c>
      <c r="I93" s="36" t="s">
        <v>761</v>
      </c>
      <c r="J93" s="36" t="s">
        <v>762</v>
      </c>
      <c r="K93" s="57" t="s">
        <v>12</v>
      </c>
      <c r="L93" s="36" t="s">
        <v>397</v>
      </c>
      <c r="M93" s="36" t="s">
        <v>355</v>
      </c>
      <c r="N93" s="36" t="s">
        <v>290</v>
      </c>
      <c r="O93" s="28" t="s">
        <v>2</v>
      </c>
      <c r="P93" s="36">
        <v>4</v>
      </c>
      <c r="Q93" s="36" t="s">
        <v>763</v>
      </c>
      <c r="R93" s="36" t="s">
        <v>764</v>
      </c>
      <c r="S93" t="str">
        <f>IFERROR(HYPERLINK("#Main!A"&amp;MATCH(A93,Main!A:A,0),"Open"),HYPERLINK("#Main!A1","Open"))</f>
        <v>Open</v>
      </c>
      <c r="T93" t="str">
        <f>IFERROR(HYPERLINK("#Technical!A"&amp;MATCH(A93,Technical!A:A,0),"Open"),HYPERLINK("#Technical!A1","Open"))</f>
        <v>Open</v>
      </c>
    </row>
    <row r="94" spans="1:21" ht="30" customHeight="1" x14ac:dyDescent="0.25">
      <c r="A94" s="32" t="s">
        <v>135</v>
      </c>
      <c r="B94" s="27">
        <v>84</v>
      </c>
      <c r="C94" s="55" t="s">
        <v>613</v>
      </c>
      <c r="D94" s="27" t="s">
        <v>397</v>
      </c>
      <c r="E94" s="46" t="s">
        <v>351</v>
      </c>
      <c r="F94" s="27" t="s">
        <v>760</v>
      </c>
      <c r="G94" s="38">
        <v>37</v>
      </c>
      <c r="H94" s="27">
        <v>107</v>
      </c>
      <c r="I94" s="27" t="s">
        <v>761</v>
      </c>
      <c r="J94" s="27" t="s">
        <v>762</v>
      </c>
      <c r="K94" s="56" t="s">
        <v>12</v>
      </c>
      <c r="L94" s="27" t="s">
        <v>397</v>
      </c>
      <c r="M94" s="27" t="s">
        <v>355</v>
      </c>
      <c r="N94" s="27" t="s">
        <v>290</v>
      </c>
      <c r="O94" s="28" t="s">
        <v>2</v>
      </c>
      <c r="P94" s="27">
        <v>4</v>
      </c>
      <c r="Q94" s="27" t="s">
        <v>765</v>
      </c>
      <c r="R94" s="27" t="s">
        <v>764</v>
      </c>
      <c r="S94" s="33" t="str">
        <f>IFERROR(HYPERLINK("#Main!A"&amp;MATCH(A94,Main!A:A,0),"Open"),HYPERLINK("#Main!A1","Open"))</f>
        <v>Open</v>
      </c>
      <c r="T94" s="33" t="str">
        <f>IFERROR(HYPERLINK("#Technical!A"&amp;MATCH(A94,Technical!A:A,0),"Open"),HYPERLINK("#Technical!A1","Open"))</f>
        <v>Open</v>
      </c>
      <c r="U94" s="33"/>
    </row>
    <row r="95" spans="1:21" ht="30" customHeight="1" x14ac:dyDescent="0.25">
      <c r="A95" s="29" t="s">
        <v>144</v>
      </c>
      <c r="B95" s="36">
        <v>28165</v>
      </c>
      <c r="C95" s="55" t="s">
        <v>615</v>
      </c>
      <c r="D95" s="36" t="s">
        <v>397</v>
      </c>
      <c r="E95" s="46" t="s">
        <v>351</v>
      </c>
      <c r="F95" s="36" t="s">
        <v>760</v>
      </c>
      <c r="G95" s="41">
        <v>37</v>
      </c>
      <c r="H95" s="36">
        <v>81</v>
      </c>
      <c r="I95" s="36" t="s">
        <v>761</v>
      </c>
      <c r="J95" s="36" t="s">
        <v>762</v>
      </c>
      <c r="K95" s="57" t="s">
        <v>12</v>
      </c>
      <c r="L95" s="36" t="s">
        <v>397</v>
      </c>
      <c r="M95" s="36" t="s">
        <v>355</v>
      </c>
      <c r="N95" s="36" t="s">
        <v>290</v>
      </c>
      <c r="O95" s="28" t="s">
        <v>2</v>
      </c>
      <c r="P95" s="36">
        <v>4</v>
      </c>
      <c r="Q95" s="36" t="s">
        <v>766</v>
      </c>
      <c r="R95" s="36" t="s">
        <v>764</v>
      </c>
      <c r="S95" t="str">
        <f>IFERROR(HYPERLINK("#Main!A"&amp;MATCH(A95,Main!A:A,0),"Open"),HYPERLINK("#Main!A1","Open"))</f>
        <v>Open</v>
      </c>
      <c r="T95" t="str">
        <f>IFERROR(HYPERLINK("#Technical!A"&amp;MATCH(A95,Technical!A:A,0),"Open"),HYPERLINK("#Technical!A1","Open"))</f>
        <v>Open</v>
      </c>
    </row>
    <row r="96" spans="1:21" ht="30" customHeight="1" x14ac:dyDescent="0.25">
      <c r="A96" s="32" t="s">
        <v>169</v>
      </c>
      <c r="B96" s="27">
        <v>5619</v>
      </c>
      <c r="C96" s="55" t="s">
        <v>621</v>
      </c>
      <c r="D96" s="27" t="s">
        <v>397</v>
      </c>
      <c r="E96" s="46" t="s">
        <v>351</v>
      </c>
      <c r="F96" s="27" t="s">
        <v>760</v>
      </c>
      <c r="G96" s="38">
        <v>37</v>
      </c>
      <c r="H96" s="27">
        <v>66</v>
      </c>
      <c r="I96" s="27" t="s">
        <v>761</v>
      </c>
      <c r="J96" s="27" t="s">
        <v>762</v>
      </c>
      <c r="K96" s="56" t="s">
        <v>12</v>
      </c>
      <c r="L96" s="27" t="s">
        <v>397</v>
      </c>
      <c r="M96" s="27" t="s">
        <v>355</v>
      </c>
      <c r="N96" s="27" t="s">
        <v>290</v>
      </c>
      <c r="O96" s="28" t="s">
        <v>2</v>
      </c>
      <c r="P96" s="27">
        <v>4</v>
      </c>
      <c r="Q96" s="27" t="s">
        <v>767</v>
      </c>
      <c r="R96" s="27" t="s">
        <v>764</v>
      </c>
      <c r="S96" s="33" t="str">
        <f>IFERROR(HYPERLINK("#Main!A"&amp;MATCH(A96,Main!A:A,0),"Open"),HYPERLINK("#Main!A1","Open"))</f>
        <v>Open</v>
      </c>
      <c r="T96" s="33" t="str">
        <f>IFERROR(HYPERLINK("#Technical!A"&amp;MATCH(A96,Technical!A:A,0),"Open"),HYPERLINK("#Technical!A1","Open"))</f>
        <v>Open</v>
      </c>
      <c r="U96" s="33"/>
    </row>
    <row r="97" spans="1:20" ht="30" customHeight="1" x14ac:dyDescent="0.25">
      <c r="A97" s="29" t="s">
        <v>177</v>
      </c>
      <c r="B97" s="36">
        <v>4941</v>
      </c>
      <c r="C97" s="55" t="s">
        <v>623</v>
      </c>
      <c r="D97" s="36" t="s">
        <v>397</v>
      </c>
      <c r="E97" s="46" t="s">
        <v>351</v>
      </c>
      <c r="F97" s="36" t="s">
        <v>760</v>
      </c>
      <c r="G97" s="41">
        <v>37</v>
      </c>
      <c r="H97" s="36">
        <v>65</v>
      </c>
      <c r="I97" s="36" t="s">
        <v>761</v>
      </c>
      <c r="J97" s="36" t="s">
        <v>762</v>
      </c>
      <c r="K97" s="57" t="s">
        <v>12</v>
      </c>
      <c r="L97" s="36" t="s">
        <v>397</v>
      </c>
      <c r="M97" s="36" t="s">
        <v>355</v>
      </c>
      <c r="N97" s="36" t="s">
        <v>290</v>
      </c>
      <c r="O97" s="28" t="s">
        <v>2</v>
      </c>
      <c r="P97" s="36">
        <v>4</v>
      </c>
      <c r="Q97" s="36" t="s">
        <v>768</v>
      </c>
      <c r="R97" s="36" t="s">
        <v>764</v>
      </c>
      <c r="S97" t="str">
        <f>IFERROR(HYPERLINK("#Main!A"&amp;MATCH(A97,Main!A:A,0),"Open"),HYPERLINK("#Main!A1","Open"))</f>
        <v>Open</v>
      </c>
      <c r="T97" t="str">
        <f>IFERROR(HYPERLINK("#Technical!A"&amp;MATCH(A97,Technical!A:A,0),"Open"),HYPERLINK("#Technical!A1","Open"))</f>
        <v>Open</v>
      </c>
    </row>
  </sheetData>
  <autoFilter ref="A1:U97" xr:uid="{00000000-0009-0000-0000-00000E000000}"/>
  <conditionalFormatting sqref="G2:G97">
    <cfRule type="cellIs" dxfId="23" priority="1" operator="greaterThanOrEqual">
      <formula>85</formula>
    </cfRule>
    <cfRule type="cellIs" dxfId="22" priority="2" operator="between">
      <formula>65</formula>
      <formula>84</formula>
    </cfRule>
  </conditionalFormatting>
  <conditionalFormatting sqref="M2:M97">
    <cfRule type="expression" dxfId="21" priority="3" stopIfTrue="1">
      <formula>LOWER(M2)="yes"</formula>
    </cfRule>
    <cfRule type="expression" dxfId="20" priority="4" stopIfTrue="1">
      <formula>LOWER(M2)="no"</formula>
    </cfRule>
  </conditionalFormatting>
  <conditionalFormatting sqref="O2:O97">
    <cfRule type="expression" dxfId="19" priority="5" stopIfTrue="1">
      <formula>LOWER(O2)="done"</formula>
    </cfRule>
    <cfRule type="expression" dxfId="18" priority="6" stopIfTrue="1">
      <formula>OR(LOWER(O2)="to do",LOWER(O2)="in progress",LOWER(O2)="in review")</formula>
    </cfRule>
  </conditionalFormatting>
  <dataValidations count="24">
    <dataValidation type="list" allowBlank="1" sqref="O2:O97" xr:uid="{00000000-0002-0000-0E00-000000000000}">
      <formula1>"To Do,In Progress,Fixed"</formula1>
    </dataValidation>
    <dataValidation type="custom" allowBlank="1" showInputMessage="1" promptTitle="URL" prompt="URL. Use this URL to inspect the page directly or jump to related tabs." sqref="A1" xr:uid="{00000000-0002-0000-0E00-000001000000}">
      <formula1>TRUE</formula1>
    </dataValidation>
    <dataValidation type="custom" allowBlank="1" showInputMessage="1" promptTitle="WordPress Post ID" prompt="WordPress Post ID. Review this metric to identify risk, then use linked tabs for details and remediation." sqref="B1" xr:uid="{00000000-0002-0000-0E00-000002000000}">
      <formula1>TRUE</formula1>
    </dataValidation>
    <dataValidation type="custom" allowBlank="1" showInputMessage="1" promptTitle="Direct Edit Link" prompt="Link quality and crawl-path metric. Fix: repair broken links and improve internal linking relevance." sqref="C1" xr:uid="{00000000-0002-0000-0E00-000003000000}">
      <formula1>TRUE</formula1>
    </dataValidation>
    <dataValidation type="custom" allowBlank="1" showInputMessage="1" promptTitle="AIOSEO Panel" prompt="AIOSEO Panel. Review this metric to identify risk, then use linked tabs for details and remediation." sqref="D1" xr:uid="{00000000-0002-0000-0E00-000004000000}">
      <formula1>TRUE</formula1>
    </dataValidation>
    <dataValidation type="custom" allowBlank="1" showInputMessage="1" promptTitle="Severity" prompt="Issue impact level. Fix: Resolve Critical first, then Warning, then improvement opportunities." sqref="E1" xr:uid="{00000000-0002-0000-0E00-000005000000}">
      <formula1>TRUE</formula1>
    </dataValidation>
    <dataValidation type="custom" allowBlank="1" showInputMessage="1" promptTitle="Issue" prompt="Issue. Review this metric to identify risk, then use linked tabs for details and remediation." sqref="F1" xr:uid="{00000000-0002-0000-0E00-000006000000}">
      <formula1>TRUE</formula1>
    </dataValidation>
    <dataValidation type="custom" allowBlank="1" showInputMessage="1" promptTitle="Priority Score" prompt="Execution priority score combining impact and effort. Fix: Start from highest scores." sqref="G1" xr:uid="{00000000-0002-0000-0E00-000007000000}">
      <formula1>TRUE</formula1>
    </dataValidation>
    <dataValidation type="custom" allowBlank="1" showInputMessage="1" promptTitle="Current Value" prompt="Current Value. Review this metric to identify risk, then use linked tabs for details and remediation." sqref="H1" xr:uid="{00000000-0002-0000-0E00-000008000000}">
      <formula1>TRUE</formula1>
    </dataValidation>
    <dataValidation type="custom" allowBlank="1" showInputMessage="1" promptTitle="Recommended Target" prompt="Recommended Target. Review this metric to identify risk, then use linked tabs for details and remediation." sqref="I1" xr:uid="{00000000-0002-0000-0E00-000009000000}">
      <formula1>TRUE</formula1>
    </dataValidation>
    <dataValidation type="custom" allowBlank="1" showInputMessage="1" promptTitle="How to Fix in AIOSEO" prompt="How to Fix in AIOSEO. Review this metric to identify risk, then use linked tabs for details and remediation." sqref="J1" xr:uid="{00000000-0002-0000-0E00-00000A000000}">
      <formula1>TRUE</formula1>
    </dataValidation>
    <dataValidation type="custom" allowBlank="1" showInputMessage="1" promptTitle="Reference Tab" prompt="Summary grouping/navigation field. Use with hyperlinks to jump into detailed tabs." sqref="K1" xr:uid="{00000000-0002-0000-0E00-00000B000000}">
      <formula1>TRUE</formula1>
    </dataValidation>
    <dataValidation type="custom" allowBlank="1" showInputMessage="1" promptTitle="Reference Field" prompt="Reference Field. Review this metric to identify risk, then use linked tabs for details and remediation." sqref="L1" xr:uid="{00000000-0002-0000-0E00-00000C000000}">
      <formula1>TRUE</formula1>
    </dataValidation>
    <dataValidation type="custom" allowBlank="1" showInputMessage="1" promptTitle="Action Needed" prompt="Action Needed. Review this metric to identify risk, then use linked tabs for details and remediation." sqref="M1" xr:uid="{00000000-0002-0000-0E00-00000D000000}">
      <formula1>TRUE</formula1>
    </dataValidation>
    <dataValidation type="custom" allowBlank="1" showInputMessage="1" promptTitle="Owner" prompt="Workflow management field for planning and tracking remediation progress." sqref="N1" xr:uid="{00000000-0002-0000-0E00-00000E000000}">
      <formula1>TRUE</formula1>
    </dataValidation>
    <dataValidation type="custom" allowBlank="1" showInputMessage="1" promptTitle="Status" prompt="Workflow management field for planning and tracking remediation progress." sqref="O1" xr:uid="{00000000-0002-0000-0E00-00000F000000}">
      <formula1>TRUE</formula1>
    </dataValidation>
    <dataValidation type="custom" allowBlank="1" showInputMessage="1" promptTitle="Est. Hours" prompt="Est. Hours. Review this metric to identify risk, then use linked tabs for details and remediation." sqref="P1" xr:uid="{00000000-0002-0000-0E00-000010000000}">
      <formula1>TRUE</formula1>
    </dataValidation>
    <dataValidation type="custom" allowBlank="1" showInputMessage="1" promptTitle="Stable Issue ID" prompt="Stable Issue ID. Review this metric to identify risk, then use linked tabs for details and remediation." sqref="Q1" xr:uid="{00000000-0002-0000-0E00-000011000000}">
      <formula1>TRUE</formula1>
    </dataValidation>
    <dataValidation type="custom" allowBlank="1" showInputMessage="1" promptTitle="Why It Matters" prompt="Why It Matters. Review this metric to identify risk, then use linked tabs for details and remediation." sqref="R1" xr:uid="{00000000-0002-0000-0E00-000012000000}">
      <formula1>TRUE</formula1>
    </dataValidation>
    <dataValidation type="custom" allowBlank="1" showInputMessage="1" promptTitle="Open in Main" prompt="Navigation helper. Click to jump directly to the related record in another tab." sqref="S1" xr:uid="{00000000-0002-0000-0E00-000013000000}">
      <formula1>TRUE</formula1>
    </dataValidation>
    <dataValidation type="custom" allowBlank="1" showInputMessage="1" promptTitle="Open in Technical" prompt="Open in Technical. Review this metric to identify risk, then use linked tabs for details and remediation." sqref="T1" xr:uid="{00000000-0002-0000-0E00-000014000000}">
      <formula1>TRUE</formula1>
    </dataValidation>
    <dataValidation type="custom" allowBlank="1" showInputMessage="1" promptTitle="BACK TO DASHBOARD" prompt="BACK TO DASHBOARD. Review this metric to identify risk, then use linked tabs for details and remediation." sqref="U1" xr:uid="{00000000-0002-0000-0E00-000015000000}">
      <formula1>TRUE</formula1>
    </dataValidation>
    <dataValidation type="custom" allowBlank="1" showInputMessage="1" promptTitle="Priority Score" prompt="Issue priority score for execution order. Fix: Start with the highest values to reduce risk fastest." sqref="G1" xr:uid="{00000000-0002-0000-0E00-000016000000}">
      <formula1>TRUE</formula1>
    </dataValidation>
    <dataValidation type="custom" allowBlank="1" showInputMessage="1" promptTitle="Severity" prompt="Impact level of the issue. Fix: Resolve Critical first, then Warning, then Observation opportunities." sqref="E1" xr:uid="{00000000-0002-0000-0E00-000017000000}">
      <formula1>TRUE</formula1>
    </dataValidation>
  </dataValidations>
  <hyperlinks>
    <hyperlink ref="U1" location="Dashboard!A1" display="BACK TO DASHBOARD" xr:uid="{00000000-0004-0000-0E00-000000000000}"/>
    <hyperlink ref="A2" r:id="rId1" xr:uid="{00000000-0004-0000-0E00-000001000000}"/>
    <hyperlink ref="C2" r:id="rId2" xr:uid="{00000000-0004-0000-0E00-000002000000}"/>
    <hyperlink ref="K2" location="Links!A1" display="Links" xr:uid="{00000000-0004-0000-0E00-000003000000}"/>
    <hyperlink ref="A3" r:id="rId3" xr:uid="{00000000-0004-0000-0E00-000004000000}"/>
    <hyperlink ref="C3" r:id="rId4" xr:uid="{00000000-0004-0000-0E00-000005000000}"/>
    <hyperlink ref="K3" location="Links!A1" display="Links" xr:uid="{00000000-0004-0000-0E00-000006000000}"/>
    <hyperlink ref="A4" r:id="rId5" xr:uid="{00000000-0004-0000-0E00-000007000000}"/>
    <hyperlink ref="C4" r:id="rId6" xr:uid="{00000000-0004-0000-0E00-000008000000}"/>
    <hyperlink ref="K4" location="Links!A1" display="Links" xr:uid="{00000000-0004-0000-0E00-000009000000}"/>
    <hyperlink ref="A5" r:id="rId7" xr:uid="{00000000-0004-0000-0E00-00000A000000}"/>
    <hyperlink ref="C5" r:id="rId8" xr:uid="{00000000-0004-0000-0E00-00000B000000}"/>
    <hyperlink ref="K5" location="Links!A1" display="Links" xr:uid="{00000000-0004-0000-0E00-00000C000000}"/>
    <hyperlink ref="A6" r:id="rId9" xr:uid="{00000000-0004-0000-0E00-00000D000000}"/>
    <hyperlink ref="C6" r:id="rId10" xr:uid="{00000000-0004-0000-0E00-00000E000000}"/>
    <hyperlink ref="K6" location="Links!A1" display="Links" xr:uid="{00000000-0004-0000-0E00-00000F000000}"/>
    <hyperlink ref="A7" r:id="rId11" xr:uid="{00000000-0004-0000-0E00-000010000000}"/>
    <hyperlink ref="C7" r:id="rId12" xr:uid="{00000000-0004-0000-0E00-000011000000}"/>
    <hyperlink ref="K7" location="Links!A1" display="Links" xr:uid="{00000000-0004-0000-0E00-000012000000}"/>
    <hyperlink ref="A8" r:id="rId13" xr:uid="{00000000-0004-0000-0E00-000013000000}"/>
    <hyperlink ref="C8" r:id="rId14" xr:uid="{00000000-0004-0000-0E00-000014000000}"/>
    <hyperlink ref="K8" location="Links!A1" display="Links" xr:uid="{00000000-0004-0000-0E00-000015000000}"/>
    <hyperlink ref="A9" r:id="rId15" xr:uid="{00000000-0004-0000-0E00-000016000000}"/>
    <hyperlink ref="C9" r:id="rId16" xr:uid="{00000000-0004-0000-0E00-000017000000}"/>
    <hyperlink ref="K9" location="Links!A1" display="Links" xr:uid="{00000000-0004-0000-0E00-000018000000}"/>
    <hyperlink ref="A10" r:id="rId17" xr:uid="{00000000-0004-0000-0E00-000019000000}"/>
    <hyperlink ref="C10" r:id="rId18" xr:uid="{00000000-0004-0000-0E00-00001A000000}"/>
    <hyperlink ref="K10" location="Links!A1" display="Links" xr:uid="{00000000-0004-0000-0E00-00001B000000}"/>
    <hyperlink ref="A11" r:id="rId19" xr:uid="{00000000-0004-0000-0E00-00001C000000}"/>
    <hyperlink ref="C11" r:id="rId20" xr:uid="{00000000-0004-0000-0E00-00001D000000}"/>
    <hyperlink ref="K11" location="Links!A1" display="Links" xr:uid="{00000000-0004-0000-0E00-00001E000000}"/>
    <hyperlink ref="A12" r:id="rId21" xr:uid="{00000000-0004-0000-0E00-00001F000000}"/>
    <hyperlink ref="C12" r:id="rId22" xr:uid="{00000000-0004-0000-0E00-000020000000}"/>
    <hyperlink ref="K12" location="Main!A1" display="Main" xr:uid="{00000000-0004-0000-0E00-000021000000}"/>
    <hyperlink ref="A13" r:id="rId23" xr:uid="{00000000-0004-0000-0E00-000022000000}"/>
    <hyperlink ref="C13" r:id="rId24" xr:uid="{00000000-0004-0000-0E00-000023000000}"/>
    <hyperlink ref="K13" location="AEO!A1" display="AEO" xr:uid="{00000000-0004-0000-0E00-000024000000}"/>
    <hyperlink ref="A14" r:id="rId25" xr:uid="{00000000-0004-0000-0E00-000025000000}"/>
    <hyperlink ref="C14" r:id="rId26" xr:uid="{00000000-0004-0000-0E00-000026000000}"/>
    <hyperlink ref="K14" location="AEO!A1" display="AEO" xr:uid="{00000000-0004-0000-0E00-000027000000}"/>
    <hyperlink ref="A15" r:id="rId27" xr:uid="{00000000-0004-0000-0E00-000028000000}"/>
    <hyperlink ref="C15" r:id="rId28" xr:uid="{00000000-0004-0000-0E00-000029000000}"/>
    <hyperlink ref="K15" location="AEO!A1" display="AEO" xr:uid="{00000000-0004-0000-0E00-00002A000000}"/>
    <hyperlink ref="A16" r:id="rId29" xr:uid="{00000000-0004-0000-0E00-00002B000000}"/>
    <hyperlink ref="C16" r:id="rId30" xr:uid="{00000000-0004-0000-0E00-00002C000000}"/>
    <hyperlink ref="K16" location="AEO!A1" display="AEO" xr:uid="{00000000-0004-0000-0E00-00002D000000}"/>
    <hyperlink ref="A17" r:id="rId31" xr:uid="{00000000-0004-0000-0E00-00002E000000}"/>
    <hyperlink ref="C17" r:id="rId32" xr:uid="{00000000-0004-0000-0E00-00002F000000}"/>
    <hyperlink ref="K17" location="AEO!A1" display="AEO" xr:uid="{00000000-0004-0000-0E00-000030000000}"/>
    <hyperlink ref="A18" r:id="rId33" xr:uid="{00000000-0004-0000-0E00-000031000000}"/>
    <hyperlink ref="C18" r:id="rId34" xr:uid="{00000000-0004-0000-0E00-000032000000}"/>
    <hyperlink ref="K18" location="AEO!A1" display="AEO" xr:uid="{00000000-0004-0000-0E00-000033000000}"/>
    <hyperlink ref="A19" r:id="rId35" xr:uid="{00000000-0004-0000-0E00-000034000000}"/>
    <hyperlink ref="C19" r:id="rId36" xr:uid="{00000000-0004-0000-0E00-000035000000}"/>
    <hyperlink ref="K19" location="AEO!A1" display="AEO" xr:uid="{00000000-0004-0000-0E00-000036000000}"/>
    <hyperlink ref="A20" r:id="rId37" xr:uid="{00000000-0004-0000-0E00-000037000000}"/>
    <hyperlink ref="C20" r:id="rId38" xr:uid="{00000000-0004-0000-0E00-000038000000}"/>
    <hyperlink ref="K20" location="AEO!A1" display="AEO" xr:uid="{00000000-0004-0000-0E00-000039000000}"/>
    <hyperlink ref="A21" r:id="rId39" xr:uid="{00000000-0004-0000-0E00-00003A000000}"/>
    <hyperlink ref="C21" r:id="rId40" xr:uid="{00000000-0004-0000-0E00-00003B000000}"/>
    <hyperlink ref="K21" location="AEO!A1" display="AEO" xr:uid="{00000000-0004-0000-0E00-00003C000000}"/>
    <hyperlink ref="A22" r:id="rId41" xr:uid="{00000000-0004-0000-0E00-00003D000000}"/>
    <hyperlink ref="C22" r:id="rId42" xr:uid="{00000000-0004-0000-0E00-00003E000000}"/>
    <hyperlink ref="K22" location="AEO!A1" display="AEO" xr:uid="{00000000-0004-0000-0E00-00003F000000}"/>
    <hyperlink ref="A23" r:id="rId43" xr:uid="{00000000-0004-0000-0E00-000040000000}"/>
    <hyperlink ref="C23" r:id="rId44" xr:uid="{00000000-0004-0000-0E00-000041000000}"/>
    <hyperlink ref="K23" location="Media!A1" display="Media" xr:uid="{00000000-0004-0000-0E00-000042000000}"/>
    <hyperlink ref="A24" r:id="rId45" xr:uid="{00000000-0004-0000-0E00-000043000000}"/>
    <hyperlink ref="C24" r:id="rId46" xr:uid="{00000000-0004-0000-0E00-000044000000}"/>
    <hyperlink ref="K24" location="Content!A1" display="Content" xr:uid="{00000000-0004-0000-0E00-000045000000}"/>
    <hyperlink ref="A25" r:id="rId47" xr:uid="{00000000-0004-0000-0E00-000046000000}"/>
    <hyperlink ref="C25" r:id="rId48" xr:uid="{00000000-0004-0000-0E00-000047000000}"/>
    <hyperlink ref="K25" location="Media!A1" display="Media" xr:uid="{00000000-0004-0000-0E00-000048000000}"/>
    <hyperlink ref="A26" r:id="rId49" xr:uid="{00000000-0004-0000-0E00-000049000000}"/>
    <hyperlink ref="C26" r:id="rId50" xr:uid="{00000000-0004-0000-0E00-00004A000000}"/>
    <hyperlink ref="K26" location="Content!A1" display="Content" xr:uid="{00000000-0004-0000-0E00-00004B000000}"/>
    <hyperlink ref="A27" r:id="rId51" xr:uid="{00000000-0004-0000-0E00-00004C000000}"/>
    <hyperlink ref="C27" r:id="rId52" xr:uid="{00000000-0004-0000-0E00-00004D000000}"/>
    <hyperlink ref="K27" location="Media!A1" display="Media" xr:uid="{00000000-0004-0000-0E00-00004E000000}"/>
    <hyperlink ref="A28" r:id="rId53" xr:uid="{00000000-0004-0000-0E00-00004F000000}"/>
    <hyperlink ref="C28" r:id="rId54" xr:uid="{00000000-0004-0000-0E00-000050000000}"/>
    <hyperlink ref="K28" location="Media!A1" display="Media" xr:uid="{00000000-0004-0000-0E00-000051000000}"/>
    <hyperlink ref="A29" r:id="rId55" xr:uid="{00000000-0004-0000-0E00-000052000000}"/>
    <hyperlink ref="C29" r:id="rId56" xr:uid="{00000000-0004-0000-0E00-000053000000}"/>
    <hyperlink ref="K29" location="Media!A1" display="Media" xr:uid="{00000000-0004-0000-0E00-000054000000}"/>
    <hyperlink ref="A30" r:id="rId57" xr:uid="{00000000-0004-0000-0E00-000055000000}"/>
    <hyperlink ref="C30" r:id="rId58" xr:uid="{00000000-0004-0000-0E00-000056000000}"/>
    <hyperlink ref="K30" location="Content!A1" display="Content" xr:uid="{00000000-0004-0000-0E00-000057000000}"/>
    <hyperlink ref="A31" r:id="rId59" xr:uid="{00000000-0004-0000-0E00-000058000000}"/>
    <hyperlink ref="C31" r:id="rId60" xr:uid="{00000000-0004-0000-0E00-000059000000}"/>
    <hyperlink ref="K31" location="Content!A1" display="Content" xr:uid="{00000000-0004-0000-0E00-00005A000000}"/>
    <hyperlink ref="A32" r:id="rId61" xr:uid="{00000000-0004-0000-0E00-00005B000000}"/>
    <hyperlink ref="C32" r:id="rId62" xr:uid="{00000000-0004-0000-0E00-00005C000000}"/>
    <hyperlink ref="K32" location="Media!A1" display="Media" xr:uid="{00000000-0004-0000-0E00-00005D000000}"/>
    <hyperlink ref="A33" r:id="rId63" xr:uid="{00000000-0004-0000-0E00-00005E000000}"/>
    <hyperlink ref="C33" r:id="rId64" xr:uid="{00000000-0004-0000-0E00-00005F000000}"/>
    <hyperlink ref="K33" location="Content!A1" display="Content" xr:uid="{00000000-0004-0000-0E00-000060000000}"/>
    <hyperlink ref="A34" r:id="rId65" xr:uid="{00000000-0004-0000-0E00-000061000000}"/>
    <hyperlink ref="C34" r:id="rId66" xr:uid="{00000000-0004-0000-0E00-000062000000}"/>
    <hyperlink ref="K34" location="Content!A1" display="Content" xr:uid="{00000000-0004-0000-0E00-000063000000}"/>
    <hyperlink ref="A35" r:id="rId67" xr:uid="{00000000-0004-0000-0E00-000064000000}"/>
    <hyperlink ref="C35" r:id="rId68" xr:uid="{00000000-0004-0000-0E00-000065000000}"/>
    <hyperlink ref="K35" location="Media!A1" display="Media" xr:uid="{00000000-0004-0000-0E00-000066000000}"/>
    <hyperlink ref="A36" r:id="rId69" xr:uid="{00000000-0004-0000-0E00-000067000000}"/>
    <hyperlink ref="C36" r:id="rId70" xr:uid="{00000000-0004-0000-0E00-000068000000}"/>
    <hyperlink ref="K36" location="Content!A1" display="Content" xr:uid="{00000000-0004-0000-0E00-000069000000}"/>
    <hyperlink ref="A37" r:id="rId71" xr:uid="{00000000-0004-0000-0E00-00006A000000}"/>
    <hyperlink ref="C37" r:id="rId72" xr:uid="{00000000-0004-0000-0E00-00006B000000}"/>
    <hyperlink ref="K37" location="Media!A1" display="Media" xr:uid="{00000000-0004-0000-0E00-00006C000000}"/>
    <hyperlink ref="A38" r:id="rId73" xr:uid="{00000000-0004-0000-0E00-00006D000000}"/>
    <hyperlink ref="C38" r:id="rId74" xr:uid="{00000000-0004-0000-0E00-00006E000000}"/>
    <hyperlink ref="K38" location="Media!A1" display="Media" xr:uid="{00000000-0004-0000-0E00-00006F000000}"/>
    <hyperlink ref="A39" r:id="rId75" xr:uid="{00000000-0004-0000-0E00-000070000000}"/>
    <hyperlink ref="C39" r:id="rId76" xr:uid="{00000000-0004-0000-0E00-000071000000}"/>
    <hyperlink ref="K39" location="Media!A1" display="Media" xr:uid="{00000000-0004-0000-0E00-000072000000}"/>
    <hyperlink ref="A40" r:id="rId77" xr:uid="{00000000-0004-0000-0E00-000073000000}"/>
    <hyperlink ref="C40" r:id="rId78" xr:uid="{00000000-0004-0000-0E00-000074000000}"/>
    <hyperlink ref="K40" location="Content!A1" display="Content" xr:uid="{00000000-0004-0000-0E00-000075000000}"/>
    <hyperlink ref="A41" r:id="rId79" xr:uid="{00000000-0004-0000-0E00-000076000000}"/>
    <hyperlink ref="C41" r:id="rId80" xr:uid="{00000000-0004-0000-0E00-000077000000}"/>
    <hyperlink ref="K41" location="Content!A1" display="Content" xr:uid="{00000000-0004-0000-0E00-000078000000}"/>
    <hyperlink ref="A42" r:id="rId81" xr:uid="{00000000-0004-0000-0E00-000079000000}"/>
    <hyperlink ref="C42" r:id="rId82" xr:uid="{00000000-0004-0000-0E00-00007A000000}"/>
    <hyperlink ref="K42" location="Schema &amp; Metadata!A1" display="Schema &amp; Metadata" xr:uid="{00000000-0004-0000-0E00-00007B000000}"/>
    <hyperlink ref="A43" r:id="rId83" xr:uid="{00000000-0004-0000-0E00-00007C000000}"/>
    <hyperlink ref="C43" r:id="rId84" xr:uid="{00000000-0004-0000-0E00-00007D000000}"/>
    <hyperlink ref="K43" location="Schema &amp; Metadata!A1" display="Schema &amp; Metadata" xr:uid="{00000000-0004-0000-0E00-00007E000000}"/>
    <hyperlink ref="A44" r:id="rId85" xr:uid="{00000000-0004-0000-0E00-00007F000000}"/>
    <hyperlink ref="C44" r:id="rId86" xr:uid="{00000000-0004-0000-0E00-000080000000}"/>
    <hyperlink ref="K44" location="Schema &amp; Metadata!A1" display="Schema &amp; Metadata" xr:uid="{00000000-0004-0000-0E00-000081000000}"/>
    <hyperlink ref="A45" r:id="rId87" xr:uid="{00000000-0004-0000-0E00-000082000000}"/>
    <hyperlink ref="C45" r:id="rId88" xr:uid="{00000000-0004-0000-0E00-000083000000}"/>
    <hyperlink ref="K45" location="Schema &amp; Metadata!A1" display="Schema &amp; Metadata" xr:uid="{00000000-0004-0000-0E00-000084000000}"/>
    <hyperlink ref="A46" r:id="rId89" xr:uid="{00000000-0004-0000-0E00-000085000000}"/>
    <hyperlink ref="C46" r:id="rId90" xr:uid="{00000000-0004-0000-0E00-000086000000}"/>
    <hyperlink ref="K46" location="Schema &amp; Metadata!A1" display="Schema &amp; Metadata" xr:uid="{00000000-0004-0000-0E00-000087000000}"/>
    <hyperlink ref="A47" r:id="rId91" xr:uid="{00000000-0004-0000-0E00-000088000000}"/>
    <hyperlink ref="C47" r:id="rId92" xr:uid="{00000000-0004-0000-0E00-000089000000}"/>
    <hyperlink ref="K47" location="Schema &amp; Metadata!A1" display="Schema &amp; Metadata" xr:uid="{00000000-0004-0000-0E00-00008A000000}"/>
    <hyperlink ref="A48" r:id="rId93" xr:uid="{00000000-0004-0000-0E00-00008B000000}"/>
    <hyperlink ref="C48" r:id="rId94" xr:uid="{00000000-0004-0000-0E00-00008C000000}"/>
    <hyperlink ref="K48" location="Schema &amp; Metadata!A1" display="Schema &amp; Metadata" xr:uid="{00000000-0004-0000-0E00-00008D000000}"/>
    <hyperlink ref="A49" r:id="rId95" xr:uid="{00000000-0004-0000-0E00-00008E000000}"/>
    <hyperlink ref="C49" r:id="rId96" xr:uid="{00000000-0004-0000-0E00-00008F000000}"/>
    <hyperlink ref="K49" location="Schema &amp; Metadata!A1" display="Schema &amp; Metadata" xr:uid="{00000000-0004-0000-0E00-000090000000}"/>
    <hyperlink ref="A50" r:id="rId97" xr:uid="{00000000-0004-0000-0E00-000091000000}"/>
    <hyperlink ref="C50" r:id="rId98" xr:uid="{00000000-0004-0000-0E00-000092000000}"/>
    <hyperlink ref="K50" location="Schema &amp; Metadata!A1" display="Schema &amp; Metadata" xr:uid="{00000000-0004-0000-0E00-000093000000}"/>
    <hyperlink ref="A51" r:id="rId99" xr:uid="{00000000-0004-0000-0E00-000094000000}"/>
    <hyperlink ref="C51" r:id="rId100" xr:uid="{00000000-0004-0000-0E00-000095000000}"/>
    <hyperlink ref="K51" location="Schema &amp; Metadata!A1" display="Schema &amp; Metadata" xr:uid="{00000000-0004-0000-0E00-000096000000}"/>
    <hyperlink ref="A52" r:id="rId101" xr:uid="{00000000-0004-0000-0E00-000097000000}"/>
    <hyperlink ref="C52" r:id="rId102" xr:uid="{00000000-0004-0000-0E00-000098000000}"/>
    <hyperlink ref="K52" location="Main!A1" display="Main" xr:uid="{00000000-0004-0000-0E00-000099000000}"/>
    <hyperlink ref="A53" r:id="rId103" xr:uid="{00000000-0004-0000-0E00-00009A000000}"/>
    <hyperlink ref="C53" r:id="rId104" xr:uid="{00000000-0004-0000-0E00-00009B000000}"/>
    <hyperlink ref="K53" location="Main!A1" display="Main" xr:uid="{00000000-0004-0000-0E00-00009C000000}"/>
    <hyperlink ref="A54" r:id="rId105" xr:uid="{00000000-0004-0000-0E00-00009D000000}"/>
    <hyperlink ref="C54" r:id="rId106" xr:uid="{00000000-0004-0000-0E00-00009E000000}"/>
    <hyperlink ref="K54" location="Main!A1" display="Main" xr:uid="{00000000-0004-0000-0E00-00009F000000}"/>
    <hyperlink ref="A55" r:id="rId107" xr:uid="{00000000-0004-0000-0E00-0000A0000000}"/>
    <hyperlink ref="C55" r:id="rId108" xr:uid="{00000000-0004-0000-0E00-0000A1000000}"/>
    <hyperlink ref="K55" location="Main!A1" display="Main" xr:uid="{00000000-0004-0000-0E00-0000A2000000}"/>
    <hyperlink ref="A56" r:id="rId109" xr:uid="{00000000-0004-0000-0E00-0000A3000000}"/>
    <hyperlink ref="C56" r:id="rId110" xr:uid="{00000000-0004-0000-0E00-0000A4000000}"/>
    <hyperlink ref="K56" location="Main!A1" display="Main" xr:uid="{00000000-0004-0000-0E00-0000A5000000}"/>
    <hyperlink ref="A57" r:id="rId111" xr:uid="{00000000-0004-0000-0E00-0000A6000000}"/>
    <hyperlink ref="C57" r:id="rId112" xr:uid="{00000000-0004-0000-0E00-0000A7000000}"/>
    <hyperlink ref="K57" location="Main!A1" display="Main" xr:uid="{00000000-0004-0000-0E00-0000A8000000}"/>
    <hyperlink ref="A58" r:id="rId113" xr:uid="{00000000-0004-0000-0E00-0000A9000000}"/>
    <hyperlink ref="C58" r:id="rId114" xr:uid="{00000000-0004-0000-0E00-0000AA000000}"/>
    <hyperlink ref="K58" location="Main!A1" display="Main" xr:uid="{00000000-0004-0000-0E00-0000AB000000}"/>
    <hyperlink ref="A59" r:id="rId115" xr:uid="{00000000-0004-0000-0E00-0000AC000000}"/>
    <hyperlink ref="C59" r:id="rId116" xr:uid="{00000000-0004-0000-0E00-0000AD000000}"/>
    <hyperlink ref="K59" location="Main!A1" display="Main" xr:uid="{00000000-0004-0000-0E00-0000AE000000}"/>
    <hyperlink ref="A60" r:id="rId117" xr:uid="{00000000-0004-0000-0E00-0000AF000000}"/>
    <hyperlink ref="C60" r:id="rId118" xr:uid="{00000000-0004-0000-0E00-0000B0000000}"/>
    <hyperlink ref="K60" location="AEO!A1" display="AEO" xr:uid="{00000000-0004-0000-0E00-0000B1000000}"/>
    <hyperlink ref="A61" r:id="rId119" xr:uid="{00000000-0004-0000-0E00-0000B2000000}"/>
    <hyperlink ref="C61" r:id="rId120" xr:uid="{00000000-0004-0000-0E00-0000B3000000}"/>
    <hyperlink ref="K61" location="AEO!A1" display="AEO" xr:uid="{00000000-0004-0000-0E00-0000B4000000}"/>
    <hyperlink ref="A62" r:id="rId121" xr:uid="{00000000-0004-0000-0E00-0000B5000000}"/>
    <hyperlink ref="C62" r:id="rId122" xr:uid="{00000000-0004-0000-0E00-0000B6000000}"/>
    <hyperlink ref="K62" location="AEO!A1" display="AEO" xr:uid="{00000000-0004-0000-0E00-0000B7000000}"/>
    <hyperlink ref="A63" r:id="rId123" xr:uid="{00000000-0004-0000-0E00-0000B8000000}"/>
    <hyperlink ref="C63" r:id="rId124" xr:uid="{00000000-0004-0000-0E00-0000B9000000}"/>
    <hyperlink ref="K63" location="AEO!A1" display="AEO" xr:uid="{00000000-0004-0000-0E00-0000BA000000}"/>
    <hyperlink ref="A64" r:id="rId125" xr:uid="{00000000-0004-0000-0E00-0000BB000000}"/>
    <hyperlink ref="C64" r:id="rId126" xr:uid="{00000000-0004-0000-0E00-0000BC000000}"/>
    <hyperlink ref="K64" location="AEO!A1" display="AEO" xr:uid="{00000000-0004-0000-0E00-0000BD000000}"/>
    <hyperlink ref="A65" r:id="rId127" xr:uid="{00000000-0004-0000-0E00-0000BE000000}"/>
    <hyperlink ref="C65" r:id="rId128" xr:uid="{00000000-0004-0000-0E00-0000BF000000}"/>
    <hyperlink ref="K65" location="AEO!A1" display="AEO" xr:uid="{00000000-0004-0000-0E00-0000C0000000}"/>
    <hyperlink ref="A66" r:id="rId129" xr:uid="{00000000-0004-0000-0E00-0000C1000000}"/>
    <hyperlink ref="C66" r:id="rId130" xr:uid="{00000000-0004-0000-0E00-0000C2000000}"/>
    <hyperlink ref="K66" location="AEO!A1" display="AEO" xr:uid="{00000000-0004-0000-0E00-0000C3000000}"/>
    <hyperlink ref="A67" r:id="rId131" xr:uid="{00000000-0004-0000-0E00-0000C4000000}"/>
    <hyperlink ref="C67" r:id="rId132" xr:uid="{00000000-0004-0000-0E00-0000C5000000}"/>
    <hyperlink ref="K67" location="AEO!A1" display="AEO" xr:uid="{00000000-0004-0000-0E00-0000C6000000}"/>
    <hyperlink ref="A68" r:id="rId133" xr:uid="{00000000-0004-0000-0E00-0000C7000000}"/>
    <hyperlink ref="C68" r:id="rId134" xr:uid="{00000000-0004-0000-0E00-0000C8000000}"/>
    <hyperlink ref="K68" location="AEO!A1" display="AEO" xr:uid="{00000000-0004-0000-0E00-0000C9000000}"/>
    <hyperlink ref="A69" r:id="rId135" xr:uid="{00000000-0004-0000-0E00-0000CA000000}"/>
    <hyperlink ref="C69" r:id="rId136" xr:uid="{00000000-0004-0000-0E00-0000CB000000}"/>
    <hyperlink ref="K69" location="AEO!A1" display="AEO" xr:uid="{00000000-0004-0000-0E00-0000CC000000}"/>
    <hyperlink ref="A70" r:id="rId137" xr:uid="{00000000-0004-0000-0E00-0000CD000000}"/>
    <hyperlink ref="C70" r:id="rId138" xr:uid="{00000000-0004-0000-0E00-0000CE000000}"/>
    <hyperlink ref="K70" location="Content!A1" display="Content" xr:uid="{00000000-0004-0000-0E00-0000CF000000}"/>
    <hyperlink ref="A71" r:id="rId139" xr:uid="{00000000-0004-0000-0E00-0000D0000000}"/>
    <hyperlink ref="C71" r:id="rId140" xr:uid="{00000000-0004-0000-0E00-0000D1000000}"/>
    <hyperlink ref="K71" location="AEO!A1" display="AEO" xr:uid="{00000000-0004-0000-0E00-0000D2000000}"/>
    <hyperlink ref="A72" r:id="rId141" xr:uid="{00000000-0004-0000-0E00-0000D3000000}"/>
    <hyperlink ref="C72" r:id="rId142" xr:uid="{00000000-0004-0000-0E00-0000D4000000}"/>
    <hyperlink ref="K72" location="AEO!A1" display="AEO" xr:uid="{00000000-0004-0000-0E00-0000D5000000}"/>
    <hyperlink ref="A73" r:id="rId143" xr:uid="{00000000-0004-0000-0E00-0000D6000000}"/>
    <hyperlink ref="C73" r:id="rId144" xr:uid="{00000000-0004-0000-0E00-0000D7000000}"/>
    <hyperlink ref="K73" location="Content!A1" display="Content" xr:uid="{00000000-0004-0000-0E00-0000D8000000}"/>
    <hyperlink ref="A74" r:id="rId145" xr:uid="{00000000-0004-0000-0E00-0000D9000000}"/>
    <hyperlink ref="C74" r:id="rId146" xr:uid="{00000000-0004-0000-0E00-0000DA000000}"/>
    <hyperlink ref="K74" location="AEO!A1" display="AEO" xr:uid="{00000000-0004-0000-0E00-0000DB000000}"/>
    <hyperlink ref="A75" r:id="rId147" xr:uid="{00000000-0004-0000-0E00-0000DC000000}"/>
    <hyperlink ref="C75" r:id="rId148" xr:uid="{00000000-0004-0000-0E00-0000DD000000}"/>
    <hyperlink ref="K75" location="Content!A1" display="Content" xr:uid="{00000000-0004-0000-0E00-0000DE000000}"/>
    <hyperlink ref="A76" r:id="rId149" xr:uid="{00000000-0004-0000-0E00-0000DF000000}"/>
    <hyperlink ref="C76" r:id="rId150" xr:uid="{00000000-0004-0000-0E00-0000E0000000}"/>
    <hyperlink ref="K76" location="AEO!A1" display="AEO" xr:uid="{00000000-0004-0000-0E00-0000E1000000}"/>
    <hyperlink ref="A77" r:id="rId151" xr:uid="{00000000-0004-0000-0E00-0000E2000000}"/>
    <hyperlink ref="C77" r:id="rId152" xr:uid="{00000000-0004-0000-0E00-0000E3000000}"/>
    <hyperlink ref="K77" location="AEO!A1" display="AEO" xr:uid="{00000000-0004-0000-0E00-0000E4000000}"/>
    <hyperlink ref="A78" r:id="rId153" xr:uid="{00000000-0004-0000-0E00-0000E5000000}"/>
    <hyperlink ref="C78" r:id="rId154" xr:uid="{00000000-0004-0000-0E00-0000E6000000}"/>
    <hyperlink ref="K78" location="AEO!A1" display="AEO" xr:uid="{00000000-0004-0000-0E00-0000E7000000}"/>
    <hyperlink ref="A79" r:id="rId155" xr:uid="{00000000-0004-0000-0E00-0000E8000000}"/>
    <hyperlink ref="C79" r:id="rId156" xr:uid="{00000000-0004-0000-0E00-0000E9000000}"/>
    <hyperlink ref="K79" location="AEO!A1" display="AEO" xr:uid="{00000000-0004-0000-0E00-0000EA000000}"/>
    <hyperlink ref="A80" r:id="rId157" xr:uid="{00000000-0004-0000-0E00-0000EB000000}"/>
    <hyperlink ref="C80" r:id="rId158" xr:uid="{00000000-0004-0000-0E00-0000EC000000}"/>
    <hyperlink ref="K80" location="AEO!A1" display="AEO" xr:uid="{00000000-0004-0000-0E00-0000ED000000}"/>
    <hyperlink ref="A81" r:id="rId159" xr:uid="{00000000-0004-0000-0E00-0000EE000000}"/>
    <hyperlink ref="C81" r:id="rId160" xr:uid="{00000000-0004-0000-0E00-0000EF000000}"/>
    <hyperlink ref="K81" location="AEO!A1" display="AEO" xr:uid="{00000000-0004-0000-0E00-0000F0000000}"/>
    <hyperlink ref="A82" r:id="rId161" xr:uid="{00000000-0004-0000-0E00-0000F1000000}"/>
    <hyperlink ref="C82" r:id="rId162" xr:uid="{00000000-0004-0000-0E00-0000F2000000}"/>
    <hyperlink ref="K82" location="AEO!A1" display="AEO" xr:uid="{00000000-0004-0000-0E00-0000F3000000}"/>
    <hyperlink ref="A83" r:id="rId163" xr:uid="{00000000-0004-0000-0E00-0000F4000000}"/>
    <hyperlink ref="C83" r:id="rId164" xr:uid="{00000000-0004-0000-0E00-0000F5000000}"/>
    <hyperlink ref="K83" location="AEO!A1" display="AEO" xr:uid="{00000000-0004-0000-0E00-0000F6000000}"/>
    <hyperlink ref="A84" r:id="rId165" xr:uid="{00000000-0004-0000-0E00-0000F7000000}"/>
    <hyperlink ref="C84" r:id="rId166" xr:uid="{00000000-0004-0000-0E00-0000F8000000}"/>
    <hyperlink ref="K84" location="AEO!A1" display="AEO" xr:uid="{00000000-0004-0000-0E00-0000F9000000}"/>
    <hyperlink ref="A85" r:id="rId167" xr:uid="{00000000-0004-0000-0E00-0000FA000000}"/>
    <hyperlink ref="C85" r:id="rId168" xr:uid="{00000000-0004-0000-0E00-0000FB000000}"/>
    <hyperlink ref="K85" location="AEO!A1" display="AEO" xr:uid="{00000000-0004-0000-0E00-0000FC000000}"/>
    <hyperlink ref="A86" r:id="rId169" xr:uid="{00000000-0004-0000-0E00-0000FD000000}"/>
    <hyperlink ref="C86" r:id="rId170" xr:uid="{00000000-0004-0000-0E00-0000FE000000}"/>
    <hyperlink ref="K86" location="AEO!A1" display="AEO" xr:uid="{00000000-0004-0000-0E00-0000FF000000}"/>
    <hyperlink ref="A87" r:id="rId171" xr:uid="{00000000-0004-0000-0E00-000000010000}"/>
    <hyperlink ref="C87" r:id="rId172" xr:uid="{00000000-0004-0000-0E00-000001010000}"/>
    <hyperlink ref="K87" location="AEO!A1" display="AEO" xr:uid="{00000000-0004-0000-0E00-000002010000}"/>
    <hyperlink ref="A88" r:id="rId173" xr:uid="{00000000-0004-0000-0E00-000003010000}"/>
    <hyperlink ref="C88" r:id="rId174" xr:uid="{00000000-0004-0000-0E00-000004010000}"/>
    <hyperlink ref="K88" location="AEO!A1" display="AEO" xr:uid="{00000000-0004-0000-0E00-000005010000}"/>
    <hyperlink ref="A89" r:id="rId175" xr:uid="{00000000-0004-0000-0E00-000006010000}"/>
    <hyperlink ref="C89" r:id="rId176" xr:uid="{00000000-0004-0000-0E00-000007010000}"/>
    <hyperlink ref="K89" location="AEO!A1" display="AEO" xr:uid="{00000000-0004-0000-0E00-000008010000}"/>
    <hyperlink ref="A90" r:id="rId177" xr:uid="{00000000-0004-0000-0E00-000009010000}"/>
    <hyperlink ref="C90" r:id="rId178" xr:uid="{00000000-0004-0000-0E00-00000A010000}"/>
    <hyperlink ref="K90" location="AEO!A1" display="AEO" xr:uid="{00000000-0004-0000-0E00-00000B010000}"/>
    <hyperlink ref="A91" r:id="rId179" xr:uid="{00000000-0004-0000-0E00-00000C010000}"/>
    <hyperlink ref="C91" r:id="rId180" xr:uid="{00000000-0004-0000-0E00-00000D010000}"/>
    <hyperlink ref="K91" location="AEO!A1" display="AEO" xr:uid="{00000000-0004-0000-0E00-00000E010000}"/>
    <hyperlink ref="A92" r:id="rId181" xr:uid="{00000000-0004-0000-0E00-00000F010000}"/>
    <hyperlink ref="C92" r:id="rId182" xr:uid="{00000000-0004-0000-0E00-000010010000}"/>
    <hyperlink ref="K92" location="AEO!A1" display="AEO" xr:uid="{00000000-0004-0000-0E00-000011010000}"/>
    <hyperlink ref="A93" r:id="rId183" xr:uid="{00000000-0004-0000-0E00-000012010000}"/>
    <hyperlink ref="C93" r:id="rId184" xr:uid="{00000000-0004-0000-0E00-000013010000}"/>
    <hyperlink ref="K93" location="Main!A1" display="Main" xr:uid="{00000000-0004-0000-0E00-000014010000}"/>
    <hyperlink ref="A94" r:id="rId185" xr:uid="{00000000-0004-0000-0E00-000015010000}"/>
    <hyperlink ref="C94" r:id="rId186" xr:uid="{00000000-0004-0000-0E00-000016010000}"/>
    <hyperlink ref="K94" location="Main!A1" display="Main" xr:uid="{00000000-0004-0000-0E00-000017010000}"/>
    <hyperlink ref="A95" r:id="rId187" xr:uid="{00000000-0004-0000-0E00-000018010000}"/>
    <hyperlink ref="C95" r:id="rId188" xr:uid="{00000000-0004-0000-0E00-000019010000}"/>
    <hyperlink ref="K95" location="Main!A1" display="Main" xr:uid="{00000000-0004-0000-0E00-00001A010000}"/>
    <hyperlink ref="A96" r:id="rId189" xr:uid="{00000000-0004-0000-0E00-00001B010000}"/>
    <hyperlink ref="C96" r:id="rId190" xr:uid="{00000000-0004-0000-0E00-00001C010000}"/>
    <hyperlink ref="K96" location="Main!A1" display="Main" xr:uid="{00000000-0004-0000-0E00-00001D010000}"/>
    <hyperlink ref="A97" r:id="rId191" xr:uid="{00000000-0004-0000-0E00-00001E010000}"/>
    <hyperlink ref="C97" r:id="rId192" xr:uid="{00000000-0004-0000-0E00-00001F010000}"/>
    <hyperlink ref="K97" location="Main!A1" display="Main" xr:uid="{00000000-0004-0000-0E00-00002001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7" customWidth="1"/>
    <col min="3" max="3" width="25" customWidth="1"/>
    <col min="4" max="4" width="24" customWidth="1"/>
    <col min="5" max="6" width="17" customWidth="1"/>
    <col min="7" max="7" width="20" customWidth="1"/>
    <col min="8" max="9" width="23" customWidth="1"/>
    <col min="10" max="10" width="24" customWidth="1"/>
    <col min="11" max="11" width="23" customWidth="1"/>
  </cols>
  <sheetData>
    <row r="1" spans="1:13" ht="45" x14ac:dyDescent="0.25">
      <c r="A1" s="26" t="s">
        <v>102</v>
      </c>
      <c r="B1" s="26" t="s">
        <v>769</v>
      </c>
      <c r="C1" s="26" t="s">
        <v>770</v>
      </c>
      <c r="D1" s="26" t="s">
        <v>771</v>
      </c>
      <c r="E1" s="26" t="s">
        <v>772</v>
      </c>
      <c r="F1" s="26" t="s">
        <v>773</v>
      </c>
      <c r="G1" s="26" t="s">
        <v>774</v>
      </c>
      <c r="H1" s="26" t="s">
        <v>775</v>
      </c>
      <c r="I1" s="26" t="s">
        <v>776</v>
      </c>
      <c r="J1" s="26" t="s">
        <v>777</v>
      </c>
      <c r="K1" s="26" t="s">
        <v>778</v>
      </c>
      <c r="L1" s="26" t="s">
        <v>122</v>
      </c>
      <c r="M1" s="35" t="s">
        <v>211</v>
      </c>
    </row>
    <row r="2" spans="1:13" ht="30" customHeight="1" x14ac:dyDescent="0.25">
      <c r="A2" s="32" t="s">
        <v>144</v>
      </c>
      <c r="B2" s="27"/>
      <c r="C2" s="27"/>
      <c r="D2" s="27"/>
      <c r="E2" s="27"/>
      <c r="F2" s="27"/>
      <c r="G2" s="27"/>
      <c r="H2" s="27"/>
      <c r="I2" s="27"/>
      <c r="J2" s="27"/>
      <c r="K2" s="27"/>
      <c r="L2" s="33" t="str">
        <f>IFERROR(HYPERLINK("#Main!A"&amp;MATCH(A2,Main!A:A,0),"Open"),HYPERLINK("#Main!A1","Open"))</f>
        <v>Open</v>
      </c>
      <c r="M2" s="33"/>
    </row>
    <row r="3" spans="1:13" ht="15.75" x14ac:dyDescent="0.25">
      <c r="A3" s="29" t="s">
        <v>127</v>
      </c>
      <c r="B3" s="36"/>
      <c r="C3" s="36"/>
      <c r="D3" s="36"/>
      <c r="E3" s="36"/>
      <c r="F3" s="36"/>
      <c r="G3" s="36"/>
      <c r="H3" s="36"/>
      <c r="I3" s="36"/>
      <c r="J3" s="36"/>
      <c r="K3" s="36"/>
      <c r="L3" t="str">
        <f>IFERROR(HYPERLINK("#Main!A"&amp;MATCH(A3,Main!A:A,0),"Open"),HYPERLINK("#Main!A1","Open"))</f>
        <v>Open</v>
      </c>
    </row>
    <row r="4" spans="1:13" ht="30" customHeight="1" x14ac:dyDescent="0.25">
      <c r="A4" s="32" t="s">
        <v>135</v>
      </c>
      <c r="B4" s="27"/>
      <c r="C4" s="27"/>
      <c r="D4" s="27"/>
      <c r="E4" s="27"/>
      <c r="F4" s="27"/>
      <c r="G4" s="27"/>
      <c r="H4" s="27"/>
      <c r="I4" s="27"/>
      <c r="J4" s="27"/>
      <c r="K4" s="27"/>
      <c r="L4" s="33" t="str">
        <f>IFERROR(HYPERLINK("#Main!A"&amp;MATCH(A4,Main!A:A,0),"Open"),HYPERLINK("#Main!A1","Open"))</f>
        <v>Open</v>
      </c>
      <c r="M4" s="33"/>
    </row>
    <row r="5" spans="1:13" ht="30" customHeight="1" x14ac:dyDescent="0.25">
      <c r="A5" s="29" t="s">
        <v>152</v>
      </c>
      <c r="B5" s="36"/>
      <c r="C5" s="36"/>
      <c r="D5" s="36"/>
      <c r="E5" s="36"/>
      <c r="F5" s="36"/>
      <c r="G5" s="36"/>
      <c r="H5" s="36"/>
      <c r="I5" s="36"/>
      <c r="J5" s="36"/>
      <c r="K5" s="36"/>
      <c r="L5" t="str">
        <f>IFERROR(HYPERLINK("#Main!A"&amp;MATCH(A5,Main!A:A,0),"Open"),HYPERLINK("#Main!A1","Open"))</f>
        <v>Open</v>
      </c>
    </row>
    <row r="6" spans="1:13" ht="30" customHeight="1" x14ac:dyDescent="0.25">
      <c r="A6" s="32" t="s">
        <v>169</v>
      </c>
      <c r="B6" s="27"/>
      <c r="C6" s="27"/>
      <c r="D6" s="27"/>
      <c r="E6" s="27"/>
      <c r="F6" s="27"/>
      <c r="G6" s="27"/>
      <c r="H6" s="27"/>
      <c r="I6" s="27"/>
      <c r="J6" s="27"/>
      <c r="K6" s="27"/>
      <c r="L6" s="33" t="str">
        <f>IFERROR(HYPERLINK("#Main!A"&amp;MATCH(A6,Main!A:A,0),"Open"),HYPERLINK("#Main!A1","Open"))</f>
        <v>Open</v>
      </c>
      <c r="M6" s="33"/>
    </row>
    <row r="7" spans="1:13" ht="30" customHeight="1" x14ac:dyDescent="0.25">
      <c r="A7" s="29" t="s">
        <v>161</v>
      </c>
      <c r="B7" s="36"/>
      <c r="C7" s="36"/>
      <c r="D7" s="36"/>
      <c r="E7" s="36"/>
      <c r="F7" s="36"/>
      <c r="G7" s="36"/>
      <c r="H7" s="36"/>
      <c r="I7" s="36"/>
      <c r="J7" s="36"/>
      <c r="K7" s="36"/>
      <c r="L7" t="str">
        <f>IFERROR(HYPERLINK("#Main!A"&amp;MATCH(A7,Main!A:A,0),"Open"),HYPERLINK("#Main!A1","Open"))</f>
        <v>Open</v>
      </c>
    </row>
    <row r="8" spans="1:13" ht="30" customHeight="1" x14ac:dyDescent="0.25">
      <c r="A8" s="32" t="s">
        <v>177</v>
      </c>
      <c r="B8" s="27"/>
      <c r="C8" s="27"/>
      <c r="D8" s="27"/>
      <c r="E8" s="27"/>
      <c r="F8" s="27"/>
      <c r="G8" s="27"/>
      <c r="H8" s="27"/>
      <c r="I8" s="27"/>
      <c r="J8" s="27"/>
      <c r="K8" s="27"/>
      <c r="L8" s="33" t="str">
        <f>IFERROR(HYPERLINK("#Main!A"&amp;MATCH(A8,Main!A:A,0),"Open"),HYPERLINK("#Main!A1","Open"))</f>
        <v>Open</v>
      </c>
      <c r="M8" s="33"/>
    </row>
    <row r="9" spans="1:13" ht="30" customHeight="1" x14ac:dyDescent="0.25">
      <c r="A9" s="29" t="s">
        <v>186</v>
      </c>
      <c r="B9" s="36"/>
      <c r="C9" s="36"/>
      <c r="D9" s="36"/>
      <c r="E9" s="36"/>
      <c r="F9" s="36"/>
      <c r="G9" s="36"/>
      <c r="H9" s="36"/>
      <c r="I9" s="36"/>
      <c r="J9" s="36"/>
      <c r="K9" s="36"/>
      <c r="L9" t="str">
        <f>IFERROR(HYPERLINK("#Main!A"&amp;MATCH(A9,Main!A:A,0),"Open"),HYPERLINK("#Main!A1","Open"))</f>
        <v>Open</v>
      </c>
    </row>
    <row r="10" spans="1:13" ht="30" customHeight="1" x14ac:dyDescent="0.25">
      <c r="A10" s="32" t="s">
        <v>194</v>
      </c>
      <c r="B10" s="27"/>
      <c r="C10" s="27"/>
      <c r="D10" s="27"/>
      <c r="E10" s="27"/>
      <c r="F10" s="27"/>
      <c r="G10" s="27"/>
      <c r="H10" s="27"/>
      <c r="I10" s="27"/>
      <c r="J10" s="27"/>
      <c r="K10" s="27"/>
      <c r="L10" s="33" t="str">
        <f>IFERROR(HYPERLINK("#Main!A"&amp;MATCH(A10,Main!A:A,0),"Open"),HYPERLINK("#Main!A1","Open"))</f>
        <v>Open</v>
      </c>
      <c r="M10" s="33"/>
    </row>
    <row r="11" spans="1:13" ht="30" customHeight="1" x14ac:dyDescent="0.25">
      <c r="A11" s="29" t="s">
        <v>202</v>
      </c>
      <c r="B11" s="36"/>
      <c r="C11" s="36"/>
      <c r="D11" s="36"/>
      <c r="E11" s="36"/>
      <c r="F11" s="36"/>
      <c r="G11" s="36"/>
      <c r="H11" s="36"/>
      <c r="I11" s="36"/>
      <c r="J11" s="36"/>
      <c r="K11" s="36"/>
      <c r="L11" t="str">
        <f>IFERROR(HYPERLINK("#Main!A"&amp;MATCH(A11,Main!A:A,0),"Open"),HYPERLINK("#Main!A1","Open"))</f>
        <v>Open</v>
      </c>
    </row>
  </sheetData>
  <autoFilter ref="A1:M11" xr:uid="{00000000-0009-0000-0000-00000F000000}"/>
  <dataValidations count="13">
    <dataValidation type="custom" allowBlank="1" showInputMessage="1" promptTitle="URL" prompt="URL. Use this URL to inspect the page directly or jump to related tabs." sqref="A1" xr:uid="{00000000-0002-0000-0F00-000000000000}">
      <formula1>TRUE</formula1>
    </dataValidation>
    <dataValidation type="custom" allowBlank="1" showInputMessage="1" promptTitle="Strict-Transport-Security" prompt="Strict-Transport-Security. Review this metric to identify risk, then use linked tabs for details and remediation." sqref="B1" xr:uid="{00000000-0002-0000-0F00-000001000000}">
      <formula1>TRUE</formula1>
    </dataValidation>
    <dataValidation type="custom" allowBlank="1" showInputMessage="1" promptTitle="Content-Security-Policy" prompt="Content-Security-Policy. Review this metric to identify risk, then use linked tabs for details and remediation." sqref="C1" xr:uid="{00000000-0002-0000-0F00-000002000000}">
      <formula1>TRUE</formula1>
    </dataValidation>
    <dataValidation type="custom" allowBlank="1" showInputMessage="1" promptTitle="X-Content-Type-Options" prompt="X-Content-Type-Options. Review this metric to identify risk, then use linked tabs for details and remediation." sqref="D1" xr:uid="{00000000-0002-0000-0F00-000003000000}">
      <formula1>TRUE</formula1>
    </dataValidation>
    <dataValidation type="custom" allowBlank="1" showInputMessage="1" promptTitle="X-Frame-Options" prompt="X-Frame-Options. Review this metric to identify risk, then use linked tabs for details and remediation." sqref="E1" xr:uid="{00000000-0002-0000-0F00-000004000000}">
      <formula1>TRUE</formula1>
    </dataValidation>
    <dataValidation type="custom" allowBlank="1" showInputMessage="1" promptTitle="Referrer-Policy" prompt="Referrer-Policy. Review this metric to identify risk, then use linked tabs for details and remediation." sqref="F1" xr:uid="{00000000-0002-0000-0F00-000005000000}">
      <formula1>TRUE</formula1>
    </dataValidation>
    <dataValidation type="custom" allowBlank="1" showInputMessage="1" promptTitle="Permissions-Policy" prompt="Permissions-Policy. Review this metric to identify risk, then use linked tabs for details and remediation." sqref="G1" xr:uid="{00000000-0002-0000-0F00-000006000000}">
      <formula1>TRUE</formula1>
    </dataValidation>
    <dataValidation type="custom" allowBlank="1" showInputMessage="1" promptTitle="Robots.txt Accessible" prompt="Robots.txt Accessible. Review this metric to identify risk, then use linked tabs for details and remediation." sqref="H1" xr:uid="{00000000-0002-0000-0F00-000007000000}">
      <formula1>TRUE</formula1>
    </dataValidation>
    <dataValidation type="custom" allowBlank="1" showInputMessage="1" promptTitle="Sitemap in Robots.txt" prompt="Sitemap in Robots.txt. Review this metric to identify risk, then use linked tabs for details and remediation." sqref="I1" xr:uid="{00000000-0002-0000-0F00-000008000000}">
      <formula1>TRUE</formula1>
    </dataValidation>
    <dataValidation type="custom" allowBlank="1" showInputMessage="1" promptTitle="Robots.txt Crawl-Delay" prompt="Robots.txt Crawl-Delay. Review this metric to identify risk, then use linked tabs for details and remediation." sqref="J1" xr:uid="{00000000-0002-0000-0F00-000009000000}">
      <formula1>TRUE</formula1>
    </dataValidation>
    <dataValidation type="custom" allowBlank="1" showInputMessage="1" promptTitle="Robots.txt Disallow /" prompt="Robots.txt Disallow /. Review this metric to identify risk, then use linked tabs for details and remediation." sqref="K1" xr:uid="{00000000-0002-0000-0F00-00000A000000}">
      <formula1>TRUE</formula1>
    </dataValidation>
    <dataValidation type="custom" allowBlank="1" showInputMessage="1" promptTitle="Open in Main" prompt="Navigation helper. Click to jump directly to the related record in another tab." sqref="L1" xr:uid="{00000000-0002-0000-0F00-00000B000000}">
      <formula1>TRUE</formula1>
    </dataValidation>
    <dataValidation type="custom" allowBlank="1" showInputMessage="1" promptTitle="BACK TO DASHBOARD" prompt="BACK TO DASHBOARD. Review this metric to identify risk, then use linked tabs for details and remediation." sqref="M1" xr:uid="{00000000-0002-0000-0F00-00000C000000}">
      <formula1>TRUE</formula1>
    </dataValidation>
  </dataValidations>
  <hyperlinks>
    <hyperlink ref="M1" location="Dashboard!A1" display="BACK TO DASHBOARD" xr:uid="{00000000-0004-0000-0F00-000000000000}"/>
    <hyperlink ref="A2" r:id="rId1" xr:uid="{00000000-0004-0000-0F00-000001000000}"/>
    <hyperlink ref="A3" r:id="rId2" xr:uid="{00000000-0004-0000-0F00-000002000000}"/>
    <hyperlink ref="A4" r:id="rId3" xr:uid="{00000000-0004-0000-0F00-000003000000}"/>
    <hyperlink ref="A5" r:id="rId4" xr:uid="{00000000-0004-0000-0F00-000004000000}"/>
    <hyperlink ref="A6" r:id="rId5" xr:uid="{00000000-0004-0000-0F00-000005000000}"/>
    <hyperlink ref="A7" r:id="rId6" xr:uid="{00000000-0004-0000-0F00-000006000000}"/>
    <hyperlink ref="A8" r:id="rId7" xr:uid="{00000000-0004-0000-0F00-000007000000}"/>
    <hyperlink ref="A9" r:id="rId8" xr:uid="{00000000-0004-0000-0F00-000008000000}"/>
    <hyperlink ref="A10" r:id="rId9" xr:uid="{00000000-0004-0000-0F00-000009000000}"/>
    <hyperlink ref="A11" r:id="rId10" xr:uid="{00000000-0004-0000-0F00-00000A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74"/>
  <sheetViews>
    <sheetView workbookViewId="0">
      <pane xSplit="2" ySplit="1" topLeftCell="C2" activePane="bottomRight" state="frozen"/>
      <selection pane="topRight"/>
      <selection pane="bottomLeft"/>
      <selection pane="bottomRight" activeCell="C2" sqref="C2"/>
    </sheetView>
  </sheetViews>
  <sheetFormatPr defaultRowHeight="15" x14ac:dyDescent="0.25"/>
  <cols>
    <col min="1" max="1" width="24" customWidth="1"/>
    <col min="2" max="2" width="13" customWidth="1"/>
    <col min="3" max="3" width="60" customWidth="1"/>
    <col min="4" max="4" width="20" customWidth="1"/>
    <col min="5" max="5" width="29" customWidth="1"/>
    <col min="6" max="6" width="60" customWidth="1"/>
  </cols>
  <sheetData>
    <row r="1" spans="1:7" ht="45" x14ac:dyDescent="0.25">
      <c r="A1" s="26" t="s">
        <v>1</v>
      </c>
      <c r="B1" s="26" t="s">
        <v>77</v>
      </c>
      <c r="C1" s="26" t="s">
        <v>601</v>
      </c>
      <c r="D1" s="26" t="s">
        <v>779</v>
      </c>
      <c r="E1" s="26" t="s">
        <v>605</v>
      </c>
      <c r="F1" s="26" t="s">
        <v>780</v>
      </c>
      <c r="G1" s="35" t="s">
        <v>211</v>
      </c>
    </row>
    <row r="2" spans="1:7" ht="225" x14ac:dyDescent="0.25">
      <c r="A2" s="27" t="s">
        <v>86</v>
      </c>
      <c r="B2" s="31" t="s">
        <v>72</v>
      </c>
      <c r="C2" s="58" t="s">
        <v>336</v>
      </c>
      <c r="D2" s="30">
        <v>10</v>
      </c>
      <c r="E2" s="56" t="s">
        <v>20</v>
      </c>
      <c r="F2" s="30" t="s">
        <v>781</v>
      </c>
      <c r="G2" s="33"/>
    </row>
    <row r="3" spans="1:7" ht="15.75" x14ac:dyDescent="0.25">
      <c r="A3" s="36" t="s">
        <v>86</v>
      </c>
      <c r="B3" s="31" t="s">
        <v>72</v>
      </c>
      <c r="C3" s="59" t="s">
        <v>320</v>
      </c>
      <c r="D3" s="42">
        <v>0</v>
      </c>
      <c r="E3" s="57" t="s">
        <v>20</v>
      </c>
      <c r="F3" s="42" t="s">
        <v>782</v>
      </c>
    </row>
    <row r="4" spans="1:7" ht="225" x14ac:dyDescent="0.25">
      <c r="A4" s="34" t="s">
        <v>86</v>
      </c>
      <c r="B4" s="46" t="s">
        <v>351</v>
      </c>
      <c r="C4" s="58" t="s">
        <v>388</v>
      </c>
      <c r="D4" s="30">
        <v>10</v>
      </c>
      <c r="E4" s="56" t="s">
        <v>20</v>
      </c>
      <c r="F4" s="30" t="s">
        <v>781</v>
      </c>
      <c r="G4" s="33"/>
    </row>
    <row r="5" spans="1:7" ht="225" x14ac:dyDescent="0.25">
      <c r="A5" s="34" t="s">
        <v>86</v>
      </c>
      <c r="B5" s="46" t="s">
        <v>351</v>
      </c>
      <c r="C5" s="59" t="s">
        <v>384</v>
      </c>
      <c r="D5" s="42">
        <v>10</v>
      </c>
      <c r="E5" s="57" t="s">
        <v>20</v>
      </c>
      <c r="F5" s="42" t="s">
        <v>781</v>
      </c>
    </row>
    <row r="6" spans="1:7" ht="225" x14ac:dyDescent="0.25">
      <c r="A6" s="34" t="s">
        <v>86</v>
      </c>
      <c r="B6" s="46" t="s">
        <v>351</v>
      </c>
      <c r="C6" s="58" t="s">
        <v>380</v>
      </c>
      <c r="D6" s="30">
        <v>10</v>
      </c>
      <c r="E6" s="56" t="s">
        <v>20</v>
      </c>
      <c r="F6" s="30" t="s">
        <v>781</v>
      </c>
      <c r="G6" s="33"/>
    </row>
    <row r="7" spans="1:7" x14ac:dyDescent="0.25">
      <c r="A7" s="34" t="s">
        <v>86</v>
      </c>
      <c r="B7" s="36"/>
      <c r="C7" s="36"/>
      <c r="D7" s="42"/>
      <c r="E7" s="36"/>
      <c r="F7" s="42" t="s">
        <v>783</v>
      </c>
    </row>
    <row r="8" spans="1:7" ht="240" x14ac:dyDescent="0.25">
      <c r="A8" s="27" t="s">
        <v>784</v>
      </c>
      <c r="B8" s="28" t="s">
        <v>71</v>
      </c>
      <c r="C8" s="58" t="s">
        <v>308</v>
      </c>
      <c r="D8" s="30">
        <v>10</v>
      </c>
      <c r="E8" s="56" t="s">
        <v>24</v>
      </c>
      <c r="F8" s="30" t="s">
        <v>785</v>
      </c>
      <c r="G8" s="33"/>
    </row>
    <row r="9" spans="1:7" ht="15.75" x14ac:dyDescent="0.25">
      <c r="A9" s="36" t="s">
        <v>784</v>
      </c>
      <c r="B9" s="28" t="s">
        <v>71</v>
      </c>
      <c r="C9" s="59" t="s">
        <v>306</v>
      </c>
      <c r="D9" s="42">
        <v>0</v>
      </c>
      <c r="E9" s="57" t="s">
        <v>14</v>
      </c>
      <c r="F9" s="42" t="s">
        <v>786</v>
      </c>
    </row>
    <row r="10" spans="1:7" ht="15.75" x14ac:dyDescent="0.25">
      <c r="A10" s="27" t="s">
        <v>784</v>
      </c>
      <c r="B10" s="28" t="s">
        <v>71</v>
      </c>
      <c r="C10" s="58" t="s">
        <v>297</v>
      </c>
      <c r="D10" s="30">
        <v>0</v>
      </c>
      <c r="E10" s="56" t="s">
        <v>26</v>
      </c>
      <c r="F10" s="30" t="s">
        <v>786</v>
      </c>
      <c r="G10" s="33"/>
    </row>
    <row r="11" spans="1:7" ht="15.75" x14ac:dyDescent="0.25">
      <c r="A11" s="36" t="s">
        <v>784</v>
      </c>
      <c r="B11" s="28" t="s">
        <v>71</v>
      </c>
      <c r="C11" s="59" t="s">
        <v>287</v>
      </c>
      <c r="D11" s="42">
        <v>0</v>
      </c>
      <c r="E11" s="57" t="s">
        <v>14</v>
      </c>
      <c r="F11" s="42" t="s">
        <v>786</v>
      </c>
    </row>
    <row r="12" spans="1:7" ht="15.75" x14ac:dyDescent="0.25">
      <c r="A12" s="27" t="s">
        <v>784</v>
      </c>
      <c r="B12" s="28" t="s">
        <v>71</v>
      </c>
      <c r="C12" s="58" t="s">
        <v>292</v>
      </c>
      <c r="D12" s="30">
        <v>0</v>
      </c>
      <c r="E12" s="56" t="s">
        <v>26</v>
      </c>
      <c r="F12" s="30" t="s">
        <v>786</v>
      </c>
      <c r="G12" s="33"/>
    </row>
    <row r="13" spans="1:7" ht="15.75" x14ac:dyDescent="0.25">
      <c r="A13" s="36" t="s">
        <v>784</v>
      </c>
      <c r="B13" s="28" t="s">
        <v>71</v>
      </c>
      <c r="C13" s="59" t="s">
        <v>275</v>
      </c>
      <c r="D13" s="42">
        <v>0</v>
      </c>
      <c r="E13" s="57" t="s">
        <v>14</v>
      </c>
      <c r="F13" s="42" t="s">
        <v>786</v>
      </c>
    </row>
    <row r="14" spans="1:7" ht="15.75" x14ac:dyDescent="0.25">
      <c r="A14" s="27" t="s">
        <v>784</v>
      </c>
      <c r="B14" s="28" t="s">
        <v>71</v>
      </c>
      <c r="C14" s="58" t="s">
        <v>302</v>
      </c>
      <c r="D14" s="30">
        <v>0</v>
      </c>
      <c r="E14" s="56" t="s">
        <v>14</v>
      </c>
      <c r="F14" s="30" t="s">
        <v>786</v>
      </c>
      <c r="G14" s="33"/>
    </row>
    <row r="15" spans="1:7" ht="240" x14ac:dyDescent="0.25">
      <c r="A15" s="36" t="s">
        <v>784</v>
      </c>
      <c r="B15" s="31" t="s">
        <v>72</v>
      </c>
      <c r="C15" s="59" t="s">
        <v>336</v>
      </c>
      <c r="D15" s="42">
        <v>10</v>
      </c>
      <c r="E15" s="57" t="s">
        <v>20</v>
      </c>
      <c r="F15" s="42" t="s">
        <v>785</v>
      </c>
    </row>
    <row r="16" spans="1:7" ht="240" x14ac:dyDescent="0.25">
      <c r="A16" s="27" t="s">
        <v>784</v>
      </c>
      <c r="B16" s="31" t="s">
        <v>72</v>
      </c>
      <c r="C16" s="58" t="s">
        <v>334</v>
      </c>
      <c r="D16" s="30">
        <v>10</v>
      </c>
      <c r="E16" s="56" t="s">
        <v>14</v>
      </c>
      <c r="F16" s="30" t="s">
        <v>785</v>
      </c>
      <c r="G16" s="33"/>
    </row>
    <row r="17" spans="1:7" ht="120" x14ac:dyDescent="0.25">
      <c r="A17" s="36" t="s">
        <v>784</v>
      </c>
      <c r="B17" s="31" t="s">
        <v>72</v>
      </c>
      <c r="C17" s="59" t="s">
        <v>343</v>
      </c>
      <c r="D17" s="42">
        <v>4</v>
      </c>
      <c r="E17" s="57" t="s">
        <v>14</v>
      </c>
      <c r="F17" s="42" t="s">
        <v>787</v>
      </c>
    </row>
    <row r="18" spans="1:7" ht="75" x14ac:dyDescent="0.25">
      <c r="A18" s="27" t="s">
        <v>784</v>
      </c>
      <c r="B18" s="31" t="s">
        <v>72</v>
      </c>
      <c r="C18" s="58" t="s">
        <v>340</v>
      </c>
      <c r="D18" s="30">
        <v>3</v>
      </c>
      <c r="E18" s="56" t="s">
        <v>14</v>
      </c>
      <c r="F18" s="30" t="s">
        <v>788</v>
      </c>
      <c r="G18" s="33"/>
    </row>
    <row r="19" spans="1:7" ht="45" x14ac:dyDescent="0.25">
      <c r="A19" s="36" t="s">
        <v>784</v>
      </c>
      <c r="B19" s="31" t="s">
        <v>72</v>
      </c>
      <c r="C19" s="59" t="s">
        <v>346</v>
      </c>
      <c r="D19" s="42">
        <v>1</v>
      </c>
      <c r="E19" s="57" t="s">
        <v>14</v>
      </c>
      <c r="F19" s="42" t="s">
        <v>789</v>
      </c>
    </row>
    <row r="20" spans="1:7" ht="15.75" x14ac:dyDescent="0.25">
      <c r="A20" s="27" t="s">
        <v>784</v>
      </c>
      <c r="B20" s="31" t="s">
        <v>72</v>
      </c>
      <c r="C20" s="58" t="s">
        <v>318</v>
      </c>
      <c r="D20" s="30">
        <v>0</v>
      </c>
      <c r="E20" s="56" t="s">
        <v>14</v>
      </c>
      <c r="F20" s="30" t="s">
        <v>786</v>
      </c>
      <c r="G20" s="33"/>
    </row>
    <row r="21" spans="1:7" ht="15.75" x14ac:dyDescent="0.25">
      <c r="A21" s="36" t="s">
        <v>784</v>
      </c>
      <c r="B21" s="31" t="s">
        <v>72</v>
      </c>
      <c r="C21" s="59" t="s">
        <v>330</v>
      </c>
      <c r="D21" s="42">
        <v>0</v>
      </c>
      <c r="E21" s="57" t="s">
        <v>26</v>
      </c>
      <c r="F21" s="42" t="s">
        <v>786</v>
      </c>
    </row>
    <row r="22" spans="1:7" ht="15.75" x14ac:dyDescent="0.25">
      <c r="A22" s="27" t="s">
        <v>784</v>
      </c>
      <c r="B22" s="31" t="s">
        <v>72</v>
      </c>
      <c r="C22" s="58" t="s">
        <v>324</v>
      </c>
      <c r="D22" s="30">
        <v>0</v>
      </c>
      <c r="E22" s="56" t="s">
        <v>14</v>
      </c>
      <c r="F22" s="30" t="s">
        <v>786</v>
      </c>
      <c r="G22" s="33"/>
    </row>
    <row r="23" spans="1:7" ht="15.75" x14ac:dyDescent="0.25">
      <c r="A23" s="36" t="s">
        <v>784</v>
      </c>
      <c r="B23" s="31" t="s">
        <v>72</v>
      </c>
      <c r="C23" s="59" t="s">
        <v>332</v>
      </c>
      <c r="D23" s="42">
        <v>0</v>
      </c>
      <c r="E23" s="57" t="s">
        <v>14</v>
      </c>
      <c r="F23" s="42" t="s">
        <v>786</v>
      </c>
    </row>
    <row r="24" spans="1:7" ht="15.75" x14ac:dyDescent="0.25">
      <c r="A24" s="27" t="s">
        <v>784</v>
      </c>
      <c r="B24" s="31" t="s">
        <v>72</v>
      </c>
      <c r="C24" s="58" t="s">
        <v>320</v>
      </c>
      <c r="D24" s="30">
        <v>0</v>
      </c>
      <c r="E24" s="56" t="s">
        <v>20</v>
      </c>
      <c r="F24" s="30" t="s">
        <v>786</v>
      </c>
      <c r="G24" s="33"/>
    </row>
    <row r="25" spans="1:7" ht="15.75" x14ac:dyDescent="0.25">
      <c r="A25" s="36" t="s">
        <v>784</v>
      </c>
      <c r="B25" s="31" t="s">
        <v>72</v>
      </c>
      <c r="C25" s="59" t="s">
        <v>326</v>
      </c>
      <c r="D25" s="42">
        <v>0</v>
      </c>
      <c r="E25" s="57" t="s">
        <v>14</v>
      </c>
      <c r="F25" s="42" t="s">
        <v>786</v>
      </c>
    </row>
    <row r="26" spans="1:7" ht="15.75" x14ac:dyDescent="0.25">
      <c r="A26" s="27" t="s">
        <v>784</v>
      </c>
      <c r="B26" s="31" t="s">
        <v>72</v>
      </c>
      <c r="C26" s="58" t="s">
        <v>313</v>
      </c>
      <c r="D26" s="30">
        <v>0</v>
      </c>
      <c r="E26" s="56" t="s">
        <v>14</v>
      </c>
      <c r="F26" s="30" t="s">
        <v>786</v>
      </c>
      <c r="G26" s="33"/>
    </row>
    <row r="27" spans="1:7" ht="240" x14ac:dyDescent="0.25">
      <c r="A27" s="34" t="s">
        <v>784</v>
      </c>
      <c r="B27" s="46" t="s">
        <v>351</v>
      </c>
      <c r="C27" s="59" t="s">
        <v>392</v>
      </c>
      <c r="D27" s="42">
        <v>10</v>
      </c>
      <c r="E27" s="57" t="s">
        <v>14</v>
      </c>
      <c r="F27" s="42" t="s">
        <v>785</v>
      </c>
    </row>
    <row r="28" spans="1:7" ht="240" x14ac:dyDescent="0.25">
      <c r="A28" s="34" t="s">
        <v>784</v>
      </c>
      <c r="B28" s="46" t="s">
        <v>351</v>
      </c>
      <c r="C28" s="58" t="s">
        <v>388</v>
      </c>
      <c r="D28" s="30">
        <v>10</v>
      </c>
      <c r="E28" s="56" t="s">
        <v>14</v>
      </c>
      <c r="F28" s="30" t="s">
        <v>785</v>
      </c>
      <c r="G28" s="33"/>
    </row>
    <row r="29" spans="1:7" ht="240" x14ac:dyDescent="0.25">
      <c r="A29" s="34" t="s">
        <v>784</v>
      </c>
      <c r="B29" s="46" t="s">
        <v>351</v>
      </c>
      <c r="C29" s="59" t="s">
        <v>384</v>
      </c>
      <c r="D29" s="42">
        <v>10</v>
      </c>
      <c r="E29" s="57" t="s">
        <v>14</v>
      </c>
      <c r="F29" s="42" t="s">
        <v>785</v>
      </c>
    </row>
    <row r="30" spans="1:7" ht="240" x14ac:dyDescent="0.25">
      <c r="A30" s="34" t="s">
        <v>784</v>
      </c>
      <c r="B30" s="46" t="s">
        <v>351</v>
      </c>
      <c r="C30" s="58" t="s">
        <v>378</v>
      </c>
      <c r="D30" s="30">
        <v>10</v>
      </c>
      <c r="E30" s="56" t="s">
        <v>14</v>
      </c>
      <c r="F30" s="30" t="s">
        <v>785</v>
      </c>
      <c r="G30" s="33"/>
    </row>
    <row r="31" spans="1:7" ht="240" x14ac:dyDescent="0.25">
      <c r="A31" s="34" t="s">
        <v>784</v>
      </c>
      <c r="B31" s="46" t="s">
        <v>351</v>
      </c>
      <c r="C31" s="59" t="s">
        <v>380</v>
      </c>
      <c r="D31" s="42">
        <v>10</v>
      </c>
      <c r="E31" s="57" t="s">
        <v>20</v>
      </c>
      <c r="F31" s="42" t="s">
        <v>785</v>
      </c>
    </row>
    <row r="32" spans="1:7" ht="120" x14ac:dyDescent="0.25">
      <c r="A32" s="34" t="s">
        <v>784</v>
      </c>
      <c r="B32" s="46" t="s">
        <v>351</v>
      </c>
      <c r="C32" s="58" t="s">
        <v>371</v>
      </c>
      <c r="D32" s="30">
        <v>5</v>
      </c>
      <c r="E32" s="56" t="s">
        <v>14</v>
      </c>
      <c r="F32" s="30" t="s">
        <v>790</v>
      </c>
      <c r="G32" s="33"/>
    </row>
    <row r="33" spans="1:7" ht="30" x14ac:dyDescent="0.25">
      <c r="A33" s="34" t="s">
        <v>784</v>
      </c>
      <c r="B33" s="46" t="s">
        <v>351</v>
      </c>
      <c r="C33" s="59" t="s">
        <v>376</v>
      </c>
      <c r="D33" s="42">
        <v>1</v>
      </c>
      <c r="E33" s="57" t="s">
        <v>14</v>
      </c>
      <c r="F33" s="42" t="s">
        <v>791</v>
      </c>
    </row>
    <row r="34" spans="1:7" ht="15.75" x14ac:dyDescent="0.25">
      <c r="A34" s="34" t="s">
        <v>784</v>
      </c>
      <c r="B34" s="46" t="s">
        <v>351</v>
      </c>
      <c r="C34" s="58" t="s">
        <v>365</v>
      </c>
      <c r="D34" s="30">
        <v>0</v>
      </c>
      <c r="E34" s="56" t="s">
        <v>14</v>
      </c>
      <c r="F34" s="30" t="s">
        <v>786</v>
      </c>
      <c r="G34" s="33"/>
    </row>
    <row r="35" spans="1:7" ht="15.75" x14ac:dyDescent="0.25">
      <c r="A35" s="34" t="s">
        <v>784</v>
      </c>
      <c r="B35" s="46" t="s">
        <v>351</v>
      </c>
      <c r="C35" s="59" t="s">
        <v>363</v>
      </c>
      <c r="D35" s="42">
        <v>0</v>
      </c>
      <c r="E35" s="57" t="s">
        <v>14</v>
      </c>
      <c r="F35" s="42" t="s">
        <v>786</v>
      </c>
    </row>
    <row r="36" spans="1:7" ht="15.75" x14ac:dyDescent="0.25">
      <c r="A36" s="34" t="s">
        <v>784</v>
      </c>
      <c r="B36" s="46" t="s">
        <v>351</v>
      </c>
      <c r="C36" s="58" t="s">
        <v>357</v>
      </c>
      <c r="D36" s="30">
        <v>0</v>
      </c>
      <c r="E36" s="56" t="s">
        <v>14</v>
      </c>
      <c r="F36" s="30" t="s">
        <v>786</v>
      </c>
      <c r="G36" s="33"/>
    </row>
    <row r="37" spans="1:7" ht="15.75" x14ac:dyDescent="0.25">
      <c r="A37" s="34" t="s">
        <v>784</v>
      </c>
      <c r="B37" s="46" t="s">
        <v>351</v>
      </c>
      <c r="C37" s="59" t="s">
        <v>367</v>
      </c>
      <c r="D37" s="42">
        <v>0</v>
      </c>
      <c r="E37" s="57" t="s">
        <v>14</v>
      </c>
      <c r="F37" s="42" t="s">
        <v>786</v>
      </c>
    </row>
    <row r="38" spans="1:7" ht="15.75" x14ac:dyDescent="0.25">
      <c r="A38" s="34" t="s">
        <v>784</v>
      </c>
      <c r="B38" s="46" t="s">
        <v>351</v>
      </c>
      <c r="C38" s="58" t="s">
        <v>361</v>
      </c>
      <c r="D38" s="30">
        <v>0</v>
      </c>
      <c r="E38" s="56" t="s">
        <v>14</v>
      </c>
      <c r="F38" s="30" t="s">
        <v>786</v>
      </c>
      <c r="G38" s="33"/>
    </row>
    <row r="39" spans="1:7" ht="15.75" x14ac:dyDescent="0.25">
      <c r="A39" s="34" t="s">
        <v>784</v>
      </c>
      <c r="B39" s="46" t="s">
        <v>351</v>
      </c>
      <c r="C39" s="59" t="s">
        <v>359</v>
      </c>
      <c r="D39" s="42">
        <v>0</v>
      </c>
      <c r="E39" s="57" t="s">
        <v>14</v>
      </c>
      <c r="F39" s="42" t="s">
        <v>786</v>
      </c>
    </row>
    <row r="40" spans="1:7" ht="15.75" x14ac:dyDescent="0.25">
      <c r="A40" s="34" t="s">
        <v>784</v>
      </c>
      <c r="B40" s="46" t="s">
        <v>351</v>
      </c>
      <c r="C40" s="58" t="s">
        <v>350</v>
      </c>
      <c r="D40" s="30">
        <v>0</v>
      </c>
      <c r="E40" s="56" t="s">
        <v>14</v>
      </c>
      <c r="F40" s="30" t="s">
        <v>786</v>
      </c>
      <c r="G40" s="33"/>
    </row>
    <row r="41" spans="1:7" ht="15.75" x14ac:dyDescent="0.25">
      <c r="A41" s="34" t="s">
        <v>784</v>
      </c>
      <c r="B41" s="46" t="s">
        <v>351</v>
      </c>
      <c r="C41" s="59" t="s">
        <v>369</v>
      </c>
      <c r="D41" s="42">
        <v>0</v>
      </c>
      <c r="E41" s="57" t="s">
        <v>14</v>
      </c>
      <c r="F41" s="42" t="s">
        <v>786</v>
      </c>
    </row>
    <row r="42" spans="1:7" x14ac:dyDescent="0.25">
      <c r="A42" s="34" t="s">
        <v>784</v>
      </c>
      <c r="B42" s="27"/>
      <c r="C42" s="27"/>
      <c r="D42" s="30"/>
      <c r="E42" s="27"/>
      <c r="F42" s="30"/>
      <c r="G42" s="33"/>
    </row>
    <row r="43" spans="1:7" x14ac:dyDescent="0.25">
      <c r="A43" s="34" t="s">
        <v>792</v>
      </c>
      <c r="B43" s="36"/>
      <c r="C43" s="36"/>
      <c r="D43" s="42"/>
      <c r="E43" s="36"/>
      <c r="F43" s="42"/>
    </row>
    <row r="44" spans="1:7" ht="75" x14ac:dyDescent="0.25">
      <c r="A44" s="27" t="s">
        <v>792</v>
      </c>
      <c r="B44" s="28" t="s">
        <v>71</v>
      </c>
      <c r="C44" s="27" t="s">
        <v>793</v>
      </c>
      <c r="D44" s="30">
        <v>1</v>
      </c>
      <c r="E44" s="56" t="s">
        <v>30</v>
      </c>
      <c r="F44" s="30" t="s">
        <v>794</v>
      </c>
      <c r="G44" s="33"/>
    </row>
    <row r="45" spans="1:7" ht="75" x14ac:dyDescent="0.25">
      <c r="A45" s="36" t="s">
        <v>792</v>
      </c>
      <c r="B45" s="28" t="s">
        <v>71</v>
      </c>
      <c r="C45" s="36" t="s">
        <v>795</v>
      </c>
      <c r="D45" s="42">
        <v>1</v>
      </c>
      <c r="E45" s="57" t="s">
        <v>30</v>
      </c>
      <c r="F45" s="42" t="s">
        <v>796</v>
      </c>
    </row>
    <row r="46" spans="1:7" ht="60" x14ac:dyDescent="0.25">
      <c r="A46" s="27" t="s">
        <v>792</v>
      </c>
      <c r="B46" s="28" t="s">
        <v>71</v>
      </c>
      <c r="C46" s="27" t="s">
        <v>797</v>
      </c>
      <c r="D46" s="30">
        <v>1</v>
      </c>
      <c r="E46" s="56" t="s">
        <v>30</v>
      </c>
      <c r="F46" s="30" t="s">
        <v>798</v>
      </c>
      <c r="G46" s="33"/>
    </row>
    <row r="47" spans="1:7" ht="60" x14ac:dyDescent="0.25">
      <c r="A47" s="36" t="s">
        <v>792</v>
      </c>
      <c r="B47" s="28" t="s">
        <v>71</v>
      </c>
      <c r="C47" s="36" t="s">
        <v>799</v>
      </c>
      <c r="D47" s="42">
        <v>1</v>
      </c>
      <c r="E47" s="57" t="s">
        <v>30</v>
      </c>
      <c r="F47" s="42" t="s">
        <v>798</v>
      </c>
    </row>
    <row r="48" spans="1:7" ht="60" x14ac:dyDescent="0.25">
      <c r="A48" s="27" t="s">
        <v>792</v>
      </c>
      <c r="B48" s="28" t="s">
        <v>71</v>
      </c>
      <c r="C48" s="27" t="s">
        <v>800</v>
      </c>
      <c r="D48" s="30">
        <v>1</v>
      </c>
      <c r="E48" s="56" t="s">
        <v>30</v>
      </c>
      <c r="F48" s="30" t="s">
        <v>801</v>
      </c>
      <c r="G48" s="33"/>
    </row>
    <row r="49" spans="1:7" ht="60" x14ac:dyDescent="0.25">
      <c r="A49" s="36" t="s">
        <v>792</v>
      </c>
      <c r="B49" s="28" t="s">
        <v>71</v>
      </c>
      <c r="C49" s="36" t="s">
        <v>802</v>
      </c>
      <c r="D49" s="42">
        <v>1</v>
      </c>
      <c r="E49" s="57" t="s">
        <v>30</v>
      </c>
      <c r="F49" s="42" t="s">
        <v>801</v>
      </c>
    </row>
    <row r="50" spans="1:7" ht="60" x14ac:dyDescent="0.25">
      <c r="A50" s="27" t="s">
        <v>792</v>
      </c>
      <c r="B50" s="28" t="s">
        <v>71</v>
      </c>
      <c r="C50" s="27" t="s">
        <v>803</v>
      </c>
      <c r="D50" s="30">
        <v>1</v>
      </c>
      <c r="E50" s="56" t="s">
        <v>30</v>
      </c>
      <c r="F50" s="30" t="s">
        <v>804</v>
      </c>
      <c r="G50" s="33"/>
    </row>
    <row r="51" spans="1:7" ht="60" x14ac:dyDescent="0.25">
      <c r="A51" s="36" t="s">
        <v>792</v>
      </c>
      <c r="B51" s="28" t="s">
        <v>71</v>
      </c>
      <c r="C51" s="36" t="s">
        <v>805</v>
      </c>
      <c r="D51" s="42">
        <v>1</v>
      </c>
      <c r="E51" s="57" t="s">
        <v>30</v>
      </c>
      <c r="F51" s="42" t="s">
        <v>806</v>
      </c>
    </row>
    <row r="52" spans="1:7" ht="60" x14ac:dyDescent="0.25">
      <c r="A52" s="27" t="s">
        <v>792</v>
      </c>
      <c r="B52" s="28" t="s">
        <v>71</v>
      </c>
      <c r="C52" s="27" t="s">
        <v>807</v>
      </c>
      <c r="D52" s="30">
        <v>1</v>
      </c>
      <c r="E52" s="56" t="s">
        <v>30</v>
      </c>
      <c r="F52" s="30" t="s">
        <v>808</v>
      </c>
      <c r="G52" s="33"/>
    </row>
    <row r="53" spans="1:7" ht="60" x14ac:dyDescent="0.25">
      <c r="A53" s="36" t="s">
        <v>792</v>
      </c>
      <c r="B53" s="28" t="s">
        <v>71</v>
      </c>
      <c r="C53" s="36" t="s">
        <v>809</v>
      </c>
      <c r="D53" s="42">
        <v>1</v>
      </c>
      <c r="E53" s="57" t="s">
        <v>30</v>
      </c>
      <c r="F53" s="42" t="s">
        <v>808</v>
      </c>
    </row>
    <row r="54" spans="1:7" x14ac:dyDescent="0.25">
      <c r="A54" s="34" t="s">
        <v>810</v>
      </c>
      <c r="B54" s="27"/>
      <c r="C54" s="27"/>
      <c r="D54" s="30"/>
      <c r="E54" s="27"/>
      <c r="F54" s="30"/>
      <c r="G54" s="33"/>
    </row>
    <row r="55" spans="1:7" ht="15.75" x14ac:dyDescent="0.25">
      <c r="A55" s="34" t="s">
        <v>810</v>
      </c>
      <c r="B55" s="46" t="s">
        <v>351</v>
      </c>
      <c r="C55" s="36" t="s">
        <v>811</v>
      </c>
      <c r="D55" s="42">
        <v>3</v>
      </c>
      <c r="E55" s="57" t="s">
        <v>42</v>
      </c>
      <c r="F55" s="42"/>
    </row>
    <row r="56" spans="1:7" ht="15.75" x14ac:dyDescent="0.25">
      <c r="A56" s="34" t="s">
        <v>810</v>
      </c>
      <c r="B56" s="46" t="s">
        <v>351</v>
      </c>
      <c r="C56" s="27" t="s">
        <v>812</v>
      </c>
      <c r="D56" s="30">
        <v>3</v>
      </c>
      <c r="E56" s="56" t="s">
        <v>42</v>
      </c>
      <c r="F56" s="30"/>
      <c r="G56" s="33"/>
    </row>
    <row r="57" spans="1:7" ht="15.75" x14ac:dyDescent="0.25">
      <c r="A57" s="34" t="s">
        <v>810</v>
      </c>
      <c r="B57" s="46" t="s">
        <v>351</v>
      </c>
      <c r="C57" s="36" t="s">
        <v>813</v>
      </c>
      <c r="D57" s="42">
        <v>3</v>
      </c>
      <c r="E57" s="57" t="s">
        <v>42</v>
      </c>
      <c r="F57" s="42"/>
    </row>
    <row r="58" spans="1:7" ht="15.75" x14ac:dyDescent="0.25">
      <c r="A58" s="34" t="s">
        <v>810</v>
      </c>
      <c r="B58" s="46" t="s">
        <v>351</v>
      </c>
      <c r="C58" s="27" t="s">
        <v>814</v>
      </c>
      <c r="D58" s="30">
        <v>3</v>
      </c>
      <c r="E58" s="56" t="s">
        <v>42</v>
      </c>
      <c r="F58" s="30"/>
      <c r="G58" s="33"/>
    </row>
    <row r="59" spans="1:7" ht="15.75" x14ac:dyDescent="0.25">
      <c r="A59" s="34" t="s">
        <v>810</v>
      </c>
      <c r="B59" s="46" t="s">
        <v>351</v>
      </c>
      <c r="C59" s="36" t="s">
        <v>815</v>
      </c>
      <c r="D59" s="42">
        <v>3</v>
      </c>
      <c r="E59" s="57" t="s">
        <v>42</v>
      </c>
      <c r="F59" s="42"/>
    </row>
    <row r="60" spans="1:7" ht="15.75" x14ac:dyDescent="0.25">
      <c r="A60" s="34" t="s">
        <v>810</v>
      </c>
      <c r="B60" s="46" t="s">
        <v>351</v>
      </c>
      <c r="C60" s="27" t="s">
        <v>816</v>
      </c>
      <c r="D60" s="30">
        <v>3</v>
      </c>
      <c r="E60" s="56" t="s">
        <v>42</v>
      </c>
      <c r="F60" s="30"/>
      <c r="G60" s="33"/>
    </row>
    <row r="61" spans="1:7" ht="15.75" x14ac:dyDescent="0.25">
      <c r="A61" s="34" t="s">
        <v>810</v>
      </c>
      <c r="B61" s="46" t="s">
        <v>351</v>
      </c>
      <c r="C61" s="36" t="s">
        <v>817</v>
      </c>
      <c r="D61" s="42">
        <v>3</v>
      </c>
      <c r="E61" s="57" t="s">
        <v>42</v>
      </c>
      <c r="F61" s="42"/>
    </row>
    <row r="62" spans="1:7" ht="15.75" x14ac:dyDescent="0.25">
      <c r="A62" s="34" t="s">
        <v>810</v>
      </c>
      <c r="B62" s="46" t="s">
        <v>351</v>
      </c>
      <c r="C62" s="27" t="s">
        <v>818</v>
      </c>
      <c r="D62" s="30">
        <v>3</v>
      </c>
      <c r="E62" s="56" t="s">
        <v>42</v>
      </c>
      <c r="F62" s="30"/>
      <c r="G62" s="33"/>
    </row>
    <row r="63" spans="1:7" ht="15.75" x14ac:dyDescent="0.25">
      <c r="A63" s="34" t="s">
        <v>810</v>
      </c>
      <c r="B63" s="46" t="s">
        <v>351</v>
      </c>
      <c r="C63" s="36" t="s">
        <v>819</v>
      </c>
      <c r="D63" s="42">
        <v>1</v>
      </c>
      <c r="E63" s="57" t="s">
        <v>42</v>
      </c>
      <c r="F63" s="42"/>
    </row>
    <row r="64" spans="1:7" ht="15.75" x14ac:dyDescent="0.25">
      <c r="A64" s="34" t="s">
        <v>810</v>
      </c>
      <c r="B64" s="46" t="s">
        <v>351</v>
      </c>
      <c r="C64" s="27" t="s">
        <v>820</v>
      </c>
      <c r="D64" s="30">
        <v>1</v>
      </c>
      <c r="E64" s="56" t="s">
        <v>42</v>
      </c>
      <c r="F64" s="30"/>
      <c r="G64" s="33"/>
    </row>
    <row r="65" spans="1:7" ht="15.75" x14ac:dyDescent="0.25">
      <c r="A65" s="34" t="s">
        <v>810</v>
      </c>
      <c r="B65" s="46" t="s">
        <v>351</v>
      </c>
      <c r="C65" s="36" t="s">
        <v>821</v>
      </c>
      <c r="D65" s="42">
        <v>1</v>
      </c>
      <c r="E65" s="57" t="s">
        <v>42</v>
      </c>
      <c r="F65" s="42"/>
    </row>
    <row r="66" spans="1:7" ht="15.75" x14ac:dyDescent="0.25">
      <c r="A66" s="34" t="s">
        <v>810</v>
      </c>
      <c r="B66" s="46" t="s">
        <v>351</v>
      </c>
      <c r="C66" s="27" t="s">
        <v>822</v>
      </c>
      <c r="D66" s="30">
        <v>1</v>
      </c>
      <c r="E66" s="56" t="s">
        <v>42</v>
      </c>
      <c r="F66" s="30"/>
      <c r="G66" s="33"/>
    </row>
    <row r="67" spans="1:7" ht="15.75" x14ac:dyDescent="0.25">
      <c r="A67" s="34" t="s">
        <v>810</v>
      </c>
      <c r="B67" s="46" t="s">
        <v>351</v>
      </c>
      <c r="C67" s="36" t="s">
        <v>823</v>
      </c>
      <c r="D67" s="42">
        <v>1</v>
      </c>
      <c r="E67" s="57" t="s">
        <v>42</v>
      </c>
      <c r="F67" s="42"/>
    </row>
    <row r="68" spans="1:7" ht="15.75" x14ac:dyDescent="0.25">
      <c r="A68" s="34" t="s">
        <v>810</v>
      </c>
      <c r="B68" s="46" t="s">
        <v>351</v>
      </c>
      <c r="C68" s="27" t="s">
        <v>824</v>
      </c>
      <c r="D68" s="30">
        <v>1</v>
      </c>
      <c r="E68" s="56" t="s">
        <v>42</v>
      </c>
      <c r="F68" s="30"/>
      <c r="G68" s="33"/>
    </row>
    <row r="69" spans="1:7" ht="15.75" x14ac:dyDescent="0.25">
      <c r="A69" s="34" t="s">
        <v>810</v>
      </c>
      <c r="B69" s="46" t="s">
        <v>351</v>
      </c>
      <c r="C69" s="36" t="s">
        <v>825</v>
      </c>
      <c r="D69" s="42">
        <v>1</v>
      </c>
      <c r="E69" s="57" t="s">
        <v>42</v>
      </c>
      <c r="F69" s="42"/>
    </row>
    <row r="70" spans="1:7" ht="15.75" x14ac:dyDescent="0.25">
      <c r="A70" s="34" t="s">
        <v>810</v>
      </c>
      <c r="B70" s="46" t="s">
        <v>351</v>
      </c>
      <c r="C70" s="27" t="s">
        <v>826</v>
      </c>
      <c r="D70" s="30">
        <v>1</v>
      </c>
      <c r="E70" s="56" t="s">
        <v>42</v>
      </c>
      <c r="F70" s="30"/>
      <c r="G70" s="33"/>
    </row>
    <row r="71" spans="1:7" ht="15.75" x14ac:dyDescent="0.25">
      <c r="A71" s="34" t="s">
        <v>810</v>
      </c>
      <c r="B71" s="46" t="s">
        <v>351</v>
      </c>
      <c r="C71" s="36" t="s">
        <v>827</v>
      </c>
      <c r="D71" s="42">
        <v>1</v>
      </c>
      <c r="E71" s="57" t="s">
        <v>42</v>
      </c>
      <c r="F71" s="42"/>
    </row>
    <row r="72" spans="1:7" ht="15.75" x14ac:dyDescent="0.25">
      <c r="A72" s="34" t="s">
        <v>810</v>
      </c>
      <c r="B72" s="46" t="s">
        <v>351</v>
      </c>
      <c r="C72" s="27" t="s">
        <v>828</v>
      </c>
      <c r="D72" s="30">
        <v>1</v>
      </c>
      <c r="E72" s="56" t="s">
        <v>42</v>
      </c>
      <c r="F72" s="30"/>
      <c r="G72" s="33"/>
    </row>
    <row r="73" spans="1:7" ht="15.75" x14ac:dyDescent="0.25">
      <c r="A73" s="34" t="s">
        <v>810</v>
      </c>
      <c r="B73" s="46" t="s">
        <v>351</v>
      </c>
      <c r="C73" s="36" t="s">
        <v>829</v>
      </c>
      <c r="D73" s="42">
        <v>1</v>
      </c>
      <c r="E73" s="57" t="s">
        <v>42</v>
      </c>
      <c r="F73" s="42"/>
    </row>
    <row r="74" spans="1:7" ht="15.75" x14ac:dyDescent="0.25">
      <c r="A74" s="34" t="s">
        <v>810</v>
      </c>
      <c r="B74" s="46" t="s">
        <v>351</v>
      </c>
      <c r="C74" s="27" t="s">
        <v>830</v>
      </c>
      <c r="D74" s="30">
        <v>1</v>
      </c>
      <c r="E74" s="56" t="s">
        <v>42</v>
      </c>
      <c r="F74" s="30"/>
      <c r="G74" s="33"/>
    </row>
  </sheetData>
  <autoFilter ref="A1:G74" xr:uid="{00000000-0009-0000-0000-000010000000}"/>
  <dataValidations count="8">
    <dataValidation type="custom" allowBlank="1" showInputMessage="1" promptTitle="Section" prompt="Summary grouping/navigation field. Use with hyperlinks to jump into detailed tabs." sqref="A1" xr:uid="{00000000-0002-0000-1000-000000000000}">
      <formula1>TRUE</formula1>
    </dataValidation>
    <dataValidation type="custom" allowBlank="1" showInputMessage="1" promptTitle="Severity" prompt="Issue impact level. Fix: Resolve Critical first, then Warning, then improvement opportunities." sqref="B1" xr:uid="{00000000-0002-0000-1000-000001000000}">
      <formula1>TRUE</formula1>
    </dataValidation>
    <dataValidation type="custom" allowBlank="1" showInputMessage="1" promptTitle="Issue" prompt="Issue. Review this metric to identify risk, then use linked tabs for details and remediation." sqref="C1" xr:uid="{00000000-0002-0000-1000-000002000000}">
      <formula1>TRUE</formula1>
    </dataValidation>
    <dataValidation type="custom" allowBlank="1" showInputMessage="1" promptTitle="Affected URL Count" prompt="Affected URL Count. Use this URL to inspect the page directly or jump to related tabs." sqref="D1" xr:uid="{00000000-0002-0000-1000-000003000000}">
      <formula1>TRUE</formula1>
    </dataValidation>
    <dataValidation type="custom" allowBlank="1" showInputMessage="1" promptTitle="Reference Tab" prompt="Summary grouping/navigation field. Use with hyperlinks to jump into detailed tabs." sqref="E1" xr:uid="{00000000-0002-0000-1000-000004000000}">
      <formula1>TRUE</formula1>
    </dataValidation>
    <dataValidation type="custom" allowBlank="1" showInputMessage="1" promptTitle="Affected URLs (sample)" prompt="Affected URLs (sample). Use this URL to inspect the page directly or jump to related tabs." sqref="F1" xr:uid="{00000000-0002-0000-1000-000005000000}">
      <formula1>TRUE</formula1>
    </dataValidation>
    <dataValidation type="custom" allowBlank="1" showInputMessage="1" promptTitle="BACK TO DASHBOARD" prompt="BACK TO DASHBOARD. Review this metric to identify risk, then use linked tabs for details and remediation." sqref="G1" xr:uid="{00000000-0002-0000-1000-000006000000}">
      <formula1>TRUE</formula1>
    </dataValidation>
    <dataValidation type="custom" allowBlank="1" showInputMessage="1" promptTitle="Severity" prompt="Impact level of the issue. Fix: Resolve Critical first, then Warning, then Observation opportunities." sqref="B1" xr:uid="{00000000-0002-0000-1000-000007000000}">
      <formula1>TRUE</formula1>
    </dataValidation>
  </dataValidations>
  <hyperlinks>
    <hyperlink ref="G1" location="Dashboard!A1" display="BACK TO DASHBOARD" xr:uid="{00000000-0004-0000-1000-000000000000}"/>
    <hyperlink ref="C2" location="FixPlan!A17" display="Low AEO Readiness Score" xr:uid="{00000000-0004-0000-1000-000001000000}"/>
    <hyperlink ref="E2" location="AEO!A1" display="AEO" xr:uid="{00000000-0004-0000-1000-000002000000}"/>
    <hyperlink ref="C3" location="FixPlan!A11" display="Missing FAQ/QA Schema" xr:uid="{00000000-0004-0000-1000-000003000000}"/>
    <hyperlink ref="E3" location="AEO!A1" display="AEO" xr:uid="{00000000-0004-0000-1000-000004000000}"/>
    <hyperlink ref="C4" location="FixPlan!A34" display="No 40-60 Word Answer Paragraphs" xr:uid="{00000000-0004-0000-1000-000005000000}"/>
    <hyperlink ref="E4" location="AEO!A1" display="AEO" xr:uid="{00000000-0004-0000-1000-000006000000}"/>
    <hyperlink ref="C5" location="FixPlan!A33" display="No Answer-Friendly Structure" xr:uid="{00000000-0004-0000-1000-000007000000}"/>
    <hyperlink ref="E5" location="AEO!A1" display="AEO" xr:uid="{00000000-0004-0000-1000-000008000000}"/>
    <hyperlink ref="C6" location="FixPlan!A32" display="No Question Headings" xr:uid="{00000000-0004-0000-1000-000009000000}"/>
    <hyperlink ref="E6" location="AEO!A1" display="AEO" xr:uid="{00000000-0004-0000-1000-00000A000000}"/>
    <hyperlink ref="C8" location="FixPlan!A8" display="Broken Internal Links" xr:uid="{00000000-0004-0000-1000-00000B000000}"/>
    <hyperlink ref="E8" location="Links!A1" display="Links" xr:uid="{00000000-0004-0000-1000-00000C000000}"/>
    <hyperlink ref="C9" location="FixPlan!A7" display="CWV LCP Above 4.0s" xr:uid="{00000000-0004-0000-1000-00000D000000}"/>
    <hyperlink ref="E9" location="Technical!A1" display="Technical" xr:uid="{00000000-0004-0000-1000-00000E000000}"/>
    <hyperlink ref="C10" location="FixPlan!A5" display="Canonical Points Elsewhere" xr:uid="{00000000-0004-0000-1000-00000F000000}"/>
    <hyperlink ref="E10" location="Indexability!A1" display="Indexability" xr:uid="{00000000-0004-0000-1000-000010000000}"/>
    <hyperlink ref="C11" location="FixPlan!A3" display="Missing Title" xr:uid="{00000000-0004-0000-1000-000011000000}"/>
    <hyperlink ref="E11" location="Technical!A1" display="Technical" xr:uid="{00000000-0004-0000-1000-000012000000}"/>
    <hyperlink ref="C12" location="FixPlan!A4" display="Noindex Directive" xr:uid="{00000000-0004-0000-1000-000013000000}"/>
    <hyperlink ref="E12" location="Indexability!A1" display="Indexability" xr:uid="{00000000-0004-0000-1000-000014000000}"/>
    <hyperlink ref="C13" location="FixPlan!A2" display="Non-200 Status" xr:uid="{00000000-0004-0000-1000-000015000000}"/>
    <hyperlink ref="E13" location="Technical!A1" display="Technical" xr:uid="{00000000-0004-0000-1000-000016000000}"/>
    <hyperlink ref="C14" location="FixPlan!A6" display="Robots.txt Disallow Root" xr:uid="{00000000-0004-0000-1000-000017000000}"/>
    <hyperlink ref="E14" location="Technical!A1" display="Technical" xr:uid="{00000000-0004-0000-1000-000018000000}"/>
    <hyperlink ref="C15" location="FixPlan!A17" display="Low AEO Readiness Score" xr:uid="{00000000-0004-0000-1000-000019000000}"/>
    <hyperlink ref="E15" location="AEO!A1" display="AEO" xr:uid="{00000000-0004-0000-1000-00001A000000}"/>
    <hyperlink ref="C16" location="FixPlan!A16" display="Low Image Alt Coverage" xr:uid="{00000000-0004-0000-1000-00001B000000}"/>
    <hyperlink ref="E16" location="Technical!A1" display="Technical" xr:uid="{00000000-0004-0000-1000-00001C000000}"/>
    <hyperlink ref="C17" location="FixPlan!A19" display="Missing H1" xr:uid="{00000000-0004-0000-1000-00001D000000}"/>
    <hyperlink ref="E17" location="Technical!A1" display="Technical" xr:uid="{00000000-0004-0000-1000-00001E000000}"/>
    <hyperlink ref="C18" location="FixPlan!A18" display="Multiple H1" xr:uid="{00000000-0004-0000-1000-00001F000000}"/>
    <hyperlink ref="E18" location="Technical!A1" display="Technical" xr:uid="{00000000-0004-0000-1000-000020000000}"/>
    <hyperlink ref="C19" location="FixPlan!A20" display="Missing Meta Description" xr:uid="{00000000-0004-0000-1000-000021000000}"/>
    <hyperlink ref="E19" location="Technical!A1" display="Technical" xr:uid="{00000000-0004-0000-1000-000022000000}"/>
    <hyperlink ref="C20" location="FixPlan!A10" display="CWV LCP Needs Improvement (2.5-4.0s)" xr:uid="{00000000-0004-0000-1000-000023000000}"/>
    <hyperlink ref="E20" location="Technical!A1" display="Technical" xr:uid="{00000000-0004-0000-1000-000024000000}"/>
    <hyperlink ref="C21" location="FixPlan!A14" display="Canonical Missing" xr:uid="{00000000-0004-0000-1000-000025000000}"/>
    <hyperlink ref="E21" location="Indexability!A1" display="Indexability" xr:uid="{00000000-0004-0000-1000-000026000000}"/>
    <hyperlink ref="C22" location="FixPlan!A12" display="Deep URL (&gt;3 clicks)" xr:uid="{00000000-0004-0000-1000-000027000000}"/>
    <hyperlink ref="E22" location="Technical!A1" display="Technical" xr:uid="{00000000-0004-0000-1000-000028000000}"/>
    <hyperlink ref="C23" location="FixPlan!A15" display="Hreflang Without Reciprocity" xr:uid="{00000000-0004-0000-1000-000029000000}"/>
    <hyperlink ref="E23" location="Technical!A1" display="Technical" xr:uid="{00000000-0004-0000-1000-00002A000000}"/>
    <hyperlink ref="C24" location="FixPlan!A11" display="Missing FAQ/QA Schema" xr:uid="{00000000-0004-0000-1000-00002B000000}"/>
    <hyperlink ref="E24" location="AEO!A1" display="AEO" xr:uid="{00000000-0004-0000-1000-00002C000000}"/>
    <hyperlink ref="C25" location="FixPlan!A13" display="Mixed Content" xr:uid="{00000000-0004-0000-1000-00002D000000}"/>
    <hyperlink ref="E25" location="Technical!A1" display="Technical" xr:uid="{00000000-0004-0000-1000-00002E000000}"/>
    <hyperlink ref="C26" location="FixPlan!A9" display="Redirect Chains" xr:uid="{00000000-0004-0000-1000-00002F000000}"/>
    <hyperlink ref="E26" location="Technical!A1" display="Technical" xr:uid="{00000000-0004-0000-1000-000030000000}"/>
    <hyperlink ref="C27" location="FixPlan!A35" display="AI Crawlers Not Explicitly Allowed" xr:uid="{00000000-0004-0000-1000-000031000000}"/>
    <hyperlink ref="E27" location="Technical!A1" display="Technical" xr:uid="{00000000-0004-0000-1000-000032000000}"/>
    <hyperlink ref="C28" location="FixPlan!A34" display="No 40-60 Word Answer Paragraphs" xr:uid="{00000000-0004-0000-1000-000033000000}"/>
    <hyperlink ref="E28" location="Technical!A1" display="Technical" xr:uid="{00000000-0004-0000-1000-000034000000}"/>
    <hyperlink ref="C29" location="FixPlan!A33" display="No Answer-Friendly Structure" xr:uid="{00000000-0004-0000-1000-000035000000}"/>
    <hyperlink ref="E29" location="Technical!A1" display="Technical" xr:uid="{00000000-0004-0000-1000-000036000000}"/>
    <hyperlink ref="C30" location="FixPlan!A31" display="No ETag Header" xr:uid="{00000000-0004-0000-1000-000037000000}"/>
    <hyperlink ref="E30" location="Technical!A1" display="Technical" xr:uid="{00000000-0004-0000-1000-000038000000}"/>
    <hyperlink ref="C31" location="FixPlan!A32" display="No Question Headings" xr:uid="{00000000-0004-0000-1000-000039000000}"/>
    <hyperlink ref="E31" location="AEO!A1" display="AEO" xr:uid="{00000000-0004-0000-1000-00003A000000}"/>
    <hyperlink ref="C32" location="FixPlan!A29" display="Thin Content" xr:uid="{00000000-0004-0000-1000-00003B000000}"/>
    <hyperlink ref="E32" location="Technical!A1" display="Technical" xr:uid="{00000000-0004-0000-1000-00003C000000}"/>
    <hyperlink ref="C33" location="FixPlan!A30" display="Generic Anchor Text Present" xr:uid="{00000000-0004-0000-1000-00003D000000}"/>
    <hyperlink ref="E33" location="Technical!A1" display="Technical" xr:uid="{00000000-0004-0000-1000-00003E000000}"/>
    <hyperlink ref="C34" location="FixPlan!A26" display="CLS Above 0.1" xr:uid="{00000000-0004-0000-1000-00003F000000}"/>
    <hyperlink ref="E34" location="Technical!A1" display="Technical" xr:uid="{00000000-0004-0000-1000-000040000000}"/>
    <hyperlink ref="C35" location="FixPlan!A25" display="INP Above 100ms" xr:uid="{00000000-0004-0000-1000-000041000000}"/>
    <hyperlink ref="E35" location="Technical!A1" display="Technical" xr:uid="{00000000-0004-0000-1000-000042000000}"/>
    <hyperlink ref="C36" location="FixPlan!A22" display="Image Filename Quality Issues" xr:uid="{00000000-0004-0000-1000-000043000000}"/>
    <hyperlink ref="E36" location="Technical!A1" display="Technical" xr:uid="{00000000-0004-0000-1000-000044000000}"/>
    <hyperlink ref="C37" location="FixPlan!A27" display="Low Regional Authority" xr:uid="{00000000-0004-0000-1000-000045000000}"/>
    <hyperlink ref="E37" location="Technical!A1" display="Technical" xr:uid="{00000000-0004-0000-1000-000046000000}"/>
    <hyperlink ref="C38" location="FixPlan!A24" display="No Cache-Control Header" xr:uid="{00000000-0004-0000-1000-000047000000}"/>
    <hyperlink ref="E38" location="Technical!A1" display="Technical" xr:uid="{00000000-0004-0000-1000-000048000000}"/>
    <hyperlink ref="C39" location="FixPlan!A23" display="No Compression Header" xr:uid="{00000000-0004-0000-1000-000049000000}"/>
    <hyperlink ref="E39" location="Technical!A1" display="Technical" xr:uid="{00000000-0004-0000-1000-00004A000000}"/>
    <hyperlink ref="C40" location="FixPlan!A21" display="Uses URL Parameters" xr:uid="{00000000-0004-0000-1000-00004B000000}"/>
    <hyperlink ref="E40" location="Technical!A1" display="Technical" xr:uid="{00000000-0004-0000-1000-00004C000000}"/>
    <hyperlink ref="C41" location="FixPlan!A28" display="llms.txt Missing" xr:uid="{00000000-0004-0000-1000-00004D000000}"/>
    <hyperlink ref="E41" location="Technical!A1" display="Technical" xr:uid="{00000000-0004-0000-1000-00004E000000}"/>
    <hyperlink ref="E44" location="Priority URLs!A1" display="Priority URLs" xr:uid="{00000000-0004-0000-1000-00004F000000}"/>
    <hyperlink ref="E45" location="Priority URLs!A1" display="Priority URLs" xr:uid="{00000000-0004-0000-1000-000050000000}"/>
    <hyperlink ref="E46" location="Priority URLs!A1" display="Priority URLs" xr:uid="{00000000-0004-0000-1000-000051000000}"/>
    <hyperlink ref="E47" location="Priority URLs!A1" display="Priority URLs" xr:uid="{00000000-0004-0000-1000-000052000000}"/>
    <hyperlink ref="E48" location="Priority URLs!A1" display="Priority URLs" xr:uid="{00000000-0004-0000-1000-000053000000}"/>
    <hyperlink ref="E49" location="Priority URLs!A1" display="Priority URLs" xr:uid="{00000000-0004-0000-1000-000054000000}"/>
    <hyperlink ref="E50" location="Priority URLs!A1" display="Priority URLs" xr:uid="{00000000-0004-0000-1000-000055000000}"/>
    <hyperlink ref="E51" location="Priority URLs!A1" display="Priority URLs" xr:uid="{00000000-0004-0000-1000-000056000000}"/>
    <hyperlink ref="E52" location="Priority URLs!A1" display="Priority URLs" xr:uid="{00000000-0004-0000-1000-000057000000}"/>
    <hyperlink ref="E53" location="Priority URLs!A1" display="Priority URLs" xr:uid="{00000000-0004-0000-1000-000058000000}"/>
    <hyperlink ref="E55" location="Pattern and Template Issues!A1" display="Pattern and Template Issues" xr:uid="{00000000-0004-0000-1000-000059000000}"/>
    <hyperlink ref="E56" location="Pattern and Template Issues!A1" display="Pattern and Template Issues" xr:uid="{00000000-0004-0000-1000-00005A000000}"/>
    <hyperlink ref="E57" location="Pattern and Template Issues!A1" display="Pattern and Template Issues" xr:uid="{00000000-0004-0000-1000-00005B000000}"/>
    <hyperlink ref="E58" location="Pattern and Template Issues!A1" display="Pattern and Template Issues" xr:uid="{00000000-0004-0000-1000-00005C000000}"/>
    <hyperlink ref="E59" location="Pattern and Template Issues!A1" display="Pattern and Template Issues" xr:uid="{00000000-0004-0000-1000-00005D000000}"/>
    <hyperlink ref="E60" location="Pattern and Template Issues!A1" display="Pattern and Template Issues" xr:uid="{00000000-0004-0000-1000-00005E000000}"/>
    <hyperlink ref="E61" location="Pattern and Template Issues!A1" display="Pattern and Template Issues" xr:uid="{00000000-0004-0000-1000-00005F000000}"/>
    <hyperlink ref="E62" location="Pattern and Template Issues!A1" display="Pattern and Template Issues" xr:uid="{00000000-0004-0000-1000-000060000000}"/>
    <hyperlink ref="E63" location="Pattern and Template Issues!A1" display="Pattern and Template Issues" xr:uid="{00000000-0004-0000-1000-000061000000}"/>
    <hyperlink ref="E64" location="Pattern and Template Issues!A1" display="Pattern and Template Issues" xr:uid="{00000000-0004-0000-1000-000062000000}"/>
    <hyperlink ref="E65" location="Pattern and Template Issues!A1" display="Pattern and Template Issues" xr:uid="{00000000-0004-0000-1000-000063000000}"/>
    <hyperlink ref="E66" location="Pattern and Template Issues!A1" display="Pattern and Template Issues" xr:uid="{00000000-0004-0000-1000-000064000000}"/>
    <hyperlink ref="E67" location="Pattern and Template Issues!A1" display="Pattern and Template Issues" xr:uid="{00000000-0004-0000-1000-000065000000}"/>
    <hyperlink ref="E68" location="Pattern and Template Issues!A1" display="Pattern and Template Issues" xr:uid="{00000000-0004-0000-1000-000066000000}"/>
    <hyperlink ref="E69" location="Pattern and Template Issues!A1" display="Pattern and Template Issues" xr:uid="{00000000-0004-0000-1000-000067000000}"/>
    <hyperlink ref="E70" location="Pattern and Template Issues!A1" display="Pattern and Template Issues" xr:uid="{00000000-0004-0000-1000-000068000000}"/>
    <hyperlink ref="E71" location="Pattern and Template Issues!A1" display="Pattern and Template Issues" xr:uid="{00000000-0004-0000-1000-000069000000}"/>
    <hyperlink ref="E72" location="Pattern and Template Issues!A1" display="Pattern and Template Issues" xr:uid="{00000000-0004-0000-1000-00006A000000}"/>
    <hyperlink ref="E73" location="Pattern and Template Issues!A1" display="Pattern and Template Issues" xr:uid="{00000000-0004-0000-1000-00006B000000}"/>
    <hyperlink ref="E74" location="Pattern and Template Issues!A1" display="Pattern and Template Issues" xr:uid="{00000000-0004-0000-1000-00006C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454"/>
  <sheetViews>
    <sheetView workbookViewId="0">
      <pane xSplit="2" ySplit="1" topLeftCell="C2" activePane="bottomRight" state="frozen"/>
      <selection pane="topRight"/>
      <selection pane="bottomLeft"/>
      <selection pane="bottomRight"/>
    </sheetView>
  </sheetViews>
  <sheetFormatPr defaultRowHeight="15" x14ac:dyDescent="0.25"/>
  <cols>
    <col min="1" max="3" width="60" customWidth="1"/>
    <col min="4" max="4" width="5" customWidth="1"/>
    <col min="5" max="5" width="11" customWidth="1"/>
    <col min="6" max="6" width="10" customWidth="1"/>
    <col min="7" max="7" width="28" customWidth="1"/>
    <col min="8" max="8" width="11" customWidth="1"/>
  </cols>
  <sheetData>
    <row r="1" spans="1:9" ht="45" x14ac:dyDescent="0.25">
      <c r="A1" s="26" t="s">
        <v>831</v>
      </c>
      <c r="B1" s="26" t="s">
        <v>832</v>
      </c>
      <c r="C1" s="26" t="s">
        <v>833</v>
      </c>
      <c r="D1" s="26" t="s">
        <v>834</v>
      </c>
      <c r="E1" s="26" t="s">
        <v>835</v>
      </c>
      <c r="F1" s="26" t="s">
        <v>836</v>
      </c>
      <c r="G1" s="26" t="s">
        <v>837</v>
      </c>
      <c r="H1" s="26" t="s">
        <v>838</v>
      </c>
      <c r="I1" s="35" t="s">
        <v>211</v>
      </c>
    </row>
    <row r="2" spans="1:9" ht="30" x14ac:dyDescent="0.25">
      <c r="A2" s="54" t="s">
        <v>144</v>
      </c>
      <c r="B2" s="30" t="s">
        <v>127</v>
      </c>
      <c r="C2" s="27"/>
      <c r="D2" s="27"/>
      <c r="E2" s="27" t="s">
        <v>839</v>
      </c>
      <c r="F2" s="27" t="b">
        <v>0</v>
      </c>
      <c r="G2" s="27">
        <v>200</v>
      </c>
      <c r="H2" s="27" t="b">
        <v>1</v>
      </c>
      <c r="I2" s="33"/>
    </row>
    <row r="3" spans="1:9" ht="30" x14ac:dyDescent="0.25">
      <c r="A3" s="54" t="s">
        <v>144</v>
      </c>
      <c r="B3" s="42" t="s">
        <v>127</v>
      </c>
      <c r="C3" s="36" t="s">
        <v>840</v>
      </c>
      <c r="D3" s="36"/>
      <c r="E3" s="36" t="s">
        <v>839</v>
      </c>
      <c r="F3" s="36" t="b">
        <v>0</v>
      </c>
      <c r="G3" s="36">
        <v>200</v>
      </c>
      <c r="H3" s="36" t="b">
        <v>1</v>
      </c>
    </row>
    <row r="4" spans="1:9" ht="30" x14ac:dyDescent="0.25">
      <c r="A4" s="54" t="s">
        <v>144</v>
      </c>
      <c r="B4" s="30" t="s">
        <v>135</v>
      </c>
      <c r="C4" s="27" t="s">
        <v>841</v>
      </c>
      <c r="D4" s="27"/>
      <c r="E4" s="27" t="s">
        <v>839</v>
      </c>
      <c r="F4" s="27" t="b">
        <v>0</v>
      </c>
      <c r="G4" s="27">
        <v>200</v>
      </c>
      <c r="H4" s="27" t="b">
        <v>1</v>
      </c>
      <c r="I4" s="33"/>
    </row>
    <row r="5" spans="1:9" ht="30" x14ac:dyDescent="0.25">
      <c r="A5" s="54" t="s">
        <v>144</v>
      </c>
      <c r="B5" s="42" t="s">
        <v>842</v>
      </c>
      <c r="C5" s="36" t="s">
        <v>843</v>
      </c>
      <c r="D5" s="36"/>
      <c r="E5" s="36" t="s">
        <v>839</v>
      </c>
      <c r="F5" s="36" t="b">
        <v>0</v>
      </c>
      <c r="G5" s="36">
        <v>200</v>
      </c>
      <c r="H5" s="36" t="b">
        <v>1</v>
      </c>
    </row>
    <row r="6" spans="1:9" ht="30" x14ac:dyDescent="0.25">
      <c r="A6" s="54" t="s">
        <v>144</v>
      </c>
      <c r="B6" s="30" t="s">
        <v>844</v>
      </c>
      <c r="C6" s="27" t="s">
        <v>845</v>
      </c>
      <c r="D6" s="27"/>
      <c r="E6" s="27" t="s">
        <v>839</v>
      </c>
      <c r="F6" s="27" t="b">
        <v>0</v>
      </c>
      <c r="G6" s="27">
        <v>200</v>
      </c>
      <c r="H6" s="27" t="b">
        <v>1</v>
      </c>
      <c r="I6" s="33"/>
    </row>
    <row r="7" spans="1:9" ht="30" x14ac:dyDescent="0.25">
      <c r="A7" s="54" t="s">
        <v>144</v>
      </c>
      <c r="B7" s="42" t="s">
        <v>144</v>
      </c>
      <c r="C7" s="36" t="s">
        <v>846</v>
      </c>
      <c r="D7" s="36"/>
      <c r="E7" s="36" t="s">
        <v>839</v>
      </c>
      <c r="F7" s="36" t="b">
        <v>0</v>
      </c>
      <c r="G7" s="36">
        <v>200</v>
      </c>
      <c r="H7" s="36" t="b">
        <v>1</v>
      </c>
    </row>
    <row r="8" spans="1:9" ht="30" x14ac:dyDescent="0.25">
      <c r="A8" s="54" t="s">
        <v>144</v>
      </c>
      <c r="B8" s="30" t="s">
        <v>847</v>
      </c>
      <c r="C8" s="27" t="s">
        <v>848</v>
      </c>
      <c r="D8" s="27"/>
      <c r="E8" s="27" t="s">
        <v>839</v>
      </c>
      <c r="F8" s="27" t="b">
        <v>0</v>
      </c>
      <c r="G8" s="27">
        <v>200</v>
      </c>
      <c r="H8" s="27" t="b">
        <v>1</v>
      </c>
      <c r="I8" s="33"/>
    </row>
    <row r="9" spans="1:9" ht="30" x14ac:dyDescent="0.25">
      <c r="A9" s="54" t="s">
        <v>144</v>
      </c>
      <c r="B9" s="42" t="s">
        <v>849</v>
      </c>
      <c r="C9" s="36" t="s">
        <v>850</v>
      </c>
      <c r="D9" s="36"/>
      <c r="E9" s="36" t="s">
        <v>839</v>
      </c>
      <c r="F9" s="36" t="b">
        <v>0</v>
      </c>
      <c r="G9" s="36">
        <v>200</v>
      </c>
      <c r="H9" s="36" t="b">
        <v>1</v>
      </c>
    </row>
    <row r="10" spans="1:9" ht="30" x14ac:dyDescent="0.25">
      <c r="A10" s="54" t="s">
        <v>144</v>
      </c>
      <c r="B10" s="30" t="s">
        <v>851</v>
      </c>
      <c r="C10" s="27" t="s">
        <v>852</v>
      </c>
      <c r="D10" s="27"/>
      <c r="E10" s="27" t="s">
        <v>839</v>
      </c>
      <c r="F10" s="27" t="b">
        <v>0</v>
      </c>
      <c r="G10" s="27">
        <v>200</v>
      </c>
      <c r="H10" s="27" t="b">
        <v>1</v>
      </c>
      <c r="I10" s="33"/>
    </row>
    <row r="11" spans="1:9" ht="30" x14ac:dyDescent="0.25">
      <c r="A11" s="54" t="s">
        <v>144</v>
      </c>
      <c r="B11" s="42" t="s">
        <v>853</v>
      </c>
      <c r="C11" s="36" t="s">
        <v>854</v>
      </c>
      <c r="D11" s="36"/>
      <c r="E11" s="36" t="s">
        <v>839</v>
      </c>
      <c r="F11" s="36" t="b">
        <v>0</v>
      </c>
      <c r="G11" s="36">
        <v>200</v>
      </c>
      <c r="H11" s="36" t="b">
        <v>1</v>
      </c>
    </row>
    <row r="12" spans="1:9" ht="30" x14ac:dyDescent="0.25">
      <c r="A12" s="54" t="s">
        <v>144</v>
      </c>
      <c r="B12" s="30" t="s">
        <v>853</v>
      </c>
      <c r="C12" s="27" t="s">
        <v>855</v>
      </c>
      <c r="D12" s="27"/>
      <c r="E12" s="27" t="s">
        <v>839</v>
      </c>
      <c r="F12" s="27" t="b">
        <v>0</v>
      </c>
      <c r="G12" s="27">
        <v>200</v>
      </c>
      <c r="H12" s="27" t="b">
        <v>1</v>
      </c>
      <c r="I12" s="33"/>
    </row>
    <row r="13" spans="1:9" ht="30" x14ac:dyDescent="0.25">
      <c r="A13" s="54" t="s">
        <v>144</v>
      </c>
      <c r="B13" s="42" t="s">
        <v>856</v>
      </c>
      <c r="C13" s="36" t="s">
        <v>857</v>
      </c>
      <c r="D13" s="36"/>
      <c r="E13" s="36" t="s">
        <v>839</v>
      </c>
      <c r="F13" s="36" t="b">
        <v>0</v>
      </c>
      <c r="G13" s="36">
        <v>200</v>
      </c>
      <c r="H13" s="36" t="b">
        <v>1</v>
      </c>
    </row>
    <row r="14" spans="1:9" ht="30" x14ac:dyDescent="0.25">
      <c r="A14" s="54" t="s">
        <v>144</v>
      </c>
      <c r="B14" s="30" t="s">
        <v>858</v>
      </c>
      <c r="C14" s="27" t="s">
        <v>859</v>
      </c>
      <c r="D14" s="27"/>
      <c r="E14" s="27" t="s">
        <v>839</v>
      </c>
      <c r="F14" s="27" t="b">
        <v>0</v>
      </c>
      <c r="G14" s="27">
        <v>200</v>
      </c>
      <c r="H14" s="27" t="b">
        <v>1</v>
      </c>
      <c r="I14" s="33"/>
    </row>
    <row r="15" spans="1:9" ht="30" x14ac:dyDescent="0.25">
      <c r="A15" s="54" t="s">
        <v>144</v>
      </c>
      <c r="B15" s="42" t="s">
        <v>860</v>
      </c>
      <c r="C15" s="36" t="s">
        <v>861</v>
      </c>
      <c r="D15" s="36"/>
      <c r="E15" s="36" t="s">
        <v>839</v>
      </c>
      <c r="F15" s="36" t="b">
        <v>0</v>
      </c>
      <c r="G15" s="36">
        <v>200</v>
      </c>
      <c r="H15" s="36" t="b">
        <v>1</v>
      </c>
    </row>
    <row r="16" spans="1:9" ht="30" x14ac:dyDescent="0.25">
      <c r="A16" s="54" t="s">
        <v>144</v>
      </c>
      <c r="B16" s="30" t="s">
        <v>127</v>
      </c>
      <c r="C16" s="27" t="s">
        <v>840</v>
      </c>
      <c r="D16" s="27"/>
      <c r="E16" s="27" t="s">
        <v>839</v>
      </c>
      <c r="F16" s="27" t="b">
        <v>0</v>
      </c>
      <c r="G16" s="27">
        <v>200</v>
      </c>
      <c r="H16" s="27" t="b">
        <v>1</v>
      </c>
      <c r="I16" s="33"/>
    </row>
    <row r="17" spans="1:9" ht="30" x14ac:dyDescent="0.25">
      <c r="A17" s="54" t="s">
        <v>144</v>
      </c>
      <c r="B17" s="42" t="s">
        <v>135</v>
      </c>
      <c r="C17" s="36" t="s">
        <v>841</v>
      </c>
      <c r="D17" s="36"/>
      <c r="E17" s="36" t="s">
        <v>839</v>
      </c>
      <c r="F17" s="36" t="b">
        <v>0</v>
      </c>
      <c r="G17" s="36">
        <v>200</v>
      </c>
      <c r="H17" s="36" t="b">
        <v>1</v>
      </c>
    </row>
    <row r="18" spans="1:9" ht="30" x14ac:dyDescent="0.25">
      <c r="A18" s="54" t="s">
        <v>144</v>
      </c>
      <c r="B18" s="30" t="s">
        <v>842</v>
      </c>
      <c r="C18" s="27" t="s">
        <v>843</v>
      </c>
      <c r="D18" s="27"/>
      <c r="E18" s="27" t="s">
        <v>839</v>
      </c>
      <c r="F18" s="27" t="b">
        <v>0</v>
      </c>
      <c r="G18" s="27">
        <v>200</v>
      </c>
      <c r="H18" s="27" t="b">
        <v>1</v>
      </c>
      <c r="I18" s="33"/>
    </row>
    <row r="19" spans="1:9" ht="30" x14ac:dyDescent="0.25">
      <c r="A19" s="54" t="s">
        <v>144</v>
      </c>
      <c r="B19" s="42" t="s">
        <v>844</v>
      </c>
      <c r="C19" s="36" t="s">
        <v>845</v>
      </c>
      <c r="D19" s="36"/>
      <c r="E19" s="36" t="s">
        <v>839</v>
      </c>
      <c r="F19" s="36" t="b">
        <v>0</v>
      </c>
      <c r="G19" s="36">
        <v>200</v>
      </c>
      <c r="H19" s="36" t="b">
        <v>1</v>
      </c>
    </row>
    <row r="20" spans="1:9" ht="30" x14ac:dyDescent="0.25">
      <c r="A20" s="54" t="s">
        <v>144</v>
      </c>
      <c r="B20" s="30" t="s">
        <v>144</v>
      </c>
      <c r="C20" s="27" t="s">
        <v>846</v>
      </c>
      <c r="D20" s="27"/>
      <c r="E20" s="27" t="s">
        <v>839</v>
      </c>
      <c r="F20" s="27" t="b">
        <v>0</v>
      </c>
      <c r="G20" s="27">
        <v>200</v>
      </c>
      <c r="H20" s="27" t="b">
        <v>1</v>
      </c>
      <c r="I20" s="33"/>
    </row>
    <row r="21" spans="1:9" ht="30" x14ac:dyDescent="0.25">
      <c r="A21" s="54" t="s">
        <v>144</v>
      </c>
      <c r="B21" s="42" t="s">
        <v>847</v>
      </c>
      <c r="C21" s="36" t="s">
        <v>848</v>
      </c>
      <c r="D21" s="36"/>
      <c r="E21" s="36" t="s">
        <v>839</v>
      </c>
      <c r="F21" s="36" t="b">
        <v>0</v>
      </c>
      <c r="G21" s="36">
        <v>200</v>
      </c>
      <c r="H21" s="36" t="b">
        <v>1</v>
      </c>
    </row>
    <row r="22" spans="1:9" ht="30" x14ac:dyDescent="0.25">
      <c r="A22" s="54" t="s">
        <v>144</v>
      </c>
      <c r="B22" s="30" t="s">
        <v>849</v>
      </c>
      <c r="C22" s="27" t="s">
        <v>850</v>
      </c>
      <c r="D22" s="27"/>
      <c r="E22" s="27" t="s">
        <v>839</v>
      </c>
      <c r="F22" s="27" t="b">
        <v>0</v>
      </c>
      <c r="G22" s="27">
        <v>200</v>
      </c>
      <c r="H22" s="27" t="b">
        <v>1</v>
      </c>
      <c r="I22" s="33"/>
    </row>
    <row r="23" spans="1:9" ht="30" x14ac:dyDescent="0.25">
      <c r="A23" s="54" t="s">
        <v>144</v>
      </c>
      <c r="B23" s="42" t="s">
        <v>851</v>
      </c>
      <c r="C23" s="36" t="s">
        <v>852</v>
      </c>
      <c r="D23" s="36"/>
      <c r="E23" s="36" t="s">
        <v>839</v>
      </c>
      <c r="F23" s="36" t="b">
        <v>0</v>
      </c>
      <c r="G23" s="36">
        <v>200</v>
      </c>
      <c r="H23" s="36" t="b">
        <v>1</v>
      </c>
    </row>
    <row r="24" spans="1:9" ht="30" x14ac:dyDescent="0.25">
      <c r="A24" s="54" t="s">
        <v>144</v>
      </c>
      <c r="B24" s="30" t="s">
        <v>853</v>
      </c>
      <c r="C24" s="27" t="s">
        <v>854</v>
      </c>
      <c r="D24" s="27"/>
      <c r="E24" s="27" t="s">
        <v>839</v>
      </c>
      <c r="F24" s="27" t="b">
        <v>0</v>
      </c>
      <c r="G24" s="27">
        <v>200</v>
      </c>
      <c r="H24" s="27" t="b">
        <v>1</v>
      </c>
      <c r="I24" s="33"/>
    </row>
    <row r="25" spans="1:9" ht="30" x14ac:dyDescent="0.25">
      <c r="A25" s="54" t="s">
        <v>144</v>
      </c>
      <c r="B25" s="42" t="s">
        <v>853</v>
      </c>
      <c r="C25" s="36" t="s">
        <v>855</v>
      </c>
      <c r="D25" s="36"/>
      <c r="E25" s="36" t="s">
        <v>839</v>
      </c>
      <c r="F25" s="36" t="b">
        <v>0</v>
      </c>
      <c r="G25" s="36">
        <v>200</v>
      </c>
      <c r="H25" s="36" t="b">
        <v>1</v>
      </c>
    </row>
    <row r="26" spans="1:9" ht="30" x14ac:dyDescent="0.25">
      <c r="A26" s="54" t="s">
        <v>144</v>
      </c>
      <c r="B26" s="30" t="s">
        <v>856</v>
      </c>
      <c r="C26" s="27" t="s">
        <v>857</v>
      </c>
      <c r="D26" s="27"/>
      <c r="E26" s="27" t="s">
        <v>839</v>
      </c>
      <c r="F26" s="27" t="b">
        <v>0</v>
      </c>
      <c r="G26" s="27">
        <v>200</v>
      </c>
      <c r="H26" s="27" t="b">
        <v>1</v>
      </c>
      <c r="I26" s="33"/>
    </row>
    <row r="27" spans="1:9" ht="30" x14ac:dyDescent="0.25">
      <c r="A27" s="54" t="s">
        <v>144</v>
      </c>
      <c r="B27" s="42" t="s">
        <v>858</v>
      </c>
      <c r="C27" s="36" t="s">
        <v>859</v>
      </c>
      <c r="D27" s="36"/>
      <c r="E27" s="36" t="s">
        <v>839</v>
      </c>
      <c r="F27" s="36" t="b">
        <v>0</v>
      </c>
      <c r="G27" s="36">
        <v>200</v>
      </c>
      <c r="H27" s="36" t="b">
        <v>1</v>
      </c>
    </row>
    <row r="28" spans="1:9" ht="30" x14ac:dyDescent="0.25">
      <c r="A28" s="54" t="s">
        <v>144</v>
      </c>
      <c r="B28" s="30" t="s">
        <v>860</v>
      </c>
      <c r="C28" s="27" t="s">
        <v>861</v>
      </c>
      <c r="D28" s="27"/>
      <c r="E28" s="27" t="s">
        <v>839</v>
      </c>
      <c r="F28" s="27" t="b">
        <v>0</v>
      </c>
      <c r="G28" s="27">
        <v>200</v>
      </c>
      <c r="H28" s="27" t="b">
        <v>1</v>
      </c>
      <c r="I28" s="33"/>
    </row>
    <row r="29" spans="1:9" ht="30" x14ac:dyDescent="0.25">
      <c r="A29" s="54" t="s">
        <v>144</v>
      </c>
      <c r="B29" s="42" t="s">
        <v>862</v>
      </c>
      <c r="C29" s="36"/>
      <c r="D29" s="36"/>
      <c r="E29" s="36" t="s">
        <v>863</v>
      </c>
      <c r="F29" s="36" t="b">
        <v>0</v>
      </c>
      <c r="G29" s="36"/>
      <c r="H29" s="36" t="b">
        <v>1</v>
      </c>
    </row>
    <row r="30" spans="1:9" ht="30" x14ac:dyDescent="0.25">
      <c r="A30" s="54" t="s">
        <v>144</v>
      </c>
      <c r="B30" s="30" t="s">
        <v>127</v>
      </c>
      <c r="C30" s="27" t="s">
        <v>840</v>
      </c>
      <c r="D30" s="27"/>
      <c r="E30" s="27" t="s">
        <v>839</v>
      </c>
      <c r="F30" s="27" t="b">
        <v>0</v>
      </c>
      <c r="G30" s="27">
        <v>200</v>
      </c>
      <c r="H30" s="27" t="b">
        <v>1</v>
      </c>
      <c r="I30" s="33"/>
    </row>
    <row r="31" spans="1:9" ht="30" x14ac:dyDescent="0.25">
      <c r="A31" s="54" t="s">
        <v>144</v>
      </c>
      <c r="B31" s="42" t="s">
        <v>135</v>
      </c>
      <c r="C31" s="36" t="s">
        <v>841</v>
      </c>
      <c r="D31" s="36"/>
      <c r="E31" s="36" t="s">
        <v>839</v>
      </c>
      <c r="F31" s="36" t="b">
        <v>0</v>
      </c>
      <c r="G31" s="36">
        <v>200</v>
      </c>
      <c r="H31" s="36" t="b">
        <v>1</v>
      </c>
    </row>
    <row r="32" spans="1:9" ht="30" x14ac:dyDescent="0.25">
      <c r="A32" s="54" t="s">
        <v>144</v>
      </c>
      <c r="B32" s="30" t="s">
        <v>842</v>
      </c>
      <c r="C32" s="27" t="s">
        <v>843</v>
      </c>
      <c r="D32" s="27"/>
      <c r="E32" s="27" t="s">
        <v>839</v>
      </c>
      <c r="F32" s="27" t="b">
        <v>0</v>
      </c>
      <c r="G32" s="27">
        <v>200</v>
      </c>
      <c r="H32" s="27" t="b">
        <v>1</v>
      </c>
      <c r="I32" s="33"/>
    </row>
    <row r="33" spans="1:9" ht="30" x14ac:dyDescent="0.25">
      <c r="A33" s="54" t="s">
        <v>144</v>
      </c>
      <c r="B33" s="42" t="s">
        <v>844</v>
      </c>
      <c r="C33" s="36" t="s">
        <v>845</v>
      </c>
      <c r="D33" s="36"/>
      <c r="E33" s="36" t="s">
        <v>839</v>
      </c>
      <c r="F33" s="36" t="b">
        <v>0</v>
      </c>
      <c r="G33" s="36">
        <v>200</v>
      </c>
      <c r="H33" s="36" t="b">
        <v>1</v>
      </c>
    </row>
    <row r="34" spans="1:9" ht="30" x14ac:dyDescent="0.25">
      <c r="A34" s="54" t="s">
        <v>144</v>
      </c>
      <c r="B34" s="30" t="s">
        <v>144</v>
      </c>
      <c r="C34" s="27" t="s">
        <v>846</v>
      </c>
      <c r="D34" s="27"/>
      <c r="E34" s="27" t="s">
        <v>839</v>
      </c>
      <c r="F34" s="27" t="b">
        <v>0</v>
      </c>
      <c r="G34" s="27">
        <v>200</v>
      </c>
      <c r="H34" s="27" t="b">
        <v>1</v>
      </c>
      <c r="I34" s="33"/>
    </row>
    <row r="35" spans="1:9" ht="30" x14ac:dyDescent="0.25">
      <c r="A35" s="54" t="s">
        <v>144</v>
      </c>
      <c r="B35" s="42" t="s">
        <v>847</v>
      </c>
      <c r="C35" s="36" t="s">
        <v>848</v>
      </c>
      <c r="D35" s="36"/>
      <c r="E35" s="36" t="s">
        <v>839</v>
      </c>
      <c r="F35" s="36" t="b">
        <v>0</v>
      </c>
      <c r="G35" s="36">
        <v>200</v>
      </c>
      <c r="H35" s="36" t="b">
        <v>1</v>
      </c>
    </row>
    <row r="36" spans="1:9" ht="30" x14ac:dyDescent="0.25">
      <c r="A36" s="54" t="s">
        <v>144</v>
      </c>
      <c r="B36" s="30" t="s">
        <v>849</v>
      </c>
      <c r="C36" s="27" t="s">
        <v>850</v>
      </c>
      <c r="D36" s="27"/>
      <c r="E36" s="27" t="s">
        <v>839</v>
      </c>
      <c r="F36" s="27" t="b">
        <v>0</v>
      </c>
      <c r="G36" s="27">
        <v>200</v>
      </c>
      <c r="H36" s="27" t="b">
        <v>1</v>
      </c>
      <c r="I36" s="33"/>
    </row>
    <row r="37" spans="1:9" ht="30" x14ac:dyDescent="0.25">
      <c r="A37" s="54" t="s">
        <v>144</v>
      </c>
      <c r="B37" s="42" t="s">
        <v>851</v>
      </c>
      <c r="C37" s="36" t="s">
        <v>852</v>
      </c>
      <c r="D37" s="36"/>
      <c r="E37" s="36" t="s">
        <v>839</v>
      </c>
      <c r="F37" s="36" t="b">
        <v>0</v>
      </c>
      <c r="G37" s="36">
        <v>200</v>
      </c>
      <c r="H37" s="36" t="b">
        <v>1</v>
      </c>
    </row>
    <row r="38" spans="1:9" ht="30" x14ac:dyDescent="0.25">
      <c r="A38" s="54" t="s">
        <v>144</v>
      </c>
      <c r="B38" s="30" t="s">
        <v>853</v>
      </c>
      <c r="C38" s="27" t="s">
        <v>854</v>
      </c>
      <c r="D38" s="27"/>
      <c r="E38" s="27" t="s">
        <v>839</v>
      </c>
      <c r="F38" s="27" t="b">
        <v>0</v>
      </c>
      <c r="G38" s="27">
        <v>200</v>
      </c>
      <c r="H38" s="27" t="b">
        <v>1</v>
      </c>
      <c r="I38" s="33"/>
    </row>
    <row r="39" spans="1:9" ht="30" x14ac:dyDescent="0.25">
      <c r="A39" s="54" t="s">
        <v>144</v>
      </c>
      <c r="B39" s="42" t="s">
        <v>853</v>
      </c>
      <c r="C39" s="36" t="s">
        <v>855</v>
      </c>
      <c r="D39" s="36"/>
      <c r="E39" s="36" t="s">
        <v>839</v>
      </c>
      <c r="F39" s="36" t="b">
        <v>0</v>
      </c>
      <c r="G39" s="36">
        <v>200</v>
      </c>
      <c r="H39" s="36" t="b">
        <v>1</v>
      </c>
    </row>
    <row r="40" spans="1:9" ht="30" x14ac:dyDescent="0.25">
      <c r="A40" s="54" t="s">
        <v>144</v>
      </c>
      <c r="B40" s="30" t="s">
        <v>856</v>
      </c>
      <c r="C40" s="27" t="s">
        <v>857</v>
      </c>
      <c r="D40" s="27"/>
      <c r="E40" s="27" t="s">
        <v>839</v>
      </c>
      <c r="F40" s="27" t="b">
        <v>0</v>
      </c>
      <c r="G40" s="27">
        <v>200</v>
      </c>
      <c r="H40" s="27" t="b">
        <v>1</v>
      </c>
      <c r="I40" s="33"/>
    </row>
    <row r="41" spans="1:9" ht="30" x14ac:dyDescent="0.25">
      <c r="A41" s="54" t="s">
        <v>144</v>
      </c>
      <c r="B41" s="42" t="s">
        <v>858</v>
      </c>
      <c r="C41" s="36" t="s">
        <v>859</v>
      </c>
      <c r="D41" s="36"/>
      <c r="E41" s="36" t="s">
        <v>839</v>
      </c>
      <c r="F41" s="36" t="b">
        <v>0</v>
      </c>
      <c r="G41" s="36">
        <v>200</v>
      </c>
      <c r="H41" s="36" t="b">
        <v>1</v>
      </c>
    </row>
    <row r="42" spans="1:9" ht="30" x14ac:dyDescent="0.25">
      <c r="A42" s="54" t="s">
        <v>144</v>
      </c>
      <c r="B42" s="30" t="s">
        <v>860</v>
      </c>
      <c r="C42" s="27" t="s">
        <v>861</v>
      </c>
      <c r="D42" s="27"/>
      <c r="E42" s="27" t="s">
        <v>839</v>
      </c>
      <c r="F42" s="27" t="b">
        <v>0</v>
      </c>
      <c r="G42" s="27">
        <v>200</v>
      </c>
      <c r="H42" s="27" t="b">
        <v>1</v>
      </c>
      <c r="I42" s="33"/>
    </row>
    <row r="43" spans="1:9" ht="30" x14ac:dyDescent="0.25">
      <c r="A43" s="54" t="s">
        <v>144</v>
      </c>
      <c r="B43" s="42" t="s">
        <v>127</v>
      </c>
      <c r="C43" s="36" t="s">
        <v>840</v>
      </c>
      <c r="D43" s="36"/>
      <c r="E43" s="36" t="s">
        <v>839</v>
      </c>
      <c r="F43" s="36" t="b">
        <v>0</v>
      </c>
      <c r="G43" s="36">
        <v>200</v>
      </c>
      <c r="H43" s="36" t="b">
        <v>1</v>
      </c>
    </row>
    <row r="44" spans="1:9" ht="30" x14ac:dyDescent="0.25">
      <c r="A44" s="54" t="s">
        <v>144</v>
      </c>
      <c r="B44" s="30" t="s">
        <v>135</v>
      </c>
      <c r="C44" s="27" t="s">
        <v>841</v>
      </c>
      <c r="D44" s="27"/>
      <c r="E44" s="27" t="s">
        <v>839</v>
      </c>
      <c r="F44" s="27" t="b">
        <v>0</v>
      </c>
      <c r="G44" s="27">
        <v>200</v>
      </c>
      <c r="H44" s="27" t="b">
        <v>1</v>
      </c>
      <c r="I44" s="33"/>
    </row>
    <row r="45" spans="1:9" ht="30" x14ac:dyDescent="0.25">
      <c r="A45" s="54" t="s">
        <v>144</v>
      </c>
      <c r="B45" s="42" t="s">
        <v>842</v>
      </c>
      <c r="C45" s="36" t="s">
        <v>843</v>
      </c>
      <c r="D45" s="36"/>
      <c r="E45" s="36" t="s">
        <v>839</v>
      </c>
      <c r="F45" s="36" t="b">
        <v>0</v>
      </c>
      <c r="G45" s="36">
        <v>200</v>
      </c>
      <c r="H45" s="36" t="b">
        <v>1</v>
      </c>
    </row>
    <row r="46" spans="1:9" ht="30" x14ac:dyDescent="0.25">
      <c r="A46" s="54" t="s">
        <v>144</v>
      </c>
      <c r="B46" s="30" t="s">
        <v>844</v>
      </c>
      <c r="C46" s="27" t="s">
        <v>845</v>
      </c>
      <c r="D46" s="27"/>
      <c r="E46" s="27" t="s">
        <v>839</v>
      </c>
      <c r="F46" s="27" t="b">
        <v>0</v>
      </c>
      <c r="G46" s="27">
        <v>200</v>
      </c>
      <c r="H46" s="27" t="b">
        <v>1</v>
      </c>
      <c r="I46" s="33"/>
    </row>
    <row r="47" spans="1:9" ht="30" x14ac:dyDescent="0.25">
      <c r="A47" s="54" t="s">
        <v>144</v>
      </c>
      <c r="B47" s="42" t="s">
        <v>144</v>
      </c>
      <c r="C47" s="36" t="s">
        <v>846</v>
      </c>
      <c r="D47" s="36"/>
      <c r="E47" s="36" t="s">
        <v>839</v>
      </c>
      <c r="F47" s="36" t="b">
        <v>0</v>
      </c>
      <c r="G47" s="36">
        <v>200</v>
      </c>
      <c r="H47" s="36" t="b">
        <v>1</v>
      </c>
    </row>
    <row r="48" spans="1:9" ht="30" x14ac:dyDescent="0.25">
      <c r="A48" s="54" t="s">
        <v>144</v>
      </c>
      <c r="B48" s="30" t="s">
        <v>847</v>
      </c>
      <c r="C48" s="27" t="s">
        <v>848</v>
      </c>
      <c r="D48" s="27"/>
      <c r="E48" s="27" t="s">
        <v>839</v>
      </c>
      <c r="F48" s="27" t="b">
        <v>0</v>
      </c>
      <c r="G48" s="27">
        <v>200</v>
      </c>
      <c r="H48" s="27" t="b">
        <v>1</v>
      </c>
      <c r="I48" s="33"/>
    </row>
    <row r="49" spans="1:9" ht="30" x14ac:dyDescent="0.25">
      <c r="A49" s="54" t="s">
        <v>144</v>
      </c>
      <c r="B49" s="42" t="s">
        <v>849</v>
      </c>
      <c r="C49" s="36" t="s">
        <v>850</v>
      </c>
      <c r="D49" s="36"/>
      <c r="E49" s="36" t="s">
        <v>839</v>
      </c>
      <c r="F49" s="36" t="b">
        <v>0</v>
      </c>
      <c r="G49" s="36">
        <v>200</v>
      </c>
      <c r="H49" s="36" t="b">
        <v>1</v>
      </c>
    </row>
    <row r="50" spans="1:9" ht="30" x14ac:dyDescent="0.25">
      <c r="A50" s="54" t="s">
        <v>144</v>
      </c>
      <c r="B50" s="30" t="s">
        <v>851</v>
      </c>
      <c r="C50" s="27" t="s">
        <v>852</v>
      </c>
      <c r="D50" s="27"/>
      <c r="E50" s="27" t="s">
        <v>839</v>
      </c>
      <c r="F50" s="27" t="b">
        <v>0</v>
      </c>
      <c r="G50" s="27">
        <v>200</v>
      </c>
      <c r="H50" s="27" t="b">
        <v>1</v>
      </c>
      <c r="I50" s="33"/>
    </row>
    <row r="51" spans="1:9" ht="30" x14ac:dyDescent="0.25">
      <c r="A51" s="54" t="s">
        <v>144</v>
      </c>
      <c r="B51" s="42" t="s">
        <v>853</v>
      </c>
      <c r="C51" s="36" t="s">
        <v>854</v>
      </c>
      <c r="D51" s="36"/>
      <c r="E51" s="36" t="s">
        <v>839</v>
      </c>
      <c r="F51" s="36" t="b">
        <v>0</v>
      </c>
      <c r="G51" s="36">
        <v>200</v>
      </c>
      <c r="H51" s="36" t="b">
        <v>1</v>
      </c>
    </row>
    <row r="52" spans="1:9" ht="30" x14ac:dyDescent="0.25">
      <c r="A52" s="54" t="s">
        <v>144</v>
      </c>
      <c r="B52" s="30" t="s">
        <v>853</v>
      </c>
      <c r="C52" s="27" t="s">
        <v>855</v>
      </c>
      <c r="D52" s="27"/>
      <c r="E52" s="27" t="s">
        <v>839</v>
      </c>
      <c r="F52" s="27" t="b">
        <v>0</v>
      </c>
      <c r="G52" s="27">
        <v>200</v>
      </c>
      <c r="H52" s="27" t="b">
        <v>1</v>
      </c>
      <c r="I52" s="33"/>
    </row>
    <row r="53" spans="1:9" ht="30" x14ac:dyDescent="0.25">
      <c r="A53" s="54" t="s">
        <v>144</v>
      </c>
      <c r="B53" s="42" t="s">
        <v>856</v>
      </c>
      <c r="C53" s="36" t="s">
        <v>857</v>
      </c>
      <c r="D53" s="36"/>
      <c r="E53" s="36" t="s">
        <v>839</v>
      </c>
      <c r="F53" s="36" t="b">
        <v>0</v>
      </c>
      <c r="G53" s="36">
        <v>200</v>
      </c>
      <c r="H53" s="36" t="b">
        <v>1</v>
      </c>
    </row>
    <row r="54" spans="1:9" ht="30" x14ac:dyDescent="0.25">
      <c r="A54" s="54" t="s">
        <v>144</v>
      </c>
      <c r="B54" s="30" t="s">
        <v>858</v>
      </c>
      <c r="C54" s="27" t="s">
        <v>859</v>
      </c>
      <c r="D54" s="27"/>
      <c r="E54" s="27" t="s">
        <v>839</v>
      </c>
      <c r="F54" s="27" t="b">
        <v>0</v>
      </c>
      <c r="G54" s="27">
        <v>200</v>
      </c>
      <c r="H54" s="27" t="b">
        <v>1</v>
      </c>
      <c r="I54" s="33"/>
    </row>
    <row r="55" spans="1:9" ht="30" x14ac:dyDescent="0.25">
      <c r="A55" s="54" t="s">
        <v>144</v>
      </c>
      <c r="B55" s="42" t="s">
        <v>860</v>
      </c>
      <c r="C55" s="36" t="s">
        <v>861</v>
      </c>
      <c r="D55" s="36"/>
      <c r="E55" s="36" t="s">
        <v>839</v>
      </c>
      <c r="F55" s="36" t="b">
        <v>0</v>
      </c>
      <c r="G55" s="36">
        <v>200</v>
      </c>
      <c r="H55" s="36" t="b">
        <v>1</v>
      </c>
    </row>
    <row r="56" spans="1:9" ht="30" x14ac:dyDescent="0.25">
      <c r="A56" s="54" t="s">
        <v>144</v>
      </c>
      <c r="B56" s="30" t="s">
        <v>864</v>
      </c>
      <c r="C56" s="27" t="s">
        <v>865</v>
      </c>
      <c r="D56" s="27"/>
      <c r="E56" s="27" t="s">
        <v>839</v>
      </c>
      <c r="F56" s="27" t="b">
        <v>0</v>
      </c>
      <c r="G56" s="27">
        <v>200</v>
      </c>
      <c r="H56" s="27" t="b">
        <v>1</v>
      </c>
      <c r="I56" s="33"/>
    </row>
    <row r="57" spans="1:9" ht="30" x14ac:dyDescent="0.25">
      <c r="A57" s="54" t="s">
        <v>144</v>
      </c>
      <c r="B57" s="42" t="s">
        <v>856</v>
      </c>
      <c r="C57" s="36" t="s">
        <v>866</v>
      </c>
      <c r="D57" s="36"/>
      <c r="E57" s="36" t="s">
        <v>839</v>
      </c>
      <c r="F57" s="36" t="b">
        <v>0</v>
      </c>
      <c r="G57" s="36">
        <v>200</v>
      </c>
      <c r="H57" s="36" t="b">
        <v>1</v>
      </c>
    </row>
    <row r="58" spans="1:9" ht="30" x14ac:dyDescent="0.25">
      <c r="A58" s="54" t="s">
        <v>144</v>
      </c>
      <c r="B58" s="30" t="s">
        <v>867</v>
      </c>
      <c r="C58" s="27"/>
      <c r="D58" s="27"/>
      <c r="E58" s="27" t="s">
        <v>863</v>
      </c>
      <c r="F58" s="27" t="b">
        <v>0</v>
      </c>
      <c r="G58" s="27"/>
      <c r="H58" s="27" t="b">
        <v>1</v>
      </c>
      <c r="I58" s="33"/>
    </row>
    <row r="59" spans="1:9" ht="30" x14ac:dyDescent="0.25">
      <c r="A59" s="54" t="s">
        <v>144</v>
      </c>
      <c r="B59" s="42" t="s">
        <v>868</v>
      </c>
      <c r="C59" s="36"/>
      <c r="D59" s="36"/>
      <c r="E59" s="36" t="s">
        <v>863</v>
      </c>
      <c r="F59" s="36" t="b">
        <v>0</v>
      </c>
      <c r="G59" s="36"/>
      <c r="H59" s="36" t="b">
        <v>1</v>
      </c>
    </row>
    <row r="60" spans="1:9" ht="30" x14ac:dyDescent="0.25">
      <c r="A60" s="54" t="s">
        <v>144</v>
      </c>
      <c r="B60" s="30" t="s">
        <v>869</v>
      </c>
      <c r="C60" s="27" t="s">
        <v>870</v>
      </c>
      <c r="D60" s="27"/>
      <c r="E60" s="27" t="s">
        <v>839</v>
      </c>
      <c r="F60" s="27" t="b">
        <v>0</v>
      </c>
      <c r="G60" s="27">
        <v>200</v>
      </c>
      <c r="H60" s="27" t="b">
        <v>1</v>
      </c>
      <c r="I60" s="33"/>
    </row>
    <row r="61" spans="1:9" ht="30" x14ac:dyDescent="0.25">
      <c r="A61" s="54" t="s">
        <v>144</v>
      </c>
      <c r="B61" s="42" t="s">
        <v>871</v>
      </c>
      <c r="C61" s="36" t="s">
        <v>872</v>
      </c>
      <c r="D61" s="36"/>
      <c r="E61" s="36" t="s">
        <v>839</v>
      </c>
      <c r="F61" s="36" t="b">
        <v>0</v>
      </c>
      <c r="G61" s="36">
        <v>404</v>
      </c>
      <c r="H61" s="36" t="b">
        <v>0</v>
      </c>
    </row>
    <row r="62" spans="1:9" ht="30" x14ac:dyDescent="0.25">
      <c r="A62" s="54" t="s">
        <v>144</v>
      </c>
      <c r="B62" s="30" t="s">
        <v>871</v>
      </c>
      <c r="C62" s="27" t="s">
        <v>873</v>
      </c>
      <c r="D62" s="27"/>
      <c r="E62" s="27" t="s">
        <v>839</v>
      </c>
      <c r="F62" s="27" t="b">
        <v>0</v>
      </c>
      <c r="G62" s="27">
        <v>404</v>
      </c>
      <c r="H62" s="27" t="b">
        <v>0</v>
      </c>
      <c r="I62" s="33"/>
    </row>
    <row r="63" spans="1:9" x14ac:dyDescent="0.25">
      <c r="A63" s="54" t="s">
        <v>127</v>
      </c>
      <c r="B63" s="42" t="s">
        <v>127</v>
      </c>
      <c r="C63" s="36"/>
      <c r="D63" s="36"/>
      <c r="E63" s="36" t="s">
        <v>839</v>
      </c>
      <c r="F63" s="36" t="b">
        <v>0</v>
      </c>
      <c r="G63" s="36">
        <v>200</v>
      </c>
      <c r="H63" s="36" t="b">
        <v>1</v>
      </c>
    </row>
    <row r="64" spans="1:9" x14ac:dyDescent="0.25">
      <c r="A64" s="54" t="s">
        <v>127</v>
      </c>
      <c r="B64" s="30" t="s">
        <v>127</v>
      </c>
      <c r="C64" s="27" t="s">
        <v>840</v>
      </c>
      <c r="D64" s="27"/>
      <c r="E64" s="27" t="s">
        <v>839</v>
      </c>
      <c r="F64" s="27" t="b">
        <v>0</v>
      </c>
      <c r="G64" s="27">
        <v>200</v>
      </c>
      <c r="H64" s="27" t="b">
        <v>1</v>
      </c>
      <c r="I64" s="33"/>
    </row>
    <row r="65" spans="1:9" x14ac:dyDescent="0.25">
      <c r="A65" s="54" t="s">
        <v>127</v>
      </c>
      <c r="B65" s="42" t="s">
        <v>135</v>
      </c>
      <c r="C65" s="36" t="s">
        <v>841</v>
      </c>
      <c r="D65" s="36"/>
      <c r="E65" s="36" t="s">
        <v>839</v>
      </c>
      <c r="F65" s="36" t="b">
        <v>0</v>
      </c>
      <c r="G65" s="36">
        <v>200</v>
      </c>
      <c r="H65" s="36" t="b">
        <v>1</v>
      </c>
    </row>
    <row r="66" spans="1:9" x14ac:dyDescent="0.25">
      <c r="A66" s="54" t="s">
        <v>127</v>
      </c>
      <c r="B66" s="30" t="s">
        <v>842</v>
      </c>
      <c r="C66" s="27" t="s">
        <v>843</v>
      </c>
      <c r="D66" s="27"/>
      <c r="E66" s="27" t="s">
        <v>839</v>
      </c>
      <c r="F66" s="27" t="b">
        <v>0</v>
      </c>
      <c r="G66" s="27">
        <v>200</v>
      </c>
      <c r="H66" s="27" t="b">
        <v>1</v>
      </c>
      <c r="I66" s="33"/>
    </row>
    <row r="67" spans="1:9" x14ac:dyDescent="0.25">
      <c r="A67" s="54" t="s">
        <v>127</v>
      </c>
      <c r="B67" s="42" t="s">
        <v>844</v>
      </c>
      <c r="C67" s="36" t="s">
        <v>845</v>
      </c>
      <c r="D67" s="36"/>
      <c r="E67" s="36" t="s">
        <v>839</v>
      </c>
      <c r="F67" s="36" t="b">
        <v>0</v>
      </c>
      <c r="G67" s="36">
        <v>200</v>
      </c>
      <c r="H67" s="36" t="b">
        <v>1</v>
      </c>
    </row>
    <row r="68" spans="1:9" ht="30" x14ac:dyDescent="0.25">
      <c r="A68" s="54" t="s">
        <v>127</v>
      </c>
      <c r="B68" s="30" t="s">
        <v>144</v>
      </c>
      <c r="C68" s="27" t="s">
        <v>846</v>
      </c>
      <c r="D68" s="27"/>
      <c r="E68" s="27" t="s">
        <v>839</v>
      </c>
      <c r="F68" s="27" t="b">
        <v>0</v>
      </c>
      <c r="G68" s="27">
        <v>200</v>
      </c>
      <c r="H68" s="27" t="b">
        <v>1</v>
      </c>
      <c r="I68" s="33"/>
    </row>
    <row r="69" spans="1:9" x14ac:dyDescent="0.25">
      <c r="A69" s="54" t="s">
        <v>127</v>
      </c>
      <c r="B69" s="42" t="s">
        <v>847</v>
      </c>
      <c r="C69" s="36" t="s">
        <v>848</v>
      </c>
      <c r="D69" s="36"/>
      <c r="E69" s="36" t="s">
        <v>839</v>
      </c>
      <c r="F69" s="36" t="b">
        <v>0</v>
      </c>
      <c r="G69" s="36">
        <v>200</v>
      </c>
      <c r="H69" s="36" t="b">
        <v>1</v>
      </c>
    </row>
    <row r="70" spans="1:9" ht="30" x14ac:dyDescent="0.25">
      <c r="A70" s="54" t="s">
        <v>127</v>
      </c>
      <c r="B70" s="30" t="s">
        <v>849</v>
      </c>
      <c r="C70" s="27" t="s">
        <v>850</v>
      </c>
      <c r="D70" s="27"/>
      <c r="E70" s="27" t="s">
        <v>839</v>
      </c>
      <c r="F70" s="27" t="b">
        <v>0</v>
      </c>
      <c r="G70" s="27">
        <v>200</v>
      </c>
      <c r="H70" s="27" t="b">
        <v>1</v>
      </c>
      <c r="I70" s="33"/>
    </row>
    <row r="71" spans="1:9" ht="30" x14ac:dyDescent="0.25">
      <c r="A71" s="54" t="s">
        <v>127</v>
      </c>
      <c r="B71" s="42" t="s">
        <v>851</v>
      </c>
      <c r="C71" s="36" t="s">
        <v>852</v>
      </c>
      <c r="D71" s="36"/>
      <c r="E71" s="36" t="s">
        <v>839</v>
      </c>
      <c r="F71" s="36" t="b">
        <v>0</v>
      </c>
      <c r="G71" s="36">
        <v>200</v>
      </c>
      <c r="H71" s="36" t="b">
        <v>1</v>
      </c>
    </row>
    <row r="72" spans="1:9" x14ac:dyDescent="0.25">
      <c r="A72" s="54" t="s">
        <v>127</v>
      </c>
      <c r="B72" s="30" t="s">
        <v>853</v>
      </c>
      <c r="C72" s="27" t="s">
        <v>854</v>
      </c>
      <c r="D72" s="27"/>
      <c r="E72" s="27" t="s">
        <v>839</v>
      </c>
      <c r="F72" s="27" t="b">
        <v>0</v>
      </c>
      <c r="G72" s="27">
        <v>200</v>
      </c>
      <c r="H72" s="27" t="b">
        <v>1</v>
      </c>
      <c r="I72" s="33"/>
    </row>
    <row r="73" spans="1:9" x14ac:dyDescent="0.25">
      <c r="A73" s="54" t="s">
        <v>127</v>
      </c>
      <c r="B73" s="42" t="s">
        <v>853</v>
      </c>
      <c r="C73" s="36" t="s">
        <v>855</v>
      </c>
      <c r="D73" s="36"/>
      <c r="E73" s="36" t="s">
        <v>839</v>
      </c>
      <c r="F73" s="36" t="b">
        <v>0</v>
      </c>
      <c r="G73" s="36">
        <v>200</v>
      </c>
      <c r="H73" s="36" t="b">
        <v>1</v>
      </c>
    </row>
    <row r="74" spans="1:9" x14ac:dyDescent="0.25">
      <c r="A74" s="54" t="s">
        <v>127</v>
      </c>
      <c r="B74" s="30" t="s">
        <v>856</v>
      </c>
      <c r="C74" s="27" t="s">
        <v>857</v>
      </c>
      <c r="D74" s="27"/>
      <c r="E74" s="27" t="s">
        <v>839</v>
      </c>
      <c r="F74" s="27" t="b">
        <v>0</v>
      </c>
      <c r="G74" s="27">
        <v>200</v>
      </c>
      <c r="H74" s="27" t="b">
        <v>1</v>
      </c>
      <c r="I74" s="33"/>
    </row>
    <row r="75" spans="1:9" ht="30" x14ac:dyDescent="0.25">
      <c r="A75" s="54" t="s">
        <v>127</v>
      </c>
      <c r="B75" s="42" t="s">
        <v>858</v>
      </c>
      <c r="C75" s="36" t="s">
        <v>859</v>
      </c>
      <c r="D75" s="36"/>
      <c r="E75" s="36" t="s">
        <v>839</v>
      </c>
      <c r="F75" s="36" t="b">
        <v>0</v>
      </c>
      <c r="G75" s="36">
        <v>200</v>
      </c>
      <c r="H75" s="36" t="b">
        <v>1</v>
      </c>
    </row>
    <row r="76" spans="1:9" x14ac:dyDescent="0.25">
      <c r="A76" s="54" t="s">
        <v>127</v>
      </c>
      <c r="B76" s="30" t="s">
        <v>860</v>
      </c>
      <c r="C76" s="27" t="s">
        <v>861</v>
      </c>
      <c r="D76" s="27"/>
      <c r="E76" s="27" t="s">
        <v>839</v>
      </c>
      <c r="F76" s="27" t="b">
        <v>0</v>
      </c>
      <c r="G76" s="27">
        <v>200</v>
      </c>
      <c r="H76" s="27" t="b">
        <v>1</v>
      </c>
      <c r="I76" s="33"/>
    </row>
    <row r="77" spans="1:9" x14ac:dyDescent="0.25">
      <c r="A77" s="54" t="s">
        <v>127</v>
      </c>
      <c r="B77" s="42" t="s">
        <v>127</v>
      </c>
      <c r="C77" s="36" t="s">
        <v>840</v>
      </c>
      <c r="D77" s="36"/>
      <c r="E77" s="36" t="s">
        <v>839</v>
      </c>
      <c r="F77" s="36" t="b">
        <v>0</v>
      </c>
      <c r="G77" s="36">
        <v>200</v>
      </c>
      <c r="H77" s="36" t="b">
        <v>1</v>
      </c>
    </row>
    <row r="78" spans="1:9" x14ac:dyDescent="0.25">
      <c r="A78" s="54" t="s">
        <v>127</v>
      </c>
      <c r="B78" s="30" t="s">
        <v>135</v>
      </c>
      <c r="C78" s="27" t="s">
        <v>841</v>
      </c>
      <c r="D78" s="27"/>
      <c r="E78" s="27" t="s">
        <v>839</v>
      </c>
      <c r="F78" s="27" t="b">
        <v>0</v>
      </c>
      <c r="G78" s="27">
        <v>200</v>
      </c>
      <c r="H78" s="27" t="b">
        <v>1</v>
      </c>
      <c r="I78" s="33"/>
    </row>
    <row r="79" spans="1:9" x14ac:dyDescent="0.25">
      <c r="A79" s="54" t="s">
        <v>127</v>
      </c>
      <c r="B79" s="42" t="s">
        <v>842</v>
      </c>
      <c r="C79" s="36" t="s">
        <v>843</v>
      </c>
      <c r="D79" s="36"/>
      <c r="E79" s="36" t="s">
        <v>839</v>
      </c>
      <c r="F79" s="36" t="b">
        <v>0</v>
      </c>
      <c r="G79" s="36">
        <v>200</v>
      </c>
      <c r="H79" s="36" t="b">
        <v>1</v>
      </c>
    </row>
    <row r="80" spans="1:9" x14ac:dyDescent="0.25">
      <c r="A80" s="54" t="s">
        <v>127</v>
      </c>
      <c r="B80" s="30" t="s">
        <v>844</v>
      </c>
      <c r="C80" s="27" t="s">
        <v>845</v>
      </c>
      <c r="D80" s="27"/>
      <c r="E80" s="27" t="s">
        <v>839</v>
      </c>
      <c r="F80" s="27" t="b">
        <v>0</v>
      </c>
      <c r="G80" s="27">
        <v>200</v>
      </c>
      <c r="H80" s="27" t="b">
        <v>1</v>
      </c>
      <c r="I80" s="33"/>
    </row>
    <row r="81" spans="1:9" ht="30" x14ac:dyDescent="0.25">
      <c r="A81" s="54" t="s">
        <v>127</v>
      </c>
      <c r="B81" s="42" t="s">
        <v>144</v>
      </c>
      <c r="C81" s="36" t="s">
        <v>846</v>
      </c>
      <c r="D81" s="36"/>
      <c r="E81" s="36" t="s">
        <v>839</v>
      </c>
      <c r="F81" s="36" t="b">
        <v>0</v>
      </c>
      <c r="G81" s="36">
        <v>200</v>
      </c>
      <c r="H81" s="36" t="b">
        <v>1</v>
      </c>
    </row>
    <row r="82" spans="1:9" x14ac:dyDescent="0.25">
      <c r="A82" s="54" t="s">
        <v>127</v>
      </c>
      <c r="B82" s="30" t="s">
        <v>847</v>
      </c>
      <c r="C82" s="27" t="s">
        <v>848</v>
      </c>
      <c r="D82" s="27"/>
      <c r="E82" s="27" t="s">
        <v>839</v>
      </c>
      <c r="F82" s="27" t="b">
        <v>0</v>
      </c>
      <c r="G82" s="27">
        <v>200</v>
      </c>
      <c r="H82" s="27" t="b">
        <v>1</v>
      </c>
      <c r="I82" s="33"/>
    </row>
    <row r="83" spans="1:9" ht="30" x14ac:dyDescent="0.25">
      <c r="A83" s="54" t="s">
        <v>127</v>
      </c>
      <c r="B83" s="42" t="s">
        <v>849</v>
      </c>
      <c r="C83" s="36" t="s">
        <v>850</v>
      </c>
      <c r="D83" s="36"/>
      <c r="E83" s="36" t="s">
        <v>839</v>
      </c>
      <c r="F83" s="36" t="b">
        <v>0</v>
      </c>
      <c r="G83" s="36">
        <v>200</v>
      </c>
      <c r="H83" s="36" t="b">
        <v>1</v>
      </c>
    </row>
    <row r="84" spans="1:9" ht="30" x14ac:dyDescent="0.25">
      <c r="A84" s="54" t="s">
        <v>127</v>
      </c>
      <c r="B84" s="30" t="s">
        <v>851</v>
      </c>
      <c r="C84" s="27" t="s">
        <v>852</v>
      </c>
      <c r="D84" s="27"/>
      <c r="E84" s="27" t="s">
        <v>839</v>
      </c>
      <c r="F84" s="27" t="b">
        <v>0</v>
      </c>
      <c r="G84" s="27">
        <v>200</v>
      </c>
      <c r="H84" s="27" t="b">
        <v>1</v>
      </c>
      <c r="I84" s="33"/>
    </row>
    <row r="85" spans="1:9" x14ac:dyDescent="0.25">
      <c r="A85" s="54" t="s">
        <v>127</v>
      </c>
      <c r="B85" s="42" t="s">
        <v>853</v>
      </c>
      <c r="C85" s="36" t="s">
        <v>854</v>
      </c>
      <c r="D85" s="36"/>
      <c r="E85" s="36" t="s">
        <v>839</v>
      </c>
      <c r="F85" s="36" t="b">
        <v>0</v>
      </c>
      <c r="G85" s="36">
        <v>200</v>
      </c>
      <c r="H85" s="36" t="b">
        <v>1</v>
      </c>
    </row>
    <row r="86" spans="1:9" x14ac:dyDescent="0.25">
      <c r="A86" s="54" t="s">
        <v>127</v>
      </c>
      <c r="B86" s="30" t="s">
        <v>853</v>
      </c>
      <c r="C86" s="27" t="s">
        <v>855</v>
      </c>
      <c r="D86" s="27"/>
      <c r="E86" s="27" t="s">
        <v>839</v>
      </c>
      <c r="F86" s="27" t="b">
        <v>0</v>
      </c>
      <c r="G86" s="27">
        <v>200</v>
      </c>
      <c r="H86" s="27" t="b">
        <v>1</v>
      </c>
      <c r="I86" s="33"/>
    </row>
    <row r="87" spans="1:9" x14ac:dyDescent="0.25">
      <c r="A87" s="54" t="s">
        <v>127</v>
      </c>
      <c r="B87" s="42" t="s">
        <v>856</v>
      </c>
      <c r="C87" s="36" t="s">
        <v>857</v>
      </c>
      <c r="D87" s="36"/>
      <c r="E87" s="36" t="s">
        <v>839</v>
      </c>
      <c r="F87" s="36" t="b">
        <v>0</v>
      </c>
      <c r="G87" s="36">
        <v>200</v>
      </c>
      <c r="H87" s="36" t="b">
        <v>1</v>
      </c>
    </row>
    <row r="88" spans="1:9" ht="30" x14ac:dyDescent="0.25">
      <c r="A88" s="54" t="s">
        <v>127</v>
      </c>
      <c r="B88" s="30" t="s">
        <v>858</v>
      </c>
      <c r="C88" s="27" t="s">
        <v>859</v>
      </c>
      <c r="D88" s="27"/>
      <c r="E88" s="27" t="s">
        <v>839</v>
      </c>
      <c r="F88" s="27" t="b">
        <v>0</v>
      </c>
      <c r="G88" s="27">
        <v>200</v>
      </c>
      <c r="H88" s="27" t="b">
        <v>1</v>
      </c>
      <c r="I88" s="33"/>
    </row>
    <row r="89" spans="1:9" x14ac:dyDescent="0.25">
      <c r="A89" s="54" t="s">
        <v>127</v>
      </c>
      <c r="B89" s="42" t="s">
        <v>860</v>
      </c>
      <c r="C89" s="36" t="s">
        <v>861</v>
      </c>
      <c r="D89" s="36"/>
      <c r="E89" s="36" t="s">
        <v>839</v>
      </c>
      <c r="F89" s="36" t="b">
        <v>0</v>
      </c>
      <c r="G89" s="36">
        <v>200</v>
      </c>
      <c r="H89" s="36" t="b">
        <v>1</v>
      </c>
    </row>
    <row r="90" spans="1:9" ht="30" x14ac:dyDescent="0.25">
      <c r="A90" s="54" t="s">
        <v>127</v>
      </c>
      <c r="B90" s="30" t="s">
        <v>858</v>
      </c>
      <c r="C90" s="27" t="s">
        <v>874</v>
      </c>
      <c r="D90" s="27"/>
      <c r="E90" s="27" t="s">
        <v>839</v>
      </c>
      <c r="F90" s="27" t="b">
        <v>0</v>
      </c>
      <c r="G90" s="27">
        <v>200</v>
      </c>
      <c r="H90" s="27" t="b">
        <v>1</v>
      </c>
      <c r="I90" s="33"/>
    </row>
    <row r="91" spans="1:9" ht="30" x14ac:dyDescent="0.25">
      <c r="A91" s="54" t="s">
        <v>127</v>
      </c>
      <c r="B91" s="42" t="s">
        <v>858</v>
      </c>
      <c r="C91" s="36" t="s">
        <v>874</v>
      </c>
      <c r="D91" s="36"/>
      <c r="E91" s="36" t="s">
        <v>839</v>
      </c>
      <c r="F91" s="36" t="b">
        <v>0</v>
      </c>
      <c r="G91" s="36">
        <v>200</v>
      </c>
      <c r="H91" s="36" t="b">
        <v>1</v>
      </c>
    </row>
    <row r="92" spans="1:9" ht="30" x14ac:dyDescent="0.25">
      <c r="A92" s="54" t="s">
        <v>127</v>
      </c>
      <c r="B92" s="30" t="s">
        <v>851</v>
      </c>
      <c r="C92" s="27" t="s">
        <v>875</v>
      </c>
      <c r="D92" s="27"/>
      <c r="E92" s="27" t="s">
        <v>839</v>
      </c>
      <c r="F92" s="27" t="b">
        <v>0</v>
      </c>
      <c r="G92" s="27">
        <v>200</v>
      </c>
      <c r="H92" s="27" t="b">
        <v>1</v>
      </c>
      <c r="I92" s="33"/>
    </row>
    <row r="93" spans="1:9" x14ac:dyDescent="0.25">
      <c r="A93" s="54" t="s">
        <v>127</v>
      </c>
      <c r="B93" s="42" t="s">
        <v>135</v>
      </c>
      <c r="C93" s="36" t="s">
        <v>876</v>
      </c>
      <c r="D93" s="36"/>
      <c r="E93" s="36" t="s">
        <v>839</v>
      </c>
      <c r="F93" s="36" t="b">
        <v>0</v>
      </c>
      <c r="G93" s="36">
        <v>200</v>
      </c>
      <c r="H93" s="36" t="b">
        <v>1</v>
      </c>
    </row>
    <row r="94" spans="1:9" ht="30" x14ac:dyDescent="0.25">
      <c r="A94" s="54" t="s">
        <v>127</v>
      </c>
      <c r="B94" s="30" t="s">
        <v>858</v>
      </c>
      <c r="C94" s="27" t="s">
        <v>877</v>
      </c>
      <c r="D94" s="27"/>
      <c r="E94" s="27" t="s">
        <v>839</v>
      </c>
      <c r="F94" s="27" t="b">
        <v>0</v>
      </c>
      <c r="G94" s="27">
        <v>200</v>
      </c>
      <c r="H94" s="27" t="b">
        <v>1</v>
      </c>
      <c r="I94" s="33"/>
    </row>
    <row r="95" spans="1:9" ht="30" x14ac:dyDescent="0.25">
      <c r="A95" s="54" t="s">
        <v>127</v>
      </c>
      <c r="B95" s="42" t="s">
        <v>878</v>
      </c>
      <c r="C95" s="36" t="s">
        <v>879</v>
      </c>
      <c r="D95" s="36"/>
      <c r="E95" s="36" t="s">
        <v>839</v>
      </c>
      <c r="F95" s="36" t="b">
        <v>0</v>
      </c>
      <c r="G95" s="36">
        <v>200</v>
      </c>
      <c r="H95" s="36" t="b">
        <v>1</v>
      </c>
    </row>
    <row r="96" spans="1:9" x14ac:dyDescent="0.25">
      <c r="A96" s="54" t="s">
        <v>127</v>
      </c>
      <c r="B96" s="30" t="s">
        <v>847</v>
      </c>
      <c r="C96" s="27" t="s">
        <v>880</v>
      </c>
      <c r="D96" s="27"/>
      <c r="E96" s="27" t="s">
        <v>839</v>
      </c>
      <c r="F96" s="27" t="b">
        <v>0</v>
      </c>
      <c r="G96" s="27">
        <v>200</v>
      </c>
      <c r="H96" s="27" t="b">
        <v>1</v>
      </c>
      <c r="I96" s="33"/>
    </row>
    <row r="97" spans="1:9" x14ac:dyDescent="0.25">
      <c r="A97" s="54" t="s">
        <v>127</v>
      </c>
      <c r="B97" s="42" t="s">
        <v>856</v>
      </c>
      <c r="C97" s="36" t="s">
        <v>881</v>
      </c>
      <c r="D97" s="36"/>
      <c r="E97" s="36" t="s">
        <v>839</v>
      </c>
      <c r="F97" s="36" t="b">
        <v>0</v>
      </c>
      <c r="G97" s="36">
        <v>200</v>
      </c>
      <c r="H97" s="36" t="b">
        <v>1</v>
      </c>
    </row>
    <row r="98" spans="1:9" x14ac:dyDescent="0.25">
      <c r="A98" s="54" t="s">
        <v>127</v>
      </c>
      <c r="B98" s="30" t="s">
        <v>853</v>
      </c>
      <c r="C98" s="27" t="s">
        <v>881</v>
      </c>
      <c r="D98" s="27"/>
      <c r="E98" s="27" t="s">
        <v>839</v>
      </c>
      <c r="F98" s="27" t="b">
        <v>0</v>
      </c>
      <c r="G98" s="27">
        <v>200</v>
      </c>
      <c r="H98" s="27" t="b">
        <v>1</v>
      </c>
      <c r="I98" s="33"/>
    </row>
    <row r="99" spans="1:9" x14ac:dyDescent="0.25">
      <c r="A99" s="54" t="s">
        <v>127</v>
      </c>
      <c r="B99" s="42" t="s">
        <v>856</v>
      </c>
      <c r="C99" s="36" t="s">
        <v>876</v>
      </c>
      <c r="D99" s="36"/>
      <c r="E99" s="36" t="s">
        <v>839</v>
      </c>
      <c r="F99" s="36" t="b">
        <v>0</v>
      </c>
      <c r="G99" s="36">
        <v>200</v>
      </c>
      <c r="H99" s="36" t="b">
        <v>1</v>
      </c>
    </row>
    <row r="100" spans="1:9" x14ac:dyDescent="0.25">
      <c r="A100" s="54" t="s">
        <v>127</v>
      </c>
      <c r="B100" s="30" t="s">
        <v>856</v>
      </c>
      <c r="C100" s="27" t="s">
        <v>876</v>
      </c>
      <c r="D100" s="27"/>
      <c r="E100" s="27" t="s">
        <v>839</v>
      </c>
      <c r="F100" s="27" t="b">
        <v>0</v>
      </c>
      <c r="G100" s="27">
        <v>200</v>
      </c>
      <c r="H100" s="27" t="b">
        <v>1</v>
      </c>
      <c r="I100" s="33"/>
    </row>
    <row r="101" spans="1:9" x14ac:dyDescent="0.25">
      <c r="A101" s="54" t="s">
        <v>127</v>
      </c>
      <c r="B101" s="42" t="s">
        <v>856</v>
      </c>
      <c r="C101" s="36" t="s">
        <v>876</v>
      </c>
      <c r="D101" s="36"/>
      <c r="E101" s="36" t="s">
        <v>839</v>
      </c>
      <c r="F101" s="36" t="b">
        <v>0</v>
      </c>
      <c r="G101" s="36">
        <v>200</v>
      </c>
      <c r="H101" s="36" t="b">
        <v>1</v>
      </c>
    </row>
    <row r="102" spans="1:9" x14ac:dyDescent="0.25">
      <c r="A102" s="54" t="s">
        <v>127</v>
      </c>
      <c r="B102" s="30" t="s">
        <v>882</v>
      </c>
      <c r="C102" s="27" t="s">
        <v>883</v>
      </c>
      <c r="D102" s="27"/>
      <c r="E102" s="27" t="s">
        <v>839</v>
      </c>
      <c r="F102" s="27" t="b">
        <v>0</v>
      </c>
      <c r="G102" s="27">
        <v>200</v>
      </c>
      <c r="H102" s="27" t="b">
        <v>1</v>
      </c>
      <c r="I102" s="33"/>
    </row>
    <row r="103" spans="1:9" ht="30" x14ac:dyDescent="0.25">
      <c r="A103" s="54" t="s">
        <v>127</v>
      </c>
      <c r="B103" s="42" t="s">
        <v>884</v>
      </c>
      <c r="C103" s="36"/>
      <c r="D103" s="36"/>
      <c r="E103" s="36" t="s">
        <v>839</v>
      </c>
      <c r="F103" s="36" t="b">
        <v>0</v>
      </c>
      <c r="G103" s="36">
        <v>200</v>
      </c>
      <c r="H103" s="36" t="b">
        <v>1</v>
      </c>
    </row>
    <row r="104" spans="1:9" ht="30" x14ac:dyDescent="0.25">
      <c r="A104" s="54" t="s">
        <v>127</v>
      </c>
      <c r="B104" s="30" t="s">
        <v>884</v>
      </c>
      <c r="C104" s="27" t="s">
        <v>885</v>
      </c>
      <c r="D104" s="27"/>
      <c r="E104" s="27" t="s">
        <v>839</v>
      </c>
      <c r="F104" s="27" t="b">
        <v>0</v>
      </c>
      <c r="G104" s="27">
        <v>200</v>
      </c>
      <c r="H104" s="27" t="b">
        <v>1</v>
      </c>
      <c r="I104" s="33"/>
    </row>
    <row r="105" spans="1:9" ht="30" x14ac:dyDescent="0.25">
      <c r="A105" s="54" t="s">
        <v>127</v>
      </c>
      <c r="B105" s="42" t="s">
        <v>884</v>
      </c>
      <c r="C105" s="36" t="s">
        <v>886</v>
      </c>
      <c r="D105" s="36"/>
      <c r="E105" s="36" t="s">
        <v>839</v>
      </c>
      <c r="F105" s="36" t="b">
        <v>0</v>
      </c>
      <c r="G105" s="36">
        <v>200</v>
      </c>
      <c r="H105" s="36" t="b">
        <v>1</v>
      </c>
    </row>
    <row r="106" spans="1:9" ht="30" x14ac:dyDescent="0.25">
      <c r="A106" s="54" t="s">
        <v>127</v>
      </c>
      <c r="B106" s="30" t="s">
        <v>887</v>
      </c>
      <c r="C106" s="27"/>
      <c r="D106" s="27"/>
      <c r="E106" s="27" t="s">
        <v>839</v>
      </c>
      <c r="F106" s="27" t="b">
        <v>0</v>
      </c>
      <c r="G106" s="27">
        <v>200</v>
      </c>
      <c r="H106" s="27" t="b">
        <v>1</v>
      </c>
      <c r="I106" s="33"/>
    </row>
    <row r="107" spans="1:9" ht="30" x14ac:dyDescent="0.25">
      <c r="A107" s="54" t="s">
        <v>127</v>
      </c>
      <c r="B107" s="42" t="s">
        <v>887</v>
      </c>
      <c r="C107" s="36" t="s">
        <v>888</v>
      </c>
      <c r="D107" s="36"/>
      <c r="E107" s="36" t="s">
        <v>839</v>
      </c>
      <c r="F107" s="36" t="b">
        <v>0</v>
      </c>
      <c r="G107" s="36">
        <v>200</v>
      </c>
      <c r="H107" s="36" t="b">
        <v>1</v>
      </c>
    </row>
    <row r="108" spans="1:9" ht="30" x14ac:dyDescent="0.25">
      <c r="A108" s="54" t="s">
        <v>127</v>
      </c>
      <c r="B108" s="30" t="s">
        <v>887</v>
      </c>
      <c r="C108" s="27" t="s">
        <v>886</v>
      </c>
      <c r="D108" s="27"/>
      <c r="E108" s="27" t="s">
        <v>839</v>
      </c>
      <c r="F108" s="27" t="b">
        <v>0</v>
      </c>
      <c r="G108" s="27">
        <v>200</v>
      </c>
      <c r="H108" s="27" t="b">
        <v>1</v>
      </c>
      <c r="I108" s="33"/>
    </row>
    <row r="109" spans="1:9" ht="30" x14ac:dyDescent="0.25">
      <c r="A109" s="54" t="s">
        <v>127</v>
      </c>
      <c r="B109" s="42" t="s">
        <v>889</v>
      </c>
      <c r="C109" s="36"/>
      <c r="D109" s="36"/>
      <c r="E109" s="36" t="s">
        <v>839</v>
      </c>
      <c r="F109" s="36" t="b">
        <v>0</v>
      </c>
      <c r="G109" s="36">
        <v>200</v>
      </c>
      <c r="H109" s="36" t="b">
        <v>1</v>
      </c>
    </row>
    <row r="110" spans="1:9" ht="30" x14ac:dyDescent="0.25">
      <c r="A110" s="54" t="s">
        <v>127</v>
      </c>
      <c r="B110" s="30" t="s">
        <v>889</v>
      </c>
      <c r="C110" s="27" t="s">
        <v>890</v>
      </c>
      <c r="D110" s="27"/>
      <c r="E110" s="27" t="s">
        <v>839</v>
      </c>
      <c r="F110" s="27" t="b">
        <v>0</v>
      </c>
      <c r="G110" s="27">
        <v>200</v>
      </c>
      <c r="H110" s="27" t="b">
        <v>1</v>
      </c>
      <c r="I110" s="33"/>
    </row>
    <row r="111" spans="1:9" ht="30" x14ac:dyDescent="0.25">
      <c r="A111" s="54" t="s">
        <v>127</v>
      </c>
      <c r="B111" s="42" t="s">
        <v>889</v>
      </c>
      <c r="C111" s="36" t="s">
        <v>886</v>
      </c>
      <c r="D111" s="36"/>
      <c r="E111" s="36" t="s">
        <v>839</v>
      </c>
      <c r="F111" s="36" t="b">
        <v>0</v>
      </c>
      <c r="G111" s="36">
        <v>200</v>
      </c>
      <c r="H111" s="36" t="b">
        <v>1</v>
      </c>
    </row>
    <row r="112" spans="1:9" ht="30" x14ac:dyDescent="0.25">
      <c r="A112" s="54" t="s">
        <v>127</v>
      </c>
      <c r="B112" s="30" t="s">
        <v>891</v>
      </c>
      <c r="C112" s="27"/>
      <c r="D112" s="27"/>
      <c r="E112" s="27" t="s">
        <v>839</v>
      </c>
      <c r="F112" s="27" t="b">
        <v>0</v>
      </c>
      <c r="G112" s="27">
        <v>200</v>
      </c>
      <c r="H112" s="27" t="b">
        <v>1</v>
      </c>
      <c r="I112" s="33"/>
    </row>
    <row r="113" spans="1:9" ht="30" x14ac:dyDescent="0.25">
      <c r="A113" s="54" t="s">
        <v>127</v>
      </c>
      <c r="B113" s="42" t="s">
        <v>891</v>
      </c>
      <c r="C113" s="36" t="s">
        <v>892</v>
      </c>
      <c r="D113" s="36"/>
      <c r="E113" s="36" t="s">
        <v>839</v>
      </c>
      <c r="F113" s="36" t="b">
        <v>0</v>
      </c>
      <c r="G113" s="36">
        <v>200</v>
      </c>
      <c r="H113" s="36" t="b">
        <v>1</v>
      </c>
    </row>
    <row r="114" spans="1:9" ht="30" x14ac:dyDescent="0.25">
      <c r="A114" s="54" t="s">
        <v>127</v>
      </c>
      <c r="B114" s="30" t="s">
        <v>891</v>
      </c>
      <c r="C114" s="27" t="s">
        <v>886</v>
      </c>
      <c r="D114" s="27"/>
      <c r="E114" s="27" t="s">
        <v>839</v>
      </c>
      <c r="F114" s="27" t="b">
        <v>0</v>
      </c>
      <c r="G114" s="27">
        <v>200</v>
      </c>
      <c r="H114" s="27" t="b">
        <v>1</v>
      </c>
      <c r="I114" s="33"/>
    </row>
    <row r="115" spans="1:9" ht="30" x14ac:dyDescent="0.25">
      <c r="A115" s="54" t="s">
        <v>127</v>
      </c>
      <c r="B115" s="42" t="s">
        <v>893</v>
      </c>
      <c r="C115" s="36"/>
      <c r="D115" s="36"/>
      <c r="E115" s="36" t="s">
        <v>839</v>
      </c>
      <c r="F115" s="36" t="b">
        <v>0</v>
      </c>
      <c r="G115" s="36">
        <v>200</v>
      </c>
      <c r="H115" s="36" t="b">
        <v>1</v>
      </c>
    </row>
    <row r="116" spans="1:9" ht="30" x14ac:dyDescent="0.25">
      <c r="A116" s="54" t="s">
        <v>127</v>
      </c>
      <c r="B116" s="30" t="s">
        <v>893</v>
      </c>
      <c r="C116" s="27" t="s">
        <v>894</v>
      </c>
      <c r="D116" s="27"/>
      <c r="E116" s="27" t="s">
        <v>839</v>
      </c>
      <c r="F116" s="27" t="b">
        <v>0</v>
      </c>
      <c r="G116" s="27">
        <v>200</v>
      </c>
      <c r="H116" s="27" t="b">
        <v>1</v>
      </c>
      <c r="I116" s="33"/>
    </row>
    <row r="117" spans="1:9" ht="30" x14ac:dyDescent="0.25">
      <c r="A117" s="54" t="s">
        <v>127</v>
      </c>
      <c r="B117" s="42" t="s">
        <v>893</v>
      </c>
      <c r="C117" s="36" t="s">
        <v>886</v>
      </c>
      <c r="D117" s="36"/>
      <c r="E117" s="36" t="s">
        <v>839</v>
      </c>
      <c r="F117" s="36" t="b">
        <v>0</v>
      </c>
      <c r="G117" s="36">
        <v>200</v>
      </c>
      <c r="H117" s="36" t="b">
        <v>1</v>
      </c>
    </row>
    <row r="118" spans="1:9" ht="30" x14ac:dyDescent="0.25">
      <c r="A118" s="54" t="s">
        <v>127</v>
      </c>
      <c r="B118" s="30" t="s">
        <v>895</v>
      </c>
      <c r="C118" s="27"/>
      <c r="D118" s="27"/>
      <c r="E118" s="27" t="s">
        <v>839</v>
      </c>
      <c r="F118" s="27" t="b">
        <v>0</v>
      </c>
      <c r="G118" s="27">
        <v>200</v>
      </c>
      <c r="H118" s="27" t="b">
        <v>1</v>
      </c>
      <c r="I118" s="33"/>
    </row>
    <row r="119" spans="1:9" ht="30" x14ac:dyDescent="0.25">
      <c r="A119" s="54" t="s">
        <v>127</v>
      </c>
      <c r="B119" s="42" t="s">
        <v>895</v>
      </c>
      <c r="C119" s="36" t="s">
        <v>896</v>
      </c>
      <c r="D119" s="36"/>
      <c r="E119" s="36" t="s">
        <v>839</v>
      </c>
      <c r="F119" s="36" t="b">
        <v>0</v>
      </c>
      <c r="G119" s="36">
        <v>200</v>
      </c>
      <c r="H119" s="36" t="b">
        <v>1</v>
      </c>
    </row>
    <row r="120" spans="1:9" ht="30" x14ac:dyDescent="0.25">
      <c r="A120" s="54" t="s">
        <v>127</v>
      </c>
      <c r="B120" s="30" t="s">
        <v>895</v>
      </c>
      <c r="C120" s="27" t="s">
        <v>886</v>
      </c>
      <c r="D120" s="27"/>
      <c r="E120" s="27" t="s">
        <v>839</v>
      </c>
      <c r="F120" s="27" t="b">
        <v>0</v>
      </c>
      <c r="G120" s="27">
        <v>200</v>
      </c>
      <c r="H120" s="27" t="b">
        <v>1</v>
      </c>
      <c r="I120" s="33"/>
    </row>
    <row r="121" spans="1:9" x14ac:dyDescent="0.25">
      <c r="A121" s="54" t="s">
        <v>127</v>
      </c>
      <c r="B121" s="42" t="s">
        <v>853</v>
      </c>
      <c r="C121" s="36" t="s">
        <v>897</v>
      </c>
      <c r="D121" s="36"/>
      <c r="E121" s="36" t="s">
        <v>839</v>
      </c>
      <c r="F121" s="36" t="b">
        <v>0</v>
      </c>
      <c r="G121" s="36">
        <v>200</v>
      </c>
      <c r="H121" s="36" t="b">
        <v>1</v>
      </c>
    </row>
    <row r="122" spans="1:9" x14ac:dyDescent="0.25">
      <c r="A122" s="54" t="s">
        <v>127</v>
      </c>
      <c r="B122" s="30" t="s">
        <v>856</v>
      </c>
      <c r="C122" s="27" t="s">
        <v>866</v>
      </c>
      <c r="D122" s="27"/>
      <c r="E122" s="27" t="s">
        <v>839</v>
      </c>
      <c r="F122" s="27" t="b">
        <v>0</v>
      </c>
      <c r="G122" s="27">
        <v>200</v>
      </c>
      <c r="H122" s="27" t="b">
        <v>1</v>
      </c>
      <c r="I122" s="33"/>
    </row>
    <row r="123" spans="1:9" ht="30" x14ac:dyDescent="0.25">
      <c r="A123" s="54" t="s">
        <v>127</v>
      </c>
      <c r="B123" s="42" t="s">
        <v>867</v>
      </c>
      <c r="C123" s="36"/>
      <c r="D123" s="36"/>
      <c r="E123" s="36" t="s">
        <v>863</v>
      </c>
      <c r="F123" s="36" t="b">
        <v>0</v>
      </c>
      <c r="G123" s="36"/>
      <c r="H123" s="36" t="b">
        <v>1</v>
      </c>
    </row>
    <row r="124" spans="1:9" ht="30" x14ac:dyDescent="0.25">
      <c r="A124" s="54" t="s">
        <v>127</v>
      </c>
      <c r="B124" s="30" t="s">
        <v>868</v>
      </c>
      <c r="C124" s="27"/>
      <c r="D124" s="27"/>
      <c r="E124" s="27" t="s">
        <v>863</v>
      </c>
      <c r="F124" s="27" t="b">
        <v>0</v>
      </c>
      <c r="G124" s="27"/>
      <c r="H124" s="27" t="b">
        <v>1</v>
      </c>
      <c r="I124" s="33"/>
    </row>
    <row r="125" spans="1:9" x14ac:dyDescent="0.25">
      <c r="A125" s="54" t="s">
        <v>127</v>
      </c>
      <c r="B125" s="42" t="s">
        <v>869</v>
      </c>
      <c r="C125" s="36" t="s">
        <v>870</v>
      </c>
      <c r="D125" s="36"/>
      <c r="E125" s="36" t="s">
        <v>839</v>
      </c>
      <c r="F125" s="36" t="b">
        <v>0</v>
      </c>
      <c r="G125" s="36">
        <v>200</v>
      </c>
      <c r="H125" s="36" t="b">
        <v>1</v>
      </c>
    </row>
    <row r="126" spans="1:9" ht="30" x14ac:dyDescent="0.25">
      <c r="A126" s="54" t="s">
        <v>127</v>
      </c>
      <c r="B126" s="30" t="s">
        <v>871</v>
      </c>
      <c r="C126" s="27" t="s">
        <v>872</v>
      </c>
      <c r="D126" s="27"/>
      <c r="E126" s="27" t="s">
        <v>839</v>
      </c>
      <c r="F126" s="27" t="b">
        <v>0</v>
      </c>
      <c r="G126" s="27">
        <v>404</v>
      </c>
      <c r="H126" s="27" t="b">
        <v>0</v>
      </c>
      <c r="I126" s="33"/>
    </row>
    <row r="127" spans="1:9" ht="30" x14ac:dyDescent="0.25">
      <c r="A127" s="54" t="s">
        <v>127</v>
      </c>
      <c r="B127" s="42" t="s">
        <v>871</v>
      </c>
      <c r="C127" s="36" t="s">
        <v>873</v>
      </c>
      <c r="D127" s="36"/>
      <c r="E127" s="36" t="s">
        <v>839</v>
      </c>
      <c r="F127" s="36" t="b">
        <v>0</v>
      </c>
      <c r="G127" s="36">
        <v>404</v>
      </c>
      <c r="H127" s="36" t="b">
        <v>0</v>
      </c>
    </row>
    <row r="128" spans="1:9" x14ac:dyDescent="0.25">
      <c r="A128" s="54" t="s">
        <v>135</v>
      </c>
      <c r="B128" s="30" t="s">
        <v>127</v>
      </c>
      <c r="C128" s="27"/>
      <c r="D128" s="27"/>
      <c r="E128" s="27" t="s">
        <v>839</v>
      </c>
      <c r="F128" s="27" t="b">
        <v>0</v>
      </c>
      <c r="G128" s="27">
        <v>200</v>
      </c>
      <c r="H128" s="27" t="b">
        <v>1</v>
      </c>
      <c r="I128" s="33"/>
    </row>
    <row r="129" spans="1:9" x14ac:dyDescent="0.25">
      <c r="A129" s="54" t="s">
        <v>135</v>
      </c>
      <c r="B129" s="42" t="s">
        <v>127</v>
      </c>
      <c r="C129" s="36" t="s">
        <v>840</v>
      </c>
      <c r="D129" s="36"/>
      <c r="E129" s="36" t="s">
        <v>839</v>
      </c>
      <c r="F129" s="36" t="b">
        <v>0</v>
      </c>
      <c r="G129" s="36">
        <v>200</v>
      </c>
      <c r="H129" s="36" t="b">
        <v>1</v>
      </c>
    </row>
    <row r="130" spans="1:9" x14ac:dyDescent="0.25">
      <c r="A130" s="54" t="s">
        <v>135</v>
      </c>
      <c r="B130" s="30" t="s">
        <v>135</v>
      </c>
      <c r="C130" s="27" t="s">
        <v>841</v>
      </c>
      <c r="D130" s="27"/>
      <c r="E130" s="27" t="s">
        <v>839</v>
      </c>
      <c r="F130" s="27" t="b">
        <v>0</v>
      </c>
      <c r="G130" s="27">
        <v>200</v>
      </c>
      <c r="H130" s="27" t="b">
        <v>1</v>
      </c>
      <c r="I130" s="33"/>
    </row>
    <row r="131" spans="1:9" x14ac:dyDescent="0.25">
      <c r="A131" s="54" t="s">
        <v>135</v>
      </c>
      <c r="B131" s="42" t="s">
        <v>842</v>
      </c>
      <c r="C131" s="36" t="s">
        <v>843</v>
      </c>
      <c r="D131" s="36"/>
      <c r="E131" s="36" t="s">
        <v>839</v>
      </c>
      <c r="F131" s="36" t="b">
        <v>0</v>
      </c>
      <c r="G131" s="36">
        <v>200</v>
      </c>
      <c r="H131" s="36" t="b">
        <v>1</v>
      </c>
    </row>
    <row r="132" spans="1:9" x14ac:dyDescent="0.25">
      <c r="A132" s="54" t="s">
        <v>135</v>
      </c>
      <c r="B132" s="30" t="s">
        <v>844</v>
      </c>
      <c r="C132" s="27" t="s">
        <v>845</v>
      </c>
      <c r="D132" s="27"/>
      <c r="E132" s="27" t="s">
        <v>839</v>
      </c>
      <c r="F132" s="27" t="b">
        <v>0</v>
      </c>
      <c r="G132" s="27">
        <v>200</v>
      </c>
      <c r="H132" s="27" t="b">
        <v>1</v>
      </c>
      <c r="I132" s="33"/>
    </row>
    <row r="133" spans="1:9" ht="30" x14ac:dyDescent="0.25">
      <c r="A133" s="54" t="s">
        <v>135</v>
      </c>
      <c r="B133" s="42" t="s">
        <v>144</v>
      </c>
      <c r="C133" s="36" t="s">
        <v>846</v>
      </c>
      <c r="D133" s="36"/>
      <c r="E133" s="36" t="s">
        <v>839</v>
      </c>
      <c r="F133" s="36" t="b">
        <v>0</v>
      </c>
      <c r="G133" s="36">
        <v>200</v>
      </c>
      <c r="H133" s="36" t="b">
        <v>1</v>
      </c>
    </row>
    <row r="134" spans="1:9" x14ac:dyDescent="0.25">
      <c r="A134" s="54" t="s">
        <v>135</v>
      </c>
      <c r="B134" s="30" t="s">
        <v>847</v>
      </c>
      <c r="C134" s="27" t="s">
        <v>848</v>
      </c>
      <c r="D134" s="27"/>
      <c r="E134" s="27" t="s">
        <v>839</v>
      </c>
      <c r="F134" s="27" t="b">
        <v>0</v>
      </c>
      <c r="G134" s="27">
        <v>200</v>
      </c>
      <c r="H134" s="27" t="b">
        <v>1</v>
      </c>
      <c r="I134" s="33"/>
    </row>
    <row r="135" spans="1:9" ht="30" x14ac:dyDescent="0.25">
      <c r="A135" s="54" t="s">
        <v>135</v>
      </c>
      <c r="B135" s="42" t="s">
        <v>849</v>
      </c>
      <c r="C135" s="36" t="s">
        <v>850</v>
      </c>
      <c r="D135" s="36"/>
      <c r="E135" s="36" t="s">
        <v>839</v>
      </c>
      <c r="F135" s="36" t="b">
        <v>0</v>
      </c>
      <c r="G135" s="36">
        <v>200</v>
      </c>
      <c r="H135" s="36" t="b">
        <v>1</v>
      </c>
    </row>
    <row r="136" spans="1:9" ht="30" x14ac:dyDescent="0.25">
      <c r="A136" s="54" t="s">
        <v>135</v>
      </c>
      <c r="B136" s="30" t="s">
        <v>851</v>
      </c>
      <c r="C136" s="27" t="s">
        <v>852</v>
      </c>
      <c r="D136" s="27"/>
      <c r="E136" s="27" t="s">
        <v>839</v>
      </c>
      <c r="F136" s="27" t="b">
        <v>0</v>
      </c>
      <c r="G136" s="27">
        <v>200</v>
      </c>
      <c r="H136" s="27" t="b">
        <v>1</v>
      </c>
      <c r="I136" s="33"/>
    </row>
    <row r="137" spans="1:9" x14ac:dyDescent="0.25">
      <c r="A137" s="54" t="s">
        <v>135</v>
      </c>
      <c r="B137" s="42" t="s">
        <v>853</v>
      </c>
      <c r="C137" s="36" t="s">
        <v>854</v>
      </c>
      <c r="D137" s="36"/>
      <c r="E137" s="36" t="s">
        <v>839</v>
      </c>
      <c r="F137" s="36" t="b">
        <v>0</v>
      </c>
      <c r="G137" s="36">
        <v>200</v>
      </c>
      <c r="H137" s="36" t="b">
        <v>1</v>
      </c>
    </row>
    <row r="138" spans="1:9" x14ac:dyDescent="0.25">
      <c r="A138" s="54" t="s">
        <v>135</v>
      </c>
      <c r="B138" s="30" t="s">
        <v>853</v>
      </c>
      <c r="C138" s="27" t="s">
        <v>855</v>
      </c>
      <c r="D138" s="27"/>
      <c r="E138" s="27" t="s">
        <v>839</v>
      </c>
      <c r="F138" s="27" t="b">
        <v>0</v>
      </c>
      <c r="G138" s="27">
        <v>200</v>
      </c>
      <c r="H138" s="27" t="b">
        <v>1</v>
      </c>
      <c r="I138" s="33"/>
    </row>
    <row r="139" spans="1:9" x14ac:dyDescent="0.25">
      <c r="A139" s="54" t="s">
        <v>135</v>
      </c>
      <c r="B139" s="42" t="s">
        <v>856</v>
      </c>
      <c r="C139" s="36" t="s">
        <v>857</v>
      </c>
      <c r="D139" s="36"/>
      <c r="E139" s="36" t="s">
        <v>839</v>
      </c>
      <c r="F139" s="36" t="b">
        <v>0</v>
      </c>
      <c r="G139" s="36">
        <v>200</v>
      </c>
      <c r="H139" s="36" t="b">
        <v>1</v>
      </c>
    </row>
    <row r="140" spans="1:9" ht="30" x14ac:dyDescent="0.25">
      <c r="A140" s="54" t="s">
        <v>135</v>
      </c>
      <c r="B140" s="30" t="s">
        <v>858</v>
      </c>
      <c r="C140" s="27" t="s">
        <v>859</v>
      </c>
      <c r="D140" s="27"/>
      <c r="E140" s="27" t="s">
        <v>839</v>
      </c>
      <c r="F140" s="27" t="b">
        <v>0</v>
      </c>
      <c r="G140" s="27">
        <v>200</v>
      </c>
      <c r="H140" s="27" t="b">
        <v>1</v>
      </c>
      <c r="I140" s="33"/>
    </row>
    <row r="141" spans="1:9" x14ac:dyDescent="0.25">
      <c r="A141" s="54" t="s">
        <v>135</v>
      </c>
      <c r="B141" s="42" t="s">
        <v>860</v>
      </c>
      <c r="C141" s="36" t="s">
        <v>861</v>
      </c>
      <c r="D141" s="36"/>
      <c r="E141" s="36" t="s">
        <v>839</v>
      </c>
      <c r="F141" s="36" t="b">
        <v>0</v>
      </c>
      <c r="G141" s="36">
        <v>200</v>
      </c>
      <c r="H141" s="36" t="b">
        <v>1</v>
      </c>
    </row>
    <row r="142" spans="1:9" x14ac:dyDescent="0.25">
      <c r="A142" s="54" t="s">
        <v>135</v>
      </c>
      <c r="B142" s="30" t="s">
        <v>127</v>
      </c>
      <c r="C142" s="27" t="s">
        <v>840</v>
      </c>
      <c r="D142" s="27"/>
      <c r="E142" s="27" t="s">
        <v>839</v>
      </c>
      <c r="F142" s="27" t="b">
        <v>0</v>
      </c>
      <c r="G142" s="27">
        <v>200</v>
      </c>
      <c r="H142" s="27" t="b">
        <v>1</v>
      </c>
      <c r="I142" s="33"/>
    </row>
    <row r="143" spans="1:9" x14ac:dyDescent="0.25">
      <c r="A143" s="54" t="s">
        <v>135</v>
      </c>
      <c r="B143" s="42" t="s">
        <v>135</v>
      </c>
      <c r="C143" s="36" t="s">
        <v>841</v>
      </c>
      <c r="D143" s="36"/>
      <c r="E143" s="36" t="s">
        <v>839</v>
      </c>
      <c r="F143" s="36" t="b">
        <v>0</v>
      </c>
      <c r="G143" s="36">
        <v>200</v>
      </c>
      <c r="H143" s="36" t="b">
        <v>1</v>
      </c>
    </row>
    <row r="144" spans="1:9" x14ac:dyDescent="0.25">
      <c r="A144" s="54" t="s">
        <v>135</v>
      </c>
      <c r="B144" s="30" t="s">
        <v>842</v>
      </c>
      <c r="C144" s="27" t="s">
        <v>843</v>
      </c>
      <c r="D144" s="27"/>
      <c r="E144" s="27" t="s">
        <v>839</v>
      </c>
      <c r="F144" s="27" t="b">
        <v>0</v>
      </c>
      <c r="G144" s="27">
        <v>200</v>
      </c>
      <c r="H144" s="27" t="b">
        <v>1</v>
      </c>
      <c r="I144" s="33"/>
    </row>
    <row r="145" spans="1:9" x14ac:dyDescent="0.25">
      <c r="A145" s="54" t="s">
        <v>135</v>
      </c>
      <c r="B145" s="42" t="s">
        <v>844</v>
      </c>
      <c r="C145" s="36" t="s">
        <v>845</v>
      </c>
      <c r="D145" s="36"/>
      <c r="E145" s="36" t="s">
        <v>839</v>
      </c>
      <c r="F145" s="36" t="b">
        <v>0</v>
      </c>
      <c r="G145" s="36">
        <v>200</v>
      </c>
      <c r="H145" s="36" t="b">
        <v>1</v>
      </c>
    </row>
    <row r="146" spans="1:9" ht="30" x14ac:dyDescent="0.25">
      <c r="A146" s="54" t="s">
        <v>135</v>
      </c>
      <c r="B146" s="30" t="s">
        <v>144</v>
      </c>
      <c r="C146" s="27" t="s">
        <v>846</v>
      </c>
      <c r="D146" s="27"/>
      <c r="E146" s="27" t="s">
        <v>839</v>
      </c>
      <c r="F146" s="27" t="b">
        <v>0</v>
      </c>
      <c r="G146" s="27">
        <v>200</v>
      </c>
      <c r="H146" s="27" t="b">
        <v>1</v>
      </c>
      <c r="I146" s="33"/>
    </row>
    <row r="147" spans="1:9" x14ac:dyDescent="0.25">
      <c r="A147" s="54" t="s">
        <v>135</v>
      </c>
      <c r="B147" s="42" t="s">
        <v>847</v>
      </c>
      <c r="C147" s="36" t="s">
        <v>848</v>
      </c>
      <c r="D147" s="36"/>
      <c r="E147" s="36" t="s">
        <v>839</v>
      </c>
      <c r="F147" s="36" t="b">
        <v>0</v>
      </c>
      <c r="G147" s="36">
        <v>200</v>
      </c>
      <c r="H147" s="36" t="b">
        <v>1</v>
      </c>
    </row>
    <row r="148" spans="1:9" ht="30" x14ac:dyDescent="0.25">
      <c r="A148" s="54" t="s">
        <v>135</v>
      </c>
      <c r="B148" s="30" t="s">
        <v>849</v>
      </c>
      <c r="C148" s="27" t="s">
        <v>850</v>
      </c>
      <c r="D148" s="27"/>
      <c r="E148" s="27" t="s">
        <v>839</v>
      </c>
      <c r="F148" s="27" t="b">
        <v>0</v>
      </c>
      <c r="G148" s="27">
        <v>200</v>
      </c>
      <c r="H148" s="27" t="b">
        <v>1</v>
      </c>
      <c r="I148" s="33"/>
    </row>
    <row r="149" spans="1:9" ht="30" x14ac:dyDescent="0.25">
      <c r="A149" s="54" t="s">
        <v>135</v>
      </c>
      <c r="B149" s="42" t="s">
        <v>851</v>
      </c>
      <c r="C149" s="36" t="s">
        <v>852</v>
      </c>
      <c r="D149" s="36"/>
      <c r="E149" s="36" t="s">
        <v>839</v>
      </c>
      <c r="F149" s="36" t="b">
        <v>0</v>
      </c>
      <c r="G149" s="36">
        <v>200</v>
      </c>
      <c r="H149" s="36" t="b">
        <v>1</v>
      </c>
    </row>
    <row r="150" spans="1:9" x14ac:dyDescent="0.25">
      <c r="A150" s="54" t="s">
        <v>135</v>
      </c>
      <c r="B150" s="30" t="s">
        <v>853</v>
      </c>
      <c r="C150" s="27" t="s">
        <v>854</v>
      </c>
      <c r="D150" s="27"/>
      <c r="E150" s="27" t="s">
        <v>839</v>
      </c>
      <c r="F150" s="27" t="b">
        <v>0</v>
      </c>
      <c r="G150" s="27">
        <v>200</v>
      </c>
      <c r="H150" s="27" t="b">
        <v>1</v>
      </c>
      <c r="I150" s="33"/>
    </row>
    <row r="151" spans="1:9" x14ac:dyDescent="0.25">
      <c r="A151" s="54" t="s">
        <v>135</v>
      </c>
      <c r="B151" s="42" t="s">
        <v>853</v>
      </c>
      <c r="C151" s="36" t="s">
        <v>855</v>
      </c>
      <c r="D151" s="36"/>
      <c r="E151" s="36" t="s">
        <v>839</v>
      </c>
      <c r="F151" s="36" t="b">
        <v>0</v>
      </c>
      <c r="G151" s="36">
        <v>200</v>
      </c>
      <c r="H151" s="36" t="b">
        <v>1</v>
      </c>
    </row>
    <row r="152" spans="1:9" x14ac:dyDescent="0.25">
      <c r="A152" s="54" t="s">
        <v>135</v>
      </c>
      <c r="B152" s="30" t="s">
        <v>856</v>
      </c>
      <c r="C152" s="27" t="s">
        <v>857</v>
      </c>
      <c r="D152" s="27"/>
      <c r="E152" s="27" t="s">
        <v>839</v>
      </c>
      <c r="F152" s="27" t="b">
        <v>0</v>
      </c>
      <c r="G152" s="27">
        <v>200</v>
      </c>
      <c r="H152" s="27" t="b">
        <v>1</v>
      </c>
      <c r="I152" s="33"/>
    </row>
    <row r="153" spans="1:9" ht="30" x14ac:dyDescent="0.25">
      <c r="A153" s="54" t="s">
        <v>135</v>
      </c>
      <c r="B153" s="42" t="s">
        <v>858</v>
      </c>
      <c r="C153" s="36" t="s">
        <v>859</v>
      </c>
      <c r="D153" s="36"/>
      <c r="E153" s="36" t="s">
        <v>839</v>
      </c>
      <c r="F153" s="36" t="b">
        <v>0</v>
      </c>
      <c r="G153" s="36">
        <v>200</v>
      </c>
      <c r="H153" s="36" t="b">
        <v>1</v>
      </c>
    </row>
    <row r="154" spans="1:9" x14ac:dyDescent="0.25">
      <c r="A154" s="54" t="s">
        <v>135</v>
      </c>
      <c r="B154" s="30" t="s">
        <v>860</v>
      </c>
      <c r="C154" s="27" t="s">
        <v>861</v>
      </c>
      <c r="D154" s="27"/>
      <c r="E154" s="27" t="s">
        <v>839</v>
      </c>
      <c r="F154" s="27" t="b">
        <v>0</v>
      </c>
      <c r="G154" s="27">
        <v>200</v>
      </c>
      <c r="H154" s="27" t="b">
        <v>1</v>
      </c>
      <c r="I154" s="33"/>
    </row>
    <row r="155" spans="1:9" x14ac:dyDescent="0.25">
      <c r="A155" s="54" t="s">
        <v>135</v>
      </c>
      <c r="B155" s="42" t="s">
        <v>898</v>
      </c>
      <c r="C155" s="36" t="s">
        <v>899</v>
      </c>
      <c r="D155" s="36"/>
      <c r="E155" s="36" t="s">
        <v>863</v>
      </c>
      <c r="F155" s="36" t="b">
        <v>0</v>
      </c>
      <c r="G155" s="36"/>
      <c r="H155" s="36" t="b">
        <v>1</v>
      </c>
    </row>
    <row r="156" spans="1:9" ht="30" x14ac:dyDescent="0.25">
      <c r="A156" s="54" t="s">
        <v>135</v>
      </c>
      <c r="B156" s="30" t="s">
        <v>900</v>
      </c>
      <c r="C156" s="27" t="s">
        <v>899</v>
      </c>
      <c r="D156" s="27"/>
      <c r="E156" s="27" t="s">
        <v>863</v>
      </c>
      <c r="F156" s="27" t="b">
        <v>0</v>
      </c>
      <c r="G156" s="27"/>
      <c r="H156" s="27" t="b">
        <v>1</v>
      </c>
      <c r="I156" s="33"/>
    </row>
    <row r="157" spans="1:9" x14ac:dyDescent="0.25">
      <c r="A157" s="54" t="s">
        <v>135</v>
      </c>
      <c r="B157" s="42" t="s">
        <v>901</v>
      </c>
      <c r="C157" s="36" t="s">
        <v>899</v>
      </c>
      <c r="D157" s="36"/>
      <c r="E157" s="36" t="s">
        <v>863</v>
      </c>
      <c r="F157" s="36" t="b">
        <v>0</v>
      </c>
      <c r="G157" s="36"/>
      <c r="H157" s="36" t="b">
        <v>1</v>
      </c>
    </row>
    <row r="158" spans="1:9" x14ac:dyDescent="0.25">
      <c r="A158" s="54" t="s">
        <v>135</v>
      </c>
      <c r="B158" s="30" t="s">
        <v>902</v>
      </c>
      <c r="C158" s="27" t="s">
        <v>899</v>
      </c>
      <c r="D158" s="27"/>
      <c r="E158" s="27" t="s">
        <v>863</v>
      </c>
      <c r="F158" s="27" t="b">
        <v>0</v>
      </c>
      <c r="G158" s="27"/>
      <c r="H158" s="27" t="b">
        <v>1</v>
      </c>
      <c r="I158" s="33"/>
    </row>
    <row r="159" spans="1:9" x14ac:dyDescent="0.25">
      <c r="A159" s="54" t="s">
        <v>135</v>
      </c>
      <c r="B159" s="42" t="s">
        <v>903</v>
      </c>
      <c r="C159" s="36" t="s">
        <v>899</v>
      </c>
      <c r="D159" s="36"/>
      <c r="E159" s="36" t="s">
        <v>863</v>
      </c>
      <c r="F159" s="36" t="b">
        <v>0</v>
      </c>
      <c r="G159" s="36"/>
      <c r="H159" s="36" t="b">
        <v>1</v>
      </c>
    </row>
    <row r="160" spans="1:9" x14ac:dyDescent="0.25">
      <c r="A160" s="54" t="s">
        <v>135</v>
      </c>
      <c r="B160" s="30" t="s">
        <v>844</v>
      </c>
      <c r="C160" s="27" t="s">
        <v>904</v>
      </c>
      <c r="D160" s="27"/>
      <c r="E160" s="27" t="s">
        <v>839</v>
      </c>
      <c r="F160" s="27" t="b">
        <v>0</v>
      </c>
      <c r="G160" s="27">
        <v>200</v>
      </c>
      <c r="H160" s="27" t="b">
        <v>1</v>
      </c>
      <c r="I160" s="33"/>
    </row>
    <row r="161" spans="1:9" x14ac:dyDescent="0.25">
      <c r="A161" s="54" t="s">
        <v>135</v>
      </c>
      <c r="B161" s="42" t="s">
        <v>856</v>
      </c>
      <c r="C161" s="36" t="s">
        <v>866</v>
      </c>
      <c r="D161" s="36"/>
      <c r="E161" s="36" t="s">
        <v>839</v>
      </c>
      <c r="F161" s="36" t="b">
        <v>0</v>
      </c>
      <c r="G161" s="36">
        <v>200</v>
      </c>
      <c r="H161" s="36" t="b">
        <v>1</v>
      </c>
    </row>
    <row r="162" spans="1:9" ht="30" x14ac:dyDescent="0.25">
      <c r="A162" s="54" t="s">
        <v>135</v>
      </c>
      <c r="B162" s="30" t="s">
        <v>867</v>
      </c>
      <c r="C162" s="27"/>
      <c r="D162" s="27"/>
      <c r="E162" s="27" t="s">
        <v>863</v>
      </c>
      <c r="F162" s="27" t="b">
        <v>0</v>
      </c>
      <c r="G162" s="27"/>
      <c r="H162" s="27" t="b">
        <v>1</v>
      </c>
      <c r="I162" s="33"/>
    </row>
    <row r="163" spans="1:9" ht="30" x14ac:dyDescent="0.25">
      <c r="A163" s="54" t="s">
        <v>135</v>
      </c>
      <c r="B163" s="42" t="s">
        <v>868</v>
      </c>
      <c r="C163" s="36"/>
      <c r="D163" s="36"/>
      <c r="E163" s="36" t="s">
        <v>863</v>
      </c>
      <c r="F163" s="36" t="b">
        <v>0</v>
      </c>
      <c r="G163" s="36"/>
      <c r="H163" s="36" t="b">
        <v>1</v>
      </c>
    </row>
    <row r="164" spans="1:9" x14ac:dyDescent="0.25">
      <c r="A164" s="54" t="s">
        <v>135</v>
      </c>
      <c r="B164" s="30" t="s">
        <v>869</v>
      </c>
      <c r="C164" s="27" t="s">
        <v>870</v>
      </c>
      <c r="D164" s="27"/>
      <c r="E164" s="27" t="s">
        <v>839</v>
      </c>
      <c r="F164" s="27" t="b">
        <v>0</v>
      </c>
      <c r="G164" s="27">
        <v>200</v>
      </c>
      <c r="H164" s="27" t="b">
        <v>1</v>
      </c>
      <c r="I164" s="33"/>
    </row>
    <row r="165" spans="1:9" ht="30" x14ac:dyDescent="0.25">
      <c r="A165" s="54" t="s">
        <v>135</v>
      </c>
      <c r="B165" s="42" t="s">
        <v>871</v>
      </c>
      <c r="C165" s="36" t="s">
        <v>872</v>
      </c>
      <c r="D165" s="36"/>
      <c r="E165" s="36" t="s">
        <v>839</v>
      </c>
      <c r="F165" s="36" t="b">
        <v>0</v>
      </c>
      <c r="G165" s="36">
        <v>404</v>
      </c>
      <c r="H165" s="36" t="b">
        <v>0</v>
      </c>
    </row>
    <row r="166" spans="1:9" ht="30" x14ac:dyDescent="0.25">
      <c r="A166" s="54" t="s">
        <v>135</v>
      </c>
      <c r="B166" s="30" t="s">
        <v>871</v>
      </c>
      <c r="C166" s="27" t="s">
        <v>873</v>
      </c>
      <c r="D166" s="27"/>
      <c r="E166" s="27" t="s">
        <v>839</v>
      </c>
      <c r="F166" s="27" t="b">
        <v>0</v>
      </c>
      <c r="G166" s="27">
        <v>404</v>
      </c>
      <c r="H166" s="27" t="b">
        <v>0</v>
      </c>
      <c r="I166" s="33"/>
    </row>
    <row r="167" spans="1:9" x14ac:dyDescent="0.25">
      <c r="A167" s="54" t="s">
        <v>152</v>
      </c>
      <c r="B167" s="42" t="s">
        <v>862</v>
      </c>
      <c r="C167" s="36"/>
      <c r="D167" s="36"/>
      <c r="E167" s="36" t="s">
        <v>863</v>
      </c>
      <c r="F167" s="36" t="b">
        <v>0</v>
      </c>
      <c r="G167" s="36"/>
      <c r="H167" s="36" t="b">
        <v>1</v>
      </c>
    </row>
    <row r="168" spans="1:9" ht="30" x14ac:dyDescent="0.25">
      <c r="A168" s="54" t="s">
        <v>152</v>
      </c>
      <c r="B168" s="30" t="s">
        <v>878</v>
      </c>
      <c r="C168" s="27" t="s">
        <v>905</v>
      </c>
      <c r="D168" s="27"/>
      <c r="E168" s="27" t="s">
        <v>839</v>
      </c>
      <c r="F168" s="27" t="b">
        <v>0</v>
      </c>
      <c r="G168" s="27">
        <v>200</v>
      </c>
      <c r="H168" s="27" t="b">
        <v>1</v>
      </c>
      <c r="I168" s="33"/>
    </row>
    <row r="169" spans="1:9" x14ac:dyDescent="0.25">
      <c r="A169" s="54" t="s">
        <v>152</v>
      </c>
      <c r="B169" s="42" t="s">
        <v>906</v>
      </c>
      <c r="C169" s="36" t="s">
        <v>907</v>
      </c>
      <c r="D169" s="36"/>
      <c r="E169" s="36" t="s">
        <v>839</v>
      </c>
      <c r="F169" s="36" t="b">
        <v>0</v>
      </c>
      <c r="G169" s="36">
        <v>200</v>
      </c>
      <c r="H169" s="36" t="b">
        <v>1</v>
      </c>
    </row>
    <row r="170" spans="1:9" ht="30" x14ac:dyDescent="0.25">
      <c r="A170" s="54" t="s">
        <v>152</v>
      </c>
      <c r="B170" s="30" t="s">
        <v>908</v>
      </c>
      <c r="C170" s="27" t="s">
        <v>909</v>
      </c>
      <c r="D170" s="27"/>
      <c r="E170" s="27" t="s">
        <v>839</v>
      </c>
      <c r="F170" s="27" t="b">
        <v>0</v>
      </c>
      <c r="G170" s="27">
        <v>200</v>
      </c>
      <c r="H170" s="27" t="b">
        <v>1</v>
      </c>
      <c r="I170" s="33"/>
    </row>
    <row r="171" spans="1:9" ht="30" x14ac:dyDescent="0.25">
      <c r="A171" s="54" t="s">
        <v>152</v>
      </c>
      <c r="B171" s="42" t="s">
        <v>910</v>
      </c>
      <c r="C171" s="36" t="s">
        <v>911</v>
      </c>
      <c r="D171" s="36"/>
      <c r="E171" s="36" t="s">
        <v>839</v>
      </c>
      <c r="F171" s="36" t="b">
        <v>0</v>
      </c>
      <c r="G171" s="36">
        <v>200</v>
      </c>
      <c r="H171" s="36" t="b">
        <v>1</v>
      </c>
    </row>
    <row r="172" spans="1:9" x14ac:dyDescent="0.25">
      <c r="A172" s="54" t="s">
        <v>152</v>
      </c>
      <c r="B172" s="30" t="s">
        <v>912</v>
      </c>
      <c r="C172" s="27" t="s">
        <v>913</v>
      </c>
      <c r="D172" s="27"/>
      <c r="E172" s="27" t="s">
        <v>839</v>
      </c>
      <c r="F172" s="27" t="b">
        <v>0</v>
      </c>
      <c r="G172" s="27">
        <v>200</v>
      </c>
      <c r="H172" s="27" t="b">
        <v>1</v>
      </c>
      <c r="I172" s="33"/>
    </row>
    <row r="173" spans="1:9" x14ac:dyDescent="0.25">
      <c r="A173" s="54" t="s">
        <v>152</v>
      </c>
      <c r="B173" s="42" t="s">
        <v>914</v>
      </c>
      <c r="C173" s="36" t="s">
        <v>915</v>
      </c>
      <c r="D173" s="36"/>
      <c r="E173" s="36" t="s">
        <v>839</v>
      </c>
      <c r="F173" s="36" t="b">
        <v>0</v>
      </c>
      <c r="G173" s="36">
        <v>200</v>
      </c>
      <c r="H173" s="36" t="b">
        <v>1</v>
      </c>
    </row>
    <row r="174" spans="1:9" ht="30" x14ac:dyDescent="0.25">
      <c r="A174" s="54" t="s">
        <v>152</v>
      </c>
      <c r="B174" s="30" t="s">
        <v>878</v>
      </c>
      <c r="C174" s="27" t="s">
        <v>905</v>
      </c>
      <c r="D174" s="27"/>
      <c r="E174" s="27" t="s">
        <v>839</v>
      </c>
      <c r="F174" s="27" t="b">
        <v>0</v>
      </c>
      <c r="G174" s="27">
        <v>200</v>
      </c>
      <c r="H174" s="27" t="b">
        <v>1</v>
      </c>
      <c r="I174" s="33"/>
    </row>
    <row r="175" spans="1:9" x14ac:dyDescent="0.25">
      <c r="A175" s="54" t="s">
        <v>152</v>
      </c>
      <c r="B175" s="42" t="s">
        <v>906</v>
      </c>
      <c r="C175" s="36" t="s">
        <v>907</v>
      </c>
      <c r="D175" s="36"/>
      <c r="E175" s="36" t="s">
        <v>839</v>
      </c>
      <c r="F175" s="36" t="b">
        <v>0</v>
      </c>
      <c r="G175" s="36">
        <v>200</v>
      </c>
      <c r="H175" s="36" t="b">
        <v>1</v>
      </c>
    </row>
    <row r="176" spans="1:9" ht="30" x14ac:dyDescent="0.25">
      <c r="A176" s="54" t="s">
        <v>152</v>
      </c>
      <c r="B176" s="30" t="s">
        <v>908</v>
      </c>
      <c r="C176" s="27" t="s">
        <v>909</v>
      </c>
      <c r="D176" s="27"/>
      <c r="E176" s="27" t="s">
        <v>839</v>
      </c>
      <c r="F176" s="27" t="b">
        <v>0</v>
      </c>
      <c r="G176" s="27">
        <v>200</v>
      </c>
      <c r="H176" s="27" t="b">
        <v>1</v>
      </c>
      <c r="I176" s="33"/>
    </row>
    <row r="177" spans="1:9" ht="30" x14ac:dyDescent="0.25">
      <c r="A177" s="54" t="s">
        <v>152</v>
      </c>
      <c r="B177" s="42" t="s">
        <v>910</v>
      </c>
      <c r="C177" s="36" t="s">
        <v>911</v>
      </c>
      <c r="D177" s="36"/>
      <c r="E177" s="36" t="s">
        <v>839</v>
      </c>
      <c r="F177" s="36" t="b">
        <v>0</v>
      </c>
      <c r="G177" s="36">
        <v>200</v>
      </c>
      <c r="H177" s="36" t="b">
        <v>1</v>
      </c>
    </row>
    <row r="178" spans="1:9" x14ac:dyDescent="0.25">
      <c r="A178" s="54" t="s">
        <v>152</v>
      </c>
      <c r="B178" s="30" t="s">
        <v>912</v>
      </c>
      <c r="C178" s="27" t="s">
        <v>913</v>
      </c>
      <c r="D178" s="27"/>
      <c r="E178" s="27" t="s">
        <v>839</v>
      </c>
      <c r="F178" s="27" t="b">
        <v>0</v>
      </c>
      <c r="G178" s="27">
        <v>200</v>
      </c>
      <c r="H178" s="27" t="b">
        <v>1</v>
      </c>
      <c r="I178" s="33"/>
    </row>
    <row r="179" spans="1:9" x14ac:dyDescent="0.25">
      <c r="A179" s="54" t="s">
        <v>152</v>
      </c>
      <c r="B179" s="42" t="s">
        <v>914</v>
      </c>
      <c r="C179" s="36" t="s">
        <v>915</v>
      </c>
      <c r="D179" s="36"/>
      <c r="E179" s="36" t="s">
        <v>839</v>
      </c>
      <c r="F179" s="36" t="b">
        <v>0</v>
      </c>
      <c r="G179" s="36">
        <v>200</v>
      </c>
      <c r="H179" s="36" t="b">
        <v>1</v>
      </c>
    </row>
    <row r="180" spans="1:9" x14ac:dyDescent="0.25">
      <c r="A180" s="54" t="s">
        <v>152</v>
      </c>
      <c r="B180" s="30" t="s">
        <v>856</v>
      </c>
      <c r="C180" s="27" t="s">
        <v>866</v>
      </c>
      <c r="D180" s="27"/>
      <c r="E180" s="27" t="s">
        <v>839</v>
      </c>
      <c r="F180" s="27" t="b">
        <v>0</v>
      </c>
      <c r="G180" s="27">
        <v>200</v>
      </c>
      <c r="H180" s="27" t="b">
        <v>1</v>
      </c>
      <c r="I180" s="33"/>
    </row>
    <row r="181" spans="1:9" ht="30" x14ac:dyDescent="0.25">
      <c r="A181" s="54" t="s">
        <v>152</v>
      </c>
      <c r="B181" s="42" t="s">
        <v>867</v>
      </c>
      <c r="C181" s="36"/>
      <c r="D181" s="36"/>
      <c r="E181" s="36" t="s">
        <v>863</v>
      </c>
      <c r="F181" s="36" t="b">
        <v>0</v>
      </c>
      <c r="G181" s="36"/>
      <c r="H181" s="36" t="b">
        <v>1</v>
      </c>
    </row>
    <row r="182" spans="1:9" ht="30" x14ac:dyDescent="0.25">
      <c r="A182" s="54" t="s">
        <v>152</v>
      </c>
      <c r="B182" s="30" t="s">
        <v>868</v>
      </c>
      <c r="C182" s="27"/>
      <c r="D182" s="27"/>
      <c r="E182" s="27" t="s">
        <v>863</v>
      </c>
      <c r="F182" s="27" t="b">
        <v>0</v>
      </c>
      <c r="G182" s="27"/>
      <c r="H182" s="27" t="b">
        <v>1</v>
      </c>
      <c r="I182" s="33"/>
    </row>
    <row r="183" spans="1:9" x14ac:dyDescent="0.25">
      <c r="A183" s="54" t="s">
        <v>152</v>
      </c>
      <c r="B183" s="42" t="s">
        <v>916</v>
      </c>
      <c r="C183" s="36"/>
      <c r="D183" s="36"/>
      <c r="E183" s="36" t="s">
        <v>863</v>
      </c>
      <c r="F183" s="36" t="b">
        <v>0</v>
      </c>
      <c r="G183" s="36"/>
      <c r="H183" s="36" t="b">
        <v>1</v>
      </c>
    </row>
    <row r="184" spans="1:9" x14ac:dyDescent="0.25">
      <c r="A184" s="54" t="s">
        <v>152</v>
      </c>
      <c r="B184" s="30" t="s">
        <v>869</v>
      </c>
      <c r="C184" s="27" t="s">
        <v>917</v>
      </c>
      <c r="D184" s="27"/>
      <c r="E184" s="27" t="s">
        <v>839</v>
      </c>
      <c r="F184" s="27" t="b">
        <v>0</v>
      </c>
      <c r="G184" s="27">
        <v>200</v>
      </c>
      <c r="H184" s="27" t="b">
        <v>1</v>
      </c>
      <c r="I184" s="33"/>
    </row>
    <row r="185" spans="1:9" ht="30" x14ac:dyDescent="0.25">
      <c r="A185" s="54" t="s">
        <v>152</v>
      </c>
      <c r="B185" s="42" t="s">
        <v>871</v>
      </c>
      <c r="C185" s="36" t="s">
        <v>872</v>
      </c>
      <c r="D185" s="36"/>
      <c r="E185" s="36" t="s">
        <v>839</v>
      </c>
      <c r="F185" s="36" t="b">
        <v>0</v>
      </c>
      <c r="G185" s="36">
        <v>404</v>
      </c>
      <c r="H185" s="36" t="b">
        <v>0</v>
      </c>
    </row>
    <row r="186" spans="1:9" ht="30" x14ac:dyDescent="0.25">
      <c r="A186" s="54" t="s">
        <v>152</v>
      </c>
      <c r="B186" s="30" t="s">
        <v>871</v>
      </c>
      <c r="C186" s="27" t="s">
        <v>873</v>
      </c>
      <c r="D186" s="27"/>
      <c r="E186" s="27" t="s">
        <v>839</v>
      </c>
      <c r="F186" s="27" t="b">
        <v>0</v>
      </c>
      <c r="G186" s="27">
        <v>404</v>
      </c>
      <c r="H186" s="27" t="b">
        <v>0</v>
      </c>
      <c r="I186" s="33"/>
    </row>
    <row r="187" spans="1:9" ht="30" x14ac:dyDescent="0.25">
      <c r="A187" s="54" t="s">
        <v>169</v>
      </c>
      <c r="B187" s="42" t="s">
        <v>127</v>
      </c>
      <c r="C187" s="36"/>
      <c r="D187" s="36"/>
      <c r="E187" s="36" t="s">
        <v>839</v>
      </c>
      <c r="F187" s="36" t="b">
        <v>0</v>
      </c>
      <c r="G187" s="36">
        <v>200</v>
      </c>
      <c r="H187" s="36" t="b">
        <v>1</v>
      </c>
    </row>
    <row r="188" spans="1:9" ht="30" x14ac:dyDescent="0.25">
      <c r="A188" s="54" t="s">
        <v>169</v>
      </c>
      <c r="B188" s="30" t="s">
        <v>127</v>
      </c>
      <c r="C188" s="27" t="s">
        <v>840</v>
      </c>
      <c r="D188" s="27"/>
      <c r="E188" s="27" t="s">
        <v>839</v>
      </c>
      <c r="F188" s="27" t="b">
        <v>0</v>
      </c>
      <c r="G188" s="27">
        <v>200</v>
      </c>
      <c r="H188" s="27" t="b">
        <v>1</v>
      </c>
      <c r="I188" s="33"/>
    </row>
    <row r="189" spans="1:9" ht="30" x14ac:dyDescent="0.25">
      <c r="A189" s="54" t="s">
        <v>169</v>
      </c>
      <c r="B189" s="42" t="s">
        <v>135</v>
      </c>
      <c r="C189" s="36" t="s">
        <v>841</v>
      </c>
      <c r="D189" s="36"/>
      <c r="E189" s="36" t="s">
        <v>839</v>
      </c>
      <c r="F189" s="36" t="b">
        <v>0</v>
      </c>
      <c r="G189" s="36">
        <v>200</v>
      </c>
      <c r="H189" s="36" t="b">
        <v>1</v>
      </c>
    </row>
    <row r="190" spans="1:9" ht="30" x14ac:dyDescent="0.25">
      <c r="A190" s="54" t="s">
        <v>169</v>
      </c>
      <c r="B190" s="30" t="s">
        <v>842</v>
      </c>
      <c r="C190" s="27" t="s">
        <v>843</v>
      </c>
      <c r="D190" s="27"/>
      <c r="E190" s="27" t="s">
        <v>839</v>
      </c>
      <c r="F190" s="27" t="b">
        <v>0</v>
      </c>
      <c r="G190" s="27">
        <v>200</v>
      </c>
      <c r="H190" s="27" t="b">
        <v>1</v>
      </c>
      <c r="I190" s="33"/>
    </row>
    <row r="191" spans="1:9" ht="30" x14ac:dyDescent="0.25">
      <c r="A191" s="54" t="s">
        <v>169</v>
      </c>
      <c r="B191" s="42" t="s">
        <v>844</v>
      </c>
      <c r="C191" s="36" t="s">
        <v>845</v>
      </c>
      <c r="D191" s="36"/>
      <c r="E191" s="36" t="s">
        <v>839</v>
      </c>
      <c r="F191" s="36" t="b">
        <v>0</v>
      </c>
      <c r="G191" s="36">
        <v>200</v>
      </c>
      <c r="H191" s="36" t="b">
        <v>1</v>
      </c>
    </row>
    <row r="192" spans="1:9" ht="30" x14ac:dyDescent="0.25">
      <c r="A192" s="54" t="s">
        <v>169</v>
      </c>
      <c r="B192" s="30" t="s">
        <v>144</v>
      </c>
      <c r="C192" s="27" t="s">
        <v>846</v>
      </c>
      <c r="D192" s="27"/>
      <c r="E192" s="27" t="s">
        <v>839</v>
      </c>
      <c r="F192" s="27" t="b">
        <v>0</v>
      </c>
      <c r="G192" s="27">
        <v>200</v>
      </c>
      <c r="H192" s="27" t="b">
        <v>1</v>
      </c>
      <c r="I192" s="33"/>
    </row>
    <row r="193" spans="1:9" ht="30" x14ac:dyDescent="0.25">
      <c r="A193" s="54" t="s">
        <v>169</v>
      </c>
      <c r="B193" s="42" t="s">
        <v>847</v>
      </c>
      <c r="C193" s="36" t="s">
        <v>848</v>
      </c>
      <c r="D193" s="36"/>
      <c r="E193" s="36" t="s">
        <v>839</v>
      </c>
      <c r="F193" s="36" t="b">
        <v>0</v>
      </c>
      <c r="G193" s="36">
        <v>200</v>
      </c>
      <c r="H193" s="36" t="b">
        <v>1</v>
      </c>
    </row>
    <row r="194" spans="1:9" ht="30" x14ac:dyDescent="0.25">
      <c r="A194" s="54" t="s">
        <v>169</v>
      </c>
      <c r="B194" s="30" t="s">
        <v>849</v>
      </c>
      <c r="C194" s="27" t="s">
        <v>850</v>
      </c>
      <c r="D194" s="27"/>
      <c r="E194" s="27" t="s">
        <v>839</v>
      </c>
      <c r="F194" s="27" t="b">
        <v>0</v>
      </c>
      <c r="G194" s="27">
        <v>200</v>
      </c>
      <c r="H194" s="27" t="b">
        <v>1</v>
      </c>
      <c r="I194" s="33"/>
    </row>
    <row r="195" spans="1:9" ht="30" x14ac:dyDescent="0.25">
      <c r="A195" s="54" t="s">
        <v>169</v>
      </c>
      <c r="B195" s="42" t="s">
        <v>851</v>
      </c>
      <c r="C195" s="36" t="s">
        <v>852</v>
      </c>
      <c r="D195" s="36"/>
      <c r="E195" s="36" t="s">
        <v>839</v>
      </c>
      <c r="F195" s="36" t="b">
        <v>0</v>
      </c>
      <c r="G195" s="36">
        <v>200</v>
      </c>
      <c r="H195" s="36" t="b">
        <v>1</v>
      </c>
    </row>
    <row r="196" spans="1:9" ht="30" x14ac:dyDescent="0.25">
      <c r="A196" s="54" t="s">
        <v>169</v>
      </c>
      <c r="B196" s="30" t="s">
        <v>853</v>
      </c>
      <c r="C196" s="27" t="s">
        <v>854</v>
      </c>
      <c r="D196" s="27"/>
      <c r="E196" s="27" t="s">
        <v>839</v>
      </c>
      <c r="F196" s="27" t="b">
        <v>0</v>
      </c>
      <c r="G196" s="27">
        <v>200</v>
      </c>
      <c r="H196" s="27" t="b">
        <v>1</v>
      </c>
      <c r="I196" s="33"/>
    </row>
    <row r="197" spans="1:9" ht="30" x14ac:dyDescent="0.25">
      <c r="A197" s="54" t="s">
        <v>169</v>
      </c>
      <c r="B197" s="42" t="s">
        <v>853</v>
      </c>
      <c r="C197" s="36" t="s">
        <v>855</v>
      </c>
      <c r="D197" s="36"/>
      <c r="E197" s="36" t="s">
        <v>839</v>
      </c>
      <c r="F197" s="36" t="b">
        <v>0</v>
      </c>
      <c r="G197" s="36">
        <v>200</v>
      </c>
      <c r="H197" s="36" t="b">
        <v>1</v>
      </c>
    </row>
    <row r="198" spans="1:9" ht="30" x14ac:dyDescent="0.25">
      <c r="A198" s="54" t="s">
        <v>169</v>
      </c>
      <c r="B198" s="30" t="s">
        <v>856</v>
      </c>
      <c r="C198" s="27" t="s">
        <v>857</v>
      </c>
      <c r="D198" s="27"/>
      <c r="E198" s="27" t="s">
        <v>839</v>
      </c>
      <c r="F198" s="27" t="b">
        <v>0</v>
      </c>
      <c r="G198" s="27">
        <v>200</v>
      </c>
      <c r="H198" s="27" t="b">
        <v>1</v>
      </c>
      <c r="I198" s="33"/>
    </row>
    <row r="199" spans="1:9" ht="30" x14ac:dyDescent="0.25">
      <c r="A199" s="54" t="s">
        <v>169</v>
      </c>
      <c r="B199" s="42" t="s">
        <v>858</v>
      </c>
      <c r="C199" s="36" t="s">
        <v>859</v>
      </c>
      <c r="D199" s="36"/>
      <c r="E199" s="36" t="s">
        <v>839</v>
      </c>
      <c r="F199" s="36" t="b">
        <v>0</v>
      </c>
      <c r="G199" s="36">
        <v>200</v>
      </c>
      <c r="H199" s="36" t="b">
        <v>1</v>
      </c>
    </row>
    <row r="200" spans="1:9" ht="30" x14ac:dyDescent="0.25">
      <c r="A200" s="54" t="s">
        <v>169</v>
      </c>
      <c r="B200" s="30" t="s">
        <v>860</v>
      </c>
      <c r="C200" s="27" t="s">
        <v>861</v>
      </c>
      <c r="D200" s="27"/>
      <c r="E200" s="27" t="s">
        <v>839</v>
      </c>
      <c r="F200" s="27" t="b">
        <v>0</v>
      </c>
      <c r="G200" s="27">
        <v>200</v>
      </c>
      <c r="H200" s="27" t="b">
        <v>1</v>
      </c>
      <c r="I200" s="33"/>
    </row>
    <row r="201" spans="1:9" ht="30" x14ac:dyDescent="0.25">
      <c r="A201" s="54" t="s">
        <v>169</v>
      </c>
      <c r="B201" s="42" t="s">
        <v>127</v>
      </c>
      <c r="C201" s="36" t="s">
        <v>840</v>
      </c>
      <c r="D201" s="36"/>
      <c r="E201" s="36" t="s">
        <v>839</v>
      </c>
      <c r="F201" s="36" t="b">
        <v>0</v>
      </c>
      <c r="G201" s="36">
        <v>200</v>
      </c>
      <c r="H201" s="36" t="b">
        <v>1</v>
      </c>
    </row>
    <row r="202" spans="1:9" ht="30" x14ac:dyDescent="0.25">
      <c r="A202" s="54" t="s">
        <v>169</v>
      </c>
      <c r="B202" s="30" t="s">
        <v>135</v>
      </c>
      <c r="C202" s="27" t="s">
        <v>841</v>
      </c>
      <c r="D202" s="27"/>
      <c r="E202" s="27" t="s">
        <v>839</v>
      </c>
      <c r="F202" s="27" t="b">
        <v>0</v>
      </c>
      <c r="G202" s="27">
        <v>200</v>
      </c>
      <c r="H202" s="27" t="b">
        <v>1</v>
      </c>
      <c r="I202" s="33"/>
    </row>
    <row r="203" spans="1:9" ht="30" x14ac:dyDescent="0.25">
      <c r="A203" s="54" t="s">
        <v>169</v>
      </c>
      <c r="B203" s="42" t="s">
        <v>842</v>
      </c>
      <c r="C203" s="36" t="s">
        <v>843</v>
      </c>
      <c r="D203" s="36"/>
      <c r="E203" s="36" t="s">
        <v>839</v>
      </c>
      <c r="F203" s="36" t="b">
        <v>0</v>
      </c>
      <c r="G203" s="36">
        <v>200</v>
      </c>
      <c r="H203" s="36" t="b">
        <v>1</v>
      </c>
    </row>
    <row r="204" spans="1:9" ht="30" x14ac:dyDescent="0.25">
      <c r="A204" s="54" t="s">
        <v>169</v>
      </c>
      <c r="B204" s="30" t="s">
        <v>844</v>
      </c>
      <c r="C204" s="27" t="s">
        <v>845</v>
      </c>
      <c r="D204" s="27"/>
      <c r="E204" s="27" t="s">
        <v>839</v>
      </c>
      <c r="F204" s="27" t="b">
        <v>0</v>
      </c>
      <c r="G204" s="27">
        <v>200</v>
      </c>
      <c r="H204" s="27" t="b">
        <v>1</v>
      </c>
      <c r="I204" s="33"/>
    </row>
    <row r="205" spans="1:9" ht="30" x14ac:dyDescent="0.25">
      <c r="A205" s="54" t="s">
        <v>169</v>
      </c>
      <c r="B205" s="42" t="s">
        <v>144</v>
      </c>
      <c r="C205" s="36" t="s">
        <v>846</v>
      </c>
      <c r="D205" s="36"/>
      <c r="E205" s="36" t="s">
        <v>839</v>
      </c>
      <c r="F205" s="36" t="b">
        <v>0</v>
      </c>
      <c r="G205" s="36">
        <v>200</v>
      </c>
      <c r="H205" s="36" t="b">
        <v>1</v>
      </c>
    </row>
    <row r="206" spans="1:9" ht="30" x14ac:dyDescent="0.25">
      <c r="A206" s="54" t="s">
        <v>169</v>
      </c>
      <c r="B206" s="30" t="s">
        <v>847</v>
      </c>
      <c r="C206" s="27" t="s">
        <v>848</v>
      </c>
      <c r="D206" s="27"/>
      <c r="E206" s="27" t="s">
        <v>839</v>
      </c>
      <c r="F206" s="27" t="b">
        <v>0</v>
      </c>
      <c r="G206" s="27">
        <v>200</v>
      </c>
      <c r="H206" s="27" t="b">
        <v>1</v>
      </c>
      <c r="I206" s="33"/>
    </row>
    <row r="207" spans="1:9" ht="30" x14ac:dyDescent="0.25">
      <c r="A207" s="54" t="s">
        <v>169</v>
      </c>
      <c r="B207" s="42" t="s">
        <v>849</v>
      </c>
      <c r="C207" s="36" t="s">
        <v>850</v>
      </c>
      <c r="D207" s="36"/>
      <c r="E207" s="36" t="s">
        <v>839</v>
      </c>
      <c r="F207" s="36" t="b">
        <v>0</v>
      </c>
      <c r="G207" s="36">
        <v>200</v>
      </c>
      <c r="H207" s="36" t="b">
        <v>1</v>
      </c>
    </row>
    <row r="208" spans="1:9" ht="30" x14ac:dyDescent="0.25">
      <c r="A208" s="54" t="s">
        <v>169</v>
      </c>
      <c r="B208" s="30" t="s">
        <v>851</v>
      </c>
      <c r="C208" s="27" t="s">
        <v>852</v>
      </c>
      <c r="D208" s="27"/>
      <c r="E208" s="27" t="s">
        <v>839</v>
      </c>
      <c r="F208" s="27" t="b">
        <v>0</v>
      </c>
      <c r="G208" s="27">
        <v>200</v>
      </c>
      <c r="H208" s="27" t="b">
        <v>1</v>
      </c>
      <c r="I208" s="33"/>
    </row>
    <row r="209" spans="1:9" ht="30" x14ac:dyDescent="0.25">
      <c r="A209" s="54" t="s">
        <v>169</v>
      </c>
      <c r="B209" s="42" t="s">
        <v>853</v>
      </c>
      <c r="C209" s="36" t="s">
        <v>854</v>
      </c>
      <c r="D209" s="36"/>
      <c r="E209" s="36" t="s">
        <v>839</v>
      </c>
      <c r="F209" s="36" t="b">
        <v>0</v>
      </c>
      <c r="G209" s="36">
        <v>200</v>
      </c>
      <c r="H209" s="36" t="b">
        <v>1</v>
      </c>
    </row>
    <row r="210" spans="1:9" ht="30" x14ac:dyDescent="0.25">
      <c r="A210" s="54" t="s">
        <v>169</v>
      </c>
      <c r="B210" s="30" t="s">
        <v>853</v>
      </c>
      <c r="C210" s="27" t="s">
        <v>855</v>
      </c>
      <c r="D210" s="27"/>
      <c r="E210" s="27" t="s">
        <v>839</v>
      </c>
      <c r="F210" s="27" t="b">
        <v>0</v>
      </c>
      <c r="G210" s="27">
        <v>200</v>
      </c>
      <c r="H210" s="27" t="b">
        <v>1</v>
      </c>
      <c r="I210" s="33"/>
    </row>
    <row r="211" spans="1:9" ht="30" x14ac:dyDescent="0.25">
      <c r="A211" s="54" t="s">
        <v>169</v>
      </c>
      <c r="B211" s="42" t="s">
        <v>856</v>
      </c>
      <c r="C211" s="36" t="s">
        <v>857</v>
      </c>
      <c r="D211" s="36"/>
      <c r="E211" s="36" t="s">
        <v>839</v>
      </c>
      <c r="F211" s="36" t="b">
        <v>0</v>
      </c>
      <c r="G211" s="36">
        <v>200</v>
      </c>
      <c r="H211" s="36" t="b">
        <v>1</v>
      </c>
    </row>
    <row r="212" spans="1:9" ht="30" x14ac:dyDescent="0.25">
      <c r="A212" s="54" t="s">
        <v>169</v>
      </c>
      <c r="B212" s="30" t="s">
        <v>858</v>
      </c>
      <c r="C212" s="27" t="s">
        <v>859</v>
      </c>
      <c r="D212" s="27"/>
      <c r="E212" s="27" t="s">
        <v>839</v>
      </c>
      <c r="F212" s="27" t="b">
        <v>0</v>
      </c>
      <c r="G212" s="27">
        <v>200</v>
      </c>
      <c r="H212" s="27" t="b">
        <v>1</v>
      </c>
      <c r="I212" s="33"/>
    </row>
    <row r="213" spans="1:9" ht="30" x14ac:dyDescent="0.25">
      <c r="A213" s="54" t="s">
        <v>169</v>
      </c>
      <c r="B213" s="42" t="s">
        <v>860</v>
      </c>
      <c r="C213" s="36" t="s">
        <v>861</v>
      </c>
      <c r="D213" s="36"/>
      <c r="E213" s="36" t="s">
        <v>839</v>
      </c>
      <c r="F213" s="36" t="b">
        <v>0</v>
      </c>
      <c r="G213" s="36">
        <v>200</v>
      </c>
      <c r="H213" s="36" t="b">
        <v>1</v>
      </c>
    </row>
    <row r="214" spans="1:9" ht="30" x14ac:dyDescent="0.25">
      <c r="A214" s="54" t="s">
        <v>169</v>
      </c>
      <c r="B214" s="30" t="s">
        <v>918</v>
      </c>
      <c r="C214" s="27" t="s">
        <v>919</v>
      </c>
      <c r="D214" s="27"/>
      <c r="E214" s="27" t="s">
        <v>863</v>
      </c>
      <c r="F214" s="27" t="b">
        <v>0</v>
      </c>
      <c r="G214" s="27"/>
      <c r="H214" s="27" t="b">
        <v>1</v>
      </c>
      <c r="I214" s="33"/>
    </row>
    <row r="215" spans="1:9" ht="30" x14ac:dyDescent="0.25">
      <c r="A215" s="54" t="s">
        <v>169</v>
      </c>
      <c r="B215" s="42" t="s">
        <v>869</v>
      </c>
      <c r="C215" s="36" t="s">
        <v>920</v>
      </c>
      <c r="D215" s="36"/>
      <c r="E215" s="36" t="s">
        <v>839</v>
      </c>
      <c r="F215" s="36" t="b">
        <v>0</v>
      </c>
      <c r="G215" s="36">
        <v>200</v>
      </c>
      <c r="H215" s="36" t="b">
        <v>1</v>
      </c>
    </row>
    <row r="216" spans="1:9" ht="30" x14ac:dyDescent="0.25">
      <c r="A216" s="54" t="s">
        <v>169</v>
      </c>
      <c r="B216" s="30" t="s">
        <v>918</v>
      </c>
      <c r="C216" s="27" t="s">
        <v>919</v>
      </c>
      <c r="D216" s="27"/>
      <c r="E216" s="27" t="s">
        <v>863</v>
      </c>
      <c r="F216" s="27" t="b">
        <v>0</v>
      </c>
      <c r="G216" s="27"/>
      <c r="H216" s="27" t="b">
        <v>1</v>
      </c>
      <c r="I216" s="33"/>
    </row>
    <row r="217" spans="1:9" ht="30" x14ac:dyDescent="0.25">
      <c r="A217" s="54" t="s">
        <v>169</v>
      </c>
      <c r="B217" s="42" t="s">
        <v>856</v>
      </c>
      <c r="C217" s="36" t="s">
        <v>866</v>
      </c>
      <c r="D217" s="36"/>
      <c r="E217" s="36" t="s">
        <v>839</v>
      </c>
      <c r="F217" s="36" t="b">
        <v>0</v>
      </c>
      <c r="G217" s="36">
        <v>200</v>
      </c>
      <c r="H217" s="36" t="b">
        <v>1</v>
      </c>
    </row>
    <row r="218" spans="1:9" ht="30" x14ac:dyDescent="0.25">
      <c r="A218" s="54" t="s">
        <v>169</v>
      </c>
      <c r="B218" s="30" t="s">
        <v>867</v>
      </c>
      <c r="C218" s="27"/>
      <c r="D218" s="27"/>
      <c r="E218" s="27" t="s">
        <v>863</v>
      </c>
      <c r="F218" s="27" t="b">
        <v>0</v>
      </c>
      <c r="G218" s="27"/>
      <c r="H218" s="27" t="b">
        <v>1</v>
      </c>
      <c r="I218" s="33"/>
    </row>
    <row r="219" spans="1:9" ht="30" x14ac:dyDescent="0.25">
      <c r="A219" s="54" t="s">
        <v>169</v>
      </c>
      <c r="B219" s="42" t="s">
        <v>868</v>
      </c>
      <c r="C219" s="36"/>
      <c r="D219" s="36"/>
      <c r="E219" s="36" t="s">
        <v>863</v>
      </c>
      <c r="F219" s="36" t="b">
        <v>0</v>
      </c>
      <c r="G219" s="36"/>
      <c r="H219" s="36" t="b">
        <v>1</v>
      </c>
    </row>
    <row r="220" spans="1:9" ht="30" x14ac:dyDescent="0.25">
      <c r="A220" s="54" t="s">
        <v>169</v>
      </c>
      <c r="B220" s="30" t="s">
        <v>869</v>
      </c>
      <c r="C220" s="27" t="s">
        <v>870</v>
      </c>
      <c r="D220" s="27"/>
      <c r="E220" s="27" t="s">
        <v>839</v>
      </c>
      <c r="F220" s="27" t="b">
        <v>0</v>
      </c>
      <c r="G220" s="27">
        <v>200</v>
      </c>
      <c r="H220" s="27" t="b">
        <v>1</v>
      </c>
      <c r="I220" s="33"/>
    </row>
    <row r="221" spans="1:9" ht="30" x14ac:dyDescent="0.25">
      <c r="A221" s="54" t="s">
        <v>169</v>
      </c>
      <c r="B221" s="42" t="s">
        <v>871</v>
      </c>
      <c r="C221" s="36" t="s">
        <v>872</v>
      </c>
      <c r="D221" s="36"/>
      <c r="E221" s="36" t="s">
        <v>839</v>
      </c>
      <c r="F221" s="36" t="b">
        <v>0</v>
      </c>
      <c r="G221" s="36">
        <v>404</v>
      </c>
      <c r="H221" s="36" t="b">
        <v>0</v>
      </c>
    </row>
    <row r="222" spans="1:9" ht="30" x14ac:dyDescent="0.25">
      <c r="A222" s="54" t="s">
        <v>169</v>
      </c>
      <c r="B222" s="30" t="s">
        <v>871</v>
      </c>
      <c r="C222" s="27" t="s">
        <v>873</v>
      </c>
      <c r="D222" s="27"/>
      <c r="E222" s="27" t="s">
        <v>839</v>
      </c>
      <c r="F222" s="27" t="b">
        <v>0</v>
      </c>
      <c r="G222" s="27">
        <v>404</v>
      </c>
      <c r="H222" s="27" t="b">
        <v>0</v>
      </c>
      <c r="I222" s="33"/>
    </row>
    <row r="223" spans="1:9" ht="30" x14ac:dyDescent="0.25">
      <c r="A223" s="54" t="s">
        <v>161</v>
      </c>
      <c r="B223" s="42" t="s">
        <v>127</v>
      </c>
      <c r="C223" s="36"/>
      <c r="D223" s="36"/>
      <c r="E223" s="36" t="s">
        <v>839</v>
      </c>
      <c r="F223" s="36" t="b">
        <v>0</v>
      </c>
      <c r="G223" s="36">
        <v>200</v>
      </c>
      <c r="H223" s="36" t="b">
        <v>1</v>
      </c>
    </row>
    <row r="224" spans="1:9" ht="30" x14ac:dyDescent="0.25">
      <c r="A224" s="54" t="s">
        <v>161</v>
      </c>
      <c r="B224" s="30" t="s">
        <v>127</v>
      </c>
      <c r="C224" s="27" t="s">
        <v>840</v>
      </c>
      <c r="D224" s="27"/>
      <c r="E224" s="27" t="s">
        <v>839</v>
      </c>
      <c r="F224" s="27" t="b">
        <v>0</v>
      </c>
      <c r="G224" s="27">
        <v>200</v>
      </c>
      <c r="H224" s="27" t="b">
        <v>1</v>
      </c>
      <c r="I224" s="33"/>
    </row>
    <row r="225" spans="1:9" ht="30" x14ac:dyDescent="0.25">
      <c r="A225" s="54" t="s">
        <v>161</v>
      </c>
      <c r="B225" s="42" t="s">
        <v>135</v>
      </c>
      <c r="C225" s="36" t="s">
        <v>841</v>
      </c>
      <c r="D225" s="36"/>
      <c r="E225" s="36" t="s">
        <v>839</v>
      </c>
      <c r="F225" s="36" t="b">
        <v>0</v>
      </c>
      <c r="G225" s="36">
        <v>200</v>
      </c>
      <c r="H225" s="36" t="b">
        <v>1</v>
      </c>
    </row>
    <row r="226" spans="1:9" ht="30" x14ac:dyDescent="0.25">
      <c r="A226" s="54" t="s">
        <v>161</v>
      </c>
      <c r="B226" s="30" t="s">
        <v>842</v>
      </c>
      <c r="C226" s="27" t="s">
        <v>843</v>
      </c>
      <c r="D226" s="27"/>
      <c r="E226" s="27" t="s">
        <v>839</v>
      </c>
      <c r="F226" s="27" t="b">
        <v>0</v>
      </c>
      <c r="G226" s="27">
        <v>200</v>
      </c>
      <c r="H226" s="27" t="b">
        <v>1</v>
      </c>
      <c r="I226" s="33"/>
    </row>
    <row r="227" spans="1:9" ht="30" x14ac:dyDescent="0.25">
      <c r="A227" s="54" t="s">
        <v>161</v>
      </c>
      <c r="B227" s="42" t="s">
        <v>844</v>
      </c>
      <c r="C227" s="36" t="s">
        <v>845</v>
      </c>
      <c r="D227" s="36"/>
      <c r="E227" s="36" t="s">
        <v>839</v>
      </c>
      <c r="F227" s="36" t="b">
        <v>0</v>
      </c>
      <c r="G227" s="36">
        <v>200</v>
      </c>
      <c r="H227" s="36" t="b">
        <v>1</v>
      </c>
    </row>
    <row r="228" spans="1:9" ht="30" x14ac:dyDescent="0.25">
      <c r="A228" s="54" t="s">
        <v>161</v>
      </c>
      <c r="B228" s="30" t="s">
        <v>144</v>
      </c>
      <c r="C228" s="27" t="s">
        <v>846</v>
      </c>
      <c r="D228" s="27"/>
      <c r="E228" s="27" t="s">
        <v>839</v>
      </c>
      <c r="F228" s="27" t="b">
        <v>0</v>
      </c>
      <c r="G228" s="27">
        <v>200</v>
      </c>
      <c r="H228" s="27" t="b">
        <v>1</v>
      </c>
      <c r="I228" s="33"/>
    </row>
    <row r="229" spans="1:9" ht="30" x14ac:dyDescent="0.25">
      <c r="A229" s="54" t="s">
        <v>161</v>
      </c>
      <c r="B229" s="42" t="s">
        <v>847</v>
      </c>
      <c r="C229" s="36" t="s">
        <v>848</v>
      </c>
      <c r="D229" s="36"/>
      <c r="E229" s="36" t="s">
        <v>839</v>
      </c>
      <c r="F229" s="36" t="b">
        <v>0</v>
      </c>
      <c r="G229" s="36">
        <v>200</v>
      </c>
      <c r="H229" s="36" t="b">
        <v>1</v>
      </c>
    </row>
    <row r="230" spans="1:9" ht="30" x14ac:dyDescent="0.25">
      <c r="A230" s="54" t="s">
        <v>161</v>
      </c>
      <c r="B230" s="30" t="s">
        <v>849</v>
      </c>
      <c r="C230" s="27" t="s">
        <v>850</v>
      </c>
      <c r="D230" s="27"/>
      <c r="E230" s="27" t="s">
        <v>839</v>
      </c>
      <c r="F230" s="27" t="b">
        <v>0</v>
      </c>
      <c r="G230" s="27">
        <v>200</v>
      </c>
      <c r="H230" s="27" t="b">
        <v>1</v>
      </c>
      <c r="I230" s="33"/>
    </row>
    <row r="231" spans="1:9" ht="30" x14ac:dyDescent="0.25">
      <c r="A231" s="54" t="s">
        <v>161</v>
      </c>
      <c r="B231" s="42" t="s">
        <v>851</v>
      </c>
      <c r="C231" s="36" t="s">
        <v>852</v>
      </c>
      <c r="D231" s="36"/>
      <c r="E231" s="36" t="s">
        <v>839</v>
      </c>
      <c r="F231" s="36" t="b">
        <v>0</v>
      </c>
      <c r="G231" s="36">
        <v>200</v>
      </c>
      <c r="H231" s="36" t="b">
        <v>1</v>
      </c>
    </row>
    <row r="232" spans="1:9" ht="30" x14ac:dyDescent="0.25">
      <c r="A232" s="54" t="s">
        <v>161</v>
      </c>
      <c r="B232" s="30" t="s">
        <v>853</v>
      </c>
      <c r="C232" s="27" t="s">
        <v>854</v>
      </c>
      <c r="D232" s="27"/>
      <c r="E232" s="27" t="s">
        <v>839</v>
      </c>
      <c r="F232" s="27" t="b">
        <v>0</v>
      </c>
      <c r="G232" s="27">
        <v>200</v>
      </c>
      <c r="H232" s="27" t="b">
        <v>1</v>
      </c>
      <c r="I232" s="33"/>
    </row>
    <row r="233" spans="1:9" ht="30" x14ac:dyDescent="0.25">
      <c r="A233" s="54" t="s">
        <v>161</v>
      </c>
      <c r="B233" s="42" t="s">
        <v>853</v>
      </c>
      <c r="C233" s="36" t="s">
        <v>855</v>
      </c>
      <c r="D233" s="36"/>
      <c r="E233" s="36" t="s">
        <v>839</v>
      </c>
      <c r="F233" s="36" t="b">
        <v>0</v>
      </c>
      <c r="G233" s="36">
        <v>200</v>
      </c>
      <c r="H233" s="36" t="b">
        <v>1</v>
      </c>
    </row>
    <row r="234" spans="1:9" ht="30" x14ac:dyDescent="0.25">
      <c r="A234" s="54" t="s">
        <v>161</v>
      </c>
      <c r="B234" s="30" t="s">
        <v>856</v>
      </c>
      <c r="C234" s="27" t="s">
        <v>857</v>
      </c>
      <c r="D234" s="27"/>
      <c r="E234" s="27" t="s">
        <v>839</v>
      </c>
      <c r="F234" s="27" t="b">
        <v>0</v>
      </c>
      <c r="G234" s="27">
        <v>200</v>
      </c>
      <c r="H234" s="27" t="b">
        <v>1</v>
      </c>
      <c r="I234" s="33"/>
    </row>
    <row r="235" spans="1:9" ht="30" x14ac:dyDescent="0.25">
      <c r="A235" s="54" t="s">
        <v>161</v>
      </c>
      <c r="B235" s="42" t="s">
        <v>858</v>
      </c>
      <c r="C235" s="36" t="s">
        <v>859</v>
      </c>
      <c r="D235" s="36"/>
      <c r="E235" s="36" t="s">
        <v>839</v>
      </c>
      <c r="F235" s="36" t="b">
        <v>0</v>
      </c>
      <c r="G235" s="36">
        <v>200</v>
      </c>
      <c r="H235" s="36" t="b">
        <v>1</v>
      </c>
    </row>
    <row r="236" spans="1:9" ht="30" x14ac:dyDescent="0.25">
      <c r="A236" s="54" t="s">
        <v>161</v>
      </c>
      <c r="B236" s="30" t="s">
        <v>860</v>
      </c>
      <c r="C236" s="27" t="s">
        <v>861</v>
      </c>
      <c r="D236" s="27"/>
      <c r="E236" s="27" t="s">
        <v>839</v>
      </c>
      <c r="F236" s="27" t="b">
        <v>0</v>
      </c>
      <c r="G236" s="27">
        <v>200</v>
      </c>
      <c r="H236" s="27" t="b">
        <v>1</v>
      </c>
      <c r="I236" s="33"/>
    </row>
    <row r="237" spans="1:9" ht="30" x14ac:dyDescent="0.25">
      <c r="A237" s="54" t="s">
        <v>161</v>
      </c>
      <c r="B237" s="42" t="s">
        <v>127</v>
      </c>
      <c r="C237" s="36" t="s">
        <v>840</v>
      </c>
      <c r="D237" s="36"/>
      <c r="E237" s="36" t="s">
        <v>839</v>
      </c>
      <c r="F237" s="36" t="b">
        <v>0</v>
      </c>
      <c r="G237" s="36">
        <v>200</v>
      </c>
      <c r="H237" s="36" t="b">
        <v>1</v>
      </c>
    </row>
    <row r="238" spans="1:9" ht="30" x14ac:dyDescent="0.25">
      <c r="A238" s="54" t="s">
        <v>161</v>
      </c>
      <c r="B238" s="30" t="s">
        <v>135</v>
      </c>
      <c r="C238" s="27" t="s">
        <v>841</v>
      </c>
      <c r="D238" s="27"/>
      <c r="E238" s="27" t="s">
        <v>839</v>
      </c>
      <c r="F238" s="27" t="b">
        <v>0</v>
      </c>
      <c r="G238" s="27">
        <v>200</v>
      </c>
      <c r="H238" s="27" t="b">
        <v>1</v>
      </c>
      <c r="I238" s="33"/>
    </row>
    <row r="239" spans="1:9" ht="30" x14ac:dyDescent="0.25">
      <c r="A239" s="54" t="s">
        <v>161</v>
      </c>
      <c r="B239" s="42" t="s">
        <v>842</v>
      </c>
      <c r="C239" s="36" t="s">
        <v>843</v>
      </c>
      <c r="D239" s="36"/>
      <c r="E239" s="36" t="s">
        <v>839</v>
      </c>
      <c r="F239" s="36" t="b">
        <v>0</v>
      </c>
      <c r="G239" s="36">
        <v>200</v>
      </c>
      <c r="H239" s="36" t="b">
        <v>1</v>
      </c>
    </row>
    <row r="240" spans="1:9" ht="30" x14ac:dyDescent="0.25">
      <c r="A240" s="54" t="s">
        <v>161</v>
      </c>
      <c r="B240" s="30" t="s">
        <v>844</v>
      </c>
      <c r="C240" s="27" t="s">
        <v>845</v>
      </c>
      <c r="D240" s="27"/>
      <c r="E240" s="27" t="s">
        <v>839</v>
      </c>
      <c r="F240" s="27" t="b">
        <v>0</v>
      </c>
      <c r="G240" s="27">
        <v>200</v>
      </c>
      <c r="H240" s="27" t="b">
        <v>1</v>
      </c>
      <c r="I240" s="33"/>
    </row>
    <row r="241" spans="1:9" ht="30" x14ac:dyDescent="0.25">
      <c r="A241" s="54" t="s">
        <v>161</v>
      </c>
      <c r="B241" s="42" t="s">
        <v>144</v>
      </c>
      <c r="C241" s="36" t="s">
        <v>846</v>
      </c>
      <c r="D241" s="36"/>
      <c r="E241" s="36" t="s">
        <v>839</v>
      </c>
      <c r="F241" s="36" t="b">
        <v>0</v>
      </c>
      <c r="G241" s="36">
        <v>200</v>
      </c>
      <c r="H241" s="36" t="b">
        <v>1</v>
      </c>
    </row>
    <row r="242" spans="1:9" ht="30" x14ac:dyDescent="0.25">
      <c r="A242" s="54" t="s">
        <v>161</v>
      </c>
      <c r="B242" s="30" t="s">
        <v>847</v>
      </c>
      <c r="C242" s="27" t="s">
        <v>848</v>
      </c>
      <c r="D242" s="27"/>
      <c r="E242" s="27" t="s">
        <v>839</v>
      </c>
      <c r="F242" s="27" t="b">
        <v>0</v>
      </c>
      <c r="G242" s="27">
        <v>200</v>
      </c>
      <c r="H242" s="27" t="b">
        <v>1</v>
      </c>
      <c r="I242" s="33"/>
    </row>
    <row r="243" spans="1:9" ht="30" x14ac:dyDescent="0.25">
      <c r="A243" s="54" t="s">
        <v>161</v>
      </c>
      <c r="B243" s="42" t="s">
        <v>849</v>
      </c>
      <c r="C243" s="36" t="s">
        <v>850</v>
      </c>
      <c r="D243" s="36"/>
      <c r="E243" s="36" t="s">
        <v>839</v>
      </c>
      <c r="F243" s="36" t="b">
        <v>0</v>
      </c>
      <c r="G243" s="36">
        <v>200</v>
      </c>
      <c r="H243" s="36" t="b">
        <v>1</v>
      </c>
    </row>
    <row r="244" spans="1:9" ht="30" x14ac:dyDescent="0.25">
      <c r="A244" s="54" t="s">
        <v>161</v>
      </c>
      <c r="B244" s="30" t="s">
        <v>851</v>
      </c>
      <c r="C244" s="27" t="s">
        <v>852</v>
      </c>
      <c r="D244" s="27"/>
      <c r="E244" s="27" t="s">
        <v>839</v>
      </c>
      <c r="F244" s="27" t="b">
        <v>0</v>
      </c>
      <c r="G244" s="27">
        <v>200</v>
      </c>
      <c r="H244" s="27" t="b">
        <v>1</v>
      </c>
      <c r="I244" s="33"/>
    </row>
    <row r="245" spans="1:9" ht="30" x14ac:dyDescent="0.25">
      <c r="A245" s="54" t="s">
        <v>161</v>
      </c>
      <c r="B245" s="42" t="s">
        <v>853</v>
      </c>
      <c r="C245" s="36" t="s">
        <v>854</v>
      </c>
      <c r="D245" s="36"/>
      <c r="E245" s="36" t="s">
        <v>839</v>
      </c>
      <c r="F245" s="36" t="b">
        <v>0</v>
      </c>
      <c r="G245" s="36">
        <v>200</v>
      </c>
      <c r="H245" s="36" t="b">
        <v>1</v>
      </c>
    </row>
    <row r="246" spans="1:9" ht="30" x14ac:dyDescent="0.25">
      <c r="A246" s="54" t="s">
        <v>161</v>
      </c>
      <c r="B246" s="30" t="s">
        <v>853</v>
      </c>
      <c r="C246" s="27" t="s">
        <v>855</v>
      </c>
      <c r="D246" s="27"/>
      <c r="E246" s="27" t="s">
        <v>839</v>
      </c>
      <c r="F246" s="27" t="b">
        <v>0</v>
      </c>
      <c r="G246" s="27">
        <v>200</v>
      </c>
      <c r="H246" s="27" t="b">
        <v>1</v>
      </c>
      <c r="I246" s="33"/>
    </row>
    <row r="247" spans="1:9" ht="30" x14ac:dyDescent="0.25">
      <c r="A247" s="54" t="s">
        <v>161</v>
      </c>
      <c r="B247" s="42" t="s">
        <v>856</v>
      </c>
      <c r="C247" s="36" t="s">
        <v>857</v>
      </c>
      <c r="D247" s="36"/>
      <c r="E247" s="36" t="s">
        <v>839</v>
      </c>
      <c r="F247" s="36" t="b">
        <v>0</v>
      </c>
      <c r="G247" s="36">
        <v>200</v>
      </c>
      <c r="H247" s="36" t="b">
        <v>1</v>
      </c>
    </row>
    <row r="248" spans="1:9" ht="30" x14ac:dyDescent="0.25">
      <c r="A248" s="54" t="s">
        <v>161</v>
      </c>
      <c r="B248" s="30" t="s">
        <v>858</v>
      </c>
      <c r="C248" s="27" t="s">
        <v>859</v>
      </c>
      <c r="D248" s="27"/>
      <c r="E248" s="27" t="s">
        <v>839</v>
      </c>
      <c r="F248" s="27" t="b">
        <v>0</v>
      </c>
      <c r="G248" s="27">
        <v>200</v>
      </c>
      <c r="H248" s="27" t="b">
        <v>1</v>
      </c>
      <c r="I248" s="33"/>
    </row>
    <row r="249" spans="1:9" ht="30" x14ac:dyDescent="0.25">
      <c r="A249" s="54" t="s">
        <v>161</v>
      </c>
      <c r="B249" s="42" t="s">
        <v>860</v>
      </c>
      <c r="C249" s="36" t="s">
        <v>861</v>
      </c>
      <c r="D249" s="36"/>
      <c r="E249" s="36" t="s">
        <v>839</v>
      </c>
      <c r="F249" s="36" t="b">
        <v>0</v>
      </c>
      <c r="G249" s="36">
        <v>200</v>
      </c>
      <c r="H249" s="36" t="b">
        <v>1</v>
      </c>
    </row>
    <row r="250" spans="1:9" ht="30" x14ac:dyDescent="0.25">
      <c r="A250" s="54" t="s">
        <v>161</v>
      </c>
      <c r="B250" s="30" t="s">
        <v>862</v>
      </c>
      <c r="C250" s="27"/>
      <c r="D250" s="27"/>
      <c r="E250" s="27" t="s">
        <v>863</v>
      </c>
      <c r="F250" s="27" t="b">
        <v>0</v>
      </c>
      <c r="G250" s="27"/>
      <c r="H250" s="27" t="b">
        <v>1</v>
      </c>
      <c r="I250" s="33"/>
    </row>
    <row r="251" spans="1:9" ht="30" x14ac:dyDescent="0.25">
      <c r="A251" s="54" t="s">
        <v>161</v>
      </c>
      <c r="B251" s="42" t="s">
        <v>878</v>
      </c>
      <c r="C251" s="36" t="s">
        <v>905</v>
      </c>
      <c r="D251" s="36"/>
      <c r="E251" s="36" t="s">
        <v>839</v>
      </c>
      <c r="F251" s="36" t="b">
        <v>0</v>
      </c>
      <c r="G251" s="36">
        <v>200</v>
      </c>
      <c r="H251" s="36" t="b">
        <v>1</v>
      </c>
    </row>
    <row r="252" spans="1:9" ht="30" x14ac:dyDescent="0.25">
      <c r="A252" s="54" t="s">
        <v>161</v>
      </c>
      <c r="B252" s="30" t="s">
        <v>906</v>
      </c>
      <c r="C252" s="27" t="s">
        <v>907</v>
      </c>
      <c r="D252" s="27"/>
      <c r="E252" s="27" t="s">
        <v>839</v>
      </c>
      <c r="F252" s="27" t="b">
        <v>0</v>
      </c>
      <c r="G252" s="27">
        <v>200</v>
      </c>
      <c r="H252" s="27" t="b">
        <v>1</v>
      </c>
      <c r="I252" s="33"/>
    </row>
    <row r="253" spans="1:9" ht="30" x14ac:dyDescent="0.25">
      <c r="A253" s="54" t="s">
        <v>161</v>
      </c>
      <c r="B253" s="42" t="s">
        <v>908</v>
      </c>
      <c r="C253" s="36" t="s">
        <v>909</v>
      </c>
      <c r="D253" s="36"/>
      <c r="E253" s="36" t="s">
        <v>839</v>
      </c>
      <c r="F253" s="36" t="b">
        <v>0</v>
      </c>
      <c r="G253" s="36">
        <v>200</v>
      </c>
      <c r="H253" s="36" t="b">
        <v>1</v>
      </c>
    </row>
    <row r="254" spans="1:9" ht="30" x14ac:dyDescent="0.25">
      <c r="A254" s="54" t="s">
        <v>161</v>
      </c>
      <c r="B254" s="30" t="s">
        <v>910</v>
      </c>
      <c r="C254" s="27" t="s">
        <v>911</v>
      </c>
      <c r="D254" s="27"/>
      <c r="E254" s="27" t="s">
        <v>839</v>
      </c>
      <c r="F254" s="27" t="b">
        <v>0</v>
      </c>
      <c r="G254" s="27">
        <v>200</v>
      </c>
      <c r="H254" s="27" t="b">
        <v>1</v>
      </c>
      <c r="I254" s="33"/>
    </row>
    <row r="255" spans="1:9" ht="30" x14ac:dyDescent="0.25">
      <c r="A255" s="54" t="s">
        <v>161</v>
      </c>
      <c r="B255" s="42" t="s">
        <v>912</v>
      </c>
      <c r="C255" s="36" t="s">
        <v>913</v>
      </c>
      <c r="D255" s="36"/>
      <c r="E255" s="36" t="s">
        <v>839</v>
      </c>
      <c r="F255" s="36" t="b">
        <v>0</v>
      </c>
      <c r="G255" s="36">
        <v>200</v>
      </c>
      <c r="H255" s="36" t="b">
        <v>1</v>
      </c>
    </row>
    <row r="256" spans="1:9" ht="30" x14ac:dyDescent="0.25">
      <c r="A256" s="54" t="s">
        <v>161</v>
      </c>
      <c r="B256" s="30" t="s">
        <v>914</v>
      </c>
      <c r="C256" s="27" t="s">
        <v>915</v>
      </c>
      <c r="D256" s="27"/>
      <c r="E256" s="27" t="s">
        <v>839</v>
      </c>
      <c r="F256" s="27" t="b">
        <v>0</v>
      </c>
      <c r="G256" s="27">
        <v>200</v>
      </c>
      <c r="H256" s="27" t="b">
        <v>1</v>
      </c>
      <c r="I256" s="33"/>
    </row>
    <row r="257" spans="1:9" ht="30" x14ac:dyDescent="0.25">
      <c r="A257" s="54" t="s">
        <v>161</v>
      </c>
      <c r="B257" s="42" t="s">
        <v>878</v>
      </c>
      <c r="C257" s="36" t="s">
        <v>905</v>
      </c>
      <c r="D257" s="36"/>
      <c r="E257" s="36" t="s">
        <v>839</v>
      </c>
      <c r="F257" s="36" t="b">
        <v>0</v>
      </c>
      <c r="G257" s="36">
        <v>200</v>
      </c>
      <c r="H257" s="36" t="b">
        <v>1</v>
      </c>
    </row>
    <row r="258" spans="1:9" ht="30" x14ac:dyDescent="0.25">
      <c r="A258" s="54" t="s">
        <v>161</v>
      </c>
      <c r="B258" s="30" t="s">
        <v>906</v>
      </c>
      <c r="C258" s="27" t="s">
        <v>907</v>
      </c>
      <c r="D258" s="27"/>
      <c r="E258" s="27" t="s">
        <v>839</v>
      </c>
      <c r="F258" s="27" t="b">
        <v>0</v>
      </c>
      <c r="G258" s="27">
        <v>200</v>
      </c>
      <c r="H258" s="27" t="b">
        <v>1</v>
      </c>
      <c r="I258" s="33"/>
    </row>
    <row r="259" spans="1:9" ht="30" x14ac:dyDescent="0.25">
      <c r="A259" s="54" t="s">
        <v>161</v>
      </c>
      <c r="B259" s="42" t="s">
        <v>908</v>
      </c>
      <c r="C259" s="36" t="s">
        <v>909</v>
      </c>
      <c r="D259" s="36"/>
      <c r="E259" s="36" t="s">
        <v>839</v>
      </c>
      <c r="F259" s="36" t="b">
        <v>0</v>
      </c>
      <c r="G259" s="36">
        <v>200</v>
      </c>
      <c r="H259" s="36" t="b">
        <v>1</v>
      </c>
    </row>
    <row r="260" spans="1:9" ht="30" x14ac:dyDescent="0.25">
      <c r="A260" s="54" t="s">
        <v>161</v>
      </c>
      <c r="B260" s="30" t="s">
        <v>910</v>
      </c>
      <c r="C260" s="27" t="s">
        <v>911</v>
      </c>
      <c r="D260" s="27"/>
      <c r="E260" s="27" t="s">
        <v>839</v>
      </c>
      <c r="F260" s="27" t="b">
        <v>0</v>
      </c>
      <c r="G260" s="27">
        <v>200</v>
      </c>
      <c r="H260" s="27" t="b">
        <v>1</v>
      </c>
      <c r="I260" s="33"/>
    </row>
    <row r="261" spans="1:9" ht="30" x14ac:dyDescent="0.25">
      <c r="A261" s="54" t="s">
        <v>161</v>
      </c>
      <c r="B261" s="42" t="s">
        <v>912</v>
      </c>
      <c r="C261" s="36" t="s">
        <v>913</v>
      </c>
      <c r="D261" s="36"/>
      <c r="E261" s="36" t="s">
        <v>839</v>
      </c>
      <c r="F261" s="36" t="b">
        <v>0</v>
      </c>
      <c r="G261" s="36">
        <v>200</v>
      </c>
      <c r="H261" s="36" t="b">
        <v>1</v>
      </c>
    </row>
    <row r="262" spans="1:9" ht="30" x14ac:dyDescent="0.25">
      <c r="A262" s="54" t="s">
        <v>161</v>
      </c>
      <c r="B262" s="30" t="s">
        <v>914</v>
      </c>
      <c r="C262" s="27" t="s">
        <v>915</v>
      </c>
      <c r="D262" s="27"/>
      <c r="E262" s="27" t="s">
        <v>839</v>
      </c>
      <c r="F262" s="27" t="b">
        <v>0</v>
      </c>
      <c r="G262" s="27">
        <v>200</v>
      </c>
      <c r="H262" s="27" t="b">
        <v>1</v>
      </c>
      <c r="I262" s="33"/>
    </row>
    <row r="263" spans="1:9" ht="30" x14ac:dyDescent="0.25">
      <c r="A263" s="54" t="s">
        <v>161</v>
      </c>
      <c r="B263" s="42" t="s">
        <v>921</v>
      </c>
      <c r="C263" s="36"/>
      <c r="D263" s="36"/>
      <c r="E263" s="36" t="s">
        <v>839</v>
      </c>
      <c r="F263" s="36" t="b">
        <v>0</v>
      </c>
      <c r="G263" s="36">
        <v>200</v>
      </c>
      <c r="H263" s="36" t="b">
        <v>1</v>
      </c>
    </row>
    <row r="264" spans="1:9" ht="30" x14ac:dyDescent="0.25">
      <c r="A264" s="54" t="s">
        <v>161</v>
      </c>
      <c r="B264" s="30" t="s">
        <v>921</v>
      </c>
      <c r="C264" s="27" t="s">
        <v>922</v>
      </c>
      <c r="D264" s="27"/>
      <c r="E264" s="27" t="s">
        <v>839</v>
      </c>
      <c r="F264" s="27" t="b">
        <v>0</v>
      </c>
      <c r="G264" s="27">
        <v>200</v>
      </c>
      <c r="H264" s="27" t="b">
        <v>1</v>
      </c>
      <c r="I264" s="33"/>
    </row>
    <row r="265" spans="1:9" ht="30" x14ac:dyDescent="0.25">
      <c r="A265" s="54" t="s">
        <v>161</v>
      </c>
      <c r="B265" s="42" t="s">
        <v>921</v>
      </c>
      <c r="C265" s="36" t="s">
        <v>886</v>
      </c>
      <c r="D265" s="36"/>
      <c r="E265" s="36" t="s">
        <v>839</v>
      </c>
      <c r="F265" s="36" t="b">
        <v>0</v>
      </c>
      <c r="G265" s="36">
        <v>200</v>
      </c>
      <c r="H265" s="36" t="b">
        <v>1</v>
      </c>
    </row>
    <row r="266" spans="1:9" ht="30" x14ac:dyDescent="0.25">
      <c r="A266" s="54" t="s">
        <v>161</v>
      </c>
      <c r="B266" s="30" t="s">
        <v>923</v>
      </c>
      <c r="C266" s="27"/>
      <c r="D266" s="27"/>
      <c r="E266" s="27" t="s">
        <v>839</v>
      </c>
      <c r="F266" s="27" t="b">
        <v>0</v>
      </c>
      <c r="G266" s="27">
        <v>200</v>
      </c>
      <c r="H266" s="27" t="b">
        <v>1</v>
      </c>
      <c r="I266" s="33"/>
    </row>
    <row r="267" spans="1:9" ht="30" x14ac:dyDescent="0.25">
      <c r="A267" s="54" t="s">
        <v>161</v>
      </c>
      <c r="B267" s="42" t="s">
        <v>923</v>
      </c>
      <c r="C267" s="36" t="s">
        <v>924</v>
      </c>
      <c r="D267" s="36"/>
      <c r="E267" s="36" t="s">
        <v>839</v>
      </c>
      <c r="F267" s="36" t="b">
        <v>0</v>
      </c>
      <c r="G267" s="36">
        <v>200</v>
      </c>
      <c r="H267" s="36" t="b">
        <v>1</v>
      </c>
    </row>
    <row r="268" spans="1:9" ht="30" x14ac:dyDescent="0.25">
      <c r="A268" s="54" t="s">
        <v>161</v>
      </c>
      <c r="B268" s="30" t="s">
        <v>923</v>
      </c>
      <c r="C268" s="27" t="s">
        <v>886</v>
      </c>
      <c r="D268" s="27"/>
      <c r="E268" s="27" t="s">
        <v>839</v>
      </c>
      <c r="F268" s="27" t="b">
        <v>0</v>
      </c>
      <c r="G268" s="27">
        <v>200</v>
      </c>
      <c r="H268" s="27" t="b">
        <v>1</v>
      </c>
      <c r="I268" s="33"/>
    </row>
    <row r="269" spans="1:9" ht="30" x14ac:dyDescent="0.25">
      <c r="A269" s="54" t="s">
        <v>161</v>
      </c>
      <c r="B269" s="42" t="s">
        <v>925</v>
      </c>
      <c r="C269" s="36"/>
      <c r="D269" s="36"/>
      <c r="E269" s="36" t="s">
        <v>839</v>
      </c>
      <c r="F269" s="36" t="b">
        <v>0</v>
      </c>
      <c r="G269" s="36">
        <v>200</v>
      </c>
      <c r="H269" s="36" t="b">
        <v>1</v>
      </c>
    </row>
    <row r="270" spans="1:9" ht="30" x14ac:dyDescent="0.25">
      <c r="A270" s="54" t="s">
        <v>161</v>
      </c>
      <c r="B270" s="30" t="s">
        <v>925</v>
      </c>
      <c r="C270" s="27" t="s">
        <v>926</v>
      </c>
      <c r="D270" s="27"/>
      <c r="E270" s="27" t="s">
        <v>839</v>
      </c>
      <c r="F270" s="27" t="b">
        <v>0</v>
      </c>
      <c r="G270" s="27">
        <v>200</v>
      </c>
      <c r="H270" s="27" t="b">
        <v>1</v>
      </c>
      <c r="I270" s="33"/>
    </row>
    <row r="271" spans="1:9" ht="30" x14ac:dyDescent="0.25">
      <c r="A271" s="54" t="s">
        <v>161</v>
      </c>
      <c r="B271" s="42" t="s">
        <v>925</v>
      </c>
      <c r="C271" s="36" t="s">
        <v>886</v>
      </c>
      <c r="D271" s="36"/>
      <c r="E271" s="36" t="s">
        <v>839</v>
      </c>
      <c r="F271" s="36" t="b">
        <v>0</v>
      </c>
      <c r="G271" s="36">
        <v>200</v>
      </c>
      <c r="H271" s="36" t="b">
        <v>1</v>
      </c>
    </row>
    <row r="272" spans="1:9" ht="30" x14ac:dyDescent="0.25">
      <c r="A272" s="54" t="s">
        <v>161</v>
      </c>
      <c r="B272" s="30" t="s">
        <v>927</v>
      </c>
      <c r="C272" s="27"/>
      <c r="D272" s="27"/>
      <c r="E272" s="27" t="s">
        <v>839</v>
      </c>
      <c r="F272" s="27" t="b">
        <v>0</v>
      </c>
      <c r="G272" s="27">
        <v>200</v>
      </c>
      <c r="H272" s="27" t="b">
        <v>1</v>
      </c>
      <c r="I272" s="33"/>
    </row>
    <row r="273" spans="1:9" ht="30" x14ac:dyDescent="0.25">
      <c r="A273" s="54" t="s">
        <v>161</v>
      </c>
      <c r="B273" s="42" t="s">
        <v>927</v>
      </c>
      <c r="C273" s="36" t="s">
        <v>928</v>
      </c>
      <c r="D273" s="36"/>
      <c r="E273" s="36" t="s">
        <v>839</v>
      </c>
      <c r="F273" s="36" t="b">
        <v>0</v>
      </c>
      <c r="G273" s="36">
        <v>200</v>
      </c>
      <c r="H273" s="36" t="b">
        <v>1</v>
      </c>
    </row>
    <row r="274" spans="1:9" ht="30" x14ac:dyDescent="0.25">
      <c r="A274" s="54" t="s">
        <v>161</v>
      </c>
      <c r="B274" s="30" t="s">
        <v>927</v>
      </c>
      <c r="C274" s="27" t="s">
        <v>886</v>
      </c>
      <c r="D274" s="27"/>
      <c r="E274" s="27" t="s">
        <v>839</v>
      </c>
      <c r="F274" s="27" t="b">
        <v>0</v>
      </c>
      <c r="G274" s="27">
        <v>200</v>
      </c>
      <c r="H274" s="27" t="b">
        <v>1</v>
      </c>
      <c r="I274" s="33"/>
    </row>
    <row r="275" spans="1:9" ht="30" x14ac:dyDescent="0.25">
      <c r="A275" s="54" t="s">
        <v>161</v>
      </c>
      <c r="B275" s="42" t="s">
        <v>929</v>
      </c>
      <c r="C275" s="36"/>
      <c r="D275" s="36"/>
      <c r="E275" s="36" t="s">
        <v>839</v>
      </c>
      <c r="F275" s="36" t="b">
        <v>0</v>
      </c>
      <c r="G275" s="36">
        <v>200</v>
      </c>
      <c r="H275" s="36" t="b">
        <v>1</v>
      </c>
    </row>
    <row r="276" spans="1:9" ht="30" x14ac:dyDescent="0.25">
      <c r="A276" s="54" t="s">
        <v>161</v>
      </c>
      <c r="B276" s="30" t="s">
        <v>929</v>
      </c>
      <c r="C276" s="27" t="s">
        <v>930</v>
      </c>
      <c r="D276" s="27"/>
      <c r="E276" s="27" t="s">
        <v>839</v>
      </c>
      <c r="F276" s="27" t="b">
        <v>0</v>
      </c>
      <c r="G276" s="27">
        <v>200</v>
      </c>
      <c r="H276" s="27" t="b">
        <v>1</v>
      </c>
      <c r="I276" s="33"/>
    </row>
    <row r="277" spans="1:9" ht="30" x14ac:dyDescent="0.25">
      <c r="A277" s="54" t="s">
        <v>161</v>
      </c>
      <c r="B277" s="42" t="s">
        <v>929</v>
      </c>
      <c r="C277" s="36" t="s">
        <v>886</v>
      </c>
      <c r="D277" s="36"/>
      <c r="E277" s="36" t="s">
        <v>839</v>
      </c>
      <c r="F277" s="36" t="b">
        <v>0</v>
      </c>
      <c r="G277" s="36">
        <v>200</v>
      </c>
      <c r="H277" s="36" t="b">
        <v>1</v>
      </c>
    </row>
    <row r="278" spans="1:9" ht="30" x14ac:dyDescent="0.25">
      <c r="A278" s="54" t="s">
        <v>161</v>
      </c>
      <c r="B278" s="30" t="s">
        <v>931</v>
      </c>
      <c r="C278" s="27"/>
      <c r="D278" s="27"/>
      <c r="E278" s="27" t="s">
        <v>839</v>
      </c>
      <c r="F278" s="27" t="b">
        <v>0</v>
      </c>
      <c r="G278" s="27">
        <v>200</v>
      </c>
      <c r="H278" s="27" t="b">
        <v>1</v>
      </c>
      <c r="I278" s="33"/>
    </row>
    <row r="279" spans="1:9" ht="30" x14ac:dyDescent="0.25">
      <c r="A279" s="54" t="s">
        <v>161</v>
      </c>
      <c r="B279" s="42" t="s">
        <v>931</v>
      </c>
      <c r="C279" s="36" t="s">
        <v>932</v>
      </c>
      <c r="D279" s="36"/>
      <c r="E279" s="36" t="s">
        <v>839</v>
      </c>
      <c r="F279" s="36" t="b">
        <v>0</v>
      </c>
      <c r="G279" s="36">
        <v>200</v>
      </c>
      <c r="H279" s="36" t="b">
        <v>1</v>
      </c>
    </row>
    <row r="280" spans="1:9" ht="30" x14ac:dyDescent="0.25">
      <c r="A280" s="54" t="s">
        <v>161</v>
      </c>
      <c r="B280" s="30" t="s">
        <v>931</v>
      </c>
      <c r="C280" s="27" t="s">
        <v>886</v>
      </c>
      <c r="D280" s="27"/>
      <c r="E280" s="27" t="s">
        <v>839</v>
      </c>
      <c r="F280" s="27" t="b">
        <v>0</v>
      </c>
      <c r="G280" s="27">
        <v>200</v>
      </c>
      <c r="H280" s="27" t="b">
        <v>1</v>
      </c>
      <c r="I280" s="33"/>
    </row>
    <row r="281" spans="1:9" ht="30" x14ac:dyDescent="0.25">
      <c r="A281" s="54" t="s">
        <v>161</v>
      </c>
      <c r="B281" s="42" t="s">
        <v>933</v>
      </c>
      <c r="C281" s="36"/>
      <c r="D281" s="36"/>
      <c r="E281" s="36" t="s">
        <v>839</v>
      </c>
      <c r="F281" s="36" t="b">
        <v>0</v>
      </c>
      <c r="G281" s="36">
        <v>200</v>
      </c>
      <c r="H281" s="36" t="b">
        <v>1</v>
      </c>
    </row>
    <row r="282" spans="1:9" ht="30" x14ac:dyDescent="0.25">
      <c r="A282" s="54" t="s">
        <v>161</v>
      </c>
      <c r="B282" s="30" t="s">
        <v>934</v>
      </c>
      <c r="C282" s="27"/>
      <c r="D282" s="27"/>
      <c r="E282" s="27" t="s">
        <v>839</v>
      </c>
      <c r="F282" s="27" t="b">
        <v>0</v>
      </c>
      <c r="G282" s="27">
        <v>200</v>
      </c>
      <c r="H282" s="27" t="b">
        <v>1</v>
      </c>
      <c r="I282" s="33"/>
    </row>
    <row r="283" spans="1:9" ht="30" x14ac:dyDescent="0.25">
      <c r="A283" s="54" t="s">
        <v>161</v>
      </c>
      <c r="B283" s="42" t="s">
        <v>935</v>
      </c>
      <c r="C283" s="36"/>
      <c r="D283" s="36"/>
      <c r="E283" s="36" t="s">
        <v>839</v>
      </c>
      <c r="F283" s="36" t="b">
        <v>0</v>
      </c>
      <c r="G283" s="36">
        <v>200</v>
      </c>
      <c r="H283" s="36" t="b">
        <v>1</v>
      </c>
    </row>
    <row r="284" spans="1:9" ht="30" x14ac:dyDescent="0.25">
      <c r="A284" s="54" t="s">
        <v>161</v>
      </c>
      <c r="B284" s="30" t="s">
        <v>936</v>
      </c>
      <c r="C284" s="27"/>
      <c r="D284" s="27"/>
      <c r="E284" s="27" t="s">
        <v>839</v>
      </c>
      <c r="F284" s="27" t="b">
        <v>0</v>
      </c>
      <c r="G284" s="27">
        <v>200</v>
      </c>
      <c r="H284" s="27" t="b">
        <v>1</v>
      </c>
      <c r="I284" s="33"/>
    </row>
    <row r="285" spans="1:9" ht="30" x14ac:dyDescent="0.25">
      <c r="A285" s="54" t="s">
        <v>161</v>
      </c>
      <c r="B285" s="42" t="s">
        <v>937</v>
      </c>
      <c r="C285" s="36"/>
      <c r="D285" s="36"/>
      <c r="E285" s="36" t="s">
        <v>839</v>
      </c>
      <c r="F285" s="36" t="b">
        <v>0</v>
      </c>
      <c r="G285" s="36">
        <v>200</v>
      </c>
      <c r="H285" s="36" t="b">
        <v>1</v>
      </c>
    </row>
    <row r="286" spans="1:9" ht="30" x14ac:dyDescent="0.25">
      <c r="A286" s="54" t="s">
        <v>161</v>
      </c>
      <c r="B286" s="30" t="s">
        <v>938</v>
      </c>
      <c r="C286" s="27"/>
      <c r="D286" s="27"/>
      <c r="E286" s="27" t="s">
        <v>839</v>
      </c>
      <c r="F286" s="27" t="b">
        <v>0</v>
      </c>
      <c r="G286" s="27">
        <v>200</v>
      </c>
      <c r="H286" s="27" t="b">
        <v>1</v>
      </c>
      <c r="I286" s="33"/>
    </row>
    <row r="287" spans="1:9" ht="30" x14ac:dyDescent="0.25">
      <c r="A287" s="54" t="s">
        <v>161</v>
      </c>
      <c r="B287" s="42" t="s">
        <v>939</v>
      </c>
      <c r="C287" s="36"/>
      <c r="D287" s="36"/>
      <c r="E287" s="36" t="s">
        <v>839</v>
      </c>
      <c r="F287" s="36" t="b">
        <v>0</v>
      </c>
      <c r="G287" s="36">
        <v>200</v>
      </c>
      <c r="H287" s="36" t="b">
        <v>1</v>
      </c>
    </row>
    <row r="288" spans="1:9" ht="30" x14ac:dyDescent="0.25">
      <c r="A288" s="54" t="s">
        <v>161</v>
      </c>
      <c r="B288" s="30" t="s">
        <v>940</v>
      </c>
      <c r="C288" s="27"/>
      <c r="D288" s="27"/>
      <c r="E288" s="27" t="s">
        <v>839</v>
      </c>
      <c r="F288" s="27" t="b">
        <v>0</v>
      </c>
      <c r="G288" s="27">
        <v>200</v>
      </c>
      <c r="H288" s="27" t="b">
        <v>1</v>
      </c>
      <c r="I288" s="33"/>
    </row>
    <row r="289" spans="1:9" ht="30" x14ac:dyDescent="0.25">
      <c r="A289" s="54" t="s">
        <v>161</v>
      </c>
      <c r="B289" s="42" t="s">
        <v>941</v>
      </c>
      <c r="C289" s="36"/>
      <c r="D289" s="36"/>
      <c r="E289" s="36" t="s">
        <v>839</v>
      </c>
      <c r="F289" s="36" t="b">
        <v>0</v>
      </c>
      <c r="G289" s="36">
        <v>200</v>
      </c>
      <c r="H289" s="36" t="b">
        <v>1</v>
      </c>
    </row>
    <row r="290" spans="1:9" ht="30" x14ac:dyDescent="0.25">
      <c r="A290" s="54" t="s">
        <v>161</v>
      </c>
      <c r="B290" s="30" t="s">
        <v>942</v>
      </c>
      <c r="C290" s="27"/>
      <c r="D290" s="27"/>
      <c r="E290" s="27" t="s">
        <v>839</v>
      </c>
      <c r="F290" s="27" t="b">
        <v>0</v>
      </c>
      <c r="G290" s="27">
        <v>200</v>
      </c>
      <c r="H290" s="27" t="b">
        <v>1</v>
      </c>
      <c r="I290" s="33"/>
    </row>
    <row r="291" spans="1:9" ht="30" x14ac:dyDescent="0.25">
      <c r="A291" s="54" t="s">
        <v>161</v>
      </c>
      <c r="B291" s="42" t="s">
        <v>943</v>
      </c>
      <c r="C291" s="36"/>
      <c r="D291" s="36"/>
      <c r="E291" s="36" t="s">
        <v>839</v>
      </c>
      <c r="F291" s="36" t="b">
        <v>0</v>
      </c>
      <c r="G291" s="36">
        <v>200</v>
      </c>
      <c r="H291" s="36" t="b">
        <v>1</v>
      </c>
    </row>
    <row r="292" spans="1:9" ht="30" x14ac:dyDescent="0.25">
      <c r="A292" s="54" t="s">
        <v>161</v>
      </c>
      <c r="B292" s="30" t="s">
        <v>944</v>
      </c>
      <c r="C292" s="27"/>
      <c r="D292" s="27"/>
      <c r="E292" s="27" t="s">
        <v>839</v>
      </c>
      <c r="F292" s="27" t="b">
        <v>0</v>
      </c>
      <c r="G292" s="27">
        <v>200</v>
      </c>
      <c r="H292" s="27" t="b">
        <v>1</v>
      </c>
      <c r="I292" s="33"/>
    </row>
    <row r="293" spans="1:9" ht="30" x14ac:dyDescent="0.25">
      <c r="A293" s="54" t="s">
        <v>161</v>
      </c>
      <c r="B293" s="42" t="s">
        <v>945</v>
      </c>
      <c r="C293" s="36"/>
      <c r="D293" s="36"/>
      <c r="E293" s="36" t="s">
        <v>839</v>
      </c>
      <c r="F293" s="36" t="b">
        <v>0</v>
      </c>
      <c r="G293" s="36">
        <v>200</v>
      </c>
      <c r="H293" s="36" t="b">
        <v>1</v>
      </c>
    </row>
    <row r="294" spans="1:9" ht="30" x14ac:dyDescent="0.25">
      <c r="A294" s="54" t="s">
        <v>161</v>
      </c>
      <c r="B294" s="30" t="s">
        <v>946</v>
      </c>
      <c r="C294" s="27"/>
      <c r="D294" s="27"/>
      <c r="E294" s="27" t="s">
        <v>839</v>
      </c>
      <c r="F294" s="27" t="b">
        <v>0</v>
      </c>
      <c r="G294" s="27">
        <v>200</v>
      </c>
      <c r="H294" s="27" t="b">
        <v>1</v>
      </c>
      <c r="I294" s="33"/>
    </row>
    <row r="295" spans="1:9" ht="30" x14ac:dyDescent="0.25">
      <c r="A295" s="54" t="s">
        <v>161</v>
      </c>
      <c r="B295" s="42" t="s">
        <v>947</v>
      </c>
      <c r="C295" s="36"/>
      <c r="D295" s="36"/>
      <c r="E295" s="36" t="s">
        <v>839</v>
      </c>
      <c r="F295" s="36" t="b">
        <v>0</v>
      </c>
      <c r="G295" s="36">
        <v>200</v>
      </c>
      <c r="H295" s="36" t="b">
        <v>1</v>
      </c>
    </row>
    <row r="296" spans="1:9" ht="30" x14ac:dyDescent="0.25">
      <c r="A296" s="54" t="s">
        <v>161</v>
      </c>
      <c r="B296" s="30" t="s">
        <v>948</v>
      </c>
      <c r="C296" s="27"/>
      <c r="D296" s="27"/>
      <c r="E296" s="27" t="s">
        <v>839</v>
      </c>
      <c r="F296" s="27" t="b">
        <v>0</v>
      </c>
      <c r="G296" s="27">
        <v>200</v>
      </c>
      <c r="H296" s="27" t="b">
        <v>1</v>
      </c>
      <c r="I296" s="33"/>
    </row>
    <row r="297" spans="1:9" ht="30" x14ac:dyDescent="0.25">
      <c r="A297" s="54" t="s">
        <v>161</v>
      </c>
      <c r="B297" s="42" t="s">
        <v>949</v>
      </c>
      <c r="C297" s="36"/>
      <c r="D297" s="36"/>
      <c r="E297" s="36" t="s">
        <v>839</v>
      </c>
      <c r="F297" s="36" t="b">
        <v>0</v>
      </c>
      <c r="G297" s="36">
        <v>200</v>
      </c>
      <c r="H297" s="36" t="b">
        <v>1</v>
      </c>
    </row>
    <row r="298" spans="1:9" ht="30" x14ac:dyDescent="0.25">
      <c r="A298" s="54" t="s">
        <v>161</v>
      </c>
      <c r="B298" s="30" t="s">
        <v>950</v>
      </c>
      <c r="C298" s="27"/>
      <c r="D298" s="27"/>
      <c r="E298" s="27" t="s">
        <v>839</v>
      </c>
      <c r="F298" s="27" t="b">
        <v>0</v>
      </c>
      <c r="G298" s="27">
        <v>200</v>
      </c>
      <c r="H298" s="27" t="b">
        <v>1</v>
      </c>
      <c r="I298" s="33"/>
    </row>
    <row r="299" spans="1:9" ht="30" x14ac:dyDescent="0.25">
      <c r="A299" s="54" t="s">
        <v>161</v>
      </c>
      <c r="B299" s="42" t="s">
        <v>951</v>
      </c>
      <c r="C299" s="36"/>
      <c r="D299" s="36"/>
      <c r="E299" s="36" t="s">
        <v>839</v>
      </c>
      <c r="F299" s="36" t="b">
        <v>0</v>
      </c>
      <c r="G299" s="36">
        <v>200</v>
      </c>
      <c r="H299" s="36" t="b">
        <v>1</v>
      </c>
    </row>
    <row r="300" spans="1:9" ht="30" x14ac:dyDescent="0.25">
      <c r="A300" s="54" t="s">
        <v>161</v>
      </c>
      <c r="B300" s="30" t="s">
        <v>952</v>
      </c>
      <c r="C300" s="27"/>
      <c r="D300" s="27"/>
      <c r="E300" s="27" t="s">
        <v>839</v>
      </c>
      <c r="F300" s="27" t="b">
        <v>0</v>
      </c>
      <c r="G300" s="27">
        <v>200</v>
      </c>
      <c r="H300" s="27" t="b">
        <v>1</v>
      </c>
      <c r="I300" s="33"/>
    </row>
    <row r="301" spans="1:9" ht="30" x14ac:dyDescent="0.25">
      <c r="A301" s="54" t="s">
        <v>161</v>
      </c>
      <c r="B301" s="42" t="s">
        <v>953</v>
      </c>
      <c r="C301" s="36"/>
      <c r="D301" s="36"/>
      <c r="E301" s="36" t="s">
        <v>839</v>
      </c>
      <c r="F301" s="36" t="b">
        <v>0</v>
      </c>
      <c r="G301" s="36">
        <v>200</v>
      </c>
      <c r="H301" s="36" t="b">
        <v>1</v>
      </c>
    </row>
    <row r="302" spans="1:9" ht="30" x14ac:dyDescent="0.25">
      <c r="A302" s="54" t="s">
        <v>161</v>
      </c>
      <c r="B302" s="30" t="s">
        <v>954</v>
      </c>
      <c r="C302" s="27"/>
      <c r="D302" s="27"/>
      <c r="E302" s="27" t="s">
        <v>839</v>
      </c>
      <c r="F302" s="27" t="b">
        <v>0</v>
      </c>
      <c r="G302" s="27">
        <v>200</v>
      </c>
      <c r="H302" s="27" t="b">
        <v>1</v>
      </c>
      <c r="I302" s="33"/>
    </row>
    <row r="303" spans="1:9" ht="30" x14ac:dyDescent="0.25">
      <c r="A303" s="54" t="s">
        <v>161</v>
      </c>
      <c r="B303" s="42" t="s">
        <v>955</v>
      </c>
      <c r="C303" s="36"/>
      <c r="D303" s="36"/>
      <c r="E303" s="36" t="s">
        <v>839</v>
      </c>
      <c r="F303" s="36" t="b">
        <v>0</v>
      </c>
      <c r="G303" s="36">
        <v>200</v>
      </c>
      <c r="H303" s="36" t="b">
        <v>1</v>
      </c>
    </row>
    <row r="304" spans="1:9" ht="30" x14ac:dyDescent="0.25">
      <c r="A304" s="54" t="s">
        <v>161</v>
      </c>
      <c r="B304" s="30" t="s">
        <v>956</v>
      </c>
      <c r="C304" s="27"/>
      <c r="D304" s="27"/>
      <c r="E304" s="27" t="s">
        <v>839</v>
      </c>
      <c r="F304" s="27" t="b">
        <v>0</v>
      </c>
      <c r="G304" s="27">
        <v>200</v>
      </c>
      <c r="H304" s="27" t="b">
        <v>1</v>
      </c>
      <c r="I304" s="33"/>
    </row>
    <row r="305" spans="1:9" ht="30" x14ac:dyDescent="0.25">
      <c r="A305" s="54" t="s">
        <v>161</v>
      </c>
      <c r="B305" s="42" t="s">
        <v>957</v>
      </c>
      <c r="C305" s="36"/>
      <c r="D305" s="36"/>
      <c r="E305" s="36" t="s">
        <v>839</v>
      </c>
      <c r="F305" s="36" t="b">
        <v>0</v>
      </c>
      <c r="G305" s="36">
        <v>200</v>
      </c>
      <c r="H305" s="36" t="b">
        <v>1</v>
      </c>
    </row>
    <row r="306" spans="1:9" ht="30" x14ac:dyDescent="0.25">
      <c r="A306" s="54" t="s">
        <v>161</v>
      </c>
      <c r="B306" s="30" t="s">
        <v>958</v>
      </c>
      <c r="C306" s="27"/>
      <c r="D306" s="27"/>
      <c r="E306" s="27" t="s">
        <v>839</v>
      </c>
      <c r="F306" s="27" t="b">
        <v>0</v>
      </c>
      <c r="G306" s="27">
        <v>200</v>
      </c>
      <c r="H306" s="27" t="b">
        <v>1</v>
      </c>
      <c r="I306" s="33"/>
    </row>
    <row r="307" spans="1:9" ht="30" x14ac:dyDescent="0.25">
      <c r="A307" s="54" t="s">
        <v>161</v>
      </c>
      <c r="B307" s="42" t="s">
        <v>959</v>
      </c>
      <c r="C307" s="36"/>
      <c r="D307" s="36"/>
      <c r="E307" s="36" t="s">
        <v>839</v>
      </c>
      <c r="F307" s="36" t="b">
        <v>0</v>
      </c>
      <c r="G307" s="36">
        <v>200</v>
      </c>
      <c r="H307" s="36" t="b">
        <v>1</v>
      </c>
    </row>
    <row r="308" spans="1:9" ht="30" x14ac:dyDescent="0.25">
      <c r="A308" s="54" t="s">
        <v>161</v>
      </c>
      <c r="B308" s="30" t="s">
        <v>960</v>
      </c>
      <c r="C308" s="27"/>
      <c r="D308" s="27"/>
      <c r="E308" s="27" t="s">
        <v>839</v>
      </c>
      <c r="F308" s="27" t="b">
        <v>0</v>
      </c>
      <c r="G308" s="27">
        <v>200</v>
      </c>
      <c r="H308" s="27" t="b">
        <v>1</v>
      </c>
      <c r="I308" s="33"/>
    </row>
    <row r="309" spans="1:9" ht="30" x14ac:dyDescent="0.25">
      <c r="A309" s="54" t="s">
        <v>161</v>
      </c>
      <c r="B309" s="42" t="s">
        <v>961</v>
      </c>
      <c r="C309" s="36"/>
      <c r="D309" s="36"/>
      <c r="E309" s="36" t="s">
        <v>839</v>
      </c>
      <c r="F309" s="36" t="b">
        <v>0</v>
      </c>
      <c r="G309" s="36">
        <v>200</v>
      </c>
      <c r="H309" s="36" t="b">
        <v>1</v>
      </c>
    </row>
    <row r="310" spans="1:9" ht="30" x14ac:dyDescent="0.25">
      <c r="A310" s="54" t="s">
        <v>161</v>
      </c>
      <c r="B310" s="30" t="s">
        <v>962</v>
      </c>
      <c r="C310" s="27"/>
      <c r="D310" s="27"/>
      <c r="E310" s="27" t="s">
        <v>839</v>
      </c>
      <c r="F310" s="27" t="b">
        <v>0</v>
      </c>
      <c r="G310" s="27">
        <v>200</v>
      </c>
      <c r="H310" s="27" t="b">
        <v>1</v>
      </c>
      <c r="I310" s="33"/>
    </row>
    <row r="311" spans="1:9" ht="30" x14ac:dyDescent="0.25">
      <c r="A311" s="54" t="s">
        <v>161</v>
      </c>
      <c r="B311" s="42" t="s">
        <v>963</v>
      </c>
      <c r="C311" s="36"/>
      <c r="D311" s="36"/>
      <c r="E311" s="36" t="s">
        <v>839</v>
      </c>
      <c r="F311" s="36" t="b">
        <v>0</v>
      </c>
      <c r="G311" s="36">
        <v>200</v>
      </c>
      <c r="H311" s="36" t="b">
        <v>1</v>
      </c>
    </row>
    <row r="312" spans="1:9" ht="30" x14ac:dyDescent="0.25">
      <c r="A312" s="54" t="s">
        <v>161</v>
      </c>
      <c r="B312" s="30" t="s">
        <v>964</v>
      </c>
      <c r="C312" s="27"/>
      <c r="D312" s="27"/>
      <c r="E312" s="27" t="s">
        <v>839</v>
      </c>
      <c r="F312" s="27" t="b">
        <v>0</v>
      </c>
      <c r="G312" s="27">
        <v>200</v>
      </c>
      <c r="H312" s="27" t="b">
        <v>1</v>
      </c>
      <c r="I312" s="33"/>
    </row>
    <row r="313" spans="1:9" ht="30" x14ac:dyDescent="0.25">
      <c r="A313" s="54" t="s">
        <v>161</v>
      </c>
      <c r="B313" s="42" t="s">
        <v>965</v>
      </c>
      <c r="C313" s="36"/>
      <c r="D313" s="36"/>
      <c r="E313" s="36" t="s">
        <v>839</v>
      </c>
      <c r="F313" s="36" t="b">
        <v>0</v>
      </c>
      <c r="G313" s="36">
        <v>200</v>
      </c>
      <c r="H313" s="36" t="b">
        <v>1</v>
      </c>
    </row>
    <row r="314" spans="1:9" ht="30" x14ac:dyDescent="0.25">
      <c r="A314" s="54" t="s">
        <v>161</v>
      </c>
      <c r="B314" s="30" t="s">
        <v>966</v>
      </c>
      <c r="C314" s="27"/>
      <c r="D314" s="27"/>
      <c r="E314" s="27" t="s">
        <v>839</v>
      </c>
      <c r="F314" s="27" t="b">
        <v>0</v>
      </c>
      <c r="G314" s="27">
        <v>200</v>
      </c>
      <c r="H314" s="27" t="b">
        <v>1</v>
      </c>
      <c r="I314" s="33"/>
    </row>
    <row r="315" spans="1:9" ht="30" x14ac:dyDescent="0.25">
      <c r="A315" s="54" t="s">
        <v>161</v>
      </c>
      <c r="B315" s="42" t="s">
        <v>967</v>
      </c>
      <c r="C315" s="36"/>
      <c r="D315" s="36"/>
      <c r="E315" s="36" t="s">
        <v>839</v>
      </c>
      <c r="F315" s="36" t="b">
        <v>0</v>
      </c>
      <c r="G315" s="36">
        <v>200</v>
      </c>
      <c r="H315" s="36" t="b">
        <v>1</v>
      </c>
    </row>
    <row r="316" spans="1:9" ht="30" x14ac:dyDescent="0.25">
      <c r="A316" s="54" t="s">
        <v>161</v>
      </c>
      <c r="B316" s="30" t="s">
        <v>968</v>
      </c>
      <c r="C316" s="27"/>
      <c r="D316" s="27"/>
      <c r="E316" s="27" t="s">
        <v>839</v>
      </c>
      <c r="F316" s="27" t="b">
        <v>0</v>
      </c>
      <c r="G316" s="27">
        <v>200</v>
      </c>
      <c r="H316" s="27" t="b">
        <v>1</v>
      </c>
      <c r="I316" s="33"/>
    </row>
    <row r="317" spans="1:9" ht="30" x14ac:dyDescent="0.25">
      <c r="A317" s="54" t="s">
        <v>161</v>
      </c>
      <c r="B317" s="42" t="s">
        <v>969</v>
      </c>
      <c r="C317" s="36"/>
      <c r="D317" s="36"/>
      <c r="E317" s="36" t="s">
        <v>839</v>
      </c>
      <c r="F317" s="36" t="b">
        <v>0</v>
      </c>
      <c r="G317" s="36">
        <v>200</v>
      </c>
      <c r="H317" s="36" t="b">
        <v>1</v>
      </c>
    </row>
    <row r="318" spans="1:9" ht="30" x14ac:dyDescent="0.25">
      <c r="A318" s="54" t="s">
        <v>161</v>
      </c>
      <c r="B318" s="30" t="s">
        <v>970</v>
      </c>
      <c r="C318" s="27"/>
      <c r="D318" s="27"/>
      <c r="E318" s="27" t="s">
        <v>839</v>
      </c>
      <c r="F318" s="27" t="b">
        <v>0</v>
      </c>
      <c r="G318" s="27">
        <v>200</v>
      </c>
      <c r="H318" s="27" t="b">
        <v>1</v>
      </c>
      <c r="I318" s="33"/>
    </row>
    <row r="319" spans="1:9" ht="30" x14ac:dyDescent="0.25">
      <c r="A319" s="54" t="s">
        <v>161</v>
      </c>
      <c r="B319" s="42" t="s">
        <v>856</v>
      </c>
      <c r="C319" s="36" t="s">
        <v>866</v>
      </c>
      <c r="D319" s="36"/>
      <c r="E319" s="36" t="s">
        <v>839</v>
      </c>
      <c r="F319" s="36" t="b">
        <v>0</v>
      </c>
      <c r="G319" s="36">
        <v>200</v>
      </c>
      <c r="H319" s="36" t="b">
        <v>1</v>
      </c>
    </row>
    <row r="320" spans="1:9" ht="30" x14ac:dyDescent="0.25">
      <c r="A320" s="54" t="s">
        <v>161</v>
      </c>
      <c r="B320" s="30" t="s">
        <v>867</v>
      </c>
      <c r="C320" s="27"/>
      <c r="D320" s="27"/>
      <c r="E320" s="27" t="s">
        <v>863</v>
      </c>
      <c r="F320" s="27" t="b">
        <v>0</v>
      </c>
      <c r="G320" s="27"/>
      <c r="H320" s="27" t="b">
        <v>1</v>
      </c>
      <c r="I320" s="33"/>
    </row>
    <row r="321" spans="1:9" ht="30" x14ac:dyDescent="0.25">
      <c r="A321" s="54" t="s">
        <v>161</v>
      </c>
      <c r="B321" s="42" t="s">
        <v>868</v>
      </c>
      <c r="C321" s="36"/>
      <c r="D321" s="36"/>
      <c r="E321" s="36" t="s">
        <v>863</v>
      </c>
      <c r="F321" s="36" t="b">
        <v>0</v>
      </c>
      <c r="G321" s="36"/>
      <c r="H321" s="36" t="b">
        <v>1</v>
      </c>
    </row>
    <row r="322" spans="1:9" ht="30" x14ac:dyDescent="0.25">
      <c r="A322" s="54" t="s">
        <v>161</v>
      </c>
      <c r="B322" s="30" t="s">
        <v>869</v>
      </c>
      <c r="C322" s="27" t="s">
        <v>870</v>
      </c>
      <c r="D322" s="27"/>
      <c r="E322" s="27" t="s">
        <v>839</v>
      </c>
      <c r="F322" s="27" t="b">
        <v>0</v>
      </c>
      <c r="G322" s="27">
        <v>200</v>
      </c>
      <c r="H322" s="27" t="b">
        <v>1</v>
      </c>
      <c r="I322" s="33"/>
    </row>
    <row r="323" spans="1:9" ht="30" x14ac:dyDescent="0.25">
      <c r="A323" s="54" t="s">
        <v>161</v>
      </c>
      <c r="B323" s="42" t="s">
        <v>871</v>
      </c>
      <c r="C323" s="36" t="s">
        <v>872</v>
      </c>
      <c r="D323" s="36"/>
      <c r="E323" s="36" t="s">
        <v>839</v>
      </c>
      <c r="F323" s="36" t="b">
        <v>0</v>
      </c>
      <c r="G323" s="36">
        <v>404</v>
      </c>
      <c r="H323" s="36" t="b">
        <v>0</v>
      </c>
    </row>
    <row r="324" spans="1:9" ht="30" x14ac:dyDescent="0.25">
      <c r="A324" s="54" t="s">
        <v>161</v>
      </c>
      <c r="B324" s="30" t="s">
        <v>871</v>
      </c>
      <c r="C324" s="27" t="s">
        <v>873</v>
      </c>
      <c r="D324" s="27"/>
      <c r="E324" s="27" t="s">
        <v>839</v>
      </c>
      <c r="F324" s="27" t="b">
        <v>0</v>
      </c>
      <c r="G324" s="27">
        <v>404</v>
      </c>
      <c r="H324" s="27" t="b">
        <v>0</v>
      </c>
      <c r="I324" s="33"/>
    </row>
    <row r="325" spans="1:9" ht="30" x14ac:dyDescent="0.25">
      <c r="A325" s="54" t="s">
        <v>177</v>
      </c>
      <c r="B325" s="42" t="s">
        <v>127</v>
      </c>
      <c r="C325" s="36"/>
      <c r="D325" s="36"/>
      <c r="E325" s="36" t="s">
        <v>839</v>
      </c>
      <c r="F325" s="36" t="b">
        <v>0</v>
      </c>
      <c r="G325" s="36">
        <v>200</v>
      </c>
      <c r="H325" s="36" t="b">
        <v>1</v>
      </c>
    </row>
    <row r="326" spans="1:9" ht="30" x14ac:dyDescent="0.25">
      <c r="A326" s="54" t="s">
        <v>177</v>
      </c>
      <c r="B326" s="30" t="s">
        <v>127</v>
      </c>
      <c r="C326" s="27" t="s">
        <v>840</v>
      </c>
      <c r="D326" s="27"/>
      <c r="E326" s="27" t="s">
        <v>839</v>
      </c>
      <c r="F326" s="27" t="b">
        <v>0</v>
      </c>
      <c r="G326" s="27">
        <v>200</v>
      </c>
      <c r="H326" s="27" t="b">
        <v>1</v>
      </c>
      <c r="I326" s="33"/>
    </row>
    <row r="327" spans="1:9" ht="30" x14ac:dyDescent="0.25">
      <c r="A327" s="54" t="s">
        <v>177</v>
      </c>
      <c r="B327" s="42" t="s">
        <v>135</v>
      </c>
      <c r="C327" s="36" t="s">
        <v>841</v>
      </c>
      <c r="D327" s="36"/>
      <c r="E327" s="36" t="s">
        <v>839</v>
      </c>
      <c r="F327" s="36" t="b">
        <v>0</v>
      </c>
      <c r="G327" s="36">
        <v>200</v>
      </c>
      <c r="H327" s="36" t="b">
        <v>1</v>
      </c>
    </row>
    <row r="328" spans="1:9" ht="30" x14ac:dyDescent="0.25">
      <c r="A328" s="54" t="s">
        <v>177</v>
      </c>
      <c r="B328" s="30" t="s">
        <v>842</v>
      </c>
      <c r="C328" s="27" t="s">
        <v>843</v>
      </c>
      <c r="D328" s="27"/>
      <c r="E328" s="27" t="s">
        <v>839</v>
      </c>
      <c r="F328" s="27" t="b">
        <v>0</v>
      </c>
      <c r="G328" s="27">
        <v>200</v>
      </c>
      <c r="H328" s="27" t="b">
        <v>1</v>
      </c>
      <c r="I328" s="33"/>
    </row>
    <row r="329" spans="1:9" ht="30" x14ac:dyDescent="0.25">
      <c r="A329" s="54" t="s">
        <v>177</v>
      </c>
      <c r="B329" s="42" t="s">
        <v>844</v>
      </c>
      <c r="C329" s="36" t="s">
        <v>845</v>
      </c>
      <c r="D329" s="36"/>
      <c r="E329" s="36" t="s">
        <v>839</v>
      </c>
      <c r="F329" s="36" t="b">
        <v>0</v>
      </c>
      <c r="G329" s="36">
        <v>200</v>
      </c>
      <c r="H329" s="36" t="b">
        <v>1</v>
      </c>
    </row>
    <row r="330" spans="1:9" ht="30" x14ac:dyDescent="0.25">
      <c r="A330" s="54" t="s">
        <v>177</v>
      </c>
      <c r="B330" s="30" t="s">
        <v>144</v>
      </c>
      <c r="C330" s="27" t="s">
        <v>846</v>
      </c>
      <c r="D330" s="27"/>
      <c r="E330" s="27" t="s">
        <v>839</v>
      </c>
      <c r="F330" s="27" t="b">
        <v>0</v>
      </c>
      <c r="G330" s="27">
        <v>200</v>
      </c>
      <c r="H330" s="27" t="b">
        <v>1</v>
      </c>
      <c r="I330" s="33"/>
    </row>
    <row r="331" spans="1:9" ht="30" x14ac:dyDescent="0.25">
      <c r="A331" s="54" t="s">
        <v>177</v>
      </c>
      <c r="B331" s="42" t="s">
        <v>847</v>
      </c>
      <c r="C331" s="36" t="s">
        <v>848</v>
      </c>
      <c r="D331" s="36"/>
      <c r="E331" s="36" t="s">
        <v>839</v>
      </c>
      <c r="F331" s="36" t="b">
        <v>0</v>
      </c>
      <c r="G331" s="36">
        <v>200</v>
      </c>
      <c r="H331" s="36" t="b">
        <v>1</v>
      </c>
    </row>
    <row r="332" spans="1:9" ht="30" x14ac:dyDescent="0.25">
      <c r="A332" s="54" t="s">
        <v>177</v>
      </c>
      <c r="B332" s="30" t="s">
        <v>849</v>
      </c>
      <c r="C332" s="27" t="s">
        <v>850</v>
      </c>
      <c r="D332" s="27"/>
      <c r="E332" s="27" t="s">
        <v>839</v>
      </c>
      <c r="F332" s="27" t="b">
        <v>0</v>
      </c>
      <c r="G332" s="27">
        <v>200</v>
      </c>
      <c r="H332" s="27" t="b">
        <v>1</v>
      </c>
      <c r="I332" s="33"/>
    </row>
    <row r="333" spans="1:9" ht="30" x14ac:dyDescent="0.25">
      <c r="A333" s="54" t="s">
        <v>177</v>
      </c>
      <c r="B333" s="42" t="s">
        <v>851</v>
      </c>
      <c r="C333" s="36" t="s">
        <v>852</v>
      </c>
      <c r="D333" s="36"/>
      <c r="E333" s="36" t="s">
        <v>839</v>
      </c>
      <c r="F333" s="36" t="b">
        <v>0</v>
      </c>
      <c r="G333" s="36">
        <v>200</v>
      </c>
      <c r="H333" s="36" t="b">
        <v>1</v>
      </c>
    </row>
    <row r="334" spans="1:9" ht="30" x14ac:dyDescent="0.25">
      <c r="A334" s="54" t="s">
        <v>177</v>
      </c>
      <c r="B334" s="30" t="s">
        <v>853</v>
      </c>
      <c r="C334" s="27" t="s">
        <v>854</v>
      </c>
      <c r="D334" s="27"/>
      <c r="E334" s="27" t="s">
        <v>839</v>
      </c>
      <c r="F334" s="27" t="b">
        <v>0</v>
      </c>
      <c r="G334" s="27">
        <v>200</v>
      </c>
      <c r="H334" s="27" t="b">
        <v>1</v>
      </c>
      <c r="I334" s="33"/>
    </row>
    <row r="335" spans="1:9" ht="30" x14ac:dyDescent="0.25">
      <c r="A335" s="54" t="s">
        <v>177</v>
      </c>
      <c r="B335" s="42" t="s">
        <v>853</v>
      </c>
      <c r="C335" s="36" t="s">
        <v>855</v>
      </c>
      <c r="D335" s="36"/>
      <c r="E335" s="36" t="s">
        <v>839</v>
      </c>
      <c r="F335" s="36" t="b">
        <v>0</v>
      </c>
      <c r="G335" s="36">
        <v>200</v>
      </c>
      <c r="H335" s="36" t="b">
        <v>1</v>
      </c>
    </row>
    <row r="336" spans="1:9" ht="30" x14ac:dyDescent="0.25">
      <c r="A336" s="54" t="s">
        <v>177</v>
      </c>
      <c r="B336" s="30" t="s">
        <v>856</v>
      </c>
      <c r="C336" s="27" t="s">
        <v>857</v>
      </c>
      <c r="D336" s="27"/>
      <c r="E336" s="27" t="s">
        <v>839</v>
      </c>
      <c r="F336" s="27" t="b">
        <v>0</v>
      </c>
      <c r="G336" s="27">
        <v>200</v>
      </c>
      <c r="H336" s="27" t="b">
        <v>1</v>
      </c>
      <c r="I336" s="33"/>
    </row>
    <row r="337" spans="1:9" ht="30" x14ac:dyDescent="0.25">
      <c r="A337" s="54" t="s">
        <v>177</v>
      </c>
      <c r="B337" s="42" t="s">
        <v>858</v>
      </c>
      <c r="C337" s="36" t="s">
        <v>859</v>
      </c>
      <c r="D337" s="36"/>
      <c r="E337" s="36" t="s">
        <v>839</v>
      </c>
      <c r="F337" s="36" t="b">
        <v>0</v>
      </c>
      <c r="G337" s="36">
        <v>200</v>
      </c>
      <c r="H337" s="36" t="b">
        <v>1</v>
      </c>
    </row>
    <row r="338" spans="1:9" ht="30" x14ac:dyDescent="0.25">
      <c r="A338" s="54" t="s">
        <v>177</v>
      </c>
      <c r="B338" s="30" t="s">
        <v>860</v>
      </c>
      <c r="C338" s="27" t="s">
        <v>861</v>
      </c>
      <c r="D338" s="27"/>
      <c r="E338" s="27" t="s">
        <v>839</v>
      </c>
      <c r="F338" s="27" t="b">
        <v>0</v>
      </c>
      <c r="G338" s="27">
        <v>200</v>
      </c>
      <c r="H338" s="27" t="b">
        <v>1</v>
      </c>
      <c r="I338" s="33"/>
    </row>
    <row r="339" spans="1:9" ht="30" x14ac:dyDescent="0.25">
      <c r="A339" s="54" t="s">
        <v>177</v>
      </c>
      <c r="B339" s="42" t="s">
        <v>127</v>
      </c>
      <c r="C339" s="36" t="s">
        <v>840</v>
      </c>
      <c r="D339" s="36"/>
      <c r="E339" s="36" t="s">
        <v>839</v>
      </c>
      <c r="F339" s="36" t="b">
        <v>0</v>
      </c>
      <c r="G339" s="36">
        <v>200</v>
      </c>
      <c r="H339" s="36" t="b">
        <v>1</v>
      </c>
    </row>
    <row r="340" spans="1:9" ht="30" x14ac:dyDescent="0.25">
      <c r="A340" s="54" t="s">
        <v>177</v>
      </c>
      <c r="B340" s="30" t="s">
        <v>135</v>
      </c>
      <c r="C340" s="27" t="s">
        <v>841</v>
      </c>
      <c r="D340" s="27"/>
      <c r="E340" s="27" t="s">
        <v>839</v>
      </c>
      <c r="F340" s="27" t="b">
        <v>0</v>
      </c>
      <c r="G340" s="27">
        <v>200</v>
      </c>
      <c r="H340" s="27" t="b">
        <v>1</v>
      </c>
      <c r="I340" s="33"/>
    </row>
    <row r="341" spans="1:9" ht="30" x14ac:dyDescent="0.25">
      <c r="A341" s="54" t="s">
        <v>177</v>
      </c>
      <c r="B341" s="42" t="s">
        <v>842</v>
      </c>
      <c r="C341" s="36" t="s">
        <v>843</v>
      </c>
      <c r="D341" s="36"/>
      <c r="E341" s="36" t="s">
        <v>839</v>
      </c>
      <c r="F341" s="36" t="b">
        <v>0</v>
      </c>
      <c r="G341" s="36">
        <v>200</v>
      </c>
      <c r="H341" s="36" t="b">
        <v>1</v>
      </c>
    </row>
    <row r="342" spans="1:9" ht="30" x14ac:dyDescent="0.25">
      <c r="A342" s="54" t="s">
        <v>177</v>
      </c>
      <c r="B342" s="30" t="s">
        <v>844</v>
      </c>
      <c r="C342" s="27" t="s">
        <v>845</v>
      </c>
      <c r="D342" s="27"/>
      <c r="E342" s="27" t="s">
        <v>839</v>
      </c>
      <c r="F342" s="27" t="b">
        <v>0</v>
      </c>
      <c r="G342" s="27">
        <v>200</v>
      </c>
      <c r="H342" s="27" t="b">
        <v>1</v>
      </c>
      <c r="I342" s="33"/>
    </row>
    <row r="343" spans="1:9" ht="30" x14ac:dyDescent="0.25">
      <c r="A343" s="54" t="s">
        <v>177</v>
      </c>
      <c r="B343" s="42" t="s">
        <v>144</v>
      </c>
      <c r="C343" s="36" t="s">
        <v>846</v>
      </c>
      <c r="D343" s="36"/>
      <c r="E343" s="36" t="s">
        <v>839</v>
      </c>
      <c r="F343" s="36" t="b">
        <v>0</v>
      </c>
      <c r="G343" s="36">
        <v>200</v>
      </c>
      <c r="H343" s="36" t="b">
        <v>1</v>
      </c>
    </row>
    <row r="344" spans="1:9" ht="30" x14ac:dyDescent="0.25">
      <c r="A344" s="54" t="s">
        <v>177</v>
      </c>
      <c r="B344" s="30" t="s">
        <v>847</v>
      </c>
      <c r="C344" s="27" t="s">
        <v>848</v>
      </c>
      <c r="D344" s="27"/>
      <c r="E344" s="27" t="s">
        <v>839</v>
      </c>
      <c r="F344" s="27" t="b">
        <v>0</v>
      </c>
      <c r="G344" s="27">
        <v>200</v>
      </c>
      <c r="H344" s="27" t="b">
        <v>1</v>
      </c>
      <c r="I344" s="33"/>
    </row>
    <row r="345" spans="1:9" ht="30" x14ac:dyDescent="0.25">
      <c r="A345" s="54" t="s">
        <v>177</v>
      </c>
      <c r="B345" s="42" t="s">
        <v>849</v>
      </c>
      <c r="C345" s="36" t="s">
        <v>850</v>
      </c>
      <c r="D345" s="36"/>
      <c r="E345" s="36" t="s">
        <v>839</v>
      </c>
      <c r="F345" s="36" t="b">
        <v>0</v>
      </c>
      <c r="G345" s="36">
        <v>200</v>
      </c>
      <c r="H345" s="36" t="b">
        <v>1</v>
      </c>
    </row>
    <row r="346" spans="1:9" ht="30" x14ac:dyDescent="0.25">
      <c r="A346" s="54" t="s">
        <v>177</v>
      </c>
      <c r="B346" s="30" t="s">
        <v>851</v>
      </c>
      <c r="C346" s="27" t="s">
        <v>852</v>
      </c>
      <c r="D346" s="27"/>
      <c r="E346" s="27" t="s">
        <v>839</v>
      </c>
      <c r="F346" s="27" t="b">
        <v>0</v>
      </c>
      <c r="G346" s="27">
        <v>200</v>
      </c>
      <c r="H346" s="27" t="b">
        <v>1</v>
      </c>
      <c r="I346" s="33"/>
    </row>
    <row r="347" spans="1:9" ht="30" x14ac:dyDescent="0.25">
      <c r="A347" s="54" t="s">
        <v>177</v>
      </c>
      <c r="B347" s="42" t="s">
        <v>853</v>
      </c>
      <c r="C347" s="36" t="s">
        <v>854</v>
      </c>
      <c r="D347" s="36"/>
      <c r="E347" s="36" t="s">
        <v>839</v>
      </c>
      <c r="F347" s="36" t="b">
        <v>0</v>
      </c>
      <c r="G347" s="36">
        <v>200</v>
      </c>
      <c r="H347" s="36" t="b">
        <v>1</v>
      </c>
    </row>
    <row r="348" spans="1:9" ht="30" x14ac:dyDescent="0.25">
      <c r="A348" s="54" t="s">
        <v>177</v>
      </c>
      <c r="B348" s="30" t="s">
        <v>853</v>
      </c>
      <c r="C348" s="27" t="s">
        <v>855</v>
      </c>
      <c r="D348" s="27"/>
      <c r="E348" s="27" t="s">
        <v>839</v>
      </c>
      <c r="F348" s="27" t="b">
        <v>0</v>
      </c>
      <c r="G348" s="27">
        <v>200</v>
      </c>
      <c r="H348" s="27" t="b">
        <v>1</v>
      </c>
      <c r="I348" s="33"/>
    </row>
    <row r="349" spans="1:9" ht="30" x14ac:dyDescent="0.25">
      <c r="A349" s="54" t="s">
        <v>177</v>
      </c>
      <c r="B349" s="42" t="s">
        <v>856</v>
      </c>
      <c r="C349" s="36" t="s">
        <v>857</v>
      </c>
      <c r="D349" s="36"/>
      <c r="E349" s="36" t="s">
        <v>839</v>
      </c>
      <c r="F349" s="36" t="b">
        <v>0</v>
      </c>
      <c r="G349" s="36">
        <v>200</v>
      </c>
      <c r="H349" s="36" t="b">
        <v>1</v>
      </c>
    </row>
    <row r="350" spans="1:9" ht="30" x14ac:dyDescent="0.25">
      <c r="A350" s="54" t="s">
        <v>177</v>
      </c>
      <c r="B350" s="30" t="s">
        <v>858</v>
      </c>
      <c r="C350" s="27" t="s">
        <v>859</v>
      </c>
      <c r="D350" s="27"/>
      <c r="E350" s="27" t="s">
        <v>839</v>
      </c>
      <c r="F350" s="27" t="b">
        <v>0</v>
      </c>
      <c r="G350" s="27">
        <v>200</v>
      </c>
      <c r="H350" s="27" t="b">
        <v>1</v>
      </c>
      <c r="I350" s="33"/>
    </row>
    <row r="351" spans="1:9" ht="30" x14ac:dyDescent="0.25">
      <c r="A351" s="54" t="s">
        <v>177</v>
      </c>
      <c r="B351" s="42" t="s">
        <v>860</v>
      </c>
      <c r="C351" s="36" t="s">
        <v>861</v>
      </c>
      <c r="D351" s="36"/>
      <c r="E351" s="36" t="s">
        <v>839</v>
      </c>
      <c r="F351" s="36" t="b">
        <v>0</v>
      </c>
      <c r="G351" s="36">
        <v>200</v>
      </c>
      <c r="H351" s="36" t="b">
        <v>1</v>
      </c>
    </row>
    <row r="352" spans="1:9" ht="30" x14ac:dyDescent="0.25">
      <c r="A352" s="54" t="s">
        <v>177</v>
      </c>
      <c r="B352" s="30" t="s">
        <v>971</v>
      </c>
      <c r="C352" s="27" t="s">
        <v>972</v>
      </c>
      <c r="D352" s="27"/>
      <c r="E352" s="27" t="s">
        <v>839</v>
      </c>
      <c r="F352" s="27" t="b">
        <v>0</v>
      </c>
      <c r="G352" s="27">
        <v>404</v>
      </c>
      <c r="H352" s="27" t="b">
        <v>0</v>
      </c>
      <c r="I352" s="33"/>
    </row>
    <row r="353" spans="1:9" ht="30" x14ac:dyDescent="0.25">
      <c r="A353" s="54" t="s">
        <v>177</v>
      </c>
      <c r="B353" s="42" t="s">
        <v>856</v>
      </c>
      <c r="C353" s="36" t="s">
        <v>866</v>
      </c>
      <c r="D353" s="36"/>
      <c r="E353" s="36" t="s">
        <v>839</v>
      </c>
      <c r="F353" s="36" t="b">
        <v>0</v>
      </c>
      <c r="G353" s="36">
        <v>200</v>
      </c>
      <c r="H353" s="36" t="b">
        <v>1</v>
      </c>
    </row>
    <row r="354" spans="1:9" ht="30" x14ac:dyDescent="0.25">
      <c r="A354" s="54" t="s">
        <v>177</v>
      </c>
      <c r="B354" s="30" t="s">
        <v>867</v>
      </c>
      <c r="C354" s="27"/>
      <c r="D354" s="27"/>
      <c r="E354" s="27" t="s">
        <v>863</v>
      </c>
      <c r="F354" s="27" t="b">
        <v>0</v>
      </c>
      <c r="G354" s="27"/>
      <c r="H354" s="27" t="b">
        <v>1</v>
      </c>
      <c r="I354" s="33"/>
    </row>
    <row r="355" spans="1:9" ht="30" x14ac:dyDescent="0.25">
      <c r="A355" s="54" t="s">
        <v>177</v>
      </c>
      <c r="B355" s="42" t="s">
        <v>868</v>
      </c>
      <c r="C355" s="36"/>
      <c r="D355" s="36"/>
      <c r="E355" s="36" t="s">
        <v>863</v>
      </c>
      <c r="F355" s="36" t="b">
        <v>0</v>
      </c>
      <c r="G355" s="36"/>
      <c r="H355" s="36" t="b">
        <v>1</v>
      </c>
    </row>
    <row r="356" spans="1:9" ht="30" x14ac:dyDescent="0.25">
      <c r="A356" s="54" t="s">
        <v>177</v>
      </c>
      <c r="B356" s="30" t="s">
        <v>869</v>
      </c>
      <c r="C356" s="27" t="s">
        <v>870</v>
      </c>
      <c r="D356" s="27"/>
      <c r="E356" s="27" t="s">
        <v>839</v>
      </c>
      <c r="F356" s="27" t="b">
        <v>0</v>
      </c>
      <c r="G356" s="27">
        <v>200</v>
      </c>
      <c r="H356" s="27" t="b">
        <v>1</v>
      </c>
      <c r="I356" s="33"/>
    </row>
    <row r="357" spans="1:9" ht="30" x14ac:dyDescent="0.25">
      <c r="A357" s="54" t="s">
        <v>177</v>
      </c>
      <c r="B357" s="42" t="s">
        <v>871</v>
      </c>
      <c r="C357" s="36" t="s">
        <v>872</v>
      </c>
      <c r="D357" s="36"/>
      <c r="E357" s="36" t="s">
        <v>839</v>
      </c>
      <c r="F357" s="36" t="b">
        <v>0</v>
      </c>
      <c r="G357" s="36">
        <v>404</v>
      </c>
      <c r="H357" s="36" t="b">
        <v>0</v>
      </c>
    </row>
    <row r="358" spans="1:9" ht="30" x14ac:dyDescent="0.25">
      <c r="A358" s="54" t="s">
        <v>177</v>
      </c>
      <c r="B358" s="30" t="s">
        <v>871</v>
      </c>
      <c r="C358" s="27" t="s">
        <v>873</v>
      </c>
      <c r="D358" s="27"/>
      <c r="E358" s="27" t="s">
        <v>839</v>
      </c>
      <c r="F358" s="27" t="b">
        <v>0</v>
      </c>
      <c r="G358" s="27">
        <v>404</v>
      </c>
      <c r="H358" s="27" t="b">
        <v>0</v>
      </c>
      <c r="I358" s="33"/>
    </row>
    <row r="359" spans="1:9" ht="30" x14ac:dyDescent="0.25">
      <c r="A359" s="54" t="s">
        <v>186</v>
      </c>
      <c r="B359" s="42" t="s">
        <v>878</v>
      </c>
      <c r="C359" s="36" t="s">
        <v>905</v>
      </c>
      <c r="D359" s="36"/>
      <c r="E359" s="36" t="s">
        <v>839</v>
      </c>
      <c r="F359" s="36" t="b">
        <v>0</v>
      </c>
      <c r="G359" s="36">
        <v>200</v>
      </c>
      <c r="H359" s="36" t="b">
        <v>1</v>
      </c>
    </row>
    <row r="360" spans="1:9" ht="30" x14ac:dyDescent="0.25">
      <c r="A360" s="54" t="s">
        <v>186</v>
      </c>
      <c r="B360" s="30" t="s">
        <v>906</v>
      </c>
      <c r="C360" s="27" t="s">
        <v>907</v>
      </c>
      <c r="D360" s="27"/>
      <c r="E360" s="27" t="s">
        <v>839</v>
      </c>
      <c r="F360" s="27" t="b">
        <v>0</v>
      </c>
      <c r="G360" s="27">
        <v>200</v>
      </c>
      <c r="H360" s="27" t="b">
        <v>1</v>
      </c>
      <c r="I360" s="33"/>
    </row>
    <row r="361" spans="1:9" ht="30" x14ac:dyDescent="0.25">
      <c r="A361" s="54" t="s">
        <v>186</v>
      </c>
      <c r="B361" s="42" t="s">
        <v>908</v>
      </c>
      <c r="C361" s="36" t="s">
        <v>909</v>
      </c>
      <c r="D361" s="36"/>
      <c r="E361" s="36" t="s">
        <v>839</v>
      </c>
      <c r="F361" s="36" t="b">
        <v>0</v>
      </c>
      <c r="G361" s="36">
        <v>200</v>
      </c>
      <c r="H361" s="36" t="b">
        <v>1</v>
      </c>
    </row>
    <row r="362" spans="1:9" ht="30" x14ac:dyDescent="0.25">
      <c r="A362" s="54" t="s">
        <v>186</v>
      </c>
      <c r="B362" s="30" t="s">
        <v>910</v>
      </c>
      <c r="C362" s="27" t="s">
        <v>911</v>
      </c>
      <c r="D362" s="27"/>
      <c r="E362" s="27" t="s">
        <v>839</v>
      </c>
      <c r="F362" s="27" t="b">
        <v>0</v>
      </c>
      <c r="G362" s="27">
        <v>200</v>
      </c>
      <c r="H362" s="27" t="b">
        <v>1</v>
      </c>
      <c r="I362" s="33"/>
    </row>
    <row r="363" spans="1:9" ht="30" x14ac:dyDescent="0.25">
      <c r="A363" s="54" t="s">
        <v>186</v>
      </c>
      <c r="B363" s="42" t="s">
        <v>912</v>
      </c>
      <c r="C363" s="36" t="s">
        <v>913</v>
      </c>
      <c r="D363" s="36"/>
      <c r="E363" s="36" t="s">
        <v>839</v>
      </c>
      <c r="F363" s="36" t="b">
        <v>0</v>
      </c>
      <c r="G363" s="36">
        <v>200</v>
      </c>
      <c r="H363" s="36" t="b">
        <v>1</v>
      </c>
    </row>
    <row r="364" spans="1:9" ht="30" x14ac:dyDescent="0.25">
      <c r="A364" s="54" t="s">
        <v>186</v>
      </c>
      <c r="B364" s="30" t="s">
        <v>914</v>
      </c>
      <c r="C364" s="27" t="s">
        <v>915</v>
      </c>
      <c r="D364" s="27"/>
      <c r="E364" s="27" t="s">
        <v>839</v>
      </c>
      <c r="F364" s="27" t="b">
        <v>0</v>
      </c>
      <c r="G364" s="27">
        <v>200</v>
      </c>
      <c r="H364" s="27" t="b">
        <v>1</v>
      </c>
      <c r="I364" s="33"/>
    </row>
    <row r="365" spans="1:9" ht="30" x14ac:dyDescent="0.25">
      <c r="A365" s="54" t="s">
        <v>186</v>
      </c>
      <c r="B365" s="42" t="s">
        <v>878</v>
      </c>
      <c r="C365" s="36" t="s">
        <v>905</v>
      </c>
      <c r="D365" s="36"/>
      <c r="E365" s="36" t="s">
        <v>839</v>
      </c>
      <c r="F365" s="36" t="b">
        <v>0</v>
      </c>
      <c r="G365" s="36">
        <v>200</v>
      </c>
      <c r="H365" s="36" t="b">
        <v>1</v>
      </c>
    </row>
    <row r="366" spans="1:9" ht="30" x14ac:dyDescent="0.25">
      <c r="A366" s="54" t="s">
        <v>186</v>
      </c>
      <c r="B366" s="30" t="s">
        <v>906</v>
      </c>
      <c r="C366" s="27" t="s">
        <v>907</v>
      </c>
      <c r="D366" s="27"/>
      <c r="E366" s="27" t="s">
        <v>839</v>
      </c>
      <c r="F366" s="27" t="b">
        <v>0</v>
      </c>
      <c r="G366" s="27">
        <v>200</v>
      </c>
      <c r="H366" s="27" t="b">
        <v>1</v>
      </c>
      <c r="I366" s="33"/>
    </row>
    <row r="367" spans="1:9" ht="30" x14ac:dyDescent="0.25">
      <c r="A367" s="54" t="s">
        <v>186</v>
      </c>
      <c r="B367" s="42" t="s">
        <v>908</v>
      </c>
      <c r="C367" s="36" t="s">
        <v>909</v>
      </c>
      <c r="D367" s="36"/>
      <c r="E367" s="36" t="s">
        <v>839</v>
      </c>
      <c r="F367" s="36" t="b">
        <v>0</v>
      </c>
      <c r="G367" s="36">
        <v>200</v>
      </c>
      <c r="H367" s="36" t="b">
        <v>1</v>
      </c>
    </row>
    <row r="368" spans="1:9" ht="30" x14ac:dyDescent="0.25">
      <c r="A368" s="54" t="s">
        <v>186</v>
      </c>
      <c r="B368" s="30" t="s">
        <v>910</v>
      </c>
      <c r="C368" s="27" t="s">
        <v>911</v>
      </c>
      <c r="D368" s="27"/>
      <c r="E368" s="27" t="s">
        <v>839</v>
      </c>
      <c r="F368" s="27" t="b">
        <v>0</v>
      </c>
      <c r="G368" s="27">
        <v>200</v>
      </c>
      <c r="H368" s="27" t="b">
        <v>1</v>
      </c>
      <c r="I368" s="33"/>
    </row>
    <row r="369" spans="1:9" ht="30" x14ac:dyDescent="0.25">
      <c r="A369" s="54" t="s">
        <v>186</v>
      </c>
      <c r="B369" s="42" t="s">
        <v>912</v>
      </c>
      <c r="C369" s="36" t="s">
        <v>913</v>
      </c>
      <c r="D369" s="36"/>
      <c r="E369" s="36" t="s">
        <v>839</v>
      </c>
      <c r="F369" s="36" t="b">
        <v>0</v>
      </c>
      <c r="G369" s="36">
        <v>200</v>
      </c>
      <c r="H369" s="36" t="b">
        <v>1</v>
      </c>
    </row>
    <row r="370" spans="1:9" ht="30" x14ac:dyDescent="0.25">
      <c r="A370" s="54" t="s">
        <v>186</v>
      </c>
      <c r="B370" s="30" t="s">
        <v>914</v>
      </c>
      <c r="C370" s="27" t="s">
        <v>915</v>
      </c>
      <c r="D370" s="27"/>
      <c r="E370" s="27" t="s">
        <v>839</v>
      </c>
      <c r="F370" s="27" t="b">
        <v>0</v>
      </c>
      <c r="G370" s="27">
        <v>200</v>
      </c>
      <c r="H370" s="27" t="b">
        <v>1</v>
      </c>
      <c r="I370" s="33"/>
    </row>
    <row r="371" spans="1:9" ht="30" x14ac:dyDescent="0.25">
      <c r="A371" s="54" t="s">
        <v>186</v>
      </c>
      <c r="B371" s="42" t="s">
        <v>973</v>
      </c>
      <c r="C371" s="36" t="s">
        <v>974</v>
      </c>
      <c r="D371" s="36"/>
      <c r="E371" s="36" t="s">
        <v>839</v>
      </c>
      <c r="F371" s="36" t="b">
        <v>0</v>
      </c>
      <c r="G371" s="36">
        <v>200</v>
      </c>
      <c r="H371" s="36" t="b">
        <v>1</v>
      </c>
    </row>
    <row r="372" spans="1:9" ht="30" x14ac:dyDescent="0.25">
      <c r="A372" s="54" t="s">
        <v>186</v>
      </c>
      <c r="B372" s="30" t="s">
        <v>975</v>
      </c>
      <c r="C372" s="27"/>
      <c r="D372" s="27"/>
      <c r="E372" s="27" t="s">
        <v>839</v>
      </c>
      <c r="F372" s="27" t="b">
        <v>0</v>
      </c>
      <c r="G372" s="27">
        <v>200</v>
      </c>
      <c r="H372" s="27" t="b">
        <v>1</v>
      </c>
      <c r="I372" s="33"/>
    </row>
    <row r="373" spans="1:9" ht="30" x14ac:dyDescent="0.25">
      <c r="A373" s="54" t="s">
        <v>186</v>
      </c>
      <c r="B373" s="42" t="s">
        <v>976</v>
      </c>
      <c r="C373" s="36"/>
      <c r="D373" s="36"/>
      <c r="E373" s="36" t="s">
        <v>839</v>
      </c>
      <c r="F373" s="36" t="b">
        <v>0</v>
      </c>
      <c r="G373" s="36">
        <v>200</v>
      </c>
      <c r="H373" s="36" t="b">
        <v>1</v>
      </c>
    </row>
    <row r="374" spans="1:9" ht="30" x14ac:dyDescent="0.25">
      <c r="A374" s="54" t="s">
        <v>186</v>
      </c>
      <c r="B374" s="30" t="s">
        <v>977</v>
      </c>
      <c r="C374" s="27"/>
      <c r="D374" s="27"/>
      <c r="E374" s="27" t="s">
        <v>839</v>
      </c>
      <c r="F374" s="27" t="b">
        <v>0</v>
      </c>
      <c r="G374" s="27">
        <v>200</v>
      </c>
      <c r="H374" s="27" t="b">
        <v>1</v>
      </c>
      <c r="I374" s="33"/>
    </row>
    <row r="375" spans="1:9" ht="30" x14ac:dyDescent="0.25">
      <c r="A375" s="54" t="s">
        <v>186</v>
      </c>
      <c r="B375" s="42" t="s">
        <v>978</v>
      </c>
      <c r="C375" s="36"/>
      <c r="D375" s="36"/>
      <c r="E375" s="36" t="s">
        <v>839</v>
      </c>
      <c r="F375" s="36" t="b">
        <v>0</v>
      </c>
      <c r="G375" s="36">
        <v>200</v>
      </c>
      <c r="H375" s="36" t="b">
        <v>1</v>
      </c>
    </row>
    <row r="376" spans="1:9" ht="30" x14ac:dyDescent="0.25">
      <c r="A376" s="54" t="s">
        <v>186</v>
      </c>
      <c r="B376" s="30" t="s">
        <v>979</v>
      </c>
      <c r="C376" s="27"/>
      <c r="D376" s="27"/>
      <c r="E376" s="27" t="s">
        <v>839</v>
      </c>
      <c r="F376" s="27" t="b">
        <v>0</v>
      </c>
      <c r="G376" s="27">
        <v>200</v>
      </c>
      <c r="H376" s="27" t="b">
        <v>1</v>
      </c>
      <c r="I376" s="33"/>
    </row>
    <row r="377" spans="1:9" ht="30" x14ac:dyDescent="0.25">
      <c r="A377" s="54" t="s">
        <v>186</v>
      </c>
      <c r="B377" s="42" t="s">
        <v>980</v>
      </c>
      <c r="C377" s="36"/>
      <c r="D377" s="36"/>
      <c r="E377" s="36" t="s">
        <v>839</v>
      </c>
      <c r="F377" s="36" t="b">
        <v>0</v>
      </c>
      <c r="G377" s="36">
        <v>200</v>
      </c>
      <c r="H377" s="36" t="b">
        <v>1</v>
      </c>
    </row>
    <row r="378" spans="1:9" ht="30" x14ac:dyDescent="0.25">
      <c r="A378" s="54" t="s">
        <v>186</v>
      </c>
      <c r="B378" s="30" t="s">
        <v>981</v>
      </c>
      <c r="C378" s="27"/>
      <c r="D378" s="27"/>
      <c r="E378" s="27" t="s">
        <v>839</v>
      </c>
      <c r="F378" s="27" t="b">
        <v>0</v>
      </c>
      <c r="G378" s="27">
        <v>200</v>
      </c>
      <c r="H378" s="27" t="b">
        <v>1</v>
      </c>
      <c r="I378" s="33"/>
    </row>
    <row r="379" spans="1:9" ht="30" x14ac:dyDescent="0.25">
      <c r="A379" s="54" t="s">
        <v>186</v>
      </c>
      <c r="B379" s="42" t="s">
        <v>982</v>
      </c>
      <c r="C379" s="36"/>
      <c r="D379" s="36"/>
      <c r="E379" s="36" t="s">
        <v>839</v>
      </c>
      <c r="F379" s="36" t="b">
        <v>0</v>
      </c>
      <c r="G379" s="36">
        <v>200</v>
      </c>
      <c r="H379" s="36" t="b">
        <v>1</v>
      </c>
    </row>
    <row r="380" spans="1:9" ht="30" x14ac:dyDescent="0.25">
      <c r="A380" s="54" t="s">
        <v>186</v>
      </c>
      <c r="B380" s="30" t="s">
        <v>983</v>
      </c>
      <c r="C380" s="27"/>
      <c r="D380" s="27"/>
      <c r="E380" s="27" t="s">
        <v>839</v>
      </c>
      <c r="F380" s="27" t="b">
        <v>0</v>
      </c>
      <c r="G380" s="27">
        <v>200</v>
      </c>
      <c r="H380" s="27" t="b">
        <v>1</v>
      </c>
      <c r="I380" s="33"/>
    </row>
    <row r="381" spans="1:9" ht="30" x14ac:dyDescent="0.25">
      <c r="A381" s="54" t="s">
        <v>186</v>
      </c>
      <c r="B381" s="42" t="s">
        <v>984</v>
      </c>
      <c r="C381" s="36"/>
      <c r="D381" s="36"/>
      <c r="E381" s="36" t="s">
        <v>839</v>
      </c>
      <c r="F381" s="36" t="b">
        <v>0</v>
      </c>
      <c r="G381" s="36">
        <v>200</v>
      </c>
      <c r="H381" s="36" t="b">
        <v>1</v>
      </c>
    </row>
    <row r="382" spans="1:9" ht="30" x14ac:dyDescent="0.25">
      <c r="A382" s="54" t="s">
        <v>186</v>
      </c>
      <c r="B382" s="30" t="s">
        <v>985</v>
      </c>
      <c r="C382" s="27"/>
      <c r="D382" s="27"/>
      <c r="E382" s="27" t="s">
        <v>839</v>
      </c>
      <c r="F382" s="27" t="b">
        <v>0</v>
      </c>
      <c r="G382" s="27">
        <v>200</v>
      </c>
      <c r="H382" s="27" t="b">
        <v>1</v>
      </c>
      <c r="I382" s="33"/>
    </row>
    <row r="383" spans="1:9" ht="30" x14ac:dyDescent="0.25">
      <c r="A383" s="54" t="s">
        <v>186</v>
      </c>
      <c r="B383" s="42" t="s">
        <v>986</v>
      </c>
      <c r="C383" s="36"/>
      <c r="D383" s="36"/>
      <c r="E383" s="36" t="s">
        <v>839</v>
      </c>
      <c r="F383" s="36" t="b">
        <v>0</v>
      </c>
      <c r="G383" s="36">
        <v>200</v>
      </c>
      <c r="H383" s="36" t="b">
        <v>1</v>
      </c>
    </row>
    <row r="384" spans="1:9" ht="30" x14ac:dyDescent="0.25">
      <c r="A384" s="54" t="s">
        <v>186</v>
      </c>
      <c r="B384" s="30" t="s">
        <v>987</v>
      </c>
      <c r="C384" s="27"/>
      <c r="D384" s="27"/>
      <c r="E384" s="27" t="s">
        <v>839</v>
      </c>
      <c r="F384" s="27" t="b">
        <v>0</v>
      </c>
      <c r="G384" s="27">
        <v>200</v>
      </c>
      <c r="H384" s="27" t="b">
        <v>1</v>
      </c>
      <c r="I384" s="33"/>
    </row>
    <row r="385" spans="1:9" ht="30" x14ac:dyDescent="0.25">
      <c r="A385" s="54" t="s">
        <v>186</v>
      </c>
      <c r="B385" s="42" t="s">
        <v>988</v>
      </c>
      <c r="C385" s="36"/>
      <c r="D385" s="36"/>
      <c r="E385" s="36" t="s">
        <v>839</v>
      </c>
      <c r="F385" s="36" t="b">
        <v>0</v>
      </c>
      <c r="G385" s="36">
        <v>200</v>
      </c>
      <c r="H385" s="36" t="b">
        <v>1</v>
      </c>
    </row>
    <row r="386" spans="1:9" ht="30" x14ac:dyDescent="0.25">
      <c r="A386" s="54" t="s">
        <v>186</v>
      </c>
      <c r="B386" s="30" t="s">
        <v>989</v>
      </c>
      <c r="C386" s="27"/>
      <c r="D386" s="27"/>
      <c r="E386" s="27" t="s">
        <v>839</v>
      </c>
      <c r="F386" s="27" t="b">
        <v>0</v>
      </c>
      <c r="G386" s="27">
        <v>200</v>
      </c>
      <c r="H386" s="27" t="b">
        <v>1</v>
      </c>
      <c r="I386" s="33"/>
    </row>
    <row r="387" spans="1:9" ht="30" x14ac:dyDescent="0.25">
      <c r="A387" s="54" t="s">
        <v>186</v>
      </c>
      <c r="B387" s="42" t="s">
        <v>990</v>
      </c>
      <c r="C387" s="36"/>
      <c r="D387" s="36"/>
      <c r="E387" s="36" t="s">
        <v>839</v>
      </c>
      <c r="F387" s="36" t="b">
        <v>0</v>
      </c>
      <c r="G387" s="36">
        <v>200</v>
      </c>
      <c r="H387" s="36" t="b">
        <v>1</v>
      </c>
    </row>
    <row r="388" spans="1:9" ht="30" x14ac:dyDescent="0.25">
      <c r="A388" s="54" t="s">
        <v>186</v>
      </c>
      <c r="B388" s="30" t="s">
        <v>991</v>
      </c>
      <c r="C388" s="27"/>
      <c r="D388" s="27"/>
      <c r="E388" s="27" t="s">
        <v>839</v>
      </c>
      <c r="F388" s="27" t="b">
        <v>0</v>
      </c>
      <c r="G388" s="27">
        <v>200</v>
      </c>
      <c r="H388" s="27" t="b">
        <v>1</v>
      </c>
      <c r="I388" s="33"/>
    </row>
    <row r="389" spans="1:9" ht="30" x14ac:dyDescent="0.25">
      <c r="A389" s="54" t="s">
        <v>186</v>
      </c>
      <c r="B389" s="42" t="s">
        <v>992</v>
      </c>
      <c r="C389" s="36"/>
      <c r="D389" s="36"/>
      <c r="E389" s="36" t="s">
        <v>839</v>
      </c>
      <c r="F389" s="36" t="b">
        <v>0</v>
      </c>
      <c r="G389" s="36">
        <v>200</v>
      </c>
      <c r="H389" s="36" t="b">
        <v>1</v>
      </c>
    </row>
    <row r="390" spans="1:9" ht="30" x14ac:dyDescent="0.25">
      <c r="A390" s="54" t="s">
        <v>186</v>
      </c>
      <c r="B390" s="30" t="s">
        <v>993</v>
      </c>
      <c r="C390" s="27"/>
      <c r="D390" s="27"/>
      <c r="E390" s="27" t="s">
        <v>839</v>
      </c>
      <c r="F390" s="27" t="b">
        <v>0</v>
      </c>
      <c r="G390" s="27">
        <v>200</v>
      </c>
      <c r="H390" s="27" t="b">
        <v>1</v>
      </c>
      <c r="I390" s="33"/>
    </row>
    <row r="391" spans="1:9" ht="30" x14ac:dyDescent="0.25">
      <c r="A391" s="54" t="s">
        <v>186</v>
      </c>
      <c r="B391" s="42" t="s">
        <v>994</v>
      </c>
      <c r="C391" s="36"/>
      <c r="D391" s="36"/>
      <c r="E391" s="36" t="s">
        <v>839</v>
      </c>
      <c r="F391" s="36" t="b">
        <v>0</v>
      </c>
      <c r="G391" s="36">
        <v>200</v>
      </c>
      <c r="H391" s="36" t="b">
        <v>1</v>
      </c>
    </row>
    <row r="392" spans="1:9" ht="30" x14ac:dyDescent="0.25">
      <c r="A392" s="54" t="s">
        <v>186</v>
      </c>
      <c r="B392" s="30" t="s">
        <v>995</v>
      </c>
      <c r="C392" s="27" t="s">
        <v>996</v>
      </c>
      <c r="D392" s="27"/>
      <c r="E392" s="27" t="s">
        <v>839</v>
      </c>
      <c r="F392" s="27" t="b">
        <v>0</v>
      </c>
      <c r="G392" s="27">
        <v>200</v>
      </c>
      <c r="H392" s="27" t="b">
        <v>1</v>
      </c>
      <c r="I392" s="33"/>
    </row>
    <row r="393" spans="1:9" ht="30" x14ac:dyDescent="0.25">
      <c r="A393" s="54" t="s">
        <v>186</v>
      </c>
      <c r="B393" s="42" t="s">
        <v>997</v>
      </c>
      <c r="C393" s="36" t="s">
        <v>998</v>
      </c>
      <c r="D393" s="36"/>
      <c r="E393" s="36" t="s">
        <v>839</v>
      </c>
      <c r="F393" s="36" t="b">
        <v>0</v>
      </c>
      <c r="G393" s="36">
        <v>200</v>
      </c>
      <c r="H393" s="36" t="b">
        <v>1</v>
      </c>
    </row>
    <row r="394" spans="1:9" ht="30" x14ac:dyDescent="0.25">
      <c r="A394" s="54" t="s">
        <v>186</v>
      </c>
      <c r="B394" s="30" t="s">
        <v>999</v>
      </c>
      <c r="C394" s="27"/>
      <c r="D394" s="27"/>
      <c r="E394" s="27" t="s">
        <v>863</v>
      </c>
      <c r="F394" s="27" t="b">
        <v>0</v>
      </c>
      <c r="G394" s="27"/>
      <c r="H394" s="27" t="b">
        <v>1</v>
      </c>
      <c r="I394" s="33"/>
    </row>
    <row r="395" spans="1:9" ht="30" x14ac:dyDescent="0.25">
      <c r="A395" s="54" t="s">
        <v>186</v>
      </c>
      <c r="B395" s="42" t="s">
        <v>1000</v>
      </c>
      <c r="C395" s="36"/>
      <c r="D395" s="36"/>
      <c r="E395" s="36" t="s">
        <v>863</v>
      </c>
      <c r="F395" s="36" t="b">
        <v>0</v>
      </c>
      <c r="G395" s="36"/>
      <c r="H395" s="36" t="b">
        <v>1</v>
      </c>
    </row>
    <row r="396" spans="1:9" ht="30" x14ac:dyDescent="0.25">
      <c r="A396" s="54" t="s">
        <v>186</v>
      </c>
      <c r="B396" s="30" t="s">
        <v>1001</v>
      </c>
      <c r="C396" s="27"/>
      <c r="D396" s="27"/>
      <c r="E396" s="27" t="s">
        <v>863</v>
      </c>
      <c r="F396" s="27" t="b">
        <v>0</v>
      </c>
      <c r="G396" s="27"/>
      <c r="H396" s="27" t="b">
        <v>1</v>
      </c>
      <c r="I396" s="33"/>
    </row>
    <row r="397" spans="1:9" ht="30" x14ac:dyDescent="0.25">
      <c r="A397" s="54" t="s">
        <v>186</v>
      </c>
      <c r="B397" s="42" t="s">
        <v>1002</v>
      </c>
      <c r="C397" s="36"/>
      <c r="D397" s="36"/>
      <c r="E397" s="36" t="s">
        <v>863</v>
      </c>
      <c r="F397" s="36" t="b">
        <v>0</v>
      </c>
      <c r="G397" s="36"/>
      <c r="H397" s="36" t="b">
        <v>1</v>
      </c>
    </row>
    <row r="398" spans="1:9" ht="30" x14ac:dyDescent="0.25">
      <c r="A398" s="54" t="s">
        <v>186</v>
      </c>
      <c r="B398" s="30" t="s">
        <v>1003</v>
      </c>
      <c r="C398" s="27"/>
      <c r="D398" s="27"/>
      <c r="E398" s="27" t="s">
        <v>863</v>
      </c>
      <c r="F398" s="27" t="b">
        <v>0</v>
      </c>
      <c r="G398" s="27"/>
      <c r="H398" s="27" t="b">
        <v>1</v>
      </c>
      <c r="I398" s="33"/>
    </row>
    <row r="399" spans="1:9" ht="30" x14ac:dyDescent="0.25">
      <c r="A399" s="54" t="s">
        <v>186</v>
      </c>
      <c r="B399" s="42" t="s">
        <v>1004</v>
      </c>
      <c r="C399" s="36"/>
      <c r="D399" s="36"/>
      <c r="E399" s="36" t="s">
        <v>863</v>
      </c>
      <c r="F399" s="36" t="b">
        <v>0</v>
      </c>
      <c r="G399" s="36"/>
      <c r="H399" s="36" t="b">
        <v>1</v>
      </c>
    </row>
    <row r="400" spans="1:9" ht="30" x14ac:dyDescent="0.25">
      <c r="A400" s="54" t="s">
        <v>186</v>
      </c>
      <c r="B400" s="30" t="s">
        <v>1005</v>
      </c>
      <c r="C400" s="27"/>
      <c r="D400" s="27"/>
      <c r="E400" s="27" t="s">
        <v>863</v>
      </c>
      <c r="F400" s="27" t="b">
        <v>0</v>
      </c>
      <c r="G400" s="27"/>
      <c r="H400" s="27" t="b">
        <v>1</v>
      </c>
      <c r="I400" s="33"/>
    </row>
    <row r="401" spans="1:9" ht="30" x14ac:dyDescent="0.25">
      <c r="A401" s="54" t="s">
        <v>186</v>
      </c>
      <c r="B401" s="42" t="s">
        <v>1006</v>
      </c>
      <c r="C401" s="36"/>
      <c r="D401" s="36"/>
      <c r="E401" s="36" t="s">
        <v>863</v>
      </c>
      <c r="F401" s="36" t="b">
        <v>0</v>
      </c>
      <c r="G401" s="36"/>
      <c r="H401" s="36" t="b">
        <v>1</v>
      </c>
    </row>
    <row r="402" spans="1:9" ht="30" x14ac:dyDescent="0.25">
      <c r="A402" s="54" t="s">
        <v>186</v>
      </c>
      <c r="B402" s="30" t="s">
        <v>1007</v>
      </c>
      <c r="C402" s="27"/>
      <c r="D402" s="27"/>
      <c r="E402" s="27" t="s">
        <v>863</v>
      </c>
      <c r="F402" s="27" t="b">
        <v>0</v>
      </c>
      <c r="G402" s="27"/>
      <c r="H402" s="27" t="b">
        <v>1</v>
      </c>
      <c r="I402" s="33"/>
    </row>
    <row r="403" spans="1:9" ht="30" x14ac:dyDescent="0.25">
      <c r="A403" s="54" t="s">
        <v>186</v>
      </c>
      <c r="B403" s="42" t="s">
        <v>1008</v>
      </c>
      <c r="C403" s="36"/>
      <c r="D403" s="36"/>
      <c r="E403" s="36" t="s">
        <v>863</v>
      </c>
      <c r="F403" s="36" t="b">
        <v>0</v>
      </c>
      <c r="G403" s="36"/>
      <c r="H403" s="36" t="b">
        <v>1</v>
      </c>
    </row>
    <row r="404" spans="1:9" ht="30" x14ac:dyDescent="0.25">
      <c r="A404" s="54" t="s">
        <v>186</v>
      </c>
      <c r="B404" s="30" t="s">
        <v>856</v>
      </c>
      <c r="C404" s="27" t="s">
        <v>866</v>
      </c>
      <c r="D404" s="27"/>
      <c r="E404" s="27" t="s">
        <v>839</v>
      </c>
      <c r="F404" s="27" t="b">
        <v>0</v>
      </c>
      <c r="G404" s="27">
        <v>200</v>
      </c>
      <c r="H404" s="27" t="b">
        <v>1</v>
      </c>
      <c r="I404" s="33"/>
    </row>
    <row r="405" spans="1:9" ht="30" x14ac:dyDescent="0.25">
      <c r="A405" s="54" t="s">
        <v>186</v>
      </c>
      <c r="B405" s="42" t="s">
        <v>867</v>
      </c>
      <c r="C405" s="36"/>
      <c r="D405" s="36"/>
      <c r="E405" s="36" t="s">
        <v>863</v>
      </c>
      <c r="F405" s="36" t="b">
        <v>0</v>
      </c>
      <c r="G405" s="36"/>
      <c r="H405" s="36" t="b">
        <v>1</v>
      </c>
    </row>
    <row r="406" spans="1:9" ht="30" x14ac:dyDescent="0.25">
      <c r="A406" s="54" t="s">
        <v>186</v>
      </c>
      <c r="B406" s="30" t="s">
        <v>868</v>
      </c>
      <c r="C406" s="27"/>
      <c r="D406" s="27"/>
      <c r="E406" s="27" t="s">
        <v>863</v>
      </c>
      <c r="F406" s="27" t="b">
        <v>0</v>
      </c>
      <c r="G406" s="27"/>
      <c r="H406" s="27" t="b">
        <v>1</v>
      </c>
      <c r="I406" s="33"/>
    </row>
    <row r="407" spans="1:9" ht="30" x14ac:dyDescent="0.25">
      <c r="A407" s="54" t="s">
        <v>186</v>
      </c>
      <c r="B407" s="42" t="s">
        <v>916</v>
      </c>
      <c r="C407" s="36"/>
      <c r="D407" s="36"/>
      <c r="E407" s="36" t="s">
        <v>863</v>
      </c>
      <c r="F407" s="36" t="b">
        <v>0</v>
      </c>
      <c r="G407" s="36"/>
      <c r="H407" s="36" t="b">
        <v>1</v>
      </c>
    </row>
    <row r="408" spans="1:9" ht="30" x14ac:dyDescent="0.25">
      <c r="A408" s="54" t="s">
        <v>186</v>
      </c>
      <c r="B408" s="30" t="s">
        <v>1009</v>
      </c>
      <c r="C408" s="27"/>
      <c r="D408" s="27"/>
      <c r="E408" s="27" t="s">
        <v>839</v>
      </c>
      <c r="F408" s="27" t="b">
        <v>0</v>
      </c>
      <c r="G408" s="27">
        <v>404</v>
      </c>
      <c r="H408" s="27" t="b">
        <v>0</v>
      </c>
      <c r="I408" s="33"/>
    </row>
    <row r="409" spans="1:9" ht="30" x14ac:dyDescent="0.25">
      <c r="A409" s="54" t="s">
        <v>186</v>
      </c>
      <c r="B409" s="42" t="s">
        <v>1009</v>
      </c>
      <c r="C409" s="36" t="s">
        <v>1010</v>
      </c>
      <c r="D409" s="36"/>
      <c r="E409" s="36" t="s">
        <v>839</v>
      </c>
      <c r="F409" s="36" t="b">
        <v>0</v>
      </c>
      <c r="G409" s="36">
        <v>404</v>
      </c>
      <c r="H409" s="36" t="b">
        <v>0</v>
      </c>
    </row>
    <row r="410" spans="1:9" ht="30" x14ac:dyDescent="0.25">
      <c r="A410" s="54" t="s">
        <v>186</v>
      </c>
      <c r="B410" s="30" t="s">
        <v>869</v>
      </c>
      <c r="C410" s="27" t="s">
        <v>917</v>
      </c>
      <c r="D410" s="27"/>
      <c r="E410" s="27" t="s">
        <v>839</v>
      </c>
      <c r="F410" s="27" t="b">
        <v>0</v>
      </c>
      <c r="G410" s="27">
        <v>200</v>
      </c>
      <c r="H410" s="27" t="b">
        <v>1</v>
      </c>
      <c r="I410" s="33"/>
    </row>
    <row r="411" spans="1:9" ht="30" x14ac:dyDescent="0.25">
      <c r="A411" s="54" t="s">
        <v>186</v>
      </c>
      <c r="B411" s="42" t="s">
        <v>871</v>
      </c>
      <c r="C411" s="36" t="s">
        <v>872</v>
      </c>
      <c r="D411" s="36"/>
      <c r="E411" s="36" t="s">
        <v>839</v>
      </c>
      <c r="F411" s="36" t="b">
        <v>0</v>
      </c>
      <c r="G411" s="36">
        <v>404</v>
      </c>
      <c r="H411" s="36" t="b">
        <v>0</v>
      </c>
    </row>
    <row r="412" spans="1:9" ht="30" x14ac:dyDescent="0.25">
      <c r="A412" s="54" t="s">
        <v>186</v>
      </c>
      <c r="B412" s="30" t="s">
        <v>871</v>
      </c>
      <c r="C412" s="27" t="s">
        <v>873</v>
      </c>
      <c r="D412" s="27"/>
      <c r="E412" s="27" t="s">
        <v>839</v>
      </c>
      <c r="F412" s="27" t="b">
        <v>0</v>
      </c>
      <c r="G412" s="27">
        <v>404</v>
      </c>
      <c r="H412" s="27" t="b">
        <v>0</v>
      </c>
      <c r="I412" s="33"/>
    </row>
    <row r="413" spans="1:9" ht="30" x14ac:dyDescent="0.25">
      <c r="A413" s="54" t="s">
        <v>194</v>
      </c>
      <c r="B413" s="42" t="s">
        <v>127</v>
      </c>
      <c r="C413" s="36" t="s">
        <v>575</v>
      </c>
      <c r="D413" s="36"/>
      <c r="E413" s="36" t="s">
        <v>839</v>
      </c>
      <c r="F413" s="36" t="b">
        <v>0</v>
      </c>
      <c r="G413" s="36">
        <v>200</v>
      </c>
      <c r="H413" s="36" t="b">
        <v>1</v>
      </c>
    </row>
    <row r="414" spans="1:9" ht="30" x14ac:dyDescent="0.25">
      <c r="A414" s="54" t="s">
        <v>194</v>
      </c>
      <c r="B414" s="30" t="s">
        <v>186</v>
      </c>
      <c r="C414" s="27" t="s">
        <v>1011</v>
      </c>
      <c r="D414" s="27"/>
      <c r="E414" s="27" t="s">
        <v>839</v>
      </c>
      <c r="F414" s="27" t="b">
        <v>0</v>
      </c>
      <c r="G414" s="27">
        <v>200</v>
      </c>
      <c r="H414" s="27" t="b">
        <v>1</v>
      </c>
      <c r="I414" s="33"/>
    </row>
    <row r="415" spans="1:9" ht="30" x14ac:dyDescent="0.25">
      <c r="A415" s="54" t="s">
        <v>194</v>
      </c>
      <c r="B415" s="42" t="s">
        <v>973</v>
      </c>
      <c r="C415" s="36" t="s">
        <v>1012</v>
      </c>
      <c r="D415" s="36"/>
      <c r="E415" s="36" t="s">
        <v>839</v>
      </c>
      <c r="F415" s="36" t="b">
        <v>0</v>
      </c>
      <c r="G415" s="36">
        <v>200</v>
      </c>
      <c r="H415" s="36" t="b">
        <v>1</v>
      </c>
    </row>
    <row r="416" spans="1:9" ht="30" x14ac:dyDescent="0.25">
      <c r="A416" s="54" t="s">
        <v>194</v>
      </c>
      <c r="B416" s="30" t="s">
        <v>997</v>
      </c>
      <c r="C416" s="27" t="s">
        <v>1013</v>
      </c>
      <c r="D416" s="27"/>
      <c r="E416" s="27" t="s">
        <v>839</v>
      </c>
      <c r="F416" s="27" t="b">
        <v>0</v>
      </c>
      <c r="G416" s="27">
        <v>200</v>
      </c>
      <c r="H416" s="27" t="b">
        <v>1</v>
      </c>
      <c r="I416" s="33"/>
    </row>
    <row r="417" spans="1:9" ht="30" x14ac:dyDescent="0.25">
      <c r="A417" s="54" t="s">
        <v>194</v>
      </c>
      <c r="B417" s="42" t="s">
        <v>194</v>
      </c>
      <c r="C417" s="36" t="s">
        <v>1014</v>
      </c>
      <c r="D417" s="36"/>
      <c r="E417" s="36" t="s">
        <v>839</v>
      </c>
      <c r="F417" s="36" t="b">
        <v>0</v>
      </c>
      <c r="G417" s="36">
        <v>200</v>
      </c>
      <c r="H417" s="36" t="b">
        <v>1</v>
      </c>
    </row>
    <row r="418" spans="1:9" ht="30" x14ac:dyDescent="0.25">
      <c r="A418" s="54" t="s">
        <v>194</v>
      </c>
      <c r="B418" s="30" t="s">
        <v>1015</v>
      </c>
      <c r="C418" s="27" t="s">
        <v>1016</v>
      </c>
      <c r="D418" s="27"/>
      <c r="E418" s="27" t="s">
        <v>839</v>
      </c>
      <c r="F418" s="27" t="b">
        <v>0</v>
      </c>
      <c r="G418" s="27">
        <v>200</v>
      </c>
      <c r="H418" s="27" t="b">
        <v>1</v>
      </c>
      <c r="I418" s="33"/>
    </row>
    <row r="419" spans="1:9" ht="30" x14ac:dyDescent="0.25">
      <c r="A419" s="54" t="s">
        <v>194</v>
      </c>
      <c r="B419" s="42" t="s">
        <v>995</v>
      </c>
      <c r="C419" s="36" t="s">
        <v>1017</v>
      </c>
      <c r="D419" s="36"/>
      <c r="E419" s="36" t="s">
        <v>839</v>
      </c>
      <c r="F419" s="36" t="b">
        <v>0</v>
      </c>
      <c r="G419" s="36">
        <v>200</v>
      </c>
      <c r="H419" s="36" t="b">
        <v>1</v>
      </c>
    </row>
    <row r="420" spans="1:9" ht="30" x14ac:dyDescent="0.25">
      <c r="A420" s="54" t="s">
        <v>194</v>
      </c>
      <c r="B420" s="30" t="s">
        <v>127</v>
      </c>
      <c r="C420" s="27" t="s">
        <v>575</v>
      </c>
      <c r="D420" s="27"/>
      <c r="E420" s="27" t="s">
        <v>839</v>
      </c>
      <c r="F420" s="27" t="b">
        <v>0</v>
      </c>
      <c r="G420" s="27">
        <v>200</v>
      </c>
      <c r="H420" s="27" t="b">
        <v>1</v>
      </c>
      <c r="I420" s="33"/>
    </row>
    <row r="421" spans="1:9" ht="30" x14ac:dyDescent="0.25">
      <c r="A421" s="54" t="s">
        <v>194</v>
      </c>
      <c r="B421" s="42" t="s">
        <v>186</v>
      </c>
      <c r="C421" s="36" t="s">
        <v>1011</v>
      </c>
      <c r="D421" s="36"/>
      <c r="E421" s="36" t="s">
        <v>839</v>
      </c>
      <c r="F421" s="36" t="b">
        <v>0</v>
      </c>
      <c r="G421" s="36">
        <v>200</v>
      </c>
      <c r="H421" s="36" t="b">
        <v>1</v>
      </c>
    </row>
    <row r="422" spans="1:9" ht="30" x14ac:dyDescent="0.25">
      <c r="A422" s="54" t="s">
        <v>194</v>
      </c>
      <c r="B422" s="30" t="s">
        <v>973</v>
      </c>
      <c r="C422" s="27" t="s">
        <v>1012</v>
      </c>
      <c r="D422" s="27"/>
      <c r="E422" s="27" t="s">
        <v>839</v>
      </c>
      <c r="F422" s="27" t="b">
        <v>0</v>
      </c>
      <c r="G422" s="27">
        <v>200</v>
      </c>
      <c r="H422" s="27" t="b">
        <v>1</v>
      </c>
      <c r="I422" s="33"/>
    </row>
    <row r="423" spans="1:9" ht="30" x14ac:dyDescent="0.25">
      <c r="A423" s="54" t="s">
        <v>194</v>
      </c>
      <c r="B423" s="42" t="s">
        <v>997</v>
      </c>
      <c r="C423" s="36" t="s">
        <v>1013</v>
      </c>
      <c r="D423" s="36"/>
      <c r="E423" s="36" t="s">
        <v>839</v>
      </c>
      <c r="F423" s="36" t="b">
        <v>0</v>
      </c>
      <c r="G423" s="36">
        <v>200</v>
      </c>
      <c r="H423" s="36" t="b">
        <v>1</v>
      </c>
    </row>
    <row r="424" spans="1:9" ht="30" x14ac:dyDescent="0.25">
      <c r="A424" s="54" t="s">
        <v>194</v>
      </c>
      <c r="B424" s="30" t="s">
        <v>194</v>
      </c>
      <c r="C424" s="27" t="s">
        <v>1014</v>
      </c>
      <c r="D424" s="27"/>
      <c r="E424" s="27" t="s">
        <v>839</v>
      </c>
      <c r="F424" s="27" t="b">
        <v>0</v>
      </c>
      <c r="G424" s="27">
        <v>200</v>
      </c>
      <c r="H424" s="27" t="b">
        <v>1</v>
      </c>
      <c r="I424" s="33"/>
    </row>
    <row r="425" spans="1:9" ht="30" x14ac:dyDescent="0.25">
      <c r="A425" s="54" t="s">
        <v>194</v>
      </c>
      <c r="B425" s="42" t="s">
        <v>1015</v>
      </c>
      <c r="C425" s="36" t="s">
        <v>1016</v>
      </c>
      <c r="D425" s="36"/>
      <c r="E425" s="36" t="s">
        <v>839</v>
      </c>
      <c r="F425" s="36" t="b">
        <v>0</v>
      </c>
      <c r="G425" s="36">
        <v>200</v>
      </c>
      <c r="H425" s="36" t="b">
        <v>1</v>
      </c>
    </row>
    <row r="426" spans="1:9" ht="30" x14ac:dyDescent="0.25">
      <c r="A426" s="54" t="s">
        <v>194</v>
      </c>
      <c r="B426" s="30" t="s">
        <v>995</v>
      </c>
      <c r="C426" s="27" t="s">
        <v>1017</v>
      </c>
      <c r="D426" s="27"/>
      <c r="E426" s="27" t="s">
        <v>839</v>
      </c>
      <c r="F426" s="27" t="b">
        <v>0</v>
      </c>
      <c r="G426" s="27">
        <v>200</v>
      </c>
      <c r="H426" s="27" t="b">
        <v>1</v>
      </c>
      <c r="I426" s="33"/>
    </row>
    <row r="427" spans="1:9" ht="30" x14ac:dyDescent="0.25">
      <c r="A427" s="54" t="s">
        <v>194</v>
      </c>
      <c r="B427" s="42" t="s">
        <v>186</v>
      </c>
      <c r="C427" s="36" t="s">
        <v>1018</v>
      </c>
      <c r="D427" s="36"/>
      <c r="E427" s="36" t="s">
        <v>839</v>
      </c>
      <c r="F427" s="36" t="b">
        <v>0</v>
      </c>
      <c r="G427" s="36">
        <v>200</v>
      </c>
      <c r="H427" s="36" t="b">
        <v>1</v>
      </c>
    </row>
    <row r="428" spans="1:9" ht="30" x14ac:dyDescent="0.25">
      <c r="A428" s="54" t="s">
        <v>194</v>
      </c>
      <c r="B428" s="30" t="s">
        <v>856</v>
      </c>
      <c r="C428" s="27" t="s">
        <v>866</v>
      </c>
      <c r="D428" s="27"/>
      <c r="E428" s="27" t="s">
        <v>839</v>
      </c>
      <c r="F428" s="27" t="b">
        <v>0</v>
      </c>
      <c r="G428" s="27">
        <v>200</v>
      </c>
      <c r="H428" s="27" t="b">
        <v>1</v>
      </c>
      <c r="I428" s="33"/>
    </row>
    <row r="429" spans="1:9" ht="30" x14ac:dyDescent="0.25">
      <c r="A429" s="54" t="s">
        <v>194</v>
      </c>
      <c r="B429" s="42" t="s">
        <v>867</v>
      </c>
      <c r="C429" s="36"/>
      <c r="D429" s="36"/>
      <c r="E429" s="36" t="s">
        <v>863</v>
      </c>
      <c r="F429" s="36" t="b">
        <v>0</v>
      </c>
      <c r="G429" s="36"/>
      <c r="H429" s="36" t="b">
        <v>1</v>
      </c>
    </row>
    <row r="430" spans="1:9" ht="30" x14ac:dyDescent="0.25">
      <c r="A430" s="54" t="s">
        <v>194</v>
      </c>
      <c r="B430" s="30" t="s">
        <v>868</v>
      </c>
      <c r="C430" s="27"/>
      <c r="D430" s="27"/>
      <c r="E430" s="27" t="s">
        <v>863</v>
      </c>
      <c r="F430" s="27" t="b">
        <v>0</v>
      </c>
      <c r="G430" s="27"/>
      <c r="H430" s="27" t="b">
        <v>1</v>
      </c>
      <c r="I430" s="33"/>
    </row>
    <row r="431" spans="1:9" ht="30" x14ac:dyDescent="0.25">
      <c r="A431" s="54" t="s">
        <v>194</v>
      </c>
      <c r="B431" s="42" t="s">
        <v>869</v>
      </c>
      <c r="C431" s="36" t="s">
        <v>870</v>
      </c>
      <c r="D431" s="36"/>
      <c r="E431" s="36" t="s">
        <v>839</v>
      </c>
      <c r="F431" s="36" t="b">
        <v>0</v>
      </c>
      <c r="G431" s="36">
        <v>200</v>
      </c>
      <c r="H431" s="36" t="b">
        <v>1</v>
      </c>
    </row>
    <row r="432" spans="1:9" ht="30" x14ac:dyDescent="0.25">
      <c r="A432" s="54" t="s">
        <v>194</v>
      </c>
      <c r="B432" s="30" t="s">
        <v>871</v>
      </c>
      <c r="C432" s="27" t="s">
        <v>872</v>
      </c>
      <c r="D432" s="27"/>
      <c r="E432" s="27" t="s">
        <v>839</v>
      </c>
      <c r="F432" s="27" t="b">
        <v>0</v>
      </c>
      <c r="G432" s="27">
        <v>404</v>
      </c>
      <c r="H432" s="27" t="b">
        <v>0</v>
      </c>
      <c r="I432" s="33"/>
    </row>
    <row r="433" spans="1:9" ht="30" x14ac:dyDescent="0.25">
      <c r="A433" s="54" t="s">
        <v>194</v>
      </c>
      <c r="B433" s="42" t="s">
        <v>871</v>
      </c>
      <c r="C433" s="36" t="s">
        <v>873</v>
      </c>
      <c r="D433" s="36"/>
      <c r="E433" s="36" t="s">
        <v>839</v>
      </c>
      <c r="F433" s="36" t="b">
        <v>0</v>
      </c>
      <c r="G433" s="36">
        <v>404</v>
      </c>
      <c r="H433" s="36" t="b">
        <v>0</v>
      </c>
    </row>
    <row r="434" spans="1:9" ht="30" x14ac:dyDescent="0.25">
      <c r="A434" s="54" t="s">
        <v>202</v>
      </c>
      <c r="B434" s="30" t="s">
        <v>127</v>
      </c>
      <c r="C434" s="27" t="s">
        <v>575</v>
      </c>
      <c r="D434" s="27"/>
      <c r="E434" s="27" t="s">
        <v>839</v>
      </c>
      <c r="F434" s="27" t="b">
        <v>0</v>
      </c>
      <c r="G434" s="27">
        <v>200</v>
      </c>
      <c r="H434" s="27" t="b">
        <v>1</v>
      </c>
      <c r="I434" s="33"/>
    </row>
    <row r="435" spans="1:9" ht="30" x14ac:dyDescent="0.25">
      <c r="A435" s="54" t="s">
        <v>202</v>
      </c>
      <c r="B435" s="42" t="s">
        <v>186</v>
      </c>
      <c r="C435" s="36" t="s">
        <v>1011</v>
      </c>
      <c r="D435" s="36"/>
      <c r="E435" s="36" t="s">
        <v>839</v>
      </c>
      <c r="F435" s="36" t="b">
        <v>0</v>
      </c>
      <c r="G435" s="36">
        <v>200</v>
      </c>
      <c r="H435" s="36" t="b">
        <v>1</v>
      </c>
    </row>
    <row r="436" spans="1:9" ht="30" x14ac:dyDescent="0.25">
      <c r="A436" s="54" t="s">
        <v>202</v>
      </c>
      <c r="B436" s="30" t="s">
        <v>973</v>
      </c>
      <c r="C436" s="27" t="s">
        <v>1012</v>
      </c>
      <c r="D436" s="27"/>
      <c r="E436" s="27" t="s">
        <v>839</v>
      </c>
      <c r="F436" s="27" t="b">
        <v>0</v>
      </c>
      <c r="G436" s="27">
        <v>200</v>
      </c>
      <c r="H436" s="27" t="b">
        <v>1</v>
      </c>
      <c r="I436" s="33"/>
    </row>
    <row r="437" spans="1:9" ht="30" x14ac:dyDescent="0.25">
      <c r="A437" s="54" t="s">
        <v>202</v>
      </c>
      <c r="B437" s="42" t="s">
        <v>997</v>
      </c>
      <c r="C437" s="36" t="s">
        <v>1013</v>
      </c>
      <c r="D437" s="36"/>
      <c r="E437" s="36" t="s">
        <v>839</v>
      </c>
      <c r="F437" s="36" t="b">
        <v>0</v>
      </c>
      <c r="G437" s="36">
        <v>200</v>
      </c>
      <c r="H437" s="36" t="b">
        <v>1</v>
      </c>
    </row>
    <row r="438" spans="1:9" ht="30" x14ac:dyDescent="0.25">
      <c r="A438" s="54" t="s">
        <v>202</v>
      </c>
      <c r="B438" s="30" t="s">
        <v>194</v>
      </c>
      <c r="C438" s="27" t="s">
        <v>1014</v>
      </c>
      <c r="D438" s="27"/>
      <c r="E438" s="27" t="s">
        <v>839</v>
      </c>
      <c r="F438" s="27" t="b">
        <v>0</v>
      </c>
      <c r="G438" s="27">
        <v>200</v>
      </c>
      <c r="H438" s="27" t="b">
        <v>1</v>
      </c>
      <c r="I438" s="33"/>
    </row>
    <row r="439" spans="1:9" ht="30" x14ac:dyDescent="0.25">
      <c r="A439" s="54" t="s">
        <v>202</v>
      </c>
      <c r="B439" s="42" t="s">
        <v>1015</v>
      </c>
      <c r="C439" s="36" t="s">
        <v>1016</v>
      </c>
      <c r="D439" s="36"/>
      <c r="E439" s="36" t="s">
        <v>839</v>
      </c>
      <c r="F439" s="36" t="b">
        <v>0</v>
      </c>
      <c r="G439" s="36">
        <v>200</v>
      </c>
      <c r="H439" s="36" t="b">
        <v>1</v>
      </c>
    </row>
    <row r="440" spans="1:9" ht="30" x14ac:dyDescent="0.25">
      <c r="A440" s="54" t="s">
        <v>202</v>
      </c>
      <c r="B440" s="30" t="s">
        <v>995</v>
      </c>
      <c r="C440" s="27" t="s">
        <v>1017</v>
      </c>
      <c r="D440" s="27"/>
      <c r="E440" s="27" t="s">
        <v>839</v>
      </c>
      <c r="F440" s="27" t="b">
        <v>0</v>
      </c>
      <c r="G440" s="27">
        <v>200</v>
      </c>
      <c r="H440" s="27" t="b">
        <v>1</v>
      </c>
      <c r="I440" s="33"/>
    </row>
    <row r="441" spans="1:9" ht="30" x14ac:dyDescent="0.25">
      <c r="A441" s="54" t="s">
        <v>202</v>
      </c>
      <c r="B441" s="42" t="s">
        <v>127</v>
      </c>
      <c r="C441" s="36" t="s">
        <v>575</v>
      </c>
      <c r="D441" s="36"/>
      <c r="E441" s="36" t="s">
        <v>839</v>
      </c>
      <c r="F441" s="36" t="b">
        <v>0</v>
      </c>
      <c r="G441" s="36">
        <v>200</v>
      </c>
      <c r="H441" s="36" t="b">
        <v>1</v>
      </c>
    </row>
    <row r="442" spans="1:9" ht="30" x14ac:dyDescent="0.25">
      <c r="A442" s="54" t="s">
        <v>202</v>
      </c>
      <c r="B442" s="30" t="s">
        <v>186</v>
      </c>
      <c r="C442" s="27" t="s">
        <v>1011</v>
      </c>
      <c r="D442" s="27"/>
      <c r="E442" s="27" t="s">
        <v>839</v>
      </c>
      <c r="F442" s="27" t="b">
        <v>0</v>
      </c>
      <c r="G442" s="27">
        <v>200</v>
      </c>
      <c r="H442" s="27" t="b">
        <v>1</v>
      </c>
      <c r="I442" s="33"/>
    </row>
    <row r="443" spans="1:9" ht="30" x14ac:dyDescent="0.25">
      <c r="A443" s="54" t="s">
        <v>202</v>
      </c>
      <c r="B443" s="42" t="s">
        <v>973</v>
      </c>
      <c r="C443" s="36" t="s">
        <v>1012</v>
      </c>
      <c r="D443" s="36"/>
      <c r="E443" s="36" t="s">
        <v>839</v>
      </c>
      <c r="F443" s="36" t="b">
        <v>0</v>
      </c>
      <c r="G443" s="36">
        <v>200</v>
      </c>
      <c r="H443" s="36" t="b">
        <v>1</v>
      </c>
    </row>
    <row r="444" spans="1:9" ht="30" x14ac:dyDescent="0.25">
      <c r="A444" s="54" t="s">
        <v>202</v>
      </c>
      <c r="B444" s="30" t="s">
        <v>997</v>
      </c>
      <c r="C444" s="27" t="s">
        <v>1013</v>
      </c>
      <c r="D444" s="27"/>
      <c r="E444" s="27" t="s">
        <v>839</v>
      </c>
      <c r="F444" s="27" t="b">
        <v>0</v>
      </c>
      <c r="G444" s="27">
        <v>200</v>
      </c>
      <c r="H444" s="27" t="b">
        <v>1</v>
      </c>
      <c r="I444" s="33"/>
    </row>
    <row r="445" spans="1:9" ht="30" x14ac:dyDescent="0.25">
      <c r="A445" s="54" t="s">
        <v>202</v>
      </c>
      <c r="B445" s="42" t="s">
        <v>194</v>
      </c>
      <c r="C445" s="36" t="s">
        <v>1014</v>
      </c>
      <c r="D445" s="36"/>
      <c r="E445" s="36" t="s">
        <v>839</v>
      </c>
      <c r="F445" s="36" t="b">
        <v>0</v>
      </c>
      <c r="G445" s="36">
        <v>200</v>
      </c>
      <c r="H445" s="36" t="b">
        <v>1</v>
      </c>
    </row>
    <row r="446" spans="1:9" ht="30" x14ac:dyDescent="0.25">
      <c r="A446" s="54" t="s">
        <v>202</v>
      </c>
      <c r="B446" s="30" t="s">
        <v>1015</v>
      </c>
      <c r="C446" s="27" t="s">
        <v>1016</v>
      </c>
      <c r="D446" s="27"/>
      <c r="E446" s="27" t="s">
        <v>839</v>
      </c>
      <c r="F446" s="27" t="b">
        <v>0</v>
      </c>
      <c r="G446" s="27">
        <v>200</v>
      </c>
      <c r="H446" s="27" t="b">
        <v>1</v>
      </c>
      <c r="I446" s="33"/>
    </row>
    <row r="447" spans="1:9" ht="30" x14ac:dyDescent="0.25">
      <c r="A447" s="54" t="s">
        <v>202</v>
      </c>
      <c r="B447" s="42" t="s">
        <v>995</v>
      </c>
      <c r="C447" s="36" t="s">
        <v>1017</v>
      </c>
      <c r="D447" s="36"/>
      <c r="E447" s="36" t="s">
        <v>839</v>
      </c>
      <c r="F447" s="36" t="b">
        <v>0</v>
      </c>
      <c r="G447" s="36">
        <v>200</v>
      </c>
      <c r="H447" s="36" t="b">
        <v>1</v>
      </c>
    </row>
    <row r="448" spans="1:9" ht="30" x14ac:dyDescent="0.25">
      <c r="A448" s="54" t="s">
        <v>202</v>
      </c>
      <c r="B448" s="30" t="s">
        <v>186</v>
      </c>
      <c r="C448" s="27" t="s">
        <v>1018</v>
      </c>
      <c r="D448" s="27"/>
      <c r="E448" s="27" t="s">
        <v>839</v>
      </c>
      <c r="F448" s="27" t="b">
        <v>0</v>
      </c>
      <c r="G448" s="27">
        <v>200</v>
      </c>
      <c r="H448" s="27" t="b">
        <v>1</v>
      </c>
      <c r="I448" s="33"/>
    </row>
    <row r="449" spans="1:9" ht="30" x14ac:dyDescent="0.25">
      <c r="A449" s="54" t="s">
        <v>202</v>
      </c>
      <c r="B449" s="42" t="s">
        <v>856</v>
      </c>
      <c r="C449" s="36" t="s">
        <v>866</v>
      </c>
      <c r="D449" s="36"/>
      <c r="E449" s="36" t="s">
        <v>839</v>
      </c>
      <c r="F449" s="36" t="b">
        <v>0</v>
      </c>
      <c r="G449" s="36">
        <v>200</v>
      </c>
      <c r="H449" s="36" t="b">
        <v>1</v>
      </c>
    </row>
    <row r="450" spans="1:9" ht="30" x14ac:dyDescent="0.25">
      <c r="A450" s="54" t="s">
        <v>202</v>
      </c>
      <c r="B450" s="30" t="s">
        <v>867</v>
      </c>
      <c r="C450" s="27"/>
      <c r="D450" s="27"/>
      <c r="E450" s="27" t="s">
        <v>863</v>
      </c>
      <c r="F450" s="27" t="b">
        <v>0</v>
      </c>
      <c r="G450" s="27"/>
      <c r="H450" s="27" t="b">
        <v>1</v>
      </c>
      <c r="I450" s="33"/>
    </row>
    <row r="451" spans="1:9" ht="30" x14ac:dyDescent="0.25">
      <c r="A451" s="54" t="s">
        <v>202</v>
      </c>
      <c r="B451" s="42" t="s">
        <v>868</v>
      </c>
      <c r="C451" s="36"/>
      <c r="D451" s="36"/>
      <c r="E451" s="36" t="s">
        <v>863</v>
      </c>
      <c r="F451" s="36" t="b">
        <v>0</v>
      </c>
      <c r="G451" s="36"/>
      <c r="H451" s="36" t="b">
        <v>1</v>
      </c>
    </row>
    <row r="452" spans="1:9" ht="30" x14ac:dyDescent="0.25">
      <c r="A452" s="54" t="s">
        <v>202</v>
      </c>
      <c r="B452" s="30" t="s">
        <v>869</v>
      </c>
      <c r="C452" s="27" t="s">
        <v>870</v>
      </c>
      <c r="D452" s="27"/>
      <c r="E452" s="27" t="s">
        <v>839</v>
      </c>
      <c r="F452" s="27" t="b">
        <v>0</v>
      </c>
      <c r="G452" s="27">
        <v>200</v>
      </c>
      <c r="H452" s="27" t="b">
        <v>1</v>
      </c>
      <c r="I452" s="33"/>
    </row>
    <row r="453" spans="1:9" ht="30" x14ac:dyDescent="0.25">
      <c r="A453" s="54" t="s">
        <v>202</v>
      </c>
      <c r="B453" s="42" t="s">
        <v>871</v>
      </c>
      <c r="C453" s="36" t="s">
        <v>872</v>
      </c>
      <c r="D453" s="36"/>
      <c r="E453" s="36" t="s">
        <v>839</v>
      </c>
      <c r="F453" s="36" t="b">
        <v>0</v>
      </c>
      <c r="G453" s="36">
        <v>404</v>
      </c>
      <c r="H453" s="36" t="b">
        <v>0</v>
      </c>
    </row>
    <row r="454" spans="1:9" ht="30" x14ac:dyDescent="0.25">
      <c r="A454" s="54" t="s">
        <v>202</v>
      </c>
      <c r="B454" s="30" t="s">
        <v>871</v>
      </c>
      <c r="C454" s="27" t="s">
        <v>873</v>
      </c>
      <c r="D454" s="27"/>
      <c r="E454" s="27" t="s">
        <v>839</v>
      </c>
      <c r="F454" s="27" t="b">
        <v>0</v>
      </c>
      <c r="G454" s="27">
        <v>404</v>
      </c>
      <c r="H454" s="27" t="b">
        <v>0</v>
      </c>
      <c r="I454" s="33"/>
    </row>
  </sheetData>
  <autoFilter ref="A1:I454" xr:uid="{00000000-0009-0000-0000-000011000000}"/>
  <conditionalFormatting sqref="G2:G454">
    <cfRule type="cellIs" dxfId="17" priority="1" operator="equal">
      <formula>200</formula>
    </cfRule>
    <cfRule type="cellIs" dxfId="16" priority="2" operator="between">
      <formula>300</formula>
      <formula>399</formula>
    </cfRule>
    <cfRule type="cellIs" dxfId="15" priority="3" operator="greaterThanOrEqual">
      <formula>400</formula>
    </cfRule>
  </conditionalFormatting>
  <dataValidations count="9">
    <dataValidation type="custom" allowBlank="1" showInputMessage="1" promptTitle="Source URL" prompt="Source URL. Use this URL to inspect the page directly or jump to related tabs." sqref="A1" xr:uid="{00000000-0002-0000-1100-000000000000}">
      <formula1>TRUE</formula1>
    </dataValidation>
    <dataValidation type="custom" allowBlank="1" showInputMessage="1" promptTitle="Target URL" prompt="Target URL. Use this URL to inspect the page directly or jump to related tabs." sqref="B1" xr:uid="{00000000-0002-0000-1100-000001000000}">
      <formula1>TRUE</formula1>
    </dataValidation>
    <dataValidation type="custom" allowBlank="1" showInputMessage="1" promptTitle="Anchor Text" prompt="Link quality and crawl-path metric. Fix: repair broken links and improve internal linking relevance." sqref="C1" xr:uid="{00000000-0002-0000-1100-000002000000}">
      <formula1>TRUE</formula1>
    </dataValidation>
    <dataValidation type="custom" allowBlank="1" showInputMessage="1" promptTitle="Rel" prompt="Rel. Review this metric to identify risk, then use linked tabs for details and remediation." sqref="D1" xr:uid="{00000000-0002-0000-1100-000003000000}">
      <formula1>TRUE</formula1>
    </dataValidation>
    <dataValidation type="custom" allowBlank="1" showInputMessage="1" promptTitle="Link Type" prompt="Link quality and crawl-path metric. Fix: repair broken links and improve internal linking relevance." sqref="E1" xr:uid="{00000000-0002-0000-1100-000004000000}">
      <formula1>TRUE</formula1>
    </dataValidation>
    <dataValidation type="custom" allowBlank="1" showInputMessage="1" promptTitle="Nofollow" prompt="Nofollow. Review this metric to identify risk, then use linked tabs for details and remediation." sqref="F1" xr:uid="{00000000-0002-0000-1100-000005000000}">
      <formula1>TRUE</formula1>
    </dataValidation>
    <dataValidation type="custom" allowBlank="1" showInputMessage="1" promptTitle="Target Status (if crawled)" prompt="Target Status (if crawled). Review this metric to identify risk, then use linked tabs for details and remediation." sqref="G1" xr:uid="{00000000-0002-0000-1100-000006000000}">
      <formula1>TRUE</formula1>
    </dataValidation>
    <dataValidation type="custom" allowBlank="1" showInputMessage="1" promptTitle="Crawlable" prompt="Crawlable. Review this metric to identify risk, then use linked tabs for details and remediation." sqref="H1" xr:uid="{00000000-0002-0000-1100-000007000000}">
      <formula1>TRUE</formula1>
    </dataValidation>
    <dataValidation type="custom" allowBlank="1" showInputMessage="1" promptTitle="BACK TO DASHBOARD" prompt="BACK TO DASHBOARD. Review this metric to identify risk, then use linked tabs for details and remediation." sqref="I1" xr:uid="{00000000-0002-0000-1100-000008000000}">
      <formula1>TRUE</formula1>
    </dataValidation>
  </dataValidations>
  <hyperlinks>
    <hyperlink ref="I1" location="Dashboard!A1" display="BACK TO DASHBOARD" xr:uid="{00000000-0004-0000-1100-000000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3" width="60" customWidth="1"/>
    <col min="4" max="4" width="20" customWidth="1"/>
    <col min="5" max="5" width="24" customWidth="1"/>
    <col min="6" max="6" width="39" customWidth="1"/>
    <col min="7" max="7" width="26" customWidth="1"/>
    <col min="8" max="9" width="31" customWidth="1"/>
    <col min="10" max="10" width="24" customWidth="1"/>
  </cols>
  <sheetData>
    <row r="1" spans="1:12" ht="45" x14ac:dyDescent="0.25">
      <c r="A1" s="26" t="s">
        <v>102</v>
      </c>
      <c r="B1" s="26" t="s">
        <v>1019</v>
      </c>
      <c r="C1" s="26" t="s">
        <v>1020</v>
      </c>
      <c r="D1" s="26" t="s">
        <v>1021</v>
      </c>
      <c r="E1" s="26" t="s">
        <v>656</v>
      </c>
      <c r="F1" s="26" t="s">
        <v>1022</v>
      </c>
      <c r="G1" s="26" t="s">
        <v>1023</v>
      </c>
      <c r="H1" s="26" t="s">
        <v>357</v>
      </c>
      <c r="I1" s="26" t="s">
        <v>1024</v>
      </c>
      <c r="J1" s="26" t="s">
        <v>1025</v>
      </c>
      <c r="K1" s="26" t="s">
        <v>122</v>
      </c>
      <c r="L1" s="35" t="s">
        <v>211</v>
      </c>
    </row>
    <row r="2" spans="1:12" ht="30" customHeight="1" x14ac:dyDescent="0.25">
      <c r="A2" s="32" t="s">
        <v>144</v>
      </c>
      <c r="B2" s="27">
        <v>40</v>
      </c>
      <c r="C2" s="30" t="s">
        <v>1026</v>
      </c>
      <c r="D2" s="27">
        <v>9</v>
      </c>
      <c r="E2" s="60">
        <v>77.5</v>
      </c>
      <c r="F2" s="27" t="s">
        <v>1027</v>
      </c>
      <c r="G2" s="27">
        <v>0</v>
      </c>
      <c r="H2" s="34">
        <v>0</v>
      </c>
      <c r="I2" s="61"/>
      <c r="J2" s="34" t="b">
        <v>0</v>
      </c>
      <c r="K2" s="33" t="str">
        <f>IFERROR(HYPERLINK("#Main!A"&amp;MATCH(A2,Main!A:A,0),"Open"),HYPERLINK("#Main!A1","Open"))</f>
        <v>Open</v>
      </c>
      <c r="L2" s="33"/>
    </row>
    <row r="3" spans="1:12" ht="409.5" x14ac:dyDescent="0.25">
      <c r="A3" s="29" t="s">
        <v>127</v>
      </c>
      <c r="B3" s="36">
        <v>62</v>
      </c>
      <c r="C3" s="42" t="s">
        <v>1028</v>
      </c>
      <c r="D3" s="36">
        <v>13</v>
      </c>
      <c r="E3" s="60">
        <v>79.03</v>
      </c>
      <c r="F3" s="36" t="s">
        <v>1029</v>
      </c>
      <c r="G3" s="36">
        <v>0</v>
      </c>
      <c r="H3" s="34">
        <v>0</v>
      </c>
      <c r="I3" s="62"/>
      <c r="J3" s="34" t="b">
        <v>0</v>
      </c>
      <c r="K3" t="str">
        <f>IFERROR(HYPERLINK("#Main!A"&amp;MATCH(A3,Main!A:A,0),"Open"),HYPERLINK("#Main!A1","Open"))</f>
        <v>Open</v>
      </c>
    </row>
    <row r="4" spans="1:12" ht="30" customHeight="1" x14ac:dyDescent="0.25">
      <c r="A4" s="32" t="s">
        <v>135</v>
      </c>
      <c r="B4" s="27">
        <v>44</v>
      </c>
      <c r="C4" s="30" t="s">
        <v>1030</v>
      </c>
      <c r="D4" s="27">
        <v>12</v>
      </c>
      <c r="E4" s="60">
        <v>72.73</v>
      </c>
      <c r="F4" s="27" t="s">
        <v>1031</v>
      </c>
      <c r="G4" s="27">
        <v>0</v>
      </c>
      <c r="H4" s="34">
        <v>0</v>
      </c>
      <c r="I4" s="61"/>
      <c r="J4" s="34" t="b">
        <v>0</v>
      </c>
      <c r="K4" s="33" t="str">
        <f>IFERROR(HYPERLINK("#Main!A"&amp;MATCH(A4,Main!A:A,0),"Open"),HYPERLINK("#Main!A1","Open"))</f>
        <v>Open</v>
      </c>
      <c r="L4" s="33"/>
    </row>
    <row r="5" spans="1:12" ht="30" customHeight="1" x14ac:dyDescent="0.25">
      <c r="A5" s="29" t="s">
        <v>152</v>
      </c>
      <c r="B5" s="36">
        <v>93</v>
      </c>
      <c r="C5" s="42" t="s">
        <v>1032</v>
      </c>
      <c r="D5" s="36">
        <v>25</v>
      </c>
      <c r="E5" s="60">
        <v>73.12</v>
      </c>
      <c r="F5" s="36" t="s">
        <v>1033</v>
      </c>
      <c r="G5" s="36">
        <v>0</v>
      </c>
      <c r="H5" s="34">
        <v>0</v>
      </c>
      <c r="I5" s="62"/>
      <c r="J5" s="34" t="b">
        <v>0</v>
      </c>
      <c r="K5" t="str">
        <f>IFERROR(HYPERLINK("#Main!A"&amp;MATCH(A5,Main!A:A,0),"Open"),HYPERLINK("#Main!A1","Open"))</f>
        <v>Open</v>
      </c>
    </row>
    <row r="6" spans="1:12" ht="30" customHeight="1" x14ac:dyDescent="0.25">
      <c r="A6" s="32" t="s">
        <v>169</v>
      </c>
      <c r="B6" s="27">
        <v>23</v>
      </c>
      <c r="C6" s="30" t="s">
        <v>1034</v>
      </c>
      <c r="D6" s="27">
        <v>8</v>
      </c>
      <c r="E6" s="60">
        <v>65.22</v>
      </c>
      <c r="F6" s="27" t="s">
        <v>1035</v>
      </c>
      <c r="G6" s="27">
        <v>0</v>
      </c>
      <c r="H6" s="34">
        <v>0</v>
      </c>
      <c r="I6" s="61"/>
      <c r="J6" s="34" t="b">
        <v>0</v>
      </c>
      <c r="K6" s="33" t="str">
        <f>IFERROR(HYPERLINK("#Main!A"&amp;MATCH(A6,Main!A:A,0),"Open"),HYPERLINK("#Main!A1","Open"))</f>
        <v>Open</v>
      </c>
      <c r="L6" s="33"/>
    </row>
    <row r="7" spans="1:12" ht="30" customHeight="1" x14ac:dyDescent="0.25">
      <c r="A7" s="29" t="s">
        <v>161</v>
      </c>
      <c r="B7" s="36">
        <v>28</v>
      </c>
      <c r="C7" s="42" t="s">
        <v>1036</v>
      </c>
      <c r="D7" s="36">
        <v>13</v>
      </c>
      <c r="E7" s="60">
        <v>53.57</v>
      </c>
      <c r="F7" s="36" t="s">
        <v>1037</v>
      </c>
      <c r="G7" s="36">
        <v>0</v>
      </c>
      <c r="H7" s="34">
        <v>0</v>
      </c>
      <c r="I7" s="62"/>
      <c r="J7" s="34" t="b">
        <v>0</v>
      </c>
      <c r="K7" t="str">
        <f>IFERROR(HYPERLINK("#Main!A"&amp;MATCH(A7,Main!A:A,0),"Open"),HYPERLINK("#Main!A1","Open"))</f>
        <v>Open</v>
      </c>
    </row>
    <row r="8" spans="1:12" ht="30" customHeight="1" x14ac:dyDescent="0.25">
      <c r="A8" s="32" t="s">
        <v>177</v>
      </c>
      <c r="B8" s="27">
        <v>30</v>
      </c>
      <c r="C8" s="30" t="s">
        <v>1038</v>
      </c>
      <c r="D8" s="27">
        <v>15</v>
      </c>
      <c r="E8" s="60">
        <v>50</v>
      </c>
      <c r="F8" s="27" t="s">
        <v>1039</v>
      </c>
      <c r="G8" s="27">
        <v>0</v>
      </c>
      <c r="H8" s="34">
        <v>0</v>
      </c>
      <c r="I8" s="61"/>
      <c r="J8" s="34" t="b">
        <v>0</v>
      </c>
      <c r="K8" s="33" t="str">
        <f>IFERROR(HYPERLINK("#Main!A"&amp;MATCH(A8,Main!A:A,0),"Open"),HYPERLINK("#Main!A1","Open"))</f>
        <v>Open</v>
      </c>
      <c r="L8" s="33"/>
    </row>
    <row r="9" spans="1:12" ht="30" customHeight="1" x14ac:dyDescent="0.25">
      <c r="A9" s="29" t="s">
        <v>186</v>
      </c>
      <c r="B9" s="36">
        <v>56</v>
      </c>
      <c r="C9" s="42" t="s">
        <v>1040</v>
      </c>
      <c r="D9" s="36">
        <v>37</v>
      </c>
      <c r="E9" s="60">
        <v>33.93</v>
      </c>
      <c r="F9" s="36" t="s">
        <v>1041</v>
      </c>
      <c r="G9" s="36">
        <v>0</v>
      </c>
      <c r="H9" s="34">
        <v>0</v>
      </c>
      <c r="I9" s="62"/>
      <c r="J9" s="34" t="b">
        <v>0</v>
      </c>
      <c r="K9" t="str">
        <f>IFERROR(HYPERLINK("#Main!A"&amp;MATCH(A9,Main!A:A,0),"Open"),HYPERLINK("#Main!A1","Open"))</f>
        <v>Open</v>
      </c>
    </row>
    <row r="10" spans="1:12" ht="30" customHeight="1" x14ac:dyDescent="0.25">
      <c r="A10" s="32" t="s">
        <v>194</v>
      </c>
      <c r="B10" s="27">
        <v>25</v>
      </c>
      <c r="C10" s="30" t="s">
        <v>1042</v>
      </c>
      <c r="D10" s="27">
        <v>7</v>
      </c>
      <c r="E10" s="60">
        <v>72</v>
      </c>
      <c r="F10" s="27" t="s">
        <v>1043</v>
      </c>
      <c r="G10" s="27">
        <v>0</v>
      </c>
      <c r="H10" s="34">
        <v>0</v>
      </c>
      <c r="I10" s="61"/>
      <c r="J10" s="34" t="b">
        <v>0</v>
      </c>
      <c r="K10" s="33" t="str">
        <f>IFERROR(HYPERLINK("#Main!A"&amp;MATCH(A10,Main!A:A,0),"Open"),HYPERLINK("#Main!A1","Open"))</f>
        <v>Open</v>
      </c>
      <c r="L10" s="33"/>
    </row>
    <row r="11" spans="1:12" ht="30" customHeight="1" x14ac:dyDescent="0.25">
      <c r="A11" s="29" t="s">
        <v>202</v>
      </c>
      <c r="B11" s="36">
        <v>20</v>
      </c>
      <c r="C11" s="42" t="s">
        <v>1044</v>
      </c>
      <c r="D11" s="36">
        <v>5</v>
      </c>
      <c r="E11" s="60">
        <v>75</v>
      </c>
      <c r="F11" s="36" t="s">
        <v>1045</v>
      </c>
      <c r="G11" s="36">
        <v>0</v>
      </c>
      <c r="H11" s="34">
        <v>0</v>
      </c>
      <c r="I11" s="62"/>
      <c r="J11" s="34" t="b">
        <v>0</v>
      </c>
      <c r="K11" t="str">
        <f>IFERROR(HYPERLINK("#Main!A"&amp;MATCH(A11,Main!A:A,0),"Open"),HYPERLINK("#Main!A1","Open"))</f>
        <v>Open</v>
      </c>
    </row>
  </sheetData>
  <autoFilter ref="A1:L11" xr:uid="{00000000-0009-0000-0000-000012000000}"/>
  <dataValidations count="12">
    <dataValidation type="custom" allowBlank="1" showInputMessage="1" promptTitle="URL" prompt="URL. Use this URL to inspect the page directly or jump to related tabs." sqref="A1" xr:uid="{00000000-0002-0000-1200-000000000000}">
      <formula1>TRUE</formula1>
    </dataValidation>
    <dataValidation type="custom" allowBlank="1" showInputMessage="1" promptTitle="Image Count" prompt="Image Count. Review this metric to identify risk, then use linked tabs for details and remediation." sqref="B1" xr:uid="{00000000-0002-0000-1200-000001000000}">
      <formula1>TRUE</formula1>
    </dataValidation>
    <dataValidation type="custom" allowBlank="1" showInputMessage="1" promptTitle="Images" prompt="Images. Review this metric to identify risk, then use linked tabs for details and remediation." sqref="C1" xr:uid="{00000000-0002-0000-1200-000002000000}">
      <formula1>TRUE</formula1>
    </dataValidation>
    <dataValidation type="custom" allowBlank="1" showInputMessage="1" promptTitle="Images Missing Alt" prompt="Images Missing Alt. Review this metric to identify risk, then use linked tabs for details and remediation." sqref="D1" xr:uid="{00000000-0002-0000-1200-000003000000}">
      <formula1>TRUE</formula1>
    </dataValidation>
    <dataValidation type="custom" allowBlank="1" showInputMessage="1" promptTitle="Image Alt Coverage (%)" prompt="Image Alt Coverage (%). Review this metric to identify risk, then use linked tabs for details and remediation." sqref="E1" xr:uid="{00000000-0002-0000-1200-000004000000}">
      <formula1>TRUE</formula1>
    </dataValidation>
    <dataValidation type="custom" allowBlank="1" showInputMessage="1" promptTitle="Image Extension Distribution" prompt="Image Extension Distribution. Review this metric to identify risk, then use linked tabs for details and remediation." sqref="F1" xr:uid="{00000000-0002-0000-1200-000005000000}">
      <formula1>TRUE</formula1>
    </dataValidation>
    <dataValidation type="custom" allowBlank="1" showInputMessage="1" promptTitle="Likely Large Image Count" prompt="Likely Large Image Count. Review this metric to identify risk, then use linked tabs for details and remediation." sqref="G1" xr:uid="{00000000-0002-0000-1200-000006000000}">
      <formula1>TRUE</formula1>
    </dataValidation>
    <dataValidation type="custom" allowBlank="1" showInputMessage="1" promptTitle="Image Filename Quality Issues" prompt="Image Filename Quality Issues. Review this metric to identify risk, then use linked tabs for details and remediation." sqref="H1" xr:uid="{00000000-0002-0000-1200-000007000000}">
      <formula1>TRUE</formula1>
    </dataValidation>
    <dataValidation type="custom" allowBlank="1" showInputMessage="1" promptTitle="Image On Canonical Domain (%)" prompt="Indexing/canonicalization signal. Fix: ensure indexable pages use correct canonicals and non-conflicting directives." sqref="I1" xr:uid="{00000000-0002-0000-1200-000008000000}">
      <formula1>TRUE</formula1>
    </dataValidation>
    <dataValidation type="custom" allowBlank="1" showInputMessage="1" promptTitle="Mixed Content Detected" prompt="Mixed Content Detected. Review this metric to identify risk, then use linked tabs for details and remediation." sqref="J1" xr:uid="{00000000-0002-0000-1200-000009000000}">
      <formula1>TRUE</formula1>
    </dataValidation>
    <dataValidation type="custom" allowBlank="1" showInputMessage="1" promptTitle="Open in Main" prompt="Navigation helper. Click to jump directly to the related record in another tab." sqref="K1" xr:uid="{00000000-0002-0000-1200-00000A000000}">
      <formula1>TRUE</formula1>
    </dataValidation>
    <dataValidation type="custom" allowBlank="1" showInputMessage="1" promptTitle="BACK TO DASHBOARD" prompt="BACK TO DASHBOARD. Review this metric to identify risk, then use linked tabs for details and remediation." sqref="L1" xr:uid="{00000000-0002-0000-1200-00000B000000}">
      <formula1>TRUE</formula1>
    </dataValidation>
  </dataValidations>
  <hyperlinks>
    <hyperlink ref="L1" location="Dashboard!A1" display="BACK TO DASHBOARD" xr:uid="{00000000-0004-0000-1200-000000000000}"/>
    <hyperlink ref="A2" r:id="rId1" xr:uid="{00000000-0004-0000-1200-000001000000}"/>
    <hyperlink ref="A3" r:id="rId2" xr:uid="{00000000-0004-0000-1200-000002000000}"/>
    <hyperlink ref="A4" r:id="rId3" xr:uid="{00000000-0004-0000-1200-000003000000}"/>
    <hyperlink ref="A5" r:id="rId4" xr:uid="{00000000-0004-0000-1200-000004000000}"/>
    <hyperlink ref="A6" r:id="rId5" xr:uid="{00000000-0004-0000-1200-000005000000}"/>
    <hyperlink ref="A7" r:id="rId6" xr:uid="{00000000-0004-0000-1200-000006000000}"/>
    <hyperlink ref="A8" r:id="rId7" xr:uid="{00000000-0004-0000-1200-000007000000}"/>
    <hyperlink ref="A9" r:id="rId8" xr:uid="{00000000-0004-0000-1200-000008000000}"/>
    <hyperlink ref="A10" r:id="rId9" xr:uid="{00000000-0004-0000-1200-000009000000}"/>
    <hyperlink ref="A11" r:id="rId10" xr:uid="{00000000-0004-0000-1200-00000A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34" customWidth="1"/>
    <col min="4" max="4" width="22" customWidth="1"/>
    <col min="5" max="5" width="21" customWidth="1"/>
  </cols>
  <sheetData>
    <row r="1" spans="1:7" ht="45" x14ac:dyDescent="0.25">
      <c r="A1" s="26" t="s">
        <v>102</v>
      </c>
      <c r="B1" s="26" t="s">
        <v>1046</v>
      </c>
      <c r="C1" s="26" t="s">
        <v>1047</v>
      </c>
      <c r="D1" s="26" t="s">
        <v>1048</v>
      </c>
      <c r="E1" s="26" t="s">
        <v>1049</v>
      </c>
      <c r="F1" s="26" t="s">
        <v>122</v>
      </c>
      <c r="G1" s="35" t="s">
        <v>211</v>
      </c>
    </row>
    <row r="2" spans="1:7" ht="30" customHeight="1" x14ac:dyDescent="0.25">
      <c r="A2" s="32" t="s">
        <v>144</v>
      </c>
      <c r="B2" s="27">
        <v>1</v>
      </c>
      <c r="C2" s="27">
        <v>1</v>
      </c>
      <c r="D2" s="30"/>
      <c r="E2" s="30"/>
      <c r="F2" s="33" t="str">
        <f>IFERROR(HYPERLINK("#Main!A"&amp;MATCH(A2,Main!A:A,0),"Open"),HYPERLINK("#Main!A1","Open"))</f>
        <v>Open</v>
      </c>
      <c r="G2" s="33"/>
    </row>
    <row r="3" spans="1:7" ht="15.75" x14ac:dyDescent="0.25">
      <c r="A3" s="29" t="s">
        <v>127</v>
      </c>
      <c r="B3" s="36">
        <v>1</v>
      </c>
      <c r="C3" s="36">
        <v>1</v>
      </c>
      <c r="D3" s="42"/>
      <c r="E3" s="42"/>
      <c r="F3" t="str">
        <f>IFERROR(HYPERLINK("#Main!A"&amp;MATCH(A3,Main!A:A,0),"Open"),HYPERLINK("#Main!A1","Open"))</f>
        <v>Open</v>
      </c>
    </row>
    <row r="4" spans="1:7" ht="30" customHeight="1" x14ac:dyDescent="0.25">
      <c r="A4" s="32" t="s">
        <v>135</v>
      </c>
      <c r="B4" s="27">
        <v>1</v>
      </c>
      <c r="C4" s="27">
        <v>1</v>
      </c>
      <c r="D4" s="30"/>
      <c r="E4" s="30"/>
      <c r="F4" s="33" t="str">
        <f>IFERROR(HYPERLINK("#Main!A"&amp;MATCH(A4,Main!A:A,0),"Open"),HYPERLINK("#Main!A1","Open"))</f>
        <v>Open</v>
      </c>
      <c r="G4" s="33"/>
    </row>
    <row r="5" spans="1:7" ht="30" customHeight="1" x14ac:dyDescent="0.25">
      <c r="A5" s="29" t="s">
        <v>152</v>
      </c>
      <c r="B5" s="36">
        <v>1</v>
      </c>
      <c r="C5" s="36">
        <v>1</v>
      </c>
      <c r="D5" s="42"/>
      <c r="E5" s="42"/>
      <c r="F5" t="str">
        <f>IFERROR(HYPERLINK("#Main!A"&amp;MATCH(A5,Main!A:A,0),"Open"),HYPERLINK("#Main!A1","Open"))</f>
        <v>Open</v>
      </c>
    </row>
    <row r="6" spans="1:7" ht="30" customHeight="1" x14ac:dyDescent="0.25">
      <c r="A6" s="32" t="s">
        <v>169</v>
      </c>
      <c r="B6" s="27">
        <v>1</v>
      </c>
      <c r="C6" s="27">
        <v>1</v>
      </c>
      <c r="D6" s="30"/>
      <c r="E6" s="30"/>
      <c r="F6" s="33" t="str">
        <f>IFERROR(HYPERLINK("#Main!A"&amp;MATCH(A6,Main!A:A,0),"Open"),HYPERLINK("#Main!A1","Open"))</f>
        <v>Open</v>
      </c>
      <c r="G6" s="33"/>
    </row>
    <row r="7" spans="1:7" ht="30" customHeight="1" x14ac:dyDescent="0.25">
      <c r="A7" s="29" t="s">
        <v>161</v>
      </c>
      <c r="B7" s="36">
        <v>1</v>
      </c>
      <c r="C7" s="36">
        <v>1</v>
      </c>
      <c r="D7" s="42"/>
      <c r="E7" s="42"/>
      <c r="F7" t="str">
        <f>IFERROR(HYPERLINK("#Main!A"&amp;MATCH(A7,Main!A:A,0),"Open"),HYPERLINK("#Main!A1","Open"))</f>
        <v>Open</v>
      </c>
    </row>
    <row r="8" spans="1:7" ht="30" customHeight="1" x14ac:dyDescent="0.25">
      <c r="A8" s="32" t="s">
        <v>177</v>
      </c>
      <c r="B8" s="27">
        <v>1</v>
      </c>
      <c r="C8" s="27">
        <v>1</v>
      </c>
      <c r="D8" s="30"/>
      <c r="E8" s="30"/>
      <c r="F8" s="33" t="str">
        <f>IFERROR(HYPERLINK("#Main!A"&amp;MATCH(A8,Main!A:A,0),"Open"),HYPERLINK("#Main!A1","Open"))</f>
        <v>Open</v>
      </c>
      <c r="G8" s="33"/>
    </row>
    <row r="9" spans="1:7" ht="30" customHeight="1" x14ac:dyDescent="0.25">
      <c r="A9" s="29" t="s">
        <v>186</v>
      </c>
      <c r="B9" s="36">
        <v>1</v>
      </c>
      <c r="C9" s="36">
        <v>1</v>
      </c>
      <c r="D9" s="42"/>
      <c r="E9" s="42"/>
      <c r="F9" t="str">
        <f>IFERROR(HYPERLINK("#Main!A"&amp;MATCH(A9,Main!A:A,0),"Open"),HYPERLINK("#Main!A1","Open"))</f>
        <v>Open</v>
      </c>
    </row>
    <row r="10" spans="1:7" ht="30" customHeight="1" x14ac:dyDescent="0.25">
      <c r="A10" s="32" t="s">
        <v>194</v>
      </c>
      <c r="B10" s="27">
        <v>1</v>
      </c>
      <c r="C10" s="27">
        <v>1</v>
      </c>
      <c r="D10" s="30"/>
      <c r="E10" s="30"/>
      <c r="F10" s="33" t="str">
        <f>IFERROR(HYPERLINK("#Main!A"&amp;MATCH(A10,Main!A:A,0),"Open"),HYPERLINK("#Main!A1","Open"))</f>
        <v>Open</v>
      </c>
      <c r="G10" s="33"/>
    </row>
    <row r="11" spans="1:7" ht="30" customHeight="1" x14ac:dyDescent="0.25">
      <c r="A11" s="29" t="s">
        <v>202</v>
      </c>
      <c r="B11" s="36">
        <v>1</v>
      </c>
      <c r="C11" s="36">
        <v>0</v>
      </c>
      <c r="D11" s="42"/>
      <c r="E11" s="42"/>
      <c r="F11" t="str">
        <f>IFERROR(HYPERLINK("#Main!A"&amp;MATCH(A11,Main!A:A,0),"Open"),HYPERLINK("#Main!A1","Open"))</f>
        <v>Open</v>
      </c>
    </row>
  </sheetData>
  <autoFilter ref="A1:G11" xr:uid="{00000000-0009-0000-0000-000013000000}"/>
  <dataValidations count="7">
    <dataValidation type="custom" allowBlank="1" showInputMessage="1" promptTitle="URL" prompt="URL. Use this URL to inspect the page directly or jump to related tabs." sqref="A1" xr:uid="{00000000-0002-0000-1300-000000000000}">
      <formula1>TRUE</formula1>
    </dataValidation>
    <dataValidation type="custom" allowBlank="1" showInputMessage="1" promptTitle="Title Duplicate Count" prompt="Title Duplicate Count. Review this metric to identify risk, then use linked tabs for details and remediation." sqref="B1" xr:uid="{00000000-0002-0000-1300-000001000000}">
      <formula1>TRUE</formula1>
    </dataValidation>
    <dataValidation type="custom" allowBlank="1" showInputMessage="1" promptTitle="Meta Description Duplicate Count" prompt="Meta Description Duplicate Count. Review this metric to identify risk, then use linked tabs for details and remediation." sqref="C1" xr:uid="{00000000-0002-0000-1300-000002000000}">
      <formula1>TRUE</formula1>
    </dataValidation>
    <dataValidation type="custom" allowBlank="1" showInputMessage="1" promptTitle="Title Duplicate URLs" prompt="Title Duplicate URLs. Use this URL to inspect the page directly or jump to related tabs." sqref="D1" xr:uid="{00000000-0002-0000-1300-000003000000}">
      <formula1>TRUE</formula1>
    </dataValidation>
    <dataValidation type="custom" allowBlank="1" showInputMessage="1" promptTitle="Meta Duplicate URLs" prompt="Meta Duplicate URLs. Use this URL to inspect the page directly or jump to related tabs." sqref="E1" xr:uid="{00000000-0002-0000-1300-000004000000}">
      <formula1>TRUE</formula1>
    </dataValidation>
    <dataValidation type="custom" allowBlank="1" showInputMessage="1" promptTitle="Open in Main" prompt="Navigation helper. Click to jump directly to the related record in another tab." sqref="F1" xr:uid="{00000000-0002-0000-1300-000005000000}">
      <formula1>TRUE</formula1>
    </dataValidation>
    <dataValidation type="custom" allowBlank="1" showInputMessage="1" promptTitle="BACK TO DASHBOARD" prompt="BACK TO DASHBOARD. Review this metric to identify risk, then use linked tabs for details and remediation." sqref="G1" xr:uid="{00000000-0002-0000-1300-000006000000}">
      <formula1>TRUE</formula1>
    </dataValidation>
  </dataValidations>
  <hyperlinks>
    <hyperlink ref="G1" location="Dashboard!A1" display="BACK TO DASHBOARD" xr:uid="{00000000-0004-0000-1300-000000000000}"/>
    <hyperlink ref="A2" r:id="rId1" xr:uid="{00000000-0004-0000-1300-000001000000}"/>
    <hyperlink ref="A3" r:id="rId2" xr:uid="{00000000-0004-0000-1300-000002000000}"/>
    <hyperlink ref="A4" r:id="rId3" xr:uid="{00000000-0004-0000-1300-000003000000}"/>
    <hyperlink ref="A5" r:id="rId4" xr:uid="{00000000-0004-0000-1300-000004000000}"/>
    <hyperlink ref="A6" r:id="rId5" xr:uid="{00000000-0004-0000-1300-000005000000}"/>
    <hyperlink ref="A7" r:id="rId6" xr:uid="{00000000-0004-0000-1300-000006000000}"/>
    <hyperlink ref="A8" r:id="rId7" xr:uid="{00000000-0004-0000-1300-000007000000}"/>
    <hyperlink ref="A9" r:id="rId8" xr:uid="{00000000-0004-0000-1300-000008000000}"/>
    <hyperlink ref="A10" r:id="rId9" xr:uid="{00000000-0004-0000-1300-000009000000}"/>
    <hyperlink ref="A11" r:id="rId10" xr:uid="{00000000-0004-0000-1300-00000A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5"/>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11" customWidth="1"/>
    <col min="3" max="3" width="29" customWidth="1"/>
    <col min="4" max="4" width="16" customWidth="1"/>
    <col min="5" max="5" width="60" customWidth="1"/>
  </cols>
  <sheetData>
    <row r="1" spans="1:6" ht="45" x14ac:dyDescent="0.25">
      <c r="A1" s="26" t="s">
        <v>1050</v>
      </c>
      <c r="B1" s="26" t="s">
        <v>1051</v>
      </c>
      <c r="C1" s="26" t="s">
        <v>1052</v>
      </c>
      <c r="D1" s="26" t="s">
        <v>1053</v>
      </c>
      <c r="E1" s="26" t="s">
        <v>1054</v>
      </c>
      <c r="F1" s="35" t="s">
        <v>211</v>
      </c>
    </row>
    <row r="2" spans="1:6" x14ac:dyDescent="0.25">
      <c r="A2" s="34" t="s">
        <v>1055</v>
      </c>
      <c r="B2" s="27" t="s">
        <v>1056</v>
      </c>
      <c r="C2" s="27" t="s">
        <v>1057</v>
      </c>
      <c r="D2" s="27" t="s">
        <v>1058</v>
      </c>
      <c r="E2" s="27" t="s">
        <v>273</v>
      </c>
      <c r="F2" s="33"/>
    </row>
    <row r="3" spans="1:6" x14ac:dyDescent="0.25">
      <c r="A3" s="34" t="s">
        <v>1059</v>
      </c>
      <c r="B3" s="36">
        <v>1</v>
      </c>
      <c r="C3" s="36" t="s">
        <v>1060</v>
      </c>
      <c r="D3" s="36">
        <v>100</v>
      </c>
      <c r="E3" s="36" t="s">
        <v>1061</v>
      </c>
    </row>
    <row r="4" spans="1:6" x14ac:dyDescent="0.25">
      <c r="A4" s="34" t="s">
        <v>1062</v>
      </c>
      <c r="B4" s="27">
        <v>1</v>
      </c>
      <c r="C4" s="27" t="s">
        <v>1060</v>
      </c>
      <c r="D4" s="27">
        <v>100</v>
      </c>
      <c r="E4" s="27" t="s">
        <v>1061</v>
      </c>
      <c r="F4" s="33"/>
    </row>
    <row r="5" spans="1:6" x14ac:dyDescent="0.25">
      <c r="A5" s="34" t="s">
        <v>1063</v>
      </c>
      <c r="B5" s="36">
        <v>1</v>
      </c>
      <c r="C5" s="36" t="s">
        <v>1060</v>
      </c>
      <c r="D5" s="36">
        <v>100</v>
      </c>
      <c r="E5" s="36" t="s">
        <v>1061</v>
      </c>
    </row>
  </sheetData>
  <dataValidations count="2">
    <dataValidation type="custom" allowBlank="1" showInputMessage="1" promptTitle="WHAT IS THIS? This tab detects s" prompt="WHAT IS THIS? This tab detects structural flaws coded into your page templates. Fixing one template here can instantly fix hundreds of pages.. Review this metric to identify risk, then use linked tabs for details and remediation." sqref="A1" xr:uid="{00000000-0002-0000-1400-000000000000}">
      <formula1>TRUE</formula1>
    </dataValidation>
    <dataValidation type="custom" allowBlank="1" showInputMessage="1" promptTitle="BACK TO DASHBOARD" prompt="BACK TO DASHBOARD. Review this metric to identify risk, then use linked tabs for details and remediation." sqref="F1" xr:uid="{00000000-0002-0000-1400-000001000000}">
      <formula1>TRUE</formula1>
    </dataValidation>
  </dataValidations>
  <hyperlinks>
    <hyperlink ref="F1" location="Dashboard!A1" display="BACK TO DASHBOARD" xr:uid="{00000000-0004-0000-1400-000000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5" customWidth="1"/>
    <col min="3" max="3" width="14" customWidth="1"/>
    <col min="4" max="5" width="12" customWidth="1"/>
    <col min="6" max="6" width="13" customWidth="1"/>
  </cols>
  <sheetData>
    <row r="1" spans="1:8" ht="45" x14ac:dyDescent="0.25">
      <c r="A1" s="26" t="s">
        <v>102</v>
      </c>
      <c r="B1" s="26" t="s">
        <v>1064</v>
      </c>
      <c r="C1" s="26" t="s">
        <v>1065</v>
      </c>
      <c r="D1" s="26" t="s">
        <v>1066</v>
      </c>
      <c r="E1" s="26" t="s">
        <v>426</v>
      </c>
      <c r="F1" s="26" t="s">
        <v>1067</v>
      </c>
      <c r="G1" s="26" t="s">
        <v>122</v>
      </c>
      <c r="H1" s="35" t="s">
        <v>211</v>
      </c>
    </row>
    <row r="2" spans="1:8" ht="30" customHeight="1" x14ac:dyDescent="0.25">
      <c r="A2" s="32" t="s">
        <v>144</v>
      </c>
      <c r="B2" s="27">
        <v>0</v>
      </c>
      <c r="C2" s="27">
        <v>0</v>
      </c>
      <c r="D2" s="27">
        <v>0</v>
      </c>
      <c r="E2" s="27">
        <v>0</v>
      </c>
      <c r="F2" s="27">
        <v>0</v>
      </c>
      <c r="G2" s="33" t="str">
        <f>IFERROR(HYPERLINK("#Main!A"&amp;MATCH(A2,Main!A:A,0),"Open"),HYPERLINK("#Main!A1","Open"))</f>
        <v>Open</v>
      </c>
      <c r="H2" s="33"/>
    </row>
    <row r="3" spans="1:8" ht="15.75" x14ac:dyDescent="0.25">
      <c r="A3" s="29" t="s">
        <v>127</v>
      </c>
      <c r="B3" s="36">
        <v>0</v>
      </c>
      <c r="C3" s="36">
        <v>0</v>
      </c>
      <c r="D3" s="36">
        <v>0</v>
      </c>
      <c r="E3" s="36">
        <v>0</v>
      </c>
      <c r="F3" s="36">
        <v>0</v>
      </c>
      <c r="G3" t="str">
        <f>IFERROR(HYPERLINK("#Main!A"&amp;MATCH(A3,Main!A:A,0),"Open"),HYPERLINK("#Main!A1","Open"))</f>
        <v>Open</v>
      </c>
    </row>
    <row r="4" spans="1:8" ht="30" customHeight="1" x14ac:dyDescent="0.25">
      <c r="A4" s="32" t="s">
        <v>135</v>
      </c>
      <c r="B4" s="27">
        <v>0</v>
      </c>
      <c r="C4" s="27">
        <v>0</v>
      </c>
      <c r="D4" s="27">
        <v>0</v>
      </c>
      <c r="E4" s="27">
        <v>0</v>
      </c>
      <c r="F4" s="27">
        <v>0</v>
      </c>
      <c r="G4" s="33" t="str">
        <f>IFERROR(HYPERLINK("#Main!A"&amp;MATCH(A4,Main!A:A,0),"Open"),HYPERLINK("#Main!A1","Open"))</f>
        <v>Open</v>
      </c>
      <c r="H4" s="33"/>
    </row>
    <row r="5" spans="1:8" ht="30" customHeight="1" x14ac:dyDescent="0.25">
      <c r="A5" s="29" t="s">
        <v>152</v>
      </c>
      <c r="B5" s="36">
        <v>0</v>
      </c>
      <c r="C5" s="36">
        <v>0</v>
      </c>
      <c r="D5" s="36">
        <v>0</v>
      </c>
      <c r="E5" s="36">
        <v>0</v>
      </c>
      <c r="F5" s="36">
        <v>0</v>
      </c>
      <c r="G5" t="str">
        <f>IFERROR(HYPERLINK("#Main!A"&amp;MATCH(A5,Main!A:A,0),"Open"),HYPERLINK("#Main!A1","Open"))</f>
        <v>Open</v>
      </c>
    </row>
    <row r="6" spans="1:8" ht="30" customHeight="1" x14ac:dyDescent="0.25">
      <c r="A6" s="32" t="s">
        <v>169</v>
      </c>
      <c r="B6" s="27">
        <v>0</v>
      </c>
      <c r="C6" s="27">
        <v>0</v>
      </c>
      <c r="D6" s="27">
        <v>0</v>
      </c>
      <c r="E6" s="27">
        <v>0</v>
      </c>
      <c r="F6" s="27">
        <v>0</v>
      </c>
      <c r="G6" s="33" t="str">
        <f>IFERROR(HYPERLINK("#Main!A"&amp;MATCH(A6,Main!A:A,0),"Open"),HYPERLINK("#Main!A1","Open"))</f>
        <v>Open</v>
      </c>
      <c r="H6" s="33"/>
    </row>
    <row r="7" spans="1:8" ht="30" customHeight="1" x14ac:dyDescent="0.25">
      <c r="A7" s="29" t="s">
        <v>161</v>
      </c>
      <c r="B7" s="36">
        <v>0</v>
      </c>
      <c r="C7" s="36">
        <v>0</v>
      </c>
      <c r="D7" s="36">
        <v>0</v>
      </c>
      <c r="E7" s="36">
        <v>0</v>
      </c>
      <c r="F7" s="36">
        <v>0</v>
      </c>
      <c r="G7" t="str">
        <f>IFERROR(HYPERLINK("#Main!A"&amp;MATCH(A7,Main!A:A,0),"Open"),HYPERLINK("#Main!A1","Open"))</f>
        <v>Open</v>
      </c>
    </row>
    <row r="8" spans="1:8" ht="30" customHeight="1" x14ac:dyDescent="0.25">
      <c r="A8" s="32" t="s">
        <v>177</v>
      </c>
      <c r="B8" s="27">
        <v>0</v>
      </c>
      <c r="C8" s="27">
        <v>0</v>
      </c>
      <c r="D8" s="27">
        <v>0</v>
      </c>
      <c r="E8" s="27">
        <v>0</v>
      </c>
      <c r="F8" s="27">
        <v>0</v>
      </c>
      <c r="G8" s="33" t="str">
        <f>IFERROR(HYPERLINK("#Main!A"&amp;MATCH(A8,Main!A:A,0),"Open"),HYPERLINK("#Main!A1","Open"))</f>
        <v>Open</v>
      </c>
      <c r="H8" s="33"/>
    </row>
    <row r="9" spans="1:8" ht="30" customHeight="1" x14ac:dyDescent="0.25">
      <c r="A9" s="29" t="s">
        <v>186</v>
      </c>
      <c r="B9" s="36">
        <v>0</v>
      </c>
      <c r="C9" s="36">
        <v>0</v>
      </c>
      <c r="D9" s="36">
        <v>0</v>
      </c>
      <c r="E9" s="36">
        <v>0</v>
      </c>
      <c r="F9" s="36">
        <v>0</v>
      </c>
      <c r="G9" t="str">
        <f>IFERROR(HYPERLINK("#Main!A"&amp;MATCH(A9,Main!A:A,0),"Open"),HYPERLINK("#Main!A1","Open"))</f>
        <v>Open</v>
      </c>
    </row>
    <row r="10" spans="1:8" ht="30" customHeight="1" x14ac:dyDescent="0.25">
      <c r="A10" s="32" t="s">
        <v>194</v>
      </c>
      <c r="B10" s="27">
        <v>0</v>
      </c>
      <c r="C10" s="27">
        <v>0</v>
      </c>
      <c r="D10" s="27">
        <v>0</v>
      </c>
      <c r="E10" s="27">
        <v>0</v>
      </c>
      <c r="F10" s="27">
        <v>0</v>
      </c>
      <c r="G10" s="33" t="str">
        <f>IFERROR(HYPERLINK("#Main!A"&amp;MATCH(A10,Main!A:A,0),"Open"),HYPERLINK("#Main!A1","Open"))</f>
        <v>Open</v>
      </c>
      <c r="H10" s="33"/>
    </row>
    <row r="11" spans="1:8" ht="30" customHeight="1" x14ac:dyDescent="0.25">
      <c r="A11" s="29" t="s">
        <v>202</v>
      </c>
      <c r="B11" s="36">
        <v>0</v>
      </c>
      <c r="C11" s="36">
        <v>0</v>
      </c>
      <c r="D11" s="36">
        <v>0</v>
      </c>
      <c r="E11" s="36">
        <v>0</v>
      </c>
      <c r="F11" s="36">
        <v>0</v>
      </c>
      <c r="G11" t="str">
        <f>IFERROR(HYPERLINK("#Main!A"&amp;MATCH(A11,Main!A:A,0),"Open"),HYPERLINK("#Main!A1","Open"))</f>
        <v>Open</v>
      </c>
    </row>
  </sheetData>
  <autoFilter ref="A1:H11" xr:uid="{00000000-0009-0000-0000-000015000000}"/>
  <conditionalFormatting sqref="B2:C11">
    <cfRule type="cellIs" dxfId="14" priority="1" operator="between">
      <formula>90</formula>
      <formula>100</formula>
    </cfRule>
    <cfRule type="cellIs" dxfId="13" priority="2" operator="between">
      <formula>50</formula>
      <formula>89</formula>
    </cfRule>
    <cfRule type="cellIs" dxfId="12" priority="3" operator="between">
      <formula>0</formula>
      <formula>49</formula>
    </cfRule>
    <cfRule type="expression" dxfId="11" priority="9" stopIfTrue="1">
      <formula>B2&gt;=90</formula>
    </cfRule>
    <cfRule type="expression" dxfId="10" priority="10" stopIfTrue="1">
      <formula>AND(B2&gt;=50,B2&lt;90)</formula>
    </cfRule>
    <cfRule type="expression" dxfId="9" priority="11" stopIfTrue="1">
      <formula>B2&lt;50</formula>
    </cfRule>
  </conditionalFormatting>
  <conditionalFormatting sqref="D2:D11">
    <cfRule type="cellIs" dxfId="8" priority="7" operator="lessThan">
      <formula>2.5</formula>
    </cfRule>
    <cfRule type="cellIs" dxfId="7" priority="8" operator="greaterThan">
      <formula>4</formula>
    </cfRule>
    <cfRule type="expression" dxfId="6" priority="15" stopIfTrue="1">
      <formula>D2&lt;=2.5</formula>
    </cfRule>
    <cfRule type="expression" dxfId="5" priority="16" stopIfTrue="1">
      <formula>D2&gt;4</formula>
    </cfRule>
  </conditionalFormatting>
  <dataValidations count="8">
    <dataValidation type="custom" allowBlank="1" showInputMessage="1" promptTitle="URL" prompt="URL. Use this URL to inspect the page directly or jump to related tabs." sqref="A1" xr:uid="{00000000-0002-0000-1500-000000000000}">
      <formula1>TRUE</formula1>
    </dataValidation>
    <dataValidation type="custom" allowBlank="1" showInputMessage="1" promptTitle="Desktop Score" prompt="Desktop Score. Review this metric to identify risk, then use linked tabs for details and remediation." sqref="B1" xr:uid="{00000000-0002-0000-1500-000001000000}">
      <formula1>TRUE</formula1>
    </dataValidation>
    <dataValidation type="custom" allowBlank="1" showInputMessage="1" promptTitle="Mobile Score" prompt="Mobile Score. Review this metric to identify risk, then use linked tabs for details and remediation." sqref="C1" xr:uid="{00000000-0002-0000-1500-000002000000}">
      <formula1>TRUE</formula1>
    </dataValidation>
    <dataValidation type="custom" allowBlank="1" showInputMessage="1" promptTitle="Mobile LCP" prompt="Mobile LCP. Review this metric to identify risk, then use linked tabs for details and remediation." sqref="D1" xr:uid="{00000000-0002-0000-1500-000003000000}">
      <formula1>TRUE</formula1>
    </dataValidation>
    <dataValidation type="custom" allowBlank="1" showInputMessage="1" promptTitle="Mobile CLS" prompt="Mobile CLS. Review this metric to identify risk, then use linked tabs for details and remediation." sqref="E1" xr:uid="{00000000-0002-0000-1500-000004000000}">
      <formula1>TRUE</formula1>
    </dataValidation>
    <dataValidation type="custom" allowBlank="1" showInputMessage="1" promptTitle="Mobile TTFB" prompt="Time to First Byte: server responsiveness signal. Fix: optimise backend performance, caching, and CDN usage." sqref="F1" xr:uid="{00000000-0002-0000-1500-000005000000}">
      <formula1>TRUE</formula1>
    </dataValidation>
    <dataValidation type="custom" allowBlank="1" showInputMessage="1" promptTitle="Open in Main" prompt="Navigation helper. Click to jump directly to the related record in another tab." sqref="G1" xr:uid="{00000000-0002-0000-1500-000006000000}">
      <formula1>TRUE</formula1>
    </dataValidation>
    <dataValidation type="custom" allowBlank="1" showInputMessage="1" promptTitle="BACK TO DASHBOARD" prompt="BACK TO DASHBOARD. Review this metric to identify risk, then use linked tabs for details and remediation." sqref="H1" xr:uid="{00000000-0002-0000-1500-000007000000}">
      <formula1>TRUE</formula1>
    </dataValidation>
  </dataValidations>
  <hyperlinks>
    <hyperlink ref="H1" location="Dashboard!A1" display="BACK TO DASHBOARD" xr:uid="{00000000-0004-0000-1500-000000000000}"/>
    <hyperlink ref="A2" r:id="rId1" xr:uid="{00000000-0004-0000-1500-000001000000}"/>
    <hyperlink ref="A3" r:id="rId2" xr:uid="{00000000-0004-0000-1500-000002000000}"/>
    <hyperlink ref="A4" r:id="rId3" xr:uid="{00000000-0004-0000-1500-000003000000}"/>
    <hyperlink ref="A5" r:id="rId4" xr:uid="{00000000-0004-0000-1500-000004000000}"/>
    <hyperlink ref="A6" r:id="rId5" xr:uid="{00000000-0004-0000-1500-000005000000}"/>
    <hyperlink ref="A7" r:id="rId6" xr:uid="{00000000-0004-0000-1500-000006000000}"/>
    <hyperlink ref="A8" r:id="rId7" xr:uid="{00000000-0004-0000-1500-000007000000}"/>
    <hyperlink ref="A9" r:id="rId8" xr:uid="{00000000-0004-0000-1500-000008000000}"/>
    <hyperlink ref="A10" r:id="rId9" xr:uid="{00000000-0004-0000-1500-000009000000}"/>
    <hyperlink ref="A11" r:id="rId10" xr:uid="{00000000-0004-0000-1500-00000A000000}"/>
  </hyperlinks>
  <pageMargins left="0.75" right="0.75" top="1" bottom="1" header="0.5" footer="0.5"/>
  <legacyDrawing r:id="rId1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95"/>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36" customWidth="1"/>
    <col min="3" max="3" width="13" customWidth="1"/>
    <col min="4" max="4" width="15" customWidth="1"/>
    <col min="5" max="5" width="60" customWidth="1"/>
    <col min="6" max="6" width="13" customWidth="1"/>
    <col min="7" max="8" width="8" customWidth="1"/>
  </cols>
  <sheetData>
    <row r="1" spans="1:11" ht="45" x14ac:dyDescent="0.25">
      <c r="A1" s="26" t="s">
        <v>102</v>
      </c>
      <c r="B1" s="26" t="s">
        <v>601</v>
      </c>
      <c r="C1" s="26" t="s">
        <v>77</v>
      </c>
      <c r="D1" s="26" t="s">
        <v>605</v>
      </c>
      <c r="E1" s="26" t="s">
        <v>607</v>
      </c>
      <c r="F1" s="26" t="s">
        <v>68</v>
      </c>
      <c r="G1" s="26" t="s">
        <v>64</v>
      </c>
      <c r="H1" s="26" t="s">
        <v>267</v>
      </c>
      <c r="I1" s="26" t="s">
        <v>122</v>
      </c>
      <c r="J1" s="26" t="s">
        <v>1068</v>
      </c>
      <c r="K1" s="35" t="s">
        <v>211</v>
      </c>
    </row>
    <row r="2" spans="1:11" ht="30" customHeight="1" x14ac:dyDescent="0.25">
      <c r="A2" s="32" t="s">
        <v>144</v>
      </c>
      <c r="B2" s="58" t="s">
        <v>308</v>
      </c>
      <c r="C2" s="28" t="s">
        <v>71</v>
      </c>
      <c r="D2" s="27" t="s">
        <v>24</v>
      </c>
      <c r="E2" s="56" t="s">
        <v>1069</v>
      </c>
      <c r="F2" s="27" t="s">
        <v>295</v>
      </c>
      <c r="G2" s="28" t="s">
        <v>2</v>
      </c>
      <c r="H2" s="27"/>
      <c r="I2" s="33" t="str">
        <f>IFERROR(HYPERLINK("#Main!A"&amp;MATCH(A2,Main!A:A,0),"Open"),HYPERLINK("#Main!A1","Open"))</f>
        <v>Open</v>
      </c>
      <c r="J2" s="33" t="str">
        <f t="shared" ref="J2:J33" ca="1" si="0">IFERROR(HYPERLINK("#"&amp;D2&amp;"!A"&amp;MATCH(A2,INDIRECT("'"&amp;D2&amp;"'!A:A"),0),"Open"),HYPERLINK("#"&amp;D2&amp;"!A1","Open"))</f>
        <v>Open</v>
      </c>
      <c r="K2" s="33"/>
    </row>
    <row r="3" spans="1:11" ht="30" customHeight="1" x14ac:dyDescent="0.25">
      <c r="A3" s="29" t="s">
        <v>144</v>
      </c>
      <c r="B3" s="59" t="s">
        <v>340</v>
      </c>
      <c r="C3" s="31" t="s">
        <v>72</v>
      </c>
      <c r="D3" s="36" t="s">
        <v>14</v>
      </c>
      <c r="E3" s="57" t="s">
        <v>1070</v>
      </c>
      <c r="F3" s="36" t="s">
        <v>290</v>
      </c>
      <c r="G3" s="28" t="s">
        <v>2</v>
      </c>
      <c r="H3" s="36"/>
      <c r="I3" t="str">
        <f>IFERROR(HYPERLINK("#Main!A"&amp;MATCH(A3,Main!A:A,0),"Open"),HYPERLINK("#Main!A1","Open"))</f>
        <v>Open</v>
      </c>
      <c r="J3" t="str">
        <f t="shared" ca="1" si="0"/>
        <v>Open</v>
      </c>
    </row>
    <row r="4" spans="1:11" ht="30" customHeight="1" x14ac:dyDescent="0.25">
      <c r="A4" s="32" t="s">
        <v>144</v>
      </c>
      <c r="B4" s="58" t="s">
        <v>334</v>
      </c>
      <c r="C4" s="31" t="s">
        <v>72</v>
      </c>
      <c r="D4" s="27" t="s">
        <v>14</v>
      </c>
      <c r="E4" s="56" t="s">
        <v>1071</v>
      </c>
      <c r="F4" s="27" t="s">
        <v>290</v>
      </c>
      <c r="G4" s="28" t="s">
        <v>2</v>
      </c>
      <c r="H4" s="27"/>
      <c r="I4" s="33" t="str">
        <f>IFERROR(HYPERLINK("#Main!A"&amp;MATCH(A4,Main!A:A,0),"Open"),HYPERLINK("#Main!A1","Open"))</f>
        <v>Open</v>
      </c>
      <c r="J4" s="33" t="str">
        <f t="shared" ca="1" si="0"/>
        <v>Open</v>
      </c>
      <c r="K4" s="33"/>
    </row>
    <row r="5" spans="1:11" ht="30" customHeight="1" x14ac:dyDescent="0.25">
      <c r="A5" s="29" t="s">
        <v>144</v>
      </c>
      <c r="B5" s="59" t="s">
        <v>336</v>
      </c>
      <c r="C5" s="31" t="s">
        <v>72</v>
      </c>
      <c r="D5" s="36" t="s">
        <v>20</v>
      </c>
      <c r="E5" s="57" t="s">
        <v>1072</v>
      </c>
      <c r="F5" s="36" t="s">
        <v>290</v>
      </c>
      <c r="G5" s="28" t="s">
        <v>2</v>
      </c>
      <c r="H5" s="36"/>
      <c r="I5" t="str">
        <f>IFERROR(HYPERLINK("#Main!A"&amp;MATCH(A5,Main!A:A,0),"Open"),HYPERLINK("#Main!A1","Open"))</f>
        <v>Open</v>
      </c>
      <c r="J5" t="str">
        <f t="shared" ca="1" si="0"/>
        <v>Open</v>
      </c>
    </row>
    <row r="6" spans="1:11" ht="30" customHeight="1" x14ac:dyDescent="0.25">
      <c r="A6" s="32" t="s">
        <v>144</v>
      </c>
      <c r="B6" s="58" t="s">
        <v>378</v>
      </c>
      <c r="C6" s="46" t="s">
        <v>351</v>
      </c>
      <c r="D6" s="27" t="s">
        <v>14</v>
      </c>
      <c r="E6" s="56" t="s">
        <v>1073</v>
      </c>
      <c r="F6" s="27" t="s">
        <v>279</v>
      </c>
      <c r="G6" s="28" t="s">
        <v>2</v>
      </c>
      <c r="H6" s="27"/>
      <c r="I6" s="33" t="str">
        <f>IFERROR(HYPERLINK("#Main!A"&amp;MATCH(A6,Main!A:A,0),"Open"),HYPERLINK("#Main!A1","Open"))</f>
        <v>Open</v>
      </c>
      <c r="J6" s="33" t="str">
        <f t="shared" ca="1" si="0"/>
        <v>Open</v>
      </c>
      <c r="K6" s="33"/>
    </row>
    <row r="7" spans="1:11" ht="30" customHeight="1" x14ac:dyDescent="0.25">
      <c r="A7" s="29" t="s">
        <v>144</v>
      </c>
      <c r="B7" s="59" t="s">
        <v>380</v>
      </c>
      <c r="C7" s="46" t="s">
        <v>351</v>
      </c>
      <c r="D7" s="36" t="s">
        <v>20</v>
      </c>
      <c r="E7" s="57" t="s">
        <v>1074</v>
      </c>
      <c r="F7" s="36" t="s">
        <v>290</v>
      </c>
      <c r="G7" s="28" t="s">
        <v>2</v>
      </c>
      <c r="H7" s="36"/>
      <c r="I7" t="str">
        <f>IFERROR(HYPERLINK("#Main!A"&amp;MATCH(A7,Main!A:A,0),"Open"),HYPERLINK("#Main!A1","Open"))</f>
        <v>Open</v>
      </c>
      <c r="J7" t="str">
        <f t="shared" ca="1" si="0"/>
        <v>Open</v>
      </c>
    </row>
    <row r="8" spans="1:11" ht="30" customHeight="1" x14ac:dyDescent="0.25">
      <c r="A8" s="32" t="s">
        <v>144</v>
      </c>
      <c r="B8" s="58" t="s">
        <v>384</v>
      </c>
      <c r="C8" s="46" t="s">
        <v>351</v>
      </c>
      <c r="D8" s="27" t="s">
        <v>14</v>
      </c>
      <c r="E8" s="56" t="s">
        <v>1075</v>
      </c>
      <c r="F8" s="27" t="s">
        <v>290</v>
      </c>
      <c r="G8" s="28" t="s">
        <v>2</v>
      </c>
      <c r="H8" s="27"/>
      <c r="I8" s="33" t="str">
        <f>IFERROR(HYPERLINK("#Main!A"&amp;MATCH(A8,Main!A:A,0),"Open"),HYPERLINK("#Main!A1","Open"))</f>
        <v>Open</v>
      </c>
      <c r="J8" s="33" t="str">
        <f t="shared" ca="1" si="0"/>
        <v>Open</v>
      </c>
      <c r="K8" s="33"/>
    </row>
    <row r="9" spans="1:11" ht="30" customHeight="1" x14ac:dyDescent="0.25">
      <c r="A9" s="29" t="s">
        <v>144</v>
      </c>
      <c r="B9" s="59" t="s">
        <v>388</v>
      </c>
      <c r="C9" s="46" t="s">
        <v>351</v>
      </c>
      <c r="D9" s="36" t="s">
        <v>14</v>
      </c>
      <c r="E9" s="57" t="s">
        <v>1076</v>
      </c>
      <c r="F9" s="36" t="s">
        <v>290</v>
      </c>
      <c r="G9" s="28" t="s">
        <v>2</v>
      </c>
      <c r="H9" s="36"/>
      <c r="I9" t="str">
        <f>IFERROR(HYPERLINK("#Main!A"&amp;MATCH(A9,Main!A:A,0),"Open"),HYPERLINK("#Main!A1","Open"))</f>
        <v>Open</v>
      </c>
      <c r="J9" t="str">
        <f t="shared" ca="1" si="0"/>
        <v>Open</v>
      </c>
    </row>
    <row r="10" spans="1:11" ht="30" customHeight="1" x14ac:dyDescent="0.25">
      <c r="A10" s="32" t="s">
        <v>144</v>
      </c>
      <c r="B10" s="58" t="s">
        <v>392</v>
      </c>
      <c r="C10" s="46" t="s">
        <v>351</v>
      </c>
      <c r="D10" s="27" t="s">
        <v>14</v>
      </c>
      <c r="E10" s="56" t="s">
        <v>1077</v>
      </c>
      <c r="F10" s="27" t="s">
        <v>290</v>
      </c>
      <c r="G10" s="28" t="s">
        <v>2</v>
      </c>
      <c r="H10" s="27"/>
      <c r="I10" s="33" t="str">
        <f>IFERROR(HYPERLINK("#Main!A"&amp;MATCH(A10,Main!A:A,0),"Open"),HYPERLINK("#Main!A1","Open"))</f>
        <v>Open</v>
      </c>
      <c r="J10" s="33" t="str">
        <f t="shared" ca="1" si="0"/>
        <v>Open</v>
      </c>
      <c r="K10" s="33"/>
    </row>
    <row r="11" spans="1:11" ht="15.75" x14ac:dyDescent="0.25">
      <c r="A11" s="29" t="s">
        <v>127</v>
      </c>
      <c r="B11" s="59" t="s">
        <v>308</v>
      </c>
      <c r="C11" s="28" t="s">
        <v>71</v>
      </c>
      <c r="D11" s="36" t="s">
        <v>24</v>
      </c>
      <c r="E11" s="57" t="s">
        <v>1078</v>
      </c>
      <c r="F11" s="36" t="s">
        <v>295</v>
      </c>
      <c r="G11" s="28" t="s">
        <v>2</v>
      </c>
      <c r="H11" s="36"/>
      <c r="I11" t="str">
        <f>IFERROR(HYPERLINK("#Main!A"&amp;MATCH(A11,Main!A:A,0),"Open"),HYPERLINK("#Main!A1","Open"))</f>
        <v>Open</v>
      </c>
      <c r="J11" t="str">
        <f t="shared" ca="1" si="0"/>
        <v>Open</v>
      </c>
    </row>
    <row r="12" spans="1:11" ht="15.75" x14ac:dyDescent="0.25">
      <c r="A12" s="32" t="s">
        <v>127</v>
      </c>
      <c r="B12" s="58" t="s">
        <v>340</v>
      </c>
      <c r="C12" s="31" t="s">
        <v>72</v>
      </c>
      <c r="D12" s="27" t="s">
        <v>14</v>
      </c>
      <c r="E12" s="56" t="s">
        <v>1079</v>
      </c>
      <c r="F12" s="27" t="s">
        <v>290</v>
      </c>
      <c r="G12" s="28" t="s">
        <v>2</v>
      </c>
      <c r="H12" s="27"/>
      <c r="I12" s="33" t="str">
        <f>IFERROR(HYPERLINK("#Main!A"&amp;MATCH(A12,Main!A:A,0),"Open"),HYPERLINK("#Main!A1","Open"))</f>
        <v>Open</v>
      </c>
      <c r="J12" s="33" t="str">
        <f t="shared" ca="1" si="0"/>
        <v>Open</v>
      </c>
      <c r="K12" s="33"/>
    </row>
    <row r="13" spans="1:11" ht="15.75" x14ac:dyDescent="0.25">
      <c r="A13" s="29" t="s">
        <v>127</v>
      </c>
      <c r="B13" s="59" t="s">
        <v>334</v>
      </c>
      <c r="C13" s="31" t="s">
        <v>72</v>
      </c>
      <c r="D13" s="36" t="s">
        <v>14</v>
      </c>
      <c r="E13" s="57" t="s">
        <v>1080</v>
      </c>
      <c r="F13" s="36" t="s">
        <v>290</v>
      </c>
      <c r="G13" s="28" t="s">
        <v>2</v>
      </c>
      <c r="H13" s="36"/>
      <c r="I13" t="str">
        <f>IFERROR(HYPERLINK("#Main!A"&amp;MATCH(A13,Main!A:A,0),"Open"),HYPERLINK("#Main!A1","Open"))</f>
        <v>Open</v>
      </c>
      <c r="J13" t="str">
        <f t="shared" ca="1" si="0"/>
        <v>Open</v>
      </c>
    </row>
    <row r="14" spans="1:11" ht="15.75" x14ac:dyDescent="0.25">
      <c r="A14" s="32" t="s">
        <v>127</v>
      </c>
      <c r="B14" s="58" t="s">
        <v>336</v>
      </c>
      <c r="C14" s="31" t="s">
        <v>72</v>
      </c>
      <c r="D14" s="27" t="s">
        <v>20</v>
      </c>
      <c r="E14" s="56" t="s">
        <v>1081</v>
      </c>
      <c r="F14" s="27" t="s">
        <v>290</v>
      </c>
      <c r="G14" s="28" t="s">
        <v>2</v>
      </c>
      <c r="H14" s="27"/>
      <c r="I14" s="33" t="str">
        <f>IFERROR(HYPERLINK("#Main!A"&amp;MATCH(A14,Main!A:A,0),"Open"),HYPERLINK("#Main!A1","Open"))</f>
        <v>Open</v>
      </c>
      <c r="J14" s="33" t="str">
        <f t="shared" ca="1" si="0"/>
        <v>Open</v>
      </c>
      <c r="K14" s="33"/>
    </row>
    <row r="15" spans="1:11" ht="15.75" x14ac:dyDescent="0.25">
      <c r="A15" s="29" t="s">
        <v>127</v>
      </c>
      <c r="B15" s="59" t="s">
        <v>376</v>
      </c>
      <c r="C15" s="46" t="s">
        <v>351</v>
      </c>
      <c r="D15" s="36" t="s">
        <v>24</v>
      </c>
      <c r="E15" s="57" t="s">
        <v>1082</v>
      </c>
      <c r="F15" s="36" t="s">
        <v>290</v>
      </c>
      <c r="G15" s="28" t="s">
        <v>2</v>
      </c>
      <c r="H15" s="36"/>
      <c r="I15" t="str">
        <f>IFERROR(HYPERLINK("#Main!A"&amp;MATCH(A15,Main!A:A,0),"Open"),HYPERLINK("#Main!A1","Open"))</f>
        <v>Open</v>
      </c>
      <c r="J15" t="str">
        <f t="shared" ca="1" si="0"/>
        <v>Open</v>
      </c>
    </row>
    <row r="16" spans="1:11" ht="15.75" x14ac:dyDescent="0.25">
      <c r="A16" s="32" t="s">
        <v>127</v>
      </c>
      <c r="B16" s="58" t="s">
        <v>378</v>
      </c>
      <c r="C16" s="46" t="s">
        <v>351</v>
      </c>
      <c r="D16" s="27" t="s">
        <v>14</v>
      </c>
      <c r="E16" s="56" t="s">
        <v>1083</v>
      </c>
      <c r="F16" s="27" t="s">
        <v>279</v>
      </c>
      <c r="G16" s="28" t="s">
        <v>2</v>
      </c>
      <c r="H16" s="27"/>
      <c r="I16" s="33" t="str">
        <f>IFERROR(HYPERLINK("#Main!A"&amp;MATCH(A16,Main!A:A,0),"Open"),HYPERLINK("#Main!A1","Open"))</f>
        <v>Open</v>
      </c>
      <c r="J16" s="33" t="str">
        <f t="shared" ca="1" si="0"/>
        <v>Open</v>
      </c>
      <c r="K16" s="33"/>
    </row>
    <row r="17" spans="1:11" ht="15.75" x14ac:dyDescent="0.25">
      <c r="A17" s="29" t="s">
        <v>127</v>
      </c>
      <c r="B17" s="59" t="s">
        <v>371</v>
      </c>
      <c r="C17" s="46" t="s">
        <v>351</v>
      </c>
      <c r="D17" s="36" t="s">
        <v>14</v>
      </c>
      <c r="E17" s="57" t="s">
        <v>1084</v>
      </c>
      <c r="F17" s="36" t="s">
        <v>290</v>
      </c>
      <c r="G17" s="28" t="s">
        <v>2</v>
      </c>
      <c r="H17" s="36"/>
      <c r="I17" t="str">
        <f>IFERROR(HYPERLINK("#Main!A"&amp;MATCH(A17,Main!A:A,0),"Open"),HYPERLINK("#Main!A1","Open"))</f>
        <v>Open</v>
      </c>
      <c r="J17" t="str">
        <f t="shared" ca="1" si="0"/>
        <v>Open</v>
      </c>
    </row>
    <row r="18" spans="1:11" ht="15.75" x14ac:dyDescent="0.25">
      <c r="A18" s="32" t="s">
        <v>127</v>
      </c>
      <c r="B18" s="58" t="s">
        <v>380</v>
      </c>
      <c r="C18" s="46" t="s">
        <v>351</v>
      </c>
      <c r="D18" s="27" t="s">
        <v>20</v>
      </c>
      <c r="E18" s="56" t="s">
        <v>1085</v>
      </c>
      <c r="F18" s="27" t="s">
        <v>290</v>
      </c>
      <c r="G18" s="28" t="s">
        <v>2</v>
      </c>
      <c r="H18" s="27"/>
      <c r="I18" s="33" t="str">
        <f>IFERROR(HYPERLINK("#Main!A"&amp;MATCH(A18,Main!A:A,0),"Open"),HYPERLINK("#Main!A1","Open"))</f>
        <v>Open</v>
      </c>
      <c r="J18" s="33" t="str">
        <f t="shared" ca="1" si="0"/>
        <v>Open</v>
      </c>
      <c r="K18" s="33"/>
    </row>
    <row r="19" spans="1:11" ht="15.75" x14ac:dyDescent="0.25">
      <c r="A19" s="29" t="s">
        <v>127</v>
      </c>
      <c r="B19" s="59" t="s">
        <v>384</v>
      </c>
      <c r="C19" s="46" t="s">
        <v>351</v>
      </c>
      <c r="D19" s="36" t="s">
        <v>14</v>
      </c>
      <c r="E19" s="57" t="s">
        <v>1086</v>
      </c>
      <c r="F19" s="36" t="s">
        <v>290</v>
      </c>
      <c r="G19" s="28" t="s">
        <v>2</v>
      </c>
      <c r="H19" s="36"/>
      <c r="I19" t="str">
        <f>IFERROR(HYPERLINK("#Main!A"&amp;MATCH(A19,Main!A:A,0),"Open"),HYPERLINK("#Main!A1","Open"))</f>
        <v>Open</v>
      </c>
      <c r="J19" t="str">
        <f t="shared" ca="1" si="0"/>
        <v>Open</v>
      </c>
    </row>
    <row r="20" spans="1:11" ht="15.75" x14ac:dyDescent="0.25">
      <c r="A20" s="32" t="s">
        <v>127</v>
      </c>
      <c r="B20" s="58" t="s">
        <v>388</v>
      </c>
      <c r="C20" s="46" t="s">
        <v>351</v>
      </c>
      <c r="D20" s="27" t="s">
        <v>14</v>
      </c>
      <c r="E20" s="56" t="s">
        <v>1087</v>
      </c>
      <c r="F20" s="27" t="s">
        <v>290</v>
      </c>
      <c r="G20" s="28" t="s">
        <v>2</v>
      </c>
      <c r="H20" s="27"/>
      <c r="I20" s="33" t="str">
        <f>IFERROR(HYPERLINK("#Main!A"&amp;MATCH(A20,Main!A:A,0),"Open"),HYPERLINK("#Main!A1","Open"))</f>
        <v>Open</v>
      </c>
      <c r="J20" s="33" t="str">
        <f t="shared" ca="1" si="0"/>
        <v>Open</v>
      </c>
      <c r="K20" s="33"/>
    </row>
    <row r="21" spans="1:11" ht="15.75" x14ac:dyDescent="0.25">
      <c r="A21" s="29" t="s">
        <v>127</v>
      </c>
      <c r="B21" s="59" t="s">
        <v>392</v>
      </c>
      <c r="C21" s="46" t="s">
        <v>351</v>
      </c>
      <c r="D21" s="36" t="s">
        <v>14</v>
      </c>
      <c r="E21" s="57" t="s">
        <v>1088</v>
      </c>
      <c r="F21" s="36" t="s">
        <v>290</v>
      </c>
      <c r="G21" s="28" t="s">
        <v>2</v>
      </c>
      <c r="H21" s="36"/>
      <c r="I21" t="str">
        <f>IFERROR(HYPERLINK("#Main!A"&amp;MATCH(A21,Main!A:A,0),"Open"),HYPERLINK("#Main!A1","Open"))</f>
        <v>Open</v>
      </c>
      <c r="J21" t="str">
        <f t="shared" ca="1" si="0"/>
        <v>Open</v>
      </c>
    </row>
    <row r="22" spans="1:11" ht="30" customHeight="1" x14ac:dyDescent="0.25">
      <c r="A22" s="32" t="s">
        <v>135</v>
      </c>
      <c r="B22" s="58" t="s">
        <v>308</v>
      </c>
      <c r="C22" s="28" t="s">
        <v>71</v>
      </c>
      <c r="D22" s="27" t="s">
        <v>24</v>
      </c>
      <c r="E22" s="56" t="s">
        <v>1089</v>
      </c>
      <c r="F22" s="27" t="s">
        <v>295</v>
      </c>
      <c r="G22" s="28" t="s">
        <v>2</v>
      </c>
      <c r="H22" s="27"/>
      <c r="I22" s="33" t="str">
        <f>IFERROR(HYPERLINK("#Main!A"&amp;MATCH(A22,Main!A:A,0),"Open"),HYPERLINK("#Main!A1","Open"))</f>
        <v>Open</v>
      </c>
      <c r="J22" s="33" t="str">
        <f t="shared" ca="1" si="0"/>
        <v>Open</v>
      </c>
      <c r="K22" s="33"/>
    </row>
    <row r="23" spans="1:11" ht="30" customHeight="1" x14ac:dyDescent="0.25">
      <c r="A23" s="29" t="s">
        <v>135</v>
      </c>
      <c r="B23" s="59" t="s">
        <v>334</v>
      </c>
      <c r="C23" s="31" t="s">
        <v>72</v>
      </c>
      <c r="D23" s="36" t="s">
        <v>14</v>
      </c>
      <c r="E23" s="57" t="s">
        <v>1090</v>
      </c>
      <c r="F23" s="36" t="s">
        <v>290</v>
      </c>
      <c r="G23" s="28" t="s">
        <v>2</v>
      </c>
      <c r="H23" s="36"/>
      <c r="I23" t="str">
        <f>IFERROR(HYPERLINK("#Main!A"&amp;MATCH(A23,Main!A:A,0),"Open"),HYPERLINK("#Main!A1","Open"))</f>
        <v>Open</v>
      </c>
      <c r="J23" t="str">
        <f t="shared" ca="1" si="0"/>
        <v>Open</v>
      </c>
    </row>
    <row r="24" spans="1:11" ht="30" customHeight="1" x14ac:dyDescent="0.25">
      <c r="A24" s="32" t="s">
        <v>135</v>
      </c>
      <c r="B24" s="58" t="s">
        <v>336</v>
      </c>
      <c r="C24" s="31" t="s">
        <v>72</v>
      </c>
      <c r="D24" s="27" t="s">
        <v>20</v>
      </c>
      <c r="E24" s="56" t="s">
        <v>1091</v>
      </c>
      <c r="F24" s="27" t="s">
        <v>290</v>
      </c>
      <c r="G24" s="28" t="s">
        <v>2</v>
      </c>
      <c r="H24" s="27"/>
      <c r="I24" s="33" t="str">
        <f>IFERROR(HYPERLINK("#Main!A"&amp;MATCH(A24,Main!A:A,0),"Open"),HYPERLINK("#Main!A1","Open"))</f>
        <v>Open</v>
      </c>
      <c r="J24" s="33" t="str">
        <f t="shared" ca="1" si="0"/>
        <v>Open</v>
      </c>
      <c r="K24" s="33"/>
    </row>
    <row r="25" spans="1:11" ht="30" customHeight="1" x14ac:dyDescent="0.25">
      <c r="A25" s="29" t="s">
        <v>135</v>
      </c>
      <c r="B25" s="59" t="s">
        <v>378</v>
      </c>
      <c r="C25" s="46" t="s">
        <v>351</v>
      </c>
      <c r="D25" s="36" t="s">
        <v>14</v>
      </c>
      <c r="E25" s="57" t="s">
        <v>1092</v>
      </c>
      <c r="F25" s="36" t="s">
        <v>279</v>
      </c>
      <c r="G25" s="28" t="s">
        <v>2</v>
      </c>
      <c r="H25" s="36"/>
      <c r="I25" t="str">
        <f>IFERROR(HYPERLINK("#Main!A"&amp;MATCH(A25,Main!A:A,0),"Open"),HYPERLINK("#Main!A1","Open"))</f>
        <v>Open</v>
      </c>
      <c r="J25" t="str">
        <f t="shared" ca="1" si="0"/>
        <v>Open</v>
      </c>
    </row>
    <row r="26" spans="1:11" ht="30" customHeight="1" x14ac:dyDescent="0.25">
      <c r="A26" s="32" t="s">
        <v>135</v>
      </c>
      <c r="B26" s="58" t="s">
        <v>371</v>
      </c>
      <c r="C26" s="46" t="s">
        <v>351</v>
      </c>
      <c r="D26" s="27" t="s">
        <v>14</v>
      </c>
      <c r="E26" s="56" t="s">
        <v>1093</v>
      </c>
      <c r="F26" s="27" t="s">
        <v>290</v>
      </c>
      <c r="G26" s="28" t="s">
        <v>2</v>
      </c>
      <c r="H26" s="27"/>
      <c r="I26" s="33" t="str">
        <f>IFERROR(HYPERLINK("#Main!A"&amp;MATCH(A26,Main!A:A,0),"Open"),HYPERLINK("#Main!A1","Open"))</f>
        <v>Open</v>
      </c>
      <c r="J26" s="33" t="str">
        <f t="shared" ca="1" si="0"/>
        <v>Open</v>
      </c>
      <c r="K26" s="33"/>
    </row>
    <row r="27" spans="1:11" ht="30" customHeight="1" x14ac:dyDescent="0.25">
      <c r="A27" s="29" t="s">
        <v>135</v>
      </c>
      <c r="B27" s="59" t="s">
        <v>380</v>
      </c>
      <c r="C27" s="46" t="s">
        <v>351</v>
      </c>
      <c r="D27" s="36" t="s">
        <v>20</v>
      </c>
      <c r="E27" s="57" t="s">
        <v>1094</v>
      </c>
      <c r="F27" s="36" t="s">
        <v>290</v>
      </c>
      <c r="G27" s="28" t="s">
        <v>2</v>
      </c>
      <c r="H27" s="36"/>
      <c r="I27" t="str">
        <f>IFERROR(HYPERLINK("#Main!A"&amp;MATCH(A27,Main!A:A,0),"Open"),HYPERLINK("#Main!A1","Open"))</f>
        <v>Open</v>
      </c>
      <c r="J27" t="str">
        <f t="shared" ca="1" si="0"/>
        <v>Open</v>
      </c>
    </row>
    <row r="28" spans="1:11" ht="30" customHeight="1" x14ac:dyDescent="0.25">
      <c r="A28" s="32" t="s">
        <v>135</v>
      </c>
      <c r="B28" s="58" t="s">
        <v>384</v>
      </c>
      <c r="C28" s="46" t="s">
        <v>351</v>
      </c>
      <c r="D28" s="27" t="s">
        <v>14</v>
      </c>
      <c r="E28" s="56" t="s">
        <v>1095</v>
      </c>
      <c r="F28" s="27" t="s">
        <v>290</v>
      </c>
      <c r="G28" s="28" t="s">
        <v>2</v>
      </c>
      <c r="H28" s="27"/>
      <c r="I28" s="33" t="str">
        <f>IFERROR(HYPERLINK("#Main!A"&amp;MATCH(A28,Main!A:A,0),"Open"),HYPERLINK("#Main!A1","Open"))</f>
        <v>Open</v>
      </c>
      <c r="J28" s="33" t="str">
        <f t="shared" ca="1" si="0"/>
        <v>Open</v>
      </c>
      <c r="K28" s="33"/>
    </row>
    <row r="29" spans="1:11" ht="30" customHeight="1" x14ac:dyDescent="0.25">
      <c r="A29" s="29" t="s">
        <v>135</v>
      </c>
      <c r="B29" s="59" t="s">
        <v>388</v>
      </c>
      <c r="C29" s="46" t="s">
        <v>351</v>
      </c>
      <c r="D29" s="36" t="s">
        <v>14</v>
      </c>
      <c r="E29" s="57" t="s">
        <v>1096</v>
      </c>
      <c r="F29" s="36" t="s">
        <v>290</v>
      </c>
      <c r="G29" s="28" t="s">
        <v>2</v>
      </c>
      <c r="H29" s="36"/>
      <c r="I29" t="str">
        <f>IFERROR(HYPERLINK("#Main!A"&amp;MATCH(A29,Main!A:A,0),"Open"),HYPERLINK("#Main!A1","Open"))</f>
        <v>Open</v>
      </c>
      <c r="J29" t="str">
        <f t="shared" ca="1" si="0"/>
        <v>Open</v>
      </c>
    </row>
    <row r="30" spans="1:11" ht="30" customHeight="1" x14ac:dyDescent="0.25">
      <c r="A30" s="32" t="s">
        <v>135</v>
      </c>
      <c r="B30" s="58" t="s">
        <v>392</v>
      </c>
      <c r="C30" s="46" t="s">
        <v>351</v>
      </c>
      <c r="D30" s="27" t="s">
        <v>14</v>
      </c>
      <c r="E30" s="56" t="s">
        <v>1097</v>
      </c>
      <c r="F30" s="27" t="s">
        <v>290</v>
      </c>
      <c r="G30" s="28" t="s">
        <v>2</v>
      </c>
      <c r="H30" s="27"/>
      <c r="I30" s="33" t="str">
        <f>IFERROR(HYPERLINK("#Main!A"&amp;MATCH(A30,Main!A:A,0),"Open"),HYPERLINK("#Main!A1","Open"))</f>
        <v>Open</v>
      </c>
      <c r="J30" s="33" t="str">
        <f t="shared" ca="1" si="0"/>
        <v>Open</v>
      </c>
      <c r="K30" s="33"/>
    </row>
    <row r="31" spans="1:11" ht="30" customHeight="1" x14ac:dyDescent="0.25">
      <c r="A31" s="29" t="s">
        <v>152</v>
      </c>
      <c r="B31" s="59" t="s">
        <v>308</v>
      </c>
      <c r="C31" s="28" t="s">
        <v>71</v>
      </c>
      <c r="D31" s="36" t="s">
        <v>24</v>
      </c>
      <c r="E31" s="57" t="s">
        <v>1098</v>
      </c>
      <c r="F31" s="36" t="s">
        <v>295</v>
      </c>
      <c r="G31" s="28" t="s">
        <v>2</v>
      </c>
      <c r="H31" s="36"/>
      <c r="I31" t="str">
        <f>IFERROR(HYPERLINK("#Main!A"&amp;MATCH(A31,Main!A:A,0),"Open"),HYPERLINK("#Main!A1","Open"))</f>
        <v>Open</v>
      </c>
      <c r="J31" t="str">
        <f t="shared" ca="1" si="0"/>
        <v>Open</v>
      </c>
    </row>
    <row r="32" spans="1:11" ht="30" customHeight="1" x14ac:dyDescent="0.25">
      <c r="A32" s="32" t="s">
        <v>152</v>
      </c>
      <c r="B32" s="58" t="s">
        <v>340</v>
      </c>
      <c r="C32" s="31" t="s">
        <v>72</v>
      </c>
      <c r="D32" s="27" t="s">
        <v>14</v>
      </c>
      <c r="E32" s="56" t="s">
        <v>1099</v>
      </c>
      <c r="F32" s="27" t="s">
        <v>290</v>
      </c>
      <c r="G32" s="28" t="s">
        <v>2</v>
      </c>
      <c r="H32" s="27"/>
      <c r="I32" s="33" t="str">
        <f>IFERROR(HYPERLINK("#Main!A"&amp;MATCH(A32,Main!A:A,0),"Open"),HYPERLINK("#Main!A1","Open"))</f>
        <v>Open</v>
      </c>
      <c r="J32" s="33" t="str">
        <f t="shared" ca="1" si="0"/>
        <v>Open</v>
      </c>
      <c r="K32" s="33"/>
    </row>
    <row r="33" spans="1:11" ht="30" customHeight="1" x14ac:dyDescent="0.25">
      <c r="A33" s="29" t="s">
        <v>152</v>
      </c>
      <c r="B33" s="59" t="s">
        <v>334</v>
      </c>
      <c r="C33" s="31" t="s">
        <v>72</v>
      </c>
      <c r="D33" s="36" t="s">
        <v>14</v>
      </c>
      <c r="E33" s="57" t="s">
        <v>1100</v>
      </c>
      <c r="F33" s="36" t="s">
        <v>290</v>
      </c>
      <c r="G33" s="28" t="s">
        <v>2</v>
      </c>
      <c r="H33" s="36"/>
      <c r="I33" t="str">
        <f>IFERROR(HYPERLINK("#Main!A"&amp;MATCH(A33,Main!A:A,0),"Open"),HYPERLINK("#Main!A1","Open"))</f>
        <v>Open</v>
      </c>
      <c r="J33" t="str">
        <f t="shared" ca="1" si="0"/>
        <v>Open</v>
      </c>
    </row>
    <row r="34" spans="1:11" ht="30" customHeight="1" x14ac:dyDescent="0.25">
      <c r="A34" s="32" t="s">
        <v>152</v>
      </c>
      <c r="B34" s="58" t="s">
        <v>336</v>
      </c>
      <c r="C34" s="31" t="s">
        <v>72</v>
      </c>
      <c r="D34" s="27" t="s">
        <v>20</v>
      </c>
      <c r="E34" s="56" t="s">
        <v>1101</v>
      </c>
      <c r="F34" s="27" t="s">
        <v>290</v>
      </c>
      <c r="G34" s="28" t="s">
        <v>2</v>
      </c>
      <c r="H34" s="27"/>
      <c r="I34" s="33" t="str">
        <f>IFERROR(HYPERLINK("#Main!A"&amp;MATCH(A34,Main!A:A,0),"Open"),HYPERLINK("#Main!A1","Open"))</f>
        <v>Open</v>
      </c>
      <c r="J34" s="33" t="str">
        <f t="shared" ref="J34:J65" ca="1" si="1">IFERROR(HYPERLINK("#"&amp;D34&amp;"!A"&amp;MATCH(A34,INDIRECT("'"&amp;D34&amp;"'!A:A"),0),"Open"),HYPERLINK("#"&amp;D34&amp;"!A1","Open"))</f>
        <v>Open</v>
      </c>
      <c r="K34" s="33"/>
    </row>
    <row r="35" spans="1:11" ht="30" customHeight="1" x14ac:dyDescent="0.25">
      <c r="A35" s="29" t="s">
        <v>152</v>
      </c>
      <c r="B35" s="59" t="s">
        <v>378</v>
      </c>
      <c r="C35" s="46" t="s">
        <v>351</v>
      </c>
      <c r="D35" s="36" t="s">
        <v>14</v>
      </c>
      <c r="E35" s="57" t="s">
        <v>1102</v>
      </c>
      <c r="F35" s="36" t="s">
        <v>279</v>
      </c>
      <c r="G35" s="28" t="s">
        <v>2</v>
      </c>
      <c r="H35" s="36"/>
      <c r="I35" t="str">
        <f>IFERROR(HYPERLINK("#Main!A"&amp;MATCH(A35,Main!A:A,0),"Open"),HYPERLINK("#Main!A1","Open"))</f>
        <v>Open</v>
      </c>
      <c r="J35" t="str">
        <f t="shared" ca="1" si="1"/>
        <v>Open</v>
      </c>
    </row>
    <row r="36" spans="1:11" ht="30" customHeight="1" x14ac:dyDescent="0.25">
      <c r="A36" s="32" t="s">
        <v>152</v>
      </c>
      <c r="B36" s="58" t="s">
        <v>380</v>
      </c>
      <c r="C36" s="46" t="s">
        <v>351</v>
      </c>
      <c r="D36" s="27" t="s">
        <v>20</v>
      </c>
      <c r="E36" s="56" t="s">
        <v>1103</v>
      </c>
      <c r="F36" s="27" t="s">
        <v>290</v>
      </c>
      <c r="G36" s="28" t="s">
        <v>2</v>
      </c>
      <c r="H36" s="27"/>
      <c r="I36" s="33" t="str">
        <f>IFERROR(HYPERLINK("#Main!A"&amp;MATCH(A36,Main!A:A,0),"Open"),HYPERLINK("#Main!A1","Open"))</f>
        <v>Open</v>
      </c>
      <c r="J36" s="33" t="str">
        <f t="shared" ca="1" si="1"/>
        <v>Open</v>
      </c>
      <c r="K36" s="33"/>
    </row>
    <row r="37" spans="1:11" ht="30" customHeight="1" x14ac:dyDescent="0.25">
      <c r="A37" s="29" t="s">
        <v>152</v>
      </c>
      <c r="B37" s="59" t="s">
        <v>384</v>
      </c>
      <c r="C37" s="46" t="s">
        <v>351</v>
      </c>
      <c r="D37" s="36" t="s">
        <v>14</v>
      </c>
      <c r="E37" s="57" t="s">
        <v>1104</v>
      </c>
      <c r="F37" s="36" t="s">
        <v>290</v>
      </c>
      <c r="G37" s="28" t="s">
        <v>2</v>
      </c>
      <c r="H37" s="36"/>
      <c r="I37" t="str">
        <f>IFERROR(HYPERLINK("#Main!A"&amp;MATCH(A37,Main!A:A,0),"Open"),HYPERLINK("#Main!A1","Open"))</f>
        <v>Open</v>
      </c>
      <c r="J37" t="str">
        <f t="shared" ca="1" si="1"/>
        <v>Open</v>
      </c>
    </row>
    <row r="38" spans="1:11" ht="30" customHeight="1" x14ac:dyDescent="0.25">
      <c r="A38" s="32" t="s">
        <v>152</v>
      </c>
      <c r="B38" s="58" t="s">
        <v>388</v>
      </c>
      <c r="C38" s="46" t="s">
        <v>351</v>
      </c>
      <c r="D38" s="27" t="s">
        <v>14</v>
      </c>
      <c r="E38" s="56" t="s">
        <v>1105</v>
      </c>
      <c r="F38" s="27" t="s">
        <v>290</v>
      </c>
      <c r="G38" s="28" t="s">
        <v>2</v>
      </c>
      <c r="H38" s="27"/>
      <c r="I38" s="33" t="str">
        <f>IFERROR(HYPERLINK("#Main!A"&amp;MATCH(A38,Main!A:A,0),"Open"),HYPERLINK("#Main!A1","Open"))</f>
        <v>Open</v>
      </c>
      <c r="J38" s="33" t="str">
        <f t="shared" ca="1" si="1"/>
        <v>Open</v>
      </c>
      <c r="K38" s="33"/>
    </row>
    <row r="39" spans="1:11" ht="30" customHeight="1" x14ac:dyDescent="0.25">
      <c r="A39" s="29" t="s">
        <v>152</v>
      </c>
      <c r="B39" s="59" t="s">
        <v>392</v>
      </c>
      <c r="C39" s="46" t="s">
        <v>351</v>
      </c>
      <c r="D39" s="36" t="s">
        <v>14</v>
      </c>
      <c r="E39" s="57" t="s">
        <v>1106</v>
      </c>
      <c r="F39" s="36" t="s">
        <v>290</v>
      </c>
      <c r="G39" s="28" t="s">
        <v>2</v>
      </c>
      <c r="H39" s="36"/>
      <c r="I39" t="str">
        <f>IFERROR(HYPERLINK("#Main!A"&amp;MATCH(A39,Main!A:A,0),"Open"),HYPERLINK("#Main!A1","Open"))</f>
        <v>Open</v>
      </c>
      <c r="J39" t="str">
        <f t="shared" ca="1" si="1"/>
        <v>Open</v>
      </c>
    </row>
    <row r="40" spans="1:11" ht="30" customHeight="1" x14ac:dyDescent="0.25">
      <c r="A40" s="32" t="s">
        <v>169</v>
      </c>
      <c r="B40" s="58" t="s">
        <v>308</v>
      </c>
      <c r="C40" s="28" t="s">
        <v>71</v>
      </c>
      <c r="D40" s="27" t="s">
        <v>24</v>
      </c>
      <c r="E40" s="56" t="s">
        <v>1107</v>
      </c>
      <c r="F40" s="27" t="s">
        <v>295</v>
      </c>
      <c r="G40" s="28" t="s">
        <v>2</v>
      </c>
      <c r="H40" s="27"/>
      <c r="I40" s="33" t="str">
        <f>IFERROR(HYPERLINK("#Main!A"&amp;MATCH(A40,Main!A:A,0),"Open"),HYPERLINK("#Main!A1","Open"))</f>
        <v>Open</v>
      </c>
      <c r="J40" s="33" t="str">
        <f t="shared" ca="1" si="1"/>
        <v>Open</v>
      </c>
      <c r="K40" s="33"/>
    </row>
    <row r="41" spans="1:11" ht="30" customHeight="1" x14ac:dyDescent="0.25">
      <c r="A41" s="29" t="s">
        <v>169</v>
      </c>
      <c r="B41" s="59" t="s">
        <v>343</v>
      </c>
      <c r="C41" s="31" t="s">
        <v>72</v>
      </c>
      <c r="D41" s="36" t="s">
        <v>14</v>
      </c>
      <c r="E41" s="57" t="s">
        <v>1108</v>
      </c>
      <c r="F41" s="36" t="s">
        <v>290</v>
      </c>
      <c r="G41" s="28" t="s">
        <v>2</v>
      </c>
      <c r="H41" s="36"/>
      <c r="I41" t="str">
        <f>IFERROR(HYPERLINK("#Main!A"&amp;MATCH(A41,Main!A:A,0),"Open"),HYPERLINK("#Main!A1","Open"))</f>
        <v>Open</v>
      </c>
      <c r="J41" t="str">
        <f t="shared" ca="1" si="1"/>
        <v>Open</v>
      </c>
    </row>
    <row r="42" spans="1:11" ht="30" customHeight="1" x14ac:dyDescent="0.25">
      <c r="A42" s="32" t="s">
        <v>169</v>
      </c>
      <c r="B42" s="58" t="s">
        <v>334</v>
      </c>
      <c r="C42" s="31" t="s">
        <v>72</v>
      </c>
      <c r="D42" s="27" t="s">
        <v>14</v>
      </c>
      <c r="E42" s="56" t="s">
        <v>1109</v>
      </c>
      <c r="F42" s="27" t="s">
        <v>290</v>
      </c>
      <c r="G42" s="28" t="s">
        <v>2</v>
      </c>
      <c r="H42" s="27"/>
      <c r="I42" s="33" t="str">
        <f>IFERROR(HYPERLINK("#Main!A"&amp;MATCH(A42,Main!A:A,0),"Open"),HYPERLINK("#Main!A1","Open"))</f>
        <v>Open</v>
      </c>
      <c r="J42" s="33" t="str">
        <f t="shared" ca="1" si="1"/>
        <v>Open</v>
      </c>
      <c r="K42" s="33"/>
    </row>
    <row r="43" spans="1:11" ht="30" customHeight="1" x14ac:dyDescent="0.25">
      <c r="A43" s="29" t="s">
        <v>169</v>
      </c>
      <c r="B43" s="59" t="s">
        <v>336</v>
      </c>
      <c r="C43" s="31" t="s">
        <v>72</v>
      </c>
      <c r="D43" s="36" t="s">
        <v>20</v>
      </c>
      <c r="E43" s="57" t="s">
        <v>1110</v>
      </c>
      <c r="F43" s="36" t="s">
        <v>290</v>
      </c>
      <c r="G43" s="28" t="s">
        <v>2</v>
      </c>
      <c r="H43" s="36"/>
      <c r="I43" t="str">
        <f>IFERROR(HYPERLINK("#Main!A"&amp;MATCH(A43,Main!A:A,0),"Open"),HYPERLINK("#Main!A1","Open"))</f>
        <v>Open</v>
      </c>
      <c r="J43" t="str">
        <f t="shared" ca="1" si="1"/>
        <v>Open</v>
      </c>
    </row>
    <row r="44" spans="1:11" ht="30" customHeight="1" x14ac:dyDescent="0.25">
      <c r="A44" s="32" t="s">
        <v>169</v>
      </c>
      <c r="B44" s="58" t="s">
        <v>378</v>
      </c>
      <c r="C44" s="46" t="s">
        <v>351</v>
      </c>
      <c r="D44" s="27" t="s">
        <v>14</v>
      </c>
      <c r="E44" s="56" t="s">
        <v>1111</v>
      </c>
      <c r="F44" s="27" t="s">
        <v>279</v>
      </c>
      <c r="G44" s="28" t="s">
        <v>2</v>
      </c>
      <c r="H44" s="27"/>
      <c r="I44" s="33" t="str">
        <f>IFERROR(HYPERLINK("#Main!A"&amp;MATCH(A44,Main!A:A,0),"Open"),HYPERLINK("#Main!A1","Open"))</f>
        <v>Open</v>
      </c>
      <c r="J44" s="33" t="str">
        <f t="shared" ca="1" si="1"/>
        <v>Open</v>
      </c>
      <c r="K44" s="33"/>
    </row>
    <row r="45" spans="1:11" ht="30" customHeight="1" x14ac:dyDescent="0.25">
      <c r="A45" s="29" t="s">
        <v>169</v>
      </c>
      <c r="B45" s="59" t="s">
        <v>371</v>
      </c>
      <c r="C45" s="46" t="s">
        <v>351</v>
      </c>
      <c r="D45" s="36" t="s">
        <v>14</v>
      </c>
      <c r="E45" s="57" t="s">
        <v>1112</v>
      </c>
      <c r="F45" s="36" t="s">
        <v>290</v>
      </c>
      <c r="G45" s="28" t="s">
        <v>2</v>
      </c>
      <c r="H45" s="36"/>
      <c r="I45" t="str">
        <f>IFERROR(HYPERLINK("#Main!A"&amp;MATCH(A45,Main!A:A,0),"Open"),HYPERLINK("#Main!A1","Open"))</f>
        <v>Open</v>
      </c>
      <c r="J45" t="str">
        <f t="shared" ca="1" si="1"/>
        <v>Open</v>
      </c>
    </row>
    <row r="46" spans="1:11" ht="30" customHeight="1" x14ac:dyDescent="0.25">
      <c r="A46" s="32" t="s">
        <v>169</v>
      </c>
      <c r="B46" s="58" t="s">
        <v>380</v>
      </c>
      <c r="C46" s="46" t="s">
        <v>351</v>
      </c>
      <c r="D46" s="27" t="s">
        <v>20</v>
      </c>
      <c r="E46" s="56" t="s">
        <v>1113</v>
      </c>
      <c r="F46" s="27" t="s">
        <v>290</v>
      </c>
      <c r="G46" s="28" t="s">
        <v>2</v>
      </c>
      <c r="H46" s="27"/>
      <c r="I46" s="33" t="str">
        <f>IFERROR(HYPERLINK("#Main!A"&amp;MATCH(A46,Main!A:A,0),"Open"),HYPERLINK("#Main!A1","Open"))</f>
        <v>Open</v>
      </c>
      <c r="J46" s="33" t="str">
        <f t="shared" ca="1" si="1"/>
        <v>Open</v>
      </c>
      <c r="K46" s="33"/>
    </row>
    <row r="47" spans="1:11" ht="30" customHeight="1" x14ac:dyDescent="0.25">
      <c r="A47" s="29" t="s">
        <v>169</v>
      </c>
      <c r="B47" s="59" t="s">
        <v>384</v>
      </c>
      <c r="C47" s="46" t="s">
        <v>351</v>
      </c>
      <c r="D47" s="36" t="s">
        <v>14</v>
      </c>
      <c r="E47" s="57" t="s">
        <v>1114</v>
      </c>
      <c r="F47" s="36" t="s">
        <v>290</v>
      </c>
      <c r="G47" s="28" t="s">
        <v>2</v>
      </c>
      <c r="H47" s="36"/>
      <c r="I47" t="str">
        <f>IFERROR(HYPERLINK("#Main!A"&amp;MATCH(A47,Main!A:A,0),"Open"),HYPERLINK("#Main!A1","Open"))</f>
        <v>Open</v>
      </c>
      <c r="J47" t="str">
        <f t="shared" ca="1" si="1"/>
        <v>Open</v>
      </c>
    </row>
    <row r="48" spans="1:11" ht="30" customHeight="1" x14ac:dyDescent="0.25">
      <c r="A48" s="32" t="s">
        <v>169</v>
      </c>
      <c r="B48" s="58" t="s">
        <v>388</v>
      </c>
      <c r="C48" s="46" t="s">
        <v>351</v>
      </c>
      <c r="D48" s="27" t="s">
        <v>14</v>
      </c>
      <c r="E48" s="56" t="s">
        <v>1115</v>
      </c>
      <c r="F48" s="27" t="s">
        <v>290</v>
      </c>
      <c r="G48" s="28" t="s">
        <v>2</v>
      </c>
      <c r="H48" s="27"/>
      <c r="I48" s="33" t="str">
        <f>IFERROR(HYPERLINK("#Main!A"&amp;MATCH(A48,Main!A:A,0),"Open"),HYPERLINK("#Main!A1","Open"))</f>
        <v>Open</v>
      </c>
      <c r="J48" s="33" t="str">
        <f t="shared" ca="1" si="1"/>
        <v>Open</v>
      </c>
      <c r="K48" s="33"/>
    </row>
    <row r="49" spans="1:11" ht="30" customHeight="1" x14ac:dyDescent="0.25">
      <c r="A49" s="29" t="s">
        <v>169</v>
      </c>
      <c r="B49" s="59" t="s">
        <v>392</v>
      </c>
      <c r="C49" s="46" t="s">
        <v>351</v>
      </c>
      <c r="D49" s="36" t="s">
        <v>14</v>
      </c>
      <c r="E49" s="57" t="s">
        <v>1116</v>
      </c>
      <c r="F49" s="36" t="s">
        <v>290</v>
      </c>
      <c r="G49" s="28" t="s">
        <v>2</v>
      </c>
      <c r="H49" s="36"/>
      <c r="I49" t="str">
        <f>IFERROR(HYPERLINK("#Main!A"&amp;MATCH(A49,Main!A:A,0),"Open"),HYPERLINK("#Main!A1","Open"))</f>
        <v>Open</v>
      </c>
      <c r="J49" t="str">
        <f t="shared" ca="1" si="1"/>
        <v>Open</v>
      </c>
    </row>
    <row r="50" spans="1:11" ht="30" customHeight="1" x14ac:dyDescent="0.25">
      <c r="A50" s="32" t="s">
        <v>161</v>
      </c>
      <c r="B50" s="58" t="s">
        <v>308</v>
      </c>
      <c r="C50" s="28" t="s">
        <v>71</v>
      </c>
      <c r="D50" s="27" t="s">
        <v>24</v>
      </c>
      <c r="E50" s="56" t="s">
        <v>1117</v>
      </c>
      <c r="F50" s="27" t="s">
        <v>295</v>
      </c>
      <c r="G50" s="28" t="s">
        <v>2</v>
      </c>
      <c r="H50" s="27"/>
      <c r="I50" s="33" t="str">
        <f>IFERROR(HYPERLINK("#Main!A"&amp;MATCH(A50,Main!A:A,0),"Open"),HYPERLINK("#Main!A1","Open"))</f>
        <v>Open</v>
      </c>
      <c r="J50" s="33" t="str">
        <f t="shared" ca="1" si="1"/>
        <v>Open</v>
      </c>
      <c r="K50" s="33"/>
    </row>
    <row r="51" spans="1:11" ht="30" customHeight="1" x14ac:dyDescent="0.25">
      <c r="A51" s="29" t="s">
        <v>161</v>
      </c>
      <c r="B51" s="59" t="s">
        <v>343</v>
      </c>
      <c r="C51" s="31" t="s">
        <v>72</v>
      </c>
      <c r="D51" s="36" t="s">
        <v>14</v>
      </c>
      <c r="E51" s="57" t="s">
        <v>1118</v>
      </c>
      <c r="F51" s="36" t="s">
        <v>290</v>
      </c>
      <c r="G51" s="28" t="s">
        <v>2</v>
      </c>
      <c r="H51" s="36"/>
      <c r="I51" t="str">
        <f>IFERROR(HYPERLINK("#Main!A"&amp;MATCH(A51,Main!A:A,0),"Open"),HYPERLINK("#Main!A1","Open"))</f>
        <v>Open</v>
      </c>
      <c r="J51" t="str">
        <f t="shared" ca="1" si="1"/>
        <v>Open</v>
      </c>
    </row>
    <row r="52" spans="1:11" ht="30" customHeight="1" x14ac:dyDescent="0.25">
      <c r="A52" s="32" t="s">
        <v>161</v>
      </c>
      <c r="B52" s="58" t="s">
        <v>334</v>
      </c>
      <c r="C52" s="31" t="s">
        <v>72</v>
      </c>
      <c r="D52" s="27" t="s">
        <v>14</v>
      </c>
      <c r="E52" s="56" t="s">
        <v>1119</v>
      </c>
      <c r="F52" s="27" t="s">
        <v>290</v>
      </c>
      <c r="G52" s="28" t="s">
        <v>2</v>
      </c>
      <c r="H52" s="27"/>
      <c r="I52" s="33" t="str">
        <f>IFERROR(HYPERLINK("#Main!A"&amp;MATCH(A52,Main!A:A,0),"Open"),HYPERLINK("#Main!A1","Open"))</f>
        <v>Open</v>
      </c>
      <c r="J52" s="33" t="str">
        <f t="shared" ca="1" si="1"/>
        <v>Open</v>
      </c>
      <c r="K52" s="33"/>
    </row>
    <row r="53" spans="1:11" ht="30" customHeight="1" x14ac:dyDescent="0.25">
      <c r="A53" s="29" t="s">
        <v>161</v>
      </c>
      <c r="B53" s="59" t="s">
        <v>336</v>
      </c>
      <c r="C53" s="31" t="s">
        <v>72</v>
      </c>
      <c r="D53" s="36" t="s">
        <v>20</v>
      </c>
      <c r="E53" s="57" t="s">
        <v>1120</v>
      </c>
      <c r="F53" s="36" t="s">
        <v>290</v>
      </c>
      <c r="G53" s="28" t="s">
        <v>2</v>
      </c>
      <c r="H53" s="36"/>
      <c r="I53" t="str">
        <f>IFERROR(HYPERLINK("#Main!A"&amp;MATCH(A53,Main!A:A,0),"Open"),HYPERLINK("#Main!A1","Open"))</f>
        <v>Open</v>
      </c>
      <c r="J53" t="str">
        <f t="shared" ca="1" si="1"/>
        <v>Open</v>
      </c>
    </row>
    <row r="54" spans="1:11" ht="30" customHeight="1" x14ac:dyDescent="0.25">
      <c r="A54" s="32" t="s">
        <v>161</v>
      </c>
      <c r="B54" s="58" t="s">
        <v>378</v>
      </c>
      <c r="C54" s="46" t="s">
        <v>351</v>
      </c>
      <c r="D54" s="27" t="s">
        <v>14</v>
      </c>
      <c r="E54" s="56" t="s">
        <v>1121</v>
      </c>
      <c r="F54" s="27" t="s">
        <v>279</v>
      </c>
      <c r="G54" s="28" t="s">
        <v>2</v>
      </c>
      <c r="H54" s="27"/>
      <c r="I54" s="33" t="str">
        <f>IFERROR(HYPERLINK("#Main!A"&amp;MATCH(A54,Main!A:A,0),"Open"),HYPERLINK("#Main!A1","Open"))</f>
        <v>Open</v>
      </c>
      <c r="J54" s="33" t="str">
        <f t="shared" ca="1" si="1"/>
        <v>Open</v>
      </c>
      <c r="K54" s="33"/>
    </row>
    <row r="55" spans="1:11" ht="30" customHeight="1" x14ac:dyDescent="0.25">
      <c r="A55" s="29" t="s">
        <v>161</v>
      </c>
      <c r="B55" s="59" t="s">
        <v>371</v>
      </c>
      <c r="C55" s="46" t="s">
        <v>351</v>
      </c>
      <c r="D55" s="36" t="s">
        <v>14</v>
      </c>
      <c r="E55" s="57" t="s">
        <v>1122</v>
      </c>
      <c r="F55" s="36" t="s">
        <v>290</v>
      </c>
      <c r="G55" s="28" t="s">
        <v>2</v>
      </c>
      <c r="H55" s="36"/>
      <c r="I55" t="str">
        <f>IFERROR(HYPERLINK("#Main!A"&amp;MATCH(A55,Main!A:A,0),"Open"),HYPERLINK("#Main!A1","Open"))</f>
        <v>Open</v>
      </c>
      <c r="J55" t="str">
        <f t="shared" ca="1" si="1"/>
        <v>Open</v>
      </c>
    </row>
    <row r="56" spans="1:11" ht="30" customHeight="1" x14ac:dyDescent="0.25">
      <c r="A56" s="32" t="s">
        <v>161</v>
      </c>
      <c r="B56" s="58" t="s">
        <v>380</v>
      </c>
      <c r="C56" s="46" t="s">
        <v>351</v>
      </c>
      <c r="D56" s="27" t="s">
        <v>20</v>
      </c>
      <c r="E56" s="56" t="s">
        <v>1123</v>
      </c>
      <c r="F56" s="27" t="s">
        <v>290</v>
      </c>
      <c r="G56" s="28" t="s">
        <v>2</v>
      </c>
      <c r="H56" s="27"/>
      <c r="I56" s="33" t="str">
        <f>IFERROR(HYPERLINK("#Main!A"&amp;MATCH(A56,Main!A:A,0),"Open"),HYPERLINK("#Main!A1","Open"))</f>
        <v>Open</v>
      </c>
      <c r="J56" s="33" t="str">
        <f t="shared" ca="1" si="1"/>
        <v>Open</v>
      </c>
      <c r="K56" s="33"/>
    </row>
    <row r="57" spans="1:11" ht="30" customHeight="1" x14ac:dyDescent="0.25">
      <c r="A57" s="29" t="s">
        <v>161</v>
      </c>
      <c r="B57" s="59" t="s">
        <v>384</v>
      </c>
      <c r="C57" s="46" t="s">
        <v>351</v>
      </c>
      <c r="D57" s="36" t="s">
        <v>14</v>
      </c>
      <c r="E57" s="57" t="s">
        <v>1124</v>
      </c>
      <c r="F57" s="36" t="s">
        <v>290</v>
      </c>
      <c r="G57" s="28" t="s">
        <v>2</v>
      </c>
      <c r="H57" s="36"/>
      <c r="I57" t="str">
        <f>IFERROR(HYPERLINK("#Main!A"&amp;MATCH(A57,Main!A:A,0),"Open"),HYPERLINK("#Main!A1","Open"))</f>
        <v>Open</v>
      </c>
      <c r="J57" t="str">
        <f t="shared" ca="1" si="1"/>
        <v>Open</v>
      </c>
    </row>
    <row r="58" spans="1:11" ht="30" customHeight="1" x14ac:dyDescent="0.25">
      <c r="A58" s="32" t="s">
        <v>161</v>
      </c>
      <c r="B58" s="58" t="s">
        <v>388</v>
      </c>
      <c r="C58" s="46" t="s">
        <v>351</v>
      </c>
      <c r="D58" s="27" t="s">
        <v>14</v>
      </c>
      <c r="E58" s="56" t="s">
        <v>1125</v>
      </c>
      <c r="F58" s="27" t="s">
        <v>290</v>
      </c>
      <c r="G58" s="28" t="s">
        <v>2</v>
      </c>
      <c r="H58" s="27"/>
      <c r="I58" s="33" t="str">
        <f>IFERROR(HYPERLINK("#Main!A"&amp;MATCH(A58,Main!A:A,0),"Open"),HYPERLINK("#Main!A1","Open"))</f>
        <v>Open</v>
      </c>
      <c r="J58" s="33" t="str">
        <f t="shared" ca="1" si="1"/>
        <v>Open</v>
      </c>
      <c r="K58" s="33"/>
    </row>
    <row r="59" spans="1:11" ht="30" customHeight="1" x14ac:dyDescent="0.25">
      <c r="A59" s="29" t="s">
        <v>161</v>
      </c>
      <c r="B59" s="59" t="s">
        <v>392</v>
      </c>
      <c r="C59" s="46" t="s">
        <v>351</v>
      </c>
      <c r="D59" s="36" t="s">
        <v>14</v>
      </c>
      <c r="E59" s="57" t="s">
        <v>1126</v>
      </c>
      <c r="F59" s="36" t="s">
        <v>290</v>
      </c>
      <c r="G59" s="28" t="s">
        <v>2</v>
      </c>
      <c r="H59" s="36"/>
      <c r="I59" t="str">
        <f>IFERROR(HYPERLINK("#Main!A"&amp;MATCH(A59,Main!A:A,0),"Open"),HYPERLINK("#Main!A1","Open"))</f>
        <v>Open</v>
      </c>
      <c r="J59" t="str">
        <f t="shared" ca="1" si="1"/>
        <v>Open</v>
      </c>
    </row>
    <row r="60" spans="1:11" ht="30" customHeight="1" x14ac:dyDescent="0.25">
      <c r="A60" s="32" t="s">
        <v>177</v>
      </c>
      <c r="B60" s="58" t="s">
        <v>308</v>
      </c>
      <c r="C60" s="28" t="s">
        <v>71</v>
      </c>
      <c r="D60" s="27" t="s">
        <v>24</v>
      </c>
      <c r="E60" s="56" t="s">
        <v>1127</v>
      </c>
      <c r="F60" s="27" t="s">
        <v>295</v>
      </c>
      <c r="G60" s="28" t="s">
        <v>2</v>
      </c>
      <c r="H60" s="27"/>
      <c r="I60" s="33" t="str">
        <f>IFERROR(HYPERLINK("#Main!A"&amp;MATCH(A60,Main!A:A,0),"Open"),HYPERLINK("#Main!A1","Open"))</f>
        <v>Open</v>
      </c>
      <c r="J60" s="33" t="str">
        <f t="shared" ca="1" si="1"/>
        <v>Open</v>
      </c>
      <c r="K60" s="33"/>
    </row>
    <row r="61" spans="1:11" ht="30" customHeight="1" x14ac:dyDescent="0.25">
      <c r="A61" s="29" t="s">
        <v>177</v>
      </c>
      <c r="B61" s="59" t="s">
        <v>343</v>
      </c>
      <c r="C61" s="31" t="s">
        <v>72</v>
      </c>
      <c r="D61" s="36" t="s">
        <v>14</v>
      </c>
      <c r="E61" s="57" t="s">
        <v>1128</v>
      </c>
      <c r="F61" s="36" t="s">
        <v>290</v>
      </c>
      <c r="G61" s="28" t="s">
        <v>2</v>
      </c>
      <c r="H61" s="36"/>
      <c r="I61" t="str">
        <f>IFERROR(HYPERLINK("#Main!A"&amp;MATCH(A61,Main!A:A,0),"Open"),HYPERLINK("#Main!A1","Open"))</f>
        <v>Open</v>
      </c>
      <c r="J61" t="str">
        <f t="shared" ca="1" si="1"/>
        <v>Open</v>
      </c>
    </row>
    <row r="62" spans="1:11" ht="30" customHeight="1" x14ac:dyDescent="0.25">
      <c r="A62" s="32" t="s">
        <v>177</v>
      </c>
      <c r="B62" s="58" t="s">
        <v>334</v>
      </c>
      <c r="C62" s="31" t="s">
        <v>72</v>
      </c>
      <c r="D62" s="27" t="s">
        <v>14</v>
      </c>
      <c r="E62" s="56" t="s">
        <v>1129</v>
      </c>
      <c r="F62" s="27" t="s">
        <v>290</v>
      </c>
      <c r="G62" s="28" t="s">
        <v>2</v>
      </c>
      <c r="H62" s="27"/>
      <c r="I62" s="33" t="str">
        <f>IFERROR(HYPERLINK("#Main!A"&amp;MATCH(A62,Main!A:A,0),"Open"),HYPERLINK("#Main!A1","Open"))</f>
        <v>Open</v>
      </c>
      <c r="J62" s="33" t="str">
        <f t="shared" ca="1" si="1"/>
        <v>Open</v>
      </c>
      <c r="K62" s="33"/>
    </row>
    <row r="63" spans="1:11" ht="30" customHeight="1" x14ac:dyDescent="0.25">
      <c r="A63" s="29" t="s">
        <v>177</v>
      </c>
      <c r="B63" s="59" t="s">
        <v>336</v>
      </c>
      <c r="C63" s="31" t="s">
        <v>72</v>
      </c>
      <c r="D63" s="36" t="s">
        <v>20</v>
      </c>
      <c r="E63" s="57" t="s">
        <v>1130</v>
      </c>
      <c r="F63" s="36" t="s">
        <v>290</v>
      </c>
      <c r="G63" s="28" t="s">
        <v>2</v>
      </c>
      <c r="H63" s="36"/>
      <c r="I63" t="str">
        <f>IFERROR(HYPERLINK("#Main!A"&amp;MATCH(A63,Main!A:A,0),"Open"),HYPERLINK("#Main!A1","Open"))</f>
        <v>Open</v>
      </c>
      <c r="J63" t="str">
        <f t="shared" ca="1" si="1"/>
        <v>Open</v>
      </c>
    </row>
    <row r="64" spans="1:11" ht="30" customHeight="1" x14ac:dyDescent="0.25">
      <c r="A64" s="32" t="s">
        <v>177</v>
      </c>
      <c r="B64" s="58" t="s">
        <v>378</v>
      </c>
      <c r="C64" s="46" t="s">
        <v>351</v>
      </c>
      <c r="D64" s="27" t="s">
        <v>14</v>
      </c>
      <c r="E64" s="56" t="s">
        <v>1131</v>
      </c>
      <c r="F64" s="27" t="s">
        <v>279</v>
      </c>
      <c r="G64" s="28" t="s">
        <v>2</v>
      </c>
      <c r="H64" s="27"/>
      <c r="I64" s="33" t="str">
        <f>IFERROR(HYPERLINK("#Main!A"&amp;MATCH(A64,Main!A:A,0),"Open"),HYPERLINK("#Main!A1","Open"))</f>
        <v>Open</v>
      </c>
      <c r="J64" s="33" t="str">
        <f t="shared" ca="1" si="1"/>
        <v>Open</v>
      </c>
      <c r="K64" s="33"/>
    </row>
    <row r="65" spans="1:11" ht="30" customHeight="1" x14ac:dyDescent="0.25">
      <c r="A65" s="29" t="s">
        <v>177</v>
      </c>
      <c r="B65" s="59" t="s">
        <v>380</v>
      </c>
      <c r="C65" s="46" t="s">
        <v>351</v>
      </c>
      <c r="D65" s="36" t="s">
        <v>20</v>
      </c>
      <c r="E65" s="57" t="s">
        <v>1132</v>
      </c>
      <c r="F65" s="36" t="s">
        <v>290</v>
      </c>
      <c r="G65" s="28" t="s">
        <v>2</v>
      </c>
      <c r="H65" s="36"/>
      <c r="I65" t="str">
        <f>IFERROR(HYPERLINK("#Main!A"&amp;MATCH(A65,Main!A:A,0),"Open"),HYPERLINK("#Main!A1","Open"))</f>
        <v>Open</v>
      </c>
      <c r="J65" t="str">
        <f t="shared" ca="1" si="1"/>
        <v>Open</v>
      </c>
    </row>
    <row r="66" spans="1:11" ht="30" customHeight="1" x14ac:dyDescent="0.25">
      <c r="A66" s="32" t="s">
        <v>177</v>
      </c>
      <c r="B66" s="58" t="s">
        <v>384</v>
      </c>
      <c r="C66" s="46" t="s">
        <v>351</v>
      </c>
      <c r="D66" s="27" t="s">
        <v>14</v>
      </c>
      <c r="E66" s="56" t="s">
        <v>1133</v>
      </c>
      <c r="F66" s="27" t="s">
        <v>290</v>
      </c>
      <c r="G66" s="28" t="s">
        <v>2</v>
      </c>
      <c r="H66" s="27"/>
      <c r="I66" s="33" t="str">
        <f>IFERROR(HYPERLINK("#Main!A"&amp;MATCH(A66,Main!A:A,0),"Open"),HYPERLINK("#Main!A1","Open"))</f>
        <v>Open</v>
      </c>
      <c r="J66" s="33" t="str">
        <f t="shared" ref="J66:J95" ca="1" si="2">IFERROR(HYPERLINK("#"&amp;D66&amp;"!A"&amp;MATCH(A66,INDIRECT("'"&amp;D66&amp;"'!A:A"),0),"Open"),HYPERLINK("#"&amp;D66&amp;"!A1","Open"))</f>
        <v>Open</v>
      </c>
      <c r="K66" s="33"/>
    </row>
    <row r="67" spans="1:11" ht="30" customHeight="1" x14ac:dyDescent="0.25">
      <c r="A67" s="29" t="s">
        <v>177</v>
      </c>
      <c r="B67" s="59" t="s">
        <v>388</v>
      </c>
      <c r="C67" s="46" t="s">
        <v>351</v>
      </c>
      <c r="D67" s="36" t="s">
        <v>14</v>
      </c>
      <c r="E67" s="57" t="s">
        <v>1134</v>
      </c>
      <c r="F67" s="36" t="s">
        <v>290</v>
      </c>
      <c r="G67" s="28" t="s">
        <v>2</v>
      </c>
      <c r="H67" s="36"/>
      <c r="I67" t="str">
        <f>IFERROR(HYPERLINK("#Main!A"&amp;MATCH(A67,Main!A:A,0),"Open"),HYPERLINK("#Main!A1","Open"))</f>
        <v>Open</v>
      </c>
      <c r="J67" t="str">
        <f t="shared" ca="1" si="2"/>
        <v>Open</v>
      </c>
    </row>
    <row r="68" spans="1:11" ht="30" customHeight="1" x14ac:dyDescent="0.25">
      <c r="A68" s="32" t="s">
        <v>177</v>
      </c>
      <c r="B68" s="58" t="s">
        <v>392</v>
      </c>
      <c r="C68" s="46" t="s">
        <v>351</v>
      </c>
      <c r="D68" s="27" t="s">
        <v>14</v>
      </c>
      <c r="E68" s="56" t="s">
        <v>1135</v>
      </c>
      <c r="F68" s="27" t="s">
        <v>290</v>
      </c>
      <c r="G68" s="28" t="s">
        <v>2</v>
      </c>
      <c r="H68" s="27"/>
      <c r="I68" s="33" t="str">
        <f>IFERROR(HYPERLINK("#Main!A"&amp;MATCH(A68,Main!A:A,0),"Open"),HYPERLINK("#Main!A1","Open"))</f>
        <v>Open</v>
      </c>
      <c r="J68" s="33" t="str">
        <f t="shared" ca="1" si="2"/>
        <v>Open</v>
      </c>
      <c r="K68" s="33"/>
    </row>
    <row r="69" spans="1:11" ht="30" customHeight="1" x14ac:dyDescent="0.25">
      <c r="A69" s="29" t="s">
        <v>186</v>
      </c>
      <c r="B69" s="59" t="s">
        <v>308</v>
      </c>
      <c r="C69" s="28" t="s">
        <v>71</v>
      </c>
      <c r="D69" s="36" t="s">
        <v>24</v>
      </c>
      <c r="E69" s="57" t="s">
        <v>1136</v>
      </c>
      <c r="F69" s="36" t="s">
        <v>295</v>
      </c>
      <c r="G69" s="28" t="s">
        <v>2</v>
      </c>
      <c r="H69" s="36"/>
      <c r="I69" t="str">
        <f>IFERROR(HYPERLINK("#Main!A"&amp;MATCH(A69,Main!A:A,0),"Open"),HYPERLINK("#Main!A1","Open"))</f>
        <v>Open</v>
      </c>
      <c r="J69" t="str">
        <f t="shared" ca="1" si="2"/>
        <v>Open</v>
      </c>
    </row>
    <row r="70" spans="1:11" ht="30" customHeight="1" x14ac:dyDescent="0.25">
      <c r="A70" s="32" t="s">
        <v>186</v>
      </c>
      <c r="B70" s="58" t="s">
        <v>334</v>
      </c>
      <c r="C70" s="31" t="s">
        <v>72</v>
      </c>
      <c r="D70" s="27" t="s">
        <v>14</v>
      </c>
      <c r="E70" s="56" t="s">
        <v>1137</v>
      </c>
      <c r="F70" s="27" t="s">
        <v>290</v>
      </c>
      <c r="G70" s="28" t="s">
        <v>2</v>
      </c>
      <c r="H70" s="27"/>
      <c r="I70" s="33" t="str">
        <f>IFERROR(HYPERLINK("#Main!A"&amp;MATCH(A70,Main!A:A,0),"Open"),HYPERLINK("#Main!A1","Open"))</f>
        <v>Open</v>
      </c>
      <c r="J70" s="33" t="str">
        <f t="shared" ca="1" si="2"/>
        <v>Open</v>
      </c>
      <c r="K70" s="33"/>
    </row>
    <row r="71" spans="1:11" ht="30" customHeight="1" x14ac:dyDescent="0.25">
      <c r="A71" s="29" t="s">
        <v>186</v>
      </c>
      <c r="B71" s="59" t="s">
        <v>336</v>
      </c>
      <c r="C71" s="31" t="s">
        <v>72</v>
      </c>
      <c r="D71" s="36" t="s">
        <v>20</v>
      </c>
      <c r="E71" s="57" t="s">
        <v>1138</v>
      </c>
      <c r="F71" s="36" t="s">
        <v>290</v>
      </c>
      <c r="G71" s="28" t="s">
        <v>2</v>
      </c>
      <c r="H71" s="36"/>
      <c r="I71" t="str">
        <f>IFERROR(HYPERLINK("#Main!A"&amp;MATCH(A71,Main!A:A,0),"Open"),HYPERLINK("#Main!A1","Open"))</f>
        <v>Open</v>
      </c>
      <c r="J71" t="str">
        <f t="shared" ca="1" si="2"/>
        <v>Open</v>
      </c>
    </row>
    <row r="72" spans="1:11" ht="30" customHeight="1" x14ac:dyDescent="0.25">
      <c r="A72" s="32" t="s">
        <v>186</v>
      </c>
      <c r="B72" s="58" t="s">
        <v>378</v>
      </c>
      <c r="C72" s="46" t="s">
        <v>351</v>
      </c>
      <c r="D72" s="27" t="s">
        <v>14</v>
      </c>
      <c r="E72" s="56" t="s">
        <v>1139</v>
      </c>
      <c r="F72" s="27" t="s">
        <v>279</v>
      </c>
      <c r="G72" s="28" t="s">
        <v>2</v>
      </c>
      <c r="H72" s="27"/>
      <c r="I72" s="33" t="str">
        <f>IFERROR(HYPERLINK("#Main!A"&amp;MATCH(A72,Main!A:A,0),"Open"),HYPERLINK("#Main!A1","Open"))</f>
        <v>Open</v>
      </c>
      <c r="J72" s="33" t="str">
        <f t="shared" ca="1" si="2"/>
        <v>Open</v>
      </c>
      <c r="K72" s="33"/>
    </row>
    <row r="73" spans="1:11" ht="30" customHeight="1" x14ac:dyDescent="0.25">
      <c r="A73" s="29" t="s">
        <v>186</v>
      </c>
      <c r="B73" s="59" t="s">
        <v>380</v>
      </c>
      <c r="C73" s="46" t="s">
        <v>351</v>
      </c>
      <c r="D73" s="36" t="s">
        <v>20</v>
      </c>
      <c r="E73" s="57" t="s">
        <v>1140</v>
      </c>
      <c r="F73" s="36" t="s">
        <v>290</v>
      </c>
      <c r="G73" s="28" t="s">
        <v>2</v>
      </c>
      <c r="H73" s="36"/>
      <c r="I73" t="str">
        <f>IFERROR(HYPERLINK("#Main!A"&amp;MATCH(A73,Main!A:A,0),"Open"),HYPERLINK("#Main!A1","Open"))</f>
        <v>Open</v>
      </c>
      <c r="J73" t="str">
        <f t="shared" ca="1" si="2"/>
        <v>Open</v>
      </c>
    </row>
    <row r="74" spans="1:11" ht="30" customHeight="1" x14ac:dyDescent="0.25">
      <c r="A74" s="32" t="s">
        <v>186</v>
      </c>
      <c r="B74" s="58" t="s">
        <v>384</v>
      </c>
      <c r="C74" s="46" t="s">
        <v>351</v>
      </c>
      <c r="D74" s="27" t="s">
        <v>14</v>
      </c>
      <c r="E74" s="56" t="s">
        <v>1141</v>
      </c>
      <c r="F74" s="27" t="s">
        <v>290</v>
      </c>
      <c r="G74" s="28" t="s">
        <v>2</v>
      </c>
      <c r="H74" s="27"/>
      <c r="I74" s="33" t="str">
        <f>IFERROR(HYPERLINK("#Main!A"&amp;MATCH(A74,Main!A:A,0),"Open"),HYPERLINK("#Main!A1","Open"))</f>
        <v>Open</v>
      </c>
      <c r="J74" s="33" t="str">
        <f t="shared" ca="1" si="2"/>
        <v>Open</v>
      </c>
      <c r="K74" s="33"/>
    </row>
    <row r="75" spans="1:11" ht="30" customHeight="1" x14ac:dyDescent="0.25">
      <c r="A75" s="29" t="s">
        <v>186</v>
      </c>
      <c r="B75" s="59" t="s">
        <v>388</v>
      </c>
      <c r="C75" s="46" t="s">
        <v>351</v>
      </c>
      <c r="D75" s="36" t="s">
        <v>14</v>
      </c>
      <c r="E75" s="57" t="s">
        <v>1142</v>
      </c>
      <c r="F75" s="36" t="s">
        <v>290</v>
      </c>
      <c r="G75" s="28" t="s">
        <v>2</v>
      </c>
      <c r="H75" s="36"/>
      <c r="I75" t="str">
        <f>IFERROR(HYPERLINK("#Main!A"&amp;MATCH(A75,Main!A:A,0),"Open"),HYPERLINK("#Main!A1","Open"))</f>
        <v>Open</v>
      </c>
      <c r="J75" t="str">
        <f t="shared" ca="1" si="2"/>
        <v>Open</v>
      </c>
    </row>
    <row r="76" spans="1:11" ht="30" customHeight="1" x14ac:dyDescent="0.25">
      <c r="A76" s="32" t="s">
        <v>186</v>
      </c>
      <c r="B76" s="58" t="s">
        <v>392</v>
      </c>
      <c r="C76" s="46" t="s">
        <v>351</v>
      </c>
      <c r="D76" s="27" t="s">
        <v>14</v>
      </c>
      <c r="E76" s="56" t="s">
        <v>1143</v>
      </c>
      <c r="F76" s="27" t="s">
        <v>290</v>
      </c>
      <c r="G76" s="28" t="s">
        <v>2</v>
      </c>
      <c r="H76" s="27"/>
      <c r="I76" s="33" t="str">
        <f>IFERROR(HYPERLINK("#Main!A"&amp;MATCH(A76,Main!A:A,0),"Open"),HYPERLINK("#Main!A1","Open"))</f>
        <v>Open</v>
      </c>
      <c r="J76" s="33" t="str">
        <f t="shared" ca="1" si="2"/>
        <v>Open</v>
      </c>
      <c r="K76" s="33"/>
    </row>
    <row r="77" spans="1:11" ht="30" customHeight="1" x14ac:dyDescent="0.25">
      <c r="A77" s="29" t="s">
        <v>194</v>
      </c>
      <c r="B77" s="59" t="s">
        <v>308</v>
      </c>
      <c r="C77" s="28" t="s">
        <v>71</v>
      </c>
      <c r="D77" s="36" t="s">
        <v>24</v>
      </c>
      <c r="E77" s="57" t="s">
        <v>1144</v>
      </c>
      <c r="F77" s="36" t="s">
        <v>295</v>
      </c>
      <c r="G77" s="28" t="s">
        <v>2</v>
      </c>
      <c r="H77" s="36"/>
      <c r="I77" t="str">
        <f>IFERROR(HYPERLINK("#Main!A"&amp;MATCH(A77,Main!A:A,0),"Open"),HYPERLINK("#Main!A1","Open"))</f>
        <v>Open</v>
      </c>
      <c r="J77" t="str">
        <f t="shared" ca="1" si="2"/>
        <v>Open</v>
      </c>
    </row>
    <row r="78" spans="1:11" ht="30" customHeight="1" x14ac:dyDescent="0.25">
      <c r="A78" s="32" t="s">
        <v>194</v>
      </c>
      <c r="B78" s="58" t="s">
        <v>334</v>
      </c>
      <c r="C78" s="31" t="s">
        <v>72</v>
      </c>
      <c r="D78" s="27" t="s">
        <v>14</v>
      </c>
      <c r="E78" s="56" t="s">
        <v>1145</v>
      </c>
      <c r="F78" s="27" t="s">
        <v>290</v>
      </c>
      <c r="G78" s="28" t="s">
        <v>2</v>
      </c>
      <c r="H78" s="27"/>
      <c r="I78" s="33" t="str">
        <f>IFERROR(HYPERLINK("#Main!A"&amp;MATCH(A78,Main!A:A,0),"Open"),HYPERLINK("#Main!A1","Open"))</f>
        <v>Open</v>
      </c>
      <c r="J78" s="33" t="str">
        <f t="shared" ca="1" si="2"/>
        <v>Open</v>
      </c>
      <c r="K78" s="33"/>
    </row>
    <row r="79" spans="1:11" ht="30" customHeight="1" x14ac:dyDescent="0.25">
      <c r="A79" s="29" t="s">
        <v>194</v>
      </c>
      <c r="B79" s="59" t="s">
        <v>336</v>
      </c>
      <c r="C79" s="31" t="s">
        <v>72</v>
      </c>
      <c r="D79" s="36" t="s">
        <v>20</v>
      </c>
      <c r="E79" s="57" t="s">
        <v>1146</v>
      </c>
      <c r="F79" s="36" t="s">
        <v>290</v>
      </c>
      <c r="G79" s="28" t="s">
        <v>2</v>
      </c>
      <c r="H79" s="36"/>
      <c r="I79" t="str">
        <f>IFERROR(HYPERLINK("#Main!A"&amp;MATCH(A79,Main!A:A,0),"Open"),HYPERLINK("#Main!A1","Open"))</f>
        <v>Open</v>
      </c>
      <c r="J79" t="str">
        <f t="shared" ca="1" si="2"/>
        <v>Open</v>
      </c>
    </row>
    <row r="80" spans="1:11" ht="30" customHeight="1" x14ac:dyDescent="0.25">
      <c r="A80" s="32" t="s">
        <v>194</v>
      </c>
      <c r="B80" s="58" t="s">
        <v>378</v>
      </c>
      <c r="C80" s="46" t="s">
        <v>351</v>
      </c>
      <c r="D80" s="27" t="s">
        <v>14</v>
      </c>
      <c r="E80" s="56" t="s">
        <v>1147</v>
      </c>
      <c r="F80" s="27" t="s">
        <v>279</v>
      </c>
      <c r="G80" s="28" t="s">
        <v>2</v>
      </c>
      <c r="H80" s="27"/>
      <c r="I80" s="33" t="str">
        <f>IFERROR(HYPERLINK("#Main!A"&amp;MATCH(A80,Main!A:A,0),"Open"),HYPERLINK("#Main!A1","Open"))</f>
        <v>Open</v>
      </c>
      <c r="J80" s="33" t="str">
        <f t="shared" ca="1" si="2"/>
        <v>Open</v>
      </c>
      <c r="K80" s="33"/>
    </row>
    <row r="81" spans="1:11" ht="30" customHeight="1" x14ac:dyDescent="0.25">
      <c r="A81" s="29" t="s">
        <v>194</v>
      </c>
      <c r="B81" s="59" t="s">
        <v>380</v>
      </c>
      <c r="C81" s="46" t="s">
        <v>351</v>
      </c>
      <c r="D81" s="36" t="s">
        <v>20</v>
      </c>
      <c r="E81" s="57" t="s">
        <v>1148</v>
      </c>
      <c r="F81" s="36" t="s">
        <v>290</v>
      </c>
      <c r="G81" s="28" t="s">
        <v>2</v>
      </c>
      <c r="H81" s="36"/>
      <c r="I81" t="str">
        <f>IFERROR(HYPERLINK("#Main!A"&amp;MATCH(A81,Main!A:A,0),"Open"),HYPERLINK("#Main!A1","Open"))</f>
        <v>Open</v>
      </c>
      <c r="J81" t="str">
        <f t="shared" ca="1" si="2"/>
        <v>Open</v>
      </c>
    </row>
    <row r="82" spans="1:11" ht="30" customHeight="1" x14ac:dyDescent="0.25">
      <c r="A82" s="32" t="s">
        <v>194</v>
      </c>
      <c r="B82" s="58" t="s">
        <v>384</v>
      </c>
      <c r="C82" s="46" t="s">
        <v>351</v>
      </c>
      <c r="D82" s="27" t="s">
        <v>14</v>
      </c>
      <c r="E82" s="56" t="s">
        <v>1149</v>
      </c>
      <c r="F82" s="27" t="s">
        <v>290</v>
      </c>
      <c r="G82" s="28" t="s">
        <v>2</v>
      </c>
      <c r="H82" s="27"/>
      <c r="I82" s="33" t="str">
        <f>IFERROR(HYPERLINK("#Main!A"&amp;MATCH(A82,Main!A:A,0),"Open"),HYPERLINK("#Main!A1","Open"))</f>
        <v>Open</v>
      </c>
      <c r="J82" s="33" t="str">
        <f t="shared" ca="1" si="2"/>
        <v>Open</v>
      </c>
      <c r="K82" s="33"/>
    </row>
    <row r="83" spans="1:11" ht="30" customHeight="1" x14ac:dyDescent="0.25">
      <c r="A83" s="29" t="s">
        <v>194</v>
      </c>
      <c r="B83" s="59" t="s">
        <v>388</v>
      </c>
      <c r="C83" s="46" t="s">
        <v>351</v>
      </c>
      <c r="D83" s="36" t="s">
        <v>14</v>
      </c>
      <c r="E83" s="57" t="s">
        <v>1150</v>
      </c>
      <c r="F83" s="36" t="s">
        <v>290</v>
      </c>
      <c r="G83" s="28" t="s">
        <v>2</v>
      </c>
      <c r="H83" s="36"/>
      <c r="I83" t="str">
        <f>IFERROR(HYPERLINK("#Main!A"&amp;MATCH(A83,Main!A:A,0),"Open"),HYPERLINK("#Main!A1","Open"))</f>
        <v>Open</v>
      </c>
      <c r="J83" t="str">
        <f t="shared" ca="1" si="2"/>
        <v>Open</v>
      </c>
    </row>
    <row r="84" spans="1:11" ht="30" customHeight="1" x14ac:dyDescent="0.25">
      <c r="A84" s="32" t="s">
        <v>194</v>
      </c>
      <c r="B84" s="58" t="s">
        <v>392</v>
      </c>
      <c r="C84" s="46" t="s">
        <v>351</v>
      </c>
      <c r="D84" s="27" t="s">
        <v>14</v>
      </c>
      <c r="E84" s="56" t="s">
        <v>1151</v>
      </c>
      <c r="F84" s="27" t="s">
        <v>290</v>
      </c>
      <c r="G84" s="28" t="s">
        <v>2</v>
      </c>
      <c r="H84" s="27"/>
      <c r="I84" s="33" t="str">
        <f>IFERROR(HYPERLINK("#Main!A"&amp;MATCH(A84,Main!A:A,0),"Open"),HYPERLINK("#Main!A1","Open"))</f>
        <v>Open</v>
      </c>
      <c r="J84" s="33" t="str">
        <f t="shared" ca="1" si="2"/>
        <v>Open</v>
      </c>
      <c r="K84" s="33"/>
    </row>
    <row r="85" spans="1:11" ht="30" customHeight="1" x14ac:dyDescent="0.25">
      <c r="A85" s="29" t="s">
        <v>202</v>
      </c>
      <c r="B85" s="59" t="s">
        <v>308</v>
      </c>
      <c r="C85" s="28" t="s">
        <v>71</v>
      </c>
      <c r="D85" s="36" t="s">
        <v>24</v>
      </c>
      <c r="E85" s="57" t="s">
        <v>1152</v>
      </c>
      <c r="F85" s="36" t="s">
        <v>295</v>
      </c>
      <c r="G85" s="28" t="s">
        <v>2</v>
      </c>
      <c r="H85" s="36"/>
      <c r="I85" t="str">
        <f>IFERROR(HYPERLINK("#Main!A"&amp;MATCH(A85,Main!A:A,0),"Open"),HYPERLINK("#Main!A1","Open"))</f>
        <v>Open</v>
      </c>
      <c r="J85" t="str">
        <f t="shared" ca="1" si="2"/>
        <v>Open</v>
      </c>
    </row>
    <row r="86" spans="1:11" ht="30" customHeight="1" x14ac:dyDescent="0.25">
      <c r="A86" s="32" t="s">
        <v>202</v>
      </c>
      <c r="B86" s="58" t="s">
        <v>346</v>
      </c>
      <c r="C86" s="31" t="s">
        <v>72</v>
      </c>
      <c r="D86" s="27" t="s">
        <v>14</v>
      </c>
      <c r="E86" s="56" t="s">
        <v>1153</v>
      </c>
      <c r="F86" s="27" t="s">
        <v>290</v>
      </c>
      <c r="G86" s="28" t="s">
        <v>2</v>
      </c>
      <c r="H86" s="27"/>
      <c r="I86" s="33" t="str">
        <f>IFERROR(HYPERLINK("#Main!A"&amp;MATCH(A86,Main!A:A,0),"Open"),HYPERLINK("#Main!A1","Open"))</f>
        <v>Open</v>
      </c>
      <c r="J86" s="33" t="str">
        <f t="shared" ca="1" si="2"/>
        <v>Open</v>
      </c>
      <c r="K86" s="33"/>
    </row>
    <row r="87" spans="1:11" ht="30" customHeight="1" x14ac:dyDescent="0.25">
      <c r="A87" s="29" t="s">
        <v>202</v>
      </c>
      <c r="B87" s="59" t="s">
        <v>343</v>
      </c>
      <c r="C87" s="31" t="s">
        <v>72</v>
      </c>
      <c r="D87" s="36" t="s">
        <v>14</v>
      </c>
      <c r="E87" s="57" t="s">
        <v>1154</v>
      </c>
      <c r="F87" s="36" t="s">
        <v>290</v>
      </c>
      <c r="G87" s="28" t="s">
        <v>2</v>
      </c>
      <c r="H87" s="36"/>
      <c r="I87" t="str">
        <f>IFERROR(HYPERLINK("#Main!A"&amp;MATCH(A87,Main!A:A,0),"Open"),HYPERLINK("#Main!A1","Open"))</f>
        <v>Open</v>
      </c>
      <c r="J87" t="str">
        <f t="shared" ca="1" si="2"/>
        <v>Open</v>
      </c>
    </row>
    <row r="88" spans="1:11" ht="30" customHeight="1" x14ac:dyDescent="0.25">
      <c r="A88" s="32" t="s">
        <v>202</v>
      </c>
      <c r="B88" s="58" t="s">
        <v>334</v>
      </c>
      <c r="C88" s="31" t="s">
        <v>72</v>
      </c>
      <c r="D88" s="27" t="s">
        <v>14</v>
      </c>
      <c r="E88" s="56" t="s">
        <v>1155</v>
      </c>
      <c r="F88" s="27" t="s">
        <v>290</v>
      </c>
      <c r="G88" s="28" t="s">
        <v>2</v>
      </c>
      <c r="H88" s="27"/>
      <c r="I88" s="33" t="str">
        <f>IFERROR(HYPERLINK("#Main!A"&amp;MATCH(A88,Main!A:A,0),"Open"),HYPERLINK("#Main!A1","Open"))</f>
        <v>Open</v>
      </c>
      <c r="J88" s="33" t="str">
        <f t="shared" ca="1" si="2"/>
        <v>Open</v>
      </c>
      <c r="K88" s="33"/>
    </row>
    <row r="89" spans="1:11" ht="30" customHeight="1" x14ac:dyDescent="0.25">
      <c r="A89" s="29" t="s">
        <v>202</v>
      </c>
      <c r="B89" s="59" t="s">
        <v>336</v>
      </c>
      <c r="C89" s="31" t="s">
        <v>72</v>
      </c>
      <c r="D89" s="36" t="s">
        <v>20</v>
      </c>
      <c r="E89" s="57" t="s">
        <v>1156</v>
      </c>
      <c r="F89" s="36" t="s">
        <v>290</v>
      </c>
      <c r="G89" s="28" t="s">
        <v>2</v>
      </c>
      <c r="H89" s="36"/>
      <c r="I89" t="str">
        <f>IFERROR(HYPERLINK("#Main!A"&amp;MATCH(A89,Main!A:A,0),"Open"),HYPERLINK("#Main!A1","Open"))</f>
        <v>Open</v>
      </c>
      <c r="J89" t="str">
        <f t="shared" ca="1" si="2"/>
        <v>Open</v>
      </c>
    </row>
    <row r="90" spans="1:11" ht="30" customHeight="1" x14ac:dyDescent="0.25">
      <c r="A90" s="32" t="s">
        <v>202</v>
      </c>
      <c r="B90" s="58" t="s">
        <v>378</v>
      </c>
      <c r="C90" s="46" t="s">
        <v>351</v>
      </c>
      <c r="D90" s="27" t="s">
        <v>14</v>
      </c>
      <c r="E90" s="56" t="s">
        <v>1157</v>
      </c>
      <c r="F90" s="27" t="s">
        <v>279</v>
      </c>
      <c r="G90" s="28" t="s">
        <v>2</v>
      </c>
      <c r="H90" s="27"/>
      <c r="I90" s="33" t="str">
        <f>IFERROR(HYPERLINK("#Main!A"&amp;MATCH(A90,Main!A:A,0),"Open"),HYPERLINK("#Main!A1","Open"))</f>
        <v>Open</v>
      </c>
      <c r="J90" s="33" t="str">
        <f t="shared" ca="1" si="2"/>
        <v>Open</v>
      </c>
      <c r="K90" s="33"/>
    </row>
    <row r="91" spans="1:11" ht="30" customHeight="1" x14ac:dyDescent="0.25">
      <c r="A91" s="29" t="s">
        <v>202</v>
      </c>
      <c r="B91" s="59" t="s">
        <v>371</v>
      </c>
      <c r="C91" s="46" t="s">
        <v>351</v>
      </c>
      <c r="D91" s="36" t="s">
        <v>14</v>
      </c>
      <c r="E91" s="57" t="s">
        <v>1158</v>
      </c>
      <c r="F91" s="36" t="s">
        <v>290</v>
      </c>
      <c r="G91" s="28" t="s">
        <v>2</v>
      </c>
      <c r="H91" s="36"/>
      <c r="I91" t="str">
        <f>IFERROR(HYPERLINK("#Main!A"&amp;MATCH(A91,Main!A:A,0),"Open"),HYPERLINK("#Main!A1","Open"))</f>
        <v>Open</v>
      </c>
      <c r="J91" t="str">
        <f t="shared" ca="1" si="2"/>
        <v>Open</v>
      </c>
    </row>
    <row r="92" spans="1:11" ht="30" customHeight="1" x14ac:dyDescent="0.25">
      <c r="A92" s="32" t="s">
        <v>202</v>
      </c>
      <c r="B92" s="58" t="s">
        <v>380</v>
      </c>
      <c r="C92" s="46" t="s">
        <v>351</v>
      </c>
      <c r="D92" s="27" t="s">
        <v>20</v>
      </c>
      <c r="E92" s="56" t="s">
        <v>1159</v>
      </c>
      <c r="F92" s="27" t="s">
        <v>290</v>
      </c>
      <c r="G92" s="28" t="s">
        <v>2</v>
      </c>
      <c r="H92" s="27"/>
      <c r="I92" s="33" t="str">
        <f>IFERROR(HYPERLINK("#Main!A"&amp;MATCH(A92,Main!A:A,0),"Open"),HYPERLINK("#Main!A1","Open"))</f>
        <v>Open</v>
      </c>
      <c r="J92" s="33" t="str">
        <f t="shared" ca="1" si="2"/>
        <v>Open</v>
      </c>
      <c r="K92" s="33"/>
    </row>
    <row r="93" spans="1:11" ht="30" customHeight="1" x14ac:dyDescent="0.25">
      <c r="A93" s="29" t="s">
        <v>202</v>
      </c>
      <c r="B93" s="59" t="s">
        <v>384</v>
      </c>
      <c r="C93" s="46" t="s">
        <v>351</v>
      </c>
      <c r="D93" s="36" t="s">
        <v>14</v>
      </c>
      <c r="E93" s="57" t="s">
        <v>1160</v>
      </c>
      <c r="F93" s="36" t="s">
        <v>290</v>
      </c>
      <c r="G93" s="28" t="s">
        <v>2</v>
      </c>
      <c r="H93" s="36"/>
      <c r="I93" t="str">
        <f>IFERROR(HYPERLINK("#Main!A"&amp;MATCH(A93,Main!A:A,0),"Open"),HYPERLINK("#Main!A1","Open"))</f>
        <v>Open</v>
      </c>
      <c r="J93" t="str">
        <f t="shared" ca="1" si="2"/>
        <v>Open</v>
      </c>
    </row>
    <row r="94" spans="1:11" ht="30" customHeight="1" x14ac:dyDescent="0.25">
      <c r="A94" s="32" t="s">
        <v>202</v>
      </c>
      <c r="B94" s="58" t="s">
        <v>388</v>
      </c>
      <c r="C94" s="46" t="s">
        <v>351</v>
      </c>
      <c r="D94" s="27" t="s">
        <v>14</v>
      </c>
      <c r="E94" s="56" t="s">
        <v>1161</v>
      </c>
      <c r="F94" s="27" t="s">
        <v>290</v>
      </c>
      <c r="G94" s="28" t="s">
        <v>2</v>
      </c>
      <c r="H94" s="27"/>
      <c r="I94" s="33" t="str">
        <f>IFERROR(HYPERLINK("#Main!A"&amp;MATCH(A94,Main!A:A,0),"Open"),HYPERLINK("#Main!A1","Open"))</f>
        <v>Open</v>
      </c>
      <c r="J94" s="33" t="str">
        <f t="shared" ca="1" si="2"/>
        <v>Open</v>
      </c>
      <c r="K94" s="33"/>
    </row>
    <row r="95" spans="1:11" ht="30" customHeight="1" x14ac:dyDescent="0.25">
      <c r="A95" s="29" t="s">
        <v>202</v>
      </c>
      <c r="B95" s="59" t="s">
        <v>392</v>
      </c>
      <c r="C95" s="46" t="s">
        <v>351</v>
      </c>
      <c r="D95" s="36" t="s">
        <v>14</v>
      </c>
      <c r="E95" s="57" t="s">
        <v>1162</v>
      </c>
      <c r="F95" s="36" t="s">
        <v>290</v>
      </c>
      <c r="G95" s="28" t="s">
        <v>2</v>
      </c>
      <c r="H95" s="36"/>
      <c r="I95" t="str">
        <f>IFERROR(HYPERLINK("#Main!A"&amp;MATCH(A95,Main!A:A,0),"Open"),HYPERLINK("#Main!A1","Open"))</f>
        <v>Open</v>
      </c>
      <c r="J95" t="str">
        <f t="shared" ca="1" si="2"/>
        <v>Open</v>
      </c>
    </row>
  </sheetData>
  <autoFilter ref="A1:K95" xr:uid="{00000000-0009-0000-0000-000016000000}"/>
  <conditionalFormatting sqref="G2:G95">
    <cfRule type="expression" dxfId="4" priority="1" stopIfTrue="1">
      <formula>LOWER(G2)="done"</formula>
    </cfRule>
    <cfRule type="expression" dxfId="3" priority="2" stopIfTrue="1">
      <formula>OR(LOWER(G2)="to do",LOWER(G2)="in progress",LOWER(G2)="in review")</formula>
    </cfRule>
  </conditionalFormatting>
  <dataValidations count="12">
    <dataValidation type="list" allowBlank="1" showErrorMessage="1" errorTitle="Invalid Status" error="Select a value from the dropdown list." sqref="G2:G95" xr:uid="{00000000-0002-0000-1600-000000000000}">
      <formula1>"Open,In Progress,In Review,Done"</formula1>
    </dataValidation>
    <dataValidation type="custom" allowBlank="1" showInputMessage="1" promptTitle="URL" prompt="URL. Use this URL to inspect the page directly or jump to related tabs." sqref="A1" xr:uid="{00000000-0002-0000-1600-000001000000}">
      <formula1>TRUE</formula1>
    </dataValidation>
    <dataValidation type="custom" allowBlank="1" showInputMessage="1" promptTitle="Issue" prompt="Issue. Review this metric to identify risk, then use linked tabs for details and remediation." sqref="B1" xr:uid="{00000000-0002-0000-1600-000002000000}">
      <formula1>TRUE</formula1>
    </dataValidation>
    <dataValidation type="custom" allowBlank="1" showInputMessage="1" promptTitle="Severity" prompt="Issue impact level. Fix: Resolve Critical first, then Warning, then improvement opportunities." sqref="C1" xr:uid="{00000000-0002-0000-1600-000003000000}">
      <formula1>TRUE</formula1>
    </dataValidation>
    <dataValidation type="custom" allowBlank="1" showInputMessage="1" promptTitle="Reference Tab" prompt="Summary grouping/navigation field. Use with hyperlinks to jump into detailed tabs." sqref="D1" xr:uid="{00000000-0002-0000-1600-000004000000}">
      <formula1>TRUE</formula1>
    </dataValidation>
    <dataValidation type="custom" allowBlank="1" showInputMessage="1" promptTitle="Stable Issue ID" prompt="Stable Issue ID. Review this metric to identify risk, then use linked tabs for details and remediation." sqref="E1" xr:uid="{00000000-0002-0000-1600-000005000000}">
      <formula1>TRUE</formula1>
    </dataValidation>
    <dataValidation type="custom" allowBlank="1" showInputMessage="1" promptTitle="Owner" prompt="Workflow management field for planning and tracking remediation progress." sqref="F1" xr:uid="{00000000-0002-0000-1600-000006000000}">
      <formula1>TRUE</formula1>
    </dataValidation>
    <dataValidation type="custom" allowBlank="1" showInputMessage="1" promptTitle="Status" prompt="Workflow management field for planning and tracking remediation progress." sqref="G1" xr:uid="{00000000-0002-0000-1600-000007000000}">
      <formula1>TRUE</formula1>
    </dataValidation>
    <dataValidation type="custom" allowBlank="1" showInputMessage="1" promptTitle="Sprint" prompt="Workflow management field for planning and tracking remediation progress." sqref="H1" xr:uid="{00000000-0002-0000-1600-000008000000}">
      <formula1>TRUE</formula1>
    </dataValidation>
    <dataValidation type="custom" allowBlank="1" showInputMessage="1" promptTitle="Open in Main" prompt="Navigation helper. Click to jump directly to the related record in another tab." sqref="I1" xr:uid="{00000000-0002-0000-1600-000009000000}">
      <formula1>TRUE</formula1>
    </dataValidation>
    <dataValidation type="custom" allowBlank="1" showInputMessage="1" promptTitle="Open in Reference" prompt="Open in Reference. Review this metric to identify risk, then use linked tabs for details and remediation." sqref="J1" xr:uid="{00000000-0002-0000-1600-00000A000000}">
      <formula1>TRUE</formula1>
    </dataValidation>
    <dataValidation type="custom" allowBlank="1" showInputMessage="1" promptTitle="BACK TO DASHBOARD" prompt="BACK TO DASHBOARD. Review this metric to identify risk, then use linked tabs for details and remediation." sqref="K1" xr:uid="{00000000-0002-0000-1600-00000B000000}">
      <formula1>TRUE</formula1>
    </dataValidation>
  </dataValidations>
  <hyperlinks>
    <hyperlink ref="K1" location="Dashboard!A1" display="BACK TO DASHBOARD" xr:uid="{00000000-0004-0000-1600-000000000000}"/>
    <hyperlink ref="A2" r:id="rId1" xr:uid="{00000000-0004-0000-1600-000001000000}"/>
    <hyperlink ref="B2" location="FixPlan!A8" display="Broken Internal Links" xr:uid="{00000000-0004-0000-1600-000002000000}"/>
    <hyperlink ref="E2" location="Links!A1" display="https://africanmarketingconfederation.org/african-marketing-confederation-tourism-chapter::broken_internal_links" xr:uid="{00000000-0004-0000-1600-000003000000}"/>
    <hyperlink ref="A3" r:id="rId2" xr:uid="{00000000-0004-0000-1600-000004000000}"/>
    <hyperlink ref="B3" location="FixPlan!A18" display="Multiple H1" xr:uid="{00000000-0004-0000-1600-000005000000}"/>
    <hyperlink ref="E3" location="Technical!A1" display="https://africanmarketingconfederation.org/african-marketing-confederation-tourism-chapter::multiple_h1" xr:uid="{00000000-0004-0000-1600-000006000000}"/>
    <hyperlink ref="A4" r:id="rId3" xr:uid="{00000000-0004-0000-1600-000007000000}"/>
    <hyperlink ref="B4" location="FixPlan!A16" display="Low Image Alt Coverage" xr:uid="{00000000-0004-0000-1600-000008000000}"/>
    <hyperlink ref="E4" location="Technical!A1" display="https://africanmarketingconfederation.org/african-marketing-confederation-tourism-chapter::low_image_alt_coverage" xr:uid="{00000000-0004-0000-1600-000009000000}"/>
    <hyperlink ref="A5" r:id="rId4" xr:uid="{00000000-0004-0000-1600-00000A000000}"/>
    <hyperlink ref="B5" location="FixPlan!A17" display="Low AEO Readiness Score" xr:uid="{00000000-0004-0000-1600-00000B000000}"/>
    <hyperlink ref="E5" location="AEO!A1" display="https://africanmarketingconfederation.org/african-marketing-confederation-tourism-chapter::low_aeo_readiness_score" xr:uid="{00000000-0004-0000-1600-00000C000000}"/>
    <hyperlink ref="A6" r:id="rId5" xr:uid="{00000000-0004-0000-1600-00000D000000}"/>
    <hyperlink ref="B6" location="FixPlan!A31" display="No ETag Header" xr:uid="{00000000-0004-0000-1600-00000E000000}"/>
    <hyperlink ref="E6" location="Technical!A1" display="https://africanmarketingconfederation.org/african-marketing-confederation-tourism-chapter::no_etag_header" xr:uid="{00000000-0004-0000-1600-00000F000000}"/>
    <hyperlink ref="A7" r:id="rId6" xr:uid="{00000000-0004-0000-1600-000010000000}"/>
    <hyperlink ref="B7" location="FixPlan!A32" display="No Question Headings" xr:uid="{00000000-0004-0000-1600-000011000000}"/>
    <hyperlink ref="E7" location="AEO!A1" display="https://africanmarketingconfederation.org/african-marketing-confederation-tourism-chapter::no_question_headings" xr:uid="{00000000-0004-0000-1600-000012000000}"/>
    <hyperlink ref="A8" r:id="rId7" xr:uid="{00000000-0004-0000-1600-000013000000}"/>
    <hyperlink ref="B8" location="FixPlan!A33" display="No Answer-Friendly Structure" xr:uid="{00000000-0004-0000-1600-000014000000}"/>
    <hyperlink ref="E8" location="Technical!A1" display="https://africanmarketingconfederation.org/african-marketing-confederation-tourism-chapter::no_answer-friendly_structure" xr:uid="{00000000-0004-0000-1600-000015000000}"/>
    <hyperlink ref="A9" r:id="rId8" xr:uid="{00000000-0004-0000-1600-000016000000}"/>
    <hyperlink ref="B9" location="FixPlan!A34" display="No 40-60 Word Answer Paragraphs" xr:uid="{00000000-0004-0000-1600-000017000000}"/>
    <hyperlink ref="E9" location="Technical!A1" display="https://africanmarketingconfederation.org/african-marketing-confederation-tourism-chapter::no_40-60_word_answer_paragraphs" xr:uid="{00000000-0004-0000-1600-000018000000}"/>
    <hyperlink ref="A10" r:id="rId9" xr:uid="{00000000-0004-0000-1600-000019000000}"/>
    <hyperlink ref="B10" location="FixPlan!A35" display="AI Crawlers Not Explicitly Allowed" xr:uid="{00000000-0004-0000-1600-00001A000000}"/>
    <hyperlink ref="E10" location="Technical!A1" display="https://africanmarketingconfederation.org/african-marketing-confederation-tourism-chapter::ai_crawlers_not_explicitly_allowed" xr:uid="{00000000-0004-0000-1600-00001B000000}"/>
    <hyperlink ref="A11" r:id="rId10" xr:uid="{00000000-0004-0000-1600-00001C000000}"/>
    <hyperlink ref="B11" location="FixPlan!A8" display="Broken Internal Links" xr:uid="{00000000-0004-0000-1600-00001D000000}"/>
    <hyperlink ref="E11" location="Links!A1" display="https://africanmarketingconfederation.org/::broken_internal_links" xr:uid="{00000000-0004-0000-1600-00001E000000}"/>
    <hyperlink ref="A12" r:id="rId11" xr:uid="{00000000-0004-0000-1600-00001F000000}"/>
    <hyperlink ref="B12" location="FixPlan!A18" display="Multiple H1" xr:uid="{00000000-0004-0000-1600-000020000000}"/>
    <hyperlink ref="E12" location="Technical!A1" display="https://africanmarketingconfederation.org/::multiple_h1" xr:uid="{00000000-0004-0000-1600-000021000000}"/>
    <hyperlink ref="A13" r:id="rId12" xr:uid="{00000000-0004-0000-1600-000022000000}"/>
    <hyperlink ref="B13" location="FixPlan!A16" display="Low Image Alt Coverage" xr:uid="{00000000-0004-0000-1600-000023000000}"/>
    <hyperlink ref="E13" location="Technical!A1" display="https://africanmarketingconfederation.org/::low_image_alt_coverage" xr:uid="{00000000-0004-0000-1600-000024000000}"/>
    <hyperlink ref="A14" r:id="rId13" xr:uid="{00000000-0004-0000-1600-000025000000}"/>
    <hyperlink ref="B14" location="FixPlan!A17" display="Low AEO Readiness Score" xr:uid="{00000000-0004-0000-1600-000026000000}"/>
    <hyperlink ref="E14" location="AEO!A1" display="https://africanmarketingconfederation.org/::low_aeo_readiness_score" xr:uid="{00000000-0004-0000-1600-000027000000}"/>
    <hyperlink ref="A15" r:id="rId14" xr:uid="{00000000-0004-0000-1600-000028000000}"/>
    <hyperlink ref="B15" location="FixPlan!A30" display="Generic Anchor Text Present" xr:uid="{00000000-0004-0000-1600-000029000000}"/>
    <hyperlink ref="E15" location="Links!A1" display="https://africanmarketingconfederation.org/::generic_anchor_text_present" xr:uid="{00000000-0004-0000-1600-00002A000000}"/>
    <hyperlink ref="A16" r:id="rId15" xr:uid="{00000000-0004-0000-1600-00002B000000}"/>
    <hyperlink ref="B16" location="FixPlan!A31" display="No ETag Header" xr:uid="{00000000-0004-0000-1600-00002C000000}"/>
    <hyperlink ref="E16" location="Technical!A1" display="https://africanmarketingconfederation.org/::no_etag_header" xr:uid="{00000000-0004-0000-1600-00002D000000}"/>
    <hyperlink ref="A17" r:id="rId16" xr:uid="{00000000-0004-0000-1600-00002E000000}"/>
    <hyperlink ref="B17" location="FixPlan!A29" display="Thin Content" xr:uid="{00000000-0004-0000-1600-00002F000000}"/>
    <hyperlink ref="E17" location="Technical!A1" display="https://africanmarketingconfederation.org/::thin_content" xr:uid="{00000000-0004-0000-1600-000030000000}"/>
    <hyperlink ref="A18" r:id="rId17" xr:uid="{00000000-0004-0000-1600-000031000000}"/>
    <hyperlink ref="B18" location="FixPlan!A32" display="No Question Headings" xr:uid="{00000000-0004-0000-1600-000032000000}"/>
    <hyperlink ref="E18" location="AEO!A1" display="https://africanmarketingconfederation.org/::no_question_headings" xr:uid="{00000000-0004-0000-1600-000033000000}"/>
    <hyperlink ref="A19" r:id="rId18" xr:uid="{00000000-0004-0000-1600-000034000000}"/>
    <hyperlink ref="B19" location="FixPlan!A33" display="No Answer-Friendly Structure" xr:uid="{00000000-0004-0000-1600-000035000000}"/>
    <hyperlink ref="E19" location="Technical!A1" display="https://africanmarketingconfederation.org/::no_answer-friendly_structure" xr:uid="{00000000-0004-0000-1600-000036000000}"/>
    <hyperlink ref="A20" r:id="rId19" xr:uid="{00000000-0004-0000-1600-000037000000}"/>
    <hyperlink ref="B20" location="FixPlan!A34" display="No 40-60 Word Answer Paragraphs" xr:uid="{00000000-0004-0000-1600-000038000000}"/>
    <hyperlink ref="E20" location="Technical!A1" display="https://africanmarketingconfederation.org/::no_40-60_word_answer_paragraphs" xr:uid="{00000000-0004-0000-1600-000039000000}"/>
    <hyperlink ref="A21" r:id="rId20" xr:uid="{00000000-0004-0000-1600-00003A000000}"/>
    <hyperlink ref="B21" location="FixPlan!A35" display="AI Crawlers Not Explicitly Allowed" xr:uid="{00000000-0004-0000-1600-00003B000000}"/>
    <hyperlink ref="E21" location="Technical!A1" display="https://africanmarketingconfederation.org/::ai_crawlers_not_explicitly_allowed" xr:uid="{00000000-0004-0000-1600-00003C000000}"/>
    <hyperlink ref="A22" r:id="rId21" xr:uid="{00000000-0004-0000-1600-00003D000000}"/>
    <hyperlink ref="B22" location="FixPlan!A8" display="Broken Internal Links" xr:uid="{00000000-0004-0000-1600-00003E000000}"/>
    <hyperlink ref="E22" location="Links!A1" display="https://africanmarketingconfederation.org/about-us::broken_internal_links" xr:uid="{00000000-0004-0000-1600-00003F000000}"/>
    <hyperlink ref="A23" r:id="rId22" xr:uid="{00000000-0004-0000-1600-000040000000}"/>
    <hyperlink ref="B23" location="FixPlan!A16" display="Low Image Alt Coverage" xr:uid="{00000000-0004-0000-1600-000041000000}"/>
    <hyperlink ref="E23" location="Technical!A1" display="https://africanmarketingconfederation.org/about-us::low_image_alt_coverage" xr:uid="{00000000-0004-0000-1600-000042000000}"/>
    <hyperlink ref="A24" r:id="rId23" xr:uid="{00000000-0004-0000-1600-000043000000}"/>
    <hyperlink ref="B24" location="FixPlan!A17" display="Low AEO Readiness Score" xr:uid="{00000000-0004-0000-1600-000044000000}"/>
    <hyperlink ref="E24" location="AEO!A1" display="https://africanmarketingconfederation.org/about-us::low_aeo_readiness_score" xr:uid="{00000000-0004-0000-1600-000045000000}"/>
    <hyperlink ref="A25" r:id="rId24" xr:uid="{00000000-0004-0000-1600-000046000000}"/>
    <hyperlink ref="B25" location="FixPlan!A31" display="No ETag Header" xr:uid="{00000000-0004-0000-1600-000047000000}"/>
    <hyperlink ref="E25" location="Technical!A1" display="https://africanmarketingconfederation.org/about-us::no_etag_header" xr:uid="{00000000-0004-0000-1600-000048000000}"/>
    <hyperlink ref="A26" r:id="rId25" xr:uid="{00000000-0004-0000-1600-000049000000}"/>
    <hyperlink ref="B26" location="FixPlan!A29" display="Thin Content" xr:uid="{00000000-0004-0000-1600-00004A000000}"/>
    <hyperlink ref="E26" location="Technical!A1" display="https://africanmarketingconfederation.org/about-us::thin_content" xr:uid="{00000000-0004-0000-1600-00004B000000}"/>
    <hyperlink ref="A27" r:id="rId26" xr:uid="{00000000-0004-0000-1600-00004C000000}"/>
    <hyperlink ref="B27" location="FixPlan!A32" display="No Question Headings" xr:uid="{00000000-0004-0000-1600-00004D000000}"/>
    <hyperlink ref="E27" location="AEO!A1" display="https://africanmarketingconfederation.org/about-us::no_question_headings" xr:uid="{00000000-0004-0000-1600-00004E000000}"/>
    <hyperlink ref="A28" r:id="rId27" xr:uid="{00000000-0004-0000-1600-00004F000000}"/>
    <hyperlink ref="B28" location="FixPlan!A33" display="No Answer-Friendly Structure" xr:uid="{00000000-0004-0000-1600-000050000000}"/>
    <hyperlink ref="E28" location="Technical!A1" display="https://africanmarketingconfederation.org/about-us::no_answer-friendly_structure" xr:uid="{00000000-0004-0000-1600-000051000000}"/>
    <hyperlink ref="A29" r:id="rId28" xr:uid="{00000000-0004-0000-1600-000052000000}"/>
    <hyperlink ref="B29" location="FixPlan!A34" display="No 40-60 Word Answer Paragraphs" xr:uid="{00000000-0004-0000-1600-000053000000}"/>
    <hyperlink ref="E29" location="Technical!A1" display="https://africanmarketingconfederation.org/about-us::no_40-60_word_answer_paragraphs" xr:uid="{00000000-0004-0000-1600-000054000000}"/>
    <hyperlink ref="A30" r:id="rId29" xr:uid="{00000000-0004-0000-1600-000055000000}"/>
    <hyperlink ref="B30" location="FixPlan!A35" display="AI Crawlers Not Explicitly Allowed" xr:uid="{00000000-0004-0000-1600-000056000000}"/>
    <hyperlink ref="E30" location="Technical!A1" display="https://africanmarketingconfederation.org/about-us::ai_crawlers_not_explicitly_allowed" xr:uid="{00000000-0004-0000-1600-000057000000}"/>
    <hyperlink ref="A31" r:id="rId30" xr:uid="{00000000-0004-0000-1600-000058000000}"/>
    <hyperlink ref="B31" location="FixPlan!A8" display="Broken Internal Links" xr:uid="{00000000-0004-0000-1600-000059000000}"/>
    <hyperlink ref="E31" location="Links!A1" display="https://africanmarketingconfederation.org/amc-awards-2024::broken_internal_links" xr:uid="{00000000-0004-0000-1600-00005A000000}"/>
    <hyperlink ref="A32" r:id="rId31" xr:uid="{00000000-0004-0000-1600-00005B000000}"/>
    <hyperlink ref="B32" location="FixPlan!A18" display="Multiple H1" xr:uid="{00000000-0004-0000-1600-00005C000000}"/>
    <hyperlink ref="E32" location="Technical!A1" display="https://africanmarketingconfederation.org/amc-awards-2024::multiple_h1" xr:uid="{00000000-0004-0000-1600-00005D000000}"/>
    <hyperlink ref="A33" r:id="rId32" xr:uid="{00000000-0004-0000-1600-00005E000000}"/>
    <hyperlink ref="B33" location="FixPlan!A16" display="Low Image Alt Coverage" xr:uid="{00000000-0004-0000-1600-00005F000000}"/>
    <hyperlink ref="E33" location="Technical!A1" display="https://africanmarketingconfederation.org/amc-awards-2024::low_image_alt_coverage" xr:uid="{00000000-0004-0000-1600-000060000000}"/>
    <hyperlink ref="A34" r:id="rId33" xr:uid="{00000000-0004-0000-1600-000061000000}"/>
    <hyperlink ref="B34" location="FixPlan!A17" display="Low AEO Readiness Score" xr:uid="{00000000-0004-0000-1600-000062000000}"/>
    <hyperlink ref="E34" location="AEO!A1" display="https://africanmarketingconfederation.org/amc-awards-2024::low_aeo_readiness_score" xr:uid="{00000000-0004-0000-1600-000063000000}"/>
    <hyperlink ref="A35" r:id="rId34" xr:uid="{00000000-0004-0000-1600-000064000000}"/>
    <hyperlink ref="B35" location="FixPlan!A31" display="No ETag Header" xr:uid="{00000000-0004-0000-1600-000065000000}"/>
    <hyperlink ref="E35" location="Technical!A1" display="https://africanmarketingconfederation.org/amc-awards-2024::no_etag_header" xr:uid="{00000000-0004-0000-1600-000066000000}"/>
    <hyperlink ref="A36" r:id="rId35" xr:uid="{00000000-0004-0000-1600-000067000000}"/>
    <hyperlink ref="B36" location="FixPlan!A32" display="No Question Headings" xr:uid="{00000000-0004-0000-1600-000068000000}"/>
    <hyperlink ref="E36" location="AEO!A1" display="https://africanmarketingconfederation.org/amc-awards-2024::no_question_headings" xr:uid="{00000000-0004-0000-1600-000069000000}"/>
    <hyperlink ref="A37" r:id="rId36" xr:uid="{00000000-0004-0000-1600-00006A000000}"/>
    <hyperlink ref="B37" location="FixPlan!A33" display="No Answer-Friendly Structure" xr:uid="{00000000-0004-0000-1600-00006B000000}"/>
    <hyperlink ref="E37" location="Technical!A1" display="https://africanmarketingconfederation.org/amc-awards-2024::no_answer-friendly_structure" xr:uid="{00000000-0004-0000-1600-00006C000000}"/>
    <hyperlink ref="A38" r:id="rId37" xr:uid="{00000000-0004-0000-1600-00006D000000}"/>
    <hyperlink ref="B38" location="FixPlan!A34" display="No 40-60 Word Answer Paragraphs" xr:uid="{00000000-0004-0000-1600-00006E000000}"/>
    <hyperlink ref="E38" location="Technical!A1" display="https://africanmarketingconfederation.org/amc-awards-2024::no_40-60_word_answer_paragraphs" xr:uid="{00000000-0004-0000-1600-00006F000000}"/>
    <hyperlink ref="A39" r:id="rId38" xr:uid="{00000000-0004-0000-1600-000070000000}"/>
    <hyperlink ref="B39" location="FixPlan!A35" display="AI Crawlers Not Explicitly Allowed" xr:uid="{00000000-0004-0000-1600-000071000000}"/>
    <hyperlink ref="E39" location="Technical!A1" display="https://africanmarketingconfederation.org/amc-awards-2024::ai_crawlers_not_explicitly_allowed" xr:uid="{00000000-0004-0000-1600-000072000000}"/>
    <hyperlink ref="A40" r:id="rId39" xr:uid="{00000000-0004-0000-1600-000073000000}"/>
    <hyperlink ref="B40" location="FixPlan!A8" display="Broken Internal Links" xr:uid="{00000000-0004-0000-1600-000074000000}"/>
    <hyperlink ref="E40" location="Links!A1" display="https://africanmarketingconfederation.org/amc-conference-2022-prospectus::broken_internal_links" xr:uid="{00000000-0004-0000-1600-000075000000}"/>
    <hyperlink ref="A41" r:id="rId40" xr:uid="{00000000-0004-0000-1600-000076000000}"/>
    <hyperlink ref="B41" location="FixPlan!A19" display="Missing H1" xr:uid="{00000000-0004-0000-1600-000077000000}"/>
    <hyperlink ref="E41" location="Technical!A1" display="https://africanmarketingconfederation.org/amc-conference-2022-prospectus::missing_h1" xr:uid="{00000000-0004-0000-1600-000078000000}"/>
    <hyperlink ref="A42" r:id="rId41" xr:uid="{00000000-0004-0000-1600-000079000000}"/>
    <hyperlink ref="B42" location="FixPlan!A16" display="Low Image Alt Coverage" xr:uid="{00000000-0004-0000-1600-00007A000000}"/>
    <hyperlink ref="E42" location="Technical!A1" display="https://africanmarketingconfederation.org/amc-conference-2022-prospectus::low_image_alt_coverage" xr:uid="{00000000-0004-0000-1600-00007B000000}"/>
    <hyperlink ref="A43" r:id="rId42" xr:uid="{00000000-0004-0000-1600-00007C000000}"/>
    <hyperlink ref="B43" location="FixPlan!A17" display="Low AEO Readiness Score" xr:uid="{00000000-0004-0000-1600-00007D000000}"/>
    <hyperlink ref="E43" location="AEO!A1" display="https://africanmarketingconfederation.org/amc-conference-2022-prospectus::low_aeo_readiness_score" xr:uid="{00000000-0004-0000-1600-00007E000000}"/>
    <hyperlink ref="A44" r:id="rId43" xr:uid="{00000000-0004-0000-1600-00007F000000}"/>
    <hyperlink ref="B44" location="FixPlan!A31" display="No ETag Header" xr:uid="{00000000-0004-0000-1600-000080000000}"/>
    <hyperlink ref="E44" location="Technical!A1" display="https://africanmarketingconfederation.org/amc-conference-2022-prospectus::no_etag_header" xr:uid="{00000000-0004-0000-1600-000081000000}"/>
    <hyperlink ref="A45" r:id="rId44" xr:uid="{00000000-0004-0000-1600-000082000000}"/>
    <hyperlink ref="B45" location="FixPlan!A29" display="Thin Content" xr:uid="{00000000-0004-0000-1600-000083000000}"/>
    <hyperlink ref="E45" location="Technical!A1" display="https://africanmarketingconfederation.org/amc-conference-2022-prospectus::thin_content" xr:uid="{00000000-0004-0000-1600-000084000000}"/>
    <hyperlink ref="A46" r:id="rId45" xr:uid="{00000000-0004-0000-1600-000085000000}"/>
    <hyperlink ref="B46" location="FixPlan!A32" display="No Question Headings" xr:uid="{00000000-0004-0000-1600-000086000000}"/>
    <hyperlink ref="E46" location="AEO!A1" display="https://africanmarketingconfederation.org/amc-conference-2022-prospectus::no_question_headings" xr:uid="{00000000-0004-0000-1600-000087000000}"/>
    <hyperlink ref="A47" r:id="rId46" xr:uid="{00000000-0004-0000-1600-000088000000}"/>
    <hyperlink ref="B47" location="FixPlan!A33" display="No Answer-Friendly Structure" xr:uid="{00000000-0004-0000-1600-000089000000}"/>
    <hyperlink ref="E47" location="Technical!A1" display="https://africanmarketingconfederation.org/amc-conference-2022-prospectus::no_answer-friendly_structure" xr:uid="{00000000-0004-0000-1600-00008A000000}"/>
    <hyperlink ref="A48" r:id="rId47" xr:uid="{00000000-0004-0000-1600-00008B000000}"/>
    <hyperlink ref="B48" location="FixPlan!A34" display="No 40-60 Word Answer Paragraphs" xr:uid="{00000000-0004-0000-1600-00008C000000}"/>
    <hyperlink ref="E48" location="Technical!A1" display="https://africanmarketingconfederation.org/amc-conference-2022-prospectus::no_40-60_word_answer_paragraphs" xr:uid="{00000000-0004-0000-1600-00008D000000}"/>
    <hyperlink ref="A49" r:id="rId48" xr:uid="{00000000-0004-0000-1600-00008E000000}"/>
    <hyperlink ref="B49" location="FixPlan!A35" display="AI Crawlers Not Explicitly Allowed" xr:uid="{00000000-0004-0000-1600-00008F000000}"/>
    <hyperlink ref="E49" location="Technical!A1" display="https://africanmarketingconfederation.org/amc-conference-2022-prospectus::ai_crawlers_not_explicitly_allowed" xr:uid="{00000000-0004-0000-1600-000090000000}"/>
    <hyperlink ref="A50" r:id="rId49" xr:uid="{00000000-0004-0000-1600-000091000000}"/>
    <hyperlink ref="B50" location="FixPlan!A8" display="Broken Internal Links" xr:uid="{00000000-0004-0000-1600-000092000000}"/>
    <hyperlink ref="E50" location="Links!A1" display="https://africanmarketingconfederation.org/amc-conference-2022::broken_internal_links" xr:uid="{00000000-0004-0000-1600-000093000000}"/>
    <hyperlink ref="A51" r:id="rId50" xr:uid="{00000000-0004-0000-1600-000094000000}"/>
    <hyperlink ref="B51" location="FixPlan!A19" display="Missing H1" xr:uid="{00000000-0004-0000-1600-000095000000}"/>
    <hyperlink ref="E51" location="Technical!A1" display="https://africanmarketingconfederation.org/amc-conference-2022::missing_h1" xr:uid="{00000000-0004-0000-1600-000096000000}"/>
    <hyperlink ref="A52" r:id="rId51" xr:uid="{00000000-0004-0000-1600-000097000000}"/>
    <hyperlink ref="B52" location="FixPlan!A16" display="Low Image Alt Coverage" xr:uid="{00000000-0004-0000-1600-000098000000}"/>
    <hyperlink ref="E52" location="Technical!A1" display="https://africanmarketingconfederation.org/amc-conference-2022::low_image_alt_coverage" xr:uid="{00000000-0004-0000-1600-000099000000}"/>
    <hyperlink ref="A53" r:id="rId52" xr:uid="{00000000-0004-0000-1600-00009A000000}"/>
    <hyperlink ref="B53" location="FixPlan!A17" display="Low AEO Readiness Score" xr:uid="{00000000-0004-0000-1600-00009B000000}"/>
    <hyperlink ref="E53" location="AEO!A1" display="https://africanmarketingconfederation.org/amc-conference-2022::low_aeo_readiness_score" xr:uid="{00000000-0004-0000-1600-00009C000000}"/>
    <hyperlink ref="A54" r:id="rId53" xr:uid="{00000000-0004-0000-1600-00009D000000}"/>
    <hyperlink ref="B54" location="FixPlan!A31" display="No ETag Header" xr:uid="{00000000-0004-0000-1600-00009E000000}"/>
    <hyperlink ref="E54" location="Technical!A1" display="https://africanmarketingconfederation.org/amc-conference-2022::no_etag_header" xr:uid="{00000000-0004-0000-1600-00009F000000}"/>
    <hyperlink ref="A55" r:id="rId54" xr:uid="{00000000-0004-0000-1600-0000A0000000}"/>
    <hyperlink ref="B55" location="FixPlan!A29" display="Thin Content" xr:uid="{00000000-0004-0000-1600-0000A1000000}"/>
    <hyperlink ref="E55" location="Technical!A1" display="https://africanmarketingconfederation.org/amc-conference-2022::thin_content" xr:uid="{00000000-0004-0000-1600-0000A2000000}"/>
    <hyperlink ref="A56" r:id="rId55" xr:uid="{00000000-0004-0000-1600-0000A3000000}"/>
    <hyperlink ref="B56" location="FixPlan!A32" display="No Question Headings" xr:uid="{00000000-0004-0000-1600-0000A4000000}"/>
    <hyperlink ref="E56" location="AEO!A1" display="https://africanmarketingconfederation.org/amc-conference-2022::no_question_headings" xr:uid="{00000000-0004-0000-1600-0000A5000000}"/>
    <hyperlink ref="A57" r:id="rId56" xr:uid="{00000000-0004-0000-1600-0000A6000000}"/>
    <hyperlink ref="B57" location="FixPlan!A33" display="No Answer-Friendly Structure" xr:uid="{00000000-0004-0000-1600-0000A7000000}"/>
    <hyperlink ref="E57" location="Technical!A1" display="https://africanmarketingconfederation.org/amc-conference-2022::no_answer-friendly_structure" xr:uid="{00000000-0004-0000-1600-0000A8000000}"/>
    <hyperlink ref="A58" r:id="rId57" xr:uid="{00000000-0004-0000-1600-0000A9000000}"/>
    <hyperlink ref="B58" location="FixPlan!A34" display="No 40-60 Word Answer Paragraphs" xr:uid="{00000000-0004-0000-1600-0000AA000000}"/>
    <hyperlink ref="E58" location="Technical!A1" display="https://africanmarketingconfederation.org/amc-conference-2022::no_40-60_word_answer_paragraphs" xr:uid="{00000000-0004-0000-1600-0000AB000000}"/>
    <hyperlink ref="A59" r:id="rId58" xr:uid="{00000000-0004-0000-1600-0000AC000000}"/>
    <hyperlink ref="B59" location="FixPlan!A35" display="AI Crawlers Not Explicitly Allowed" xr:uid="{00000000-0004-0000-1600-0000AD000000}"/>
    <hyperlink ref="E59" location="Technical!A1" display="https://africanmarketingconfederation.org/amc-conference-2022::ai_crawlers_not_explicitly_allowed" xr:uid="{00000000-0004-0000-1600-0000AE000000}"/>
    <hyperlink ref="A60" r:id="rId59" xr:uid="{00000000-0004-0000-1600-0000AF000000}"/>
    <hyperlink ref="B60" location="FixPlan!A8" display="Broken Internal Links" xr:uid="{00000000-0004-0000-1600-0000B0000000}"/>
    <hyperlink ref="E60" location="Links!A1" display="https://africanmarketingconfederation.org/amc-conference-2022-thank-you::broken_internal_links" xr:uid="{00000000-0004-0000-1600-0000B1000000}"/>
    <hyperlink ref="A61" r:id="rId60" xr:uid="{00000000-0004-0000-1600-0000B2000000}"/>
    <hyperlink ref="B61" location="FixPlan!A19" display="Missing H1" xr:uid="{00000000-0004-0000-1600-0000B3000000}"/>
    <hyperlink ref="E61" location="Technical!A1" display="https://africanmarketingconfederation.org/amc-conference-2022-thank-you::missing_h1" xr:uid="{00000000-0004-0000-1600-0000B4000000}"/>
    <hyperlink ref="A62" r:id="rId61" xr:uid="{00000000-0004-0000-1600-0000B5000000}"/>
    <hyperlink ref="B62" location="FixPlan!A16" display="Low Image Alt Coverage" xr:uid="{00000000-0004-0000-1600-0000B6000000}"/>
    <hyperlink ref="E62" location="Technical!A1" display="https://africanmarketingconfederation.org/amc-conference-2022-thank-you::low_image_alt_coverage" xr:uid="{00000000-0004-0000-1600-0000B7000000}"/>
    <hyperlink ref="A63" r:id="rId62" xr:uid="{00000000-0004-0000-1600-0000B8000000}"/>
    <hyperlink ref="B63" location="FixPlan!A17" display="Low AEO Readiness Score" xr:uid="{00000000-0004-0000-1600-0000B9000000}"/>
    <hyperlink ref="E63" location="AEO!A1" display="https://africanmarketingconfederation.org/amc-conference-2022-thank-you::low_aeo_readiness_score" xr:uid="{00000000-0004-0000-1600-0000BA000000}"/>
    <hyperlink ref="A64" r:id="rId63" xr:uid="{00000000-0004-0000-1600-0000BB000000}"/>
    <hyperlink ref="B64" location="FixPlan!A31" display="No ETag Header" xr:uid="{00000000-0004-0000-1600-0000BC000000}"/>
    <hyperlink ref="E64" location="Technical!A1" display="https://africanmarketingconfederation.org/amc-conference-2022-thank-you::no_etag_header" xr:uid="{00000000-0004-0000-1600-0000BD000000}"/>
    <hyperlink ref="A65" r:id="rId64" xr:uid="{00000000-0004-0000-1600-0000BE000000}"/>
    <hyperlink ref="B65" location="FixPlan!A32" display="No Question Headings" xr:uid="{00000000-0004-0000-1600-0000BF000000}"/>
    <hyperlink ref="E65" location="AEO!A1" display="https://africanmarketingconfederation.org/amc-conference-2022-thank-you::no_question_headings" xr:uid="{00000000-0004-0000-1600-0000C0000000}"/>
    <hyperlink ref="A66" r:id="rId65" xr:uid="{00000000-0004-0000-1600-0000C1000000}"/>
    <hyperlink ref="B66" location="FixPlan!A33" display="No Answer-Friendly Structure" xr:uid="{00000000-0004-0000-1600-0000C2000000}"/>
    <hyperlink ref="E66" location="Technical!A1" display="https://africanmarketingconfederation.org/amc-conference-2022-thank-you::no_answer-friendly_structure" xr:uid="{00000000-0004-0000-1600-0000C3000000}"/>
    <hyperlink ref="A67" r:id="rId66" xr:uid="{00000000-0004-0000-1600-0000C4000000}"/>
    <hyperlink ref="B67" location="FixPlan!A34" display="No 40-60 Word Answer Paragraphs" xr:uid="{00000000-0004-0000-1600-0000C5000000}"/>
    <hyperlink ref="E67" location="Technical!A1" display="https://africanmarketingconfederation.org/amc-conference-2022-thank-you::no_40-60_word_answer_paragraphs" xr:uid="{00000000-0004-0000-1600-0000C6000000}"/>
    <hyperlink ref="A68" r:id="rId67" xr:uid="{00000000-0004-0000-1600-0000C7000000}"/>
    <hyperlink ref="B68" location="FixPlan!A35" display="AI Crawlers Not Explicitly Allowed" xr:uid="{00000000-0004-0000-1600-0000C8000000}"/>
    <hyperlink ref="E68" location="Technical!A1" display="https://africanmarketingconfederation.org/amc-conference-2022-thank-you::ai_crawlers_not_explicitly_allowed" xr:uid="{00000000-0004-0000-1600-0000C9000000}"/>
    <hyperlink ref="A69" r:id="rId68" xr:uid="{00000000-0004-0000-1600-0000CA000000}"/>
    <hyperlink ref="B69" location="FixPlan!A8" display="Broken Internal Links" xr:uid="{00000000-0004-0000-1600-0000CB000000}"/>
    <hyperlink ref="E69" location="Links!A1" display="https://africanmarketingconfederation.org/amc-conference-2023::broken_internal_links" xr:uid="{00000000-0004-0000-1600-0000CC000000}"/>
    <hyperlink ref="A70" r:id="rId69" xr:uid="{00000000-0004-0000-1600-0000CD000000}"/>
    <hyperlink ref="B70" location="FixPlan!A16" display="Low Image Alt Coverage" xr:uid="{00000000-0004-0000-1600-0000CE000000}"/>
    <hyperlink ref="E70" location="Technical!A1" display="https://africanmarketingconfederation.org/amc-conference-2023::low_image_alt_coverage" xr:uid="{00000000-0004-0000-1600-0000CF000000}"/>
    <hyperlink ref="A71" r:id="rId70" xr:uid="{00000000-0004-0000-1600-0000D0000000}"/>
    <hyperlink ref="B71" location="FixPlan!A17" display="Low AEO Readiness Score" xr:uid="{00000000-0004-0000-1600-0000D1000000}"/>
    <hyperlink ref="E71" location="AEO!A1" display="https://africanmarketingconfederation.org/amc-conference-2023::low_aeo_readiness_score" xr:uid="{00000000-0004-0000-1600-0000D2000000}"/>
    <hyperlink ref="A72" r:id="rId71" xr:uid="{00000000-0004-0000-1600-0000D3000000}"/>
    <hyperlink ref="B72" location="FixPlan!A31" display="No ETag Header" xr:uid="{00000000-0004-0000-1600-0000D4000000}"/>
    <hyperlink ref="E72" location="Technical!A1" display="https://africanmarketingconfederation.org/amc-conference-2023::no_etag_header" xr:uid="{00000000-0004-0000-1600-0000D5000000}"/>
    <hyperlink ref="A73" r:id="rId72" xr:uid="{00000000-0004-0000-1600-0000D6000000}"/>
    <hyperlink ref="B73" location="FixPlan!A32" display="No Question Headings" xr:uid="{00000000-0004-0000-1600-0000D7000000}"/>
    <hyperlink ref="E73" location="AEO!A1" display="https://africanmarketingconfederation.org/amc-conference-2023::no_question_headings" xr:uid="{00000000-0004-0000-1600-0000D8000000}"/>
    <hyperlink ref="A74" r:id="rId73" xr:uid="{00000000-0004-0000-1600-0000D9000000}"/>
    <hyperlink ref="B74" location="FixPlan!A33" display="No Answer-Friendly Structure" xr:uid="{00000000-0004-0000-1600-0000DA000000}"/>
    <hyperlink ref="E74" location="Technical!A1" display="https://africanmarketingconfederation.org/amc-conference-2023::no_answer-friendly_structure" xr:uid="{00000000-0004-0000-1600-0000DB000000}"/>
    <hyperlink ref="A75" r:id="rId74" xr:uid="{00000000-0004-0000-1600-0000DC000000}"/>
    <hyperlink ref="B75" location="FixPlan!A34" display="No 40-60 Word Answer Paragraphs" xr:uid="{00000000-0004-0000-1600-0000DD000000}"/>
    <hyperlink ref="E75" location="Technical!A1" display="https://africanmarketingconfederation.org/amc-conference-2023::no_40-60_word_answer_paragraphs" xr:uid="{00000000-0004-0000-1600-0000DE000000}"/>
    <hyperlink ref="A76" r:id="rId75" xr:uid="{00000000-0004-0000-1600-0000DF000000}"/>
    <hyperlink ref="B76" location="FixPlan!A35" display="AI Crawlers Not Explicitly Allowed" xr:uid="{00000000-0004-0000-1600-0000E0000000}"/>
    <hyperlink ref="E76" location="Technical!A1" display="https://africanmarketingconfederation.org/amc-conference-2023::ai_crawlers_not_explicitly_allowed" xr:uid="{00000000-0004-0000-1600-0000E1000000}"/>
    <hyperlink ref="A77" r:id="rId76" xr:uid="{00000000-0004-0000-1600-0000E2000000}"/>
    <hyperlink ref="B77" location="FixPlan!A8" display="Broken Internal Links" xr:uid="{00000000-0004-0000-1600-0000E3000000}"/>
    <hyperlink ref="E77" location="Links!A1" display="https://africanmarketingconfederation.org/amc-conference-2023/amc-awards::broken_internal_links" xr:uid="{00000000-0004-0000-1600-0000E4000000}"/>
    <hyperlink ref="A78" r:id="rId77" xr:uid="{00000000-0004-0000-1600-0000E5000000}"/>
    <hyperlink ref="B78" location="FixPlan!A16" display="Low Image Alt Coverage" xr:uid="{00000000-0004-0000-1600-0000E6000000}"/>
    <hyperlink ref="E78" location="Technical!A1" display="https://africanmarketingconfederation.org/amc-conference-2023/amc-awards::low_image_alt_coverage" xr:uid="{00000000-0004-0000-1600-0000E7000000}"/>
    <hyperlink ref="A79" r:id="rId78" xr:uid="{00000000-0004-0000-1600-0000E8000000}"/>
    <hyperlink ref="B79" location="FixPlan!A17" display="Low AEO Readiness Score" xr:uid="{00000000-0004-0000-1600-0000E9000000}"/>
    <hyperlink ref="E79" location="AEO!A1" display="https://africanmarketingconfederation.org/amc-conference-2023/amc-awards::low_aeo_readiness_score" xr:uid="{00000000-0004-0000-1600-0000EA000000}"/>
    <hyperlink ref="A80" r:id="rId79" xr:uid="{00000000-0004-0000-1600-0000EB000000}"/>
    <hyperlink ref="B80" location="FixPlan!A31" display="No ETag Header" xr:uid="{00000000-0004-0000-1600-0000EC000000}"/>
    <hyperlink ref="E80" location="Technical!A1" display="https://africanmarketingconfederation.org/amc-conference-2023/amc-awards::no_etag_header" xr:uid="{00000000-0004-0000-1600-0000ED000000}"/>
    <hyperlink ref="A81" r:id="rId80" xr:uid="{00000000-0004-0000-1600-0000EE000000}"/>
    <hyperlink ref="B81" location="FixPlan!A32" display="No Question Headings" xr:uid="{00000000-0004-0000-1600-0000EF000000}"/>
    <hyperlink ref="E81" location="AEO!A1" display="https://africanmarketingconfederation.org/amc-conference-2023/amc-awards::no_question_headings" xr:uid="{00000000-0004-0000-1600-0000F0000000}"/>
    <hyperlink ref="A82" r:id="rId81" xr:uid="{00000000-0004-0000-1600-0000F1000000}"/>
    <hyperlink ref="B82" location="FixPlan!A33" display="No Answer-Friendly Structure" xr:uid="{00000000-0004-0000-1600-0000F2000000}"/>
    <hyperlink ref="E82" location="Technical!A1" display="https://africanmarketingconfederation.org/amc-conference-2023/amc-awards::no_answer-friendly_structure" xr:uid="{00000000-0004-0000-1600-0000F3000000}"/>
    <hyperlink ref="A83" r:id="rId82" xr:uid="{00000000-0004-0000-1600-0000F4000000}"/>
    <hyperlink ref="B83" location="FixPlan!A34" display="No 40-60 Word Answer Paragraphs" xr:uid="{00000000-0004-0000-1600-0000F5000000}"/>
    <hyperlink ref="E83" location="Technical!A1" display="https://africanmarketingconfederation.org/amc-conference-2023/amc-awards::no_40-60_word_answer_paragraphs" xr:uid="{00000000-0004-0000-1600-0000F6000000}"/>
    <hyperlink ref="A84" r:id="rId83" xr:uid="{00000000-0004-0000-1600-0000F7000000}"/>
    <hyperlink ref="B84" location="FixPlan!A35" display="AI Crawlers Not Explicitly Allowed" xr:uid="{00000000-0004-0000-1600-0000F8000000}"/>
    <hyperlink ref="E84" location="Technical!A1" display="https://africanmarketingconfederation.org/amc-conference-2023/amc-awards::ai_crawlers_not_explicitly_allowed" xr:uid="{00000000-0004-0000-1600-0000F9000000}"/>
    <hyperlink ref="A85" r:id="rId84" xr:uid="{00000000-0004-0000-1600-0000FA000000}"/>
    <hyperlink ref="B85" location="FixPlan!A8" display="Broken Internal Links" xr:uid="{00000000-0004-0000-1600-0000FB000000}"/>
    <hyperlink ref="E85" location="Links!A1" display="https://africanmarketingconfederation.org/amc-conference-2023/amc-awards-book-now::broken_internal_links" xr:uid="{00000000-0004-0000-1600-0000FC000000}"/>
    <hyperlink ref="A86" r:id="rId85" xr:uid="{00000000-0004-0000-1600-0000FD000000}"/>
    <hyperlink ref="B86" location="FixPlan!A20" display="Missing Meta Description" xr:uid="{00000000-0004-0000-1600-0000FE000000}"/>
    <hyperlink ref="E86" location="Technical!A1" display="https://africanmarketingconfederation.org/amc-conference-2023/amc-awards-book-now::missing_meta_description" xr:uid="{00000000-0004-0000-1600-0000FF000000}"/>
    <hyperlink ref="A87" r:id="rId86" xr:uid="{00000000-0004-0000-1600-000000010000}"/>
    <hyperlink ref="B87" location="FixPlan!A19" display="Missing H1" xr:uid="{00000000-0004-0000-1600-000001010000}"/>
    <hyperlink ref="E87" location="Technical!A1" display="https://africanmarketingconfederation.org/amc-conference-2023/amc-awards-book-now::missing_h1" xr:uid="{00000000-0004-0000-1600-000002010000}"/>
    <hyperlink ref="A88" r:id="rId87" xr:uid="{00000000-0004-0000-1600-000003010000}"/>
    <hyperlink ref="B88" location="FixPlan!A16" display="Low Image Alt Coverage" xr:uid="{00000000-0004-0000-1600-000004010000}"/>
    <hyperlink ref="E88" location="Technical!A1" display="https://africanmarketingconfederation.org/amc-conference-2023/amc-awards-book-now::low_image_alt_coverage" xr:uid="{00000000-0004-0000-1600-000005010000}"/>
    <hyperlink ref="A89" r:id="rId88" xr:uid="{00000000-0004-0000-1600-000006010000}"/>
    <hyperlink ref="B89" location="FixPlan!A17" display="Low AEO Readiness Score" xr:uid="{00000000-0004-0000-1600-000007010000}"/>
    <hyperlink ref="E89" location="AEO!A1" display="https://africanmarketingconfederation.org/amc-conference-2023/amc-awards-book-now::low_aeo_readiness_score" xr:uid="{00000000-0004-0000-1600-000008010000}"/>
    <hyperlink ref="A90" r:id="rId89" xr:uid="{00000000-0004-0000-1600-000009010000}"/>
    <hyperlink ref="B90" location="FixPlan!A31" display="No ETag Header" xr:uid="{00000000-0004-0000-1600-00000A010000}"/>
    <hyperlink ref="E90" location="Technical!A1" display="https://africanmarketingconfederation.org/amc-conference-2023/amc-awards-book-now::no_etag_header" xr:uid="{00000000-0004-0000-1600-00000B010000}"/>
    <hyperlink ref="A91" r:id="rId90" xr:uid="{00000000-0004-0000-1600-00000C010000}"/>
    <hyperlink ref="B91" location="FixPlan!A29" display="Thin Content" xr:uid="{00000000-0004-0000-1600-00000D010000}"/>
    <hyperlink ref="E91" location="Technical!A1" display="https://africanmarketingconfederation.org/amc-conference-2023/amc-awards-book-now::thin_content" xr:uid="{00000000-0004-0000-1600-00000E010000}"/>
    <hyperlink ref="A92" r:id="rId91" xr:uid="{00000000-0004-0000-1600-00000F010000}"/>
    <hyperlink ref="B92" location="FixPlan!A32" display="No Question Headings" xr:uid="{00000000-0004-0000-1600-000010010000}"/>
    <hyperlink ref="E92" location="AEO!A1" display="https://africanmarketingconfederation.org/amc-conference-2023/amc-awards-book-now::no_question_headings" xr:uid="{00000000-0004-0000-1600-000011010000}"/>
    <hyperlink ref="A93" r:id="rId92" xr:uid="{00000000-0004-0000-1600-000012010000}"/>
    <hyperlink ref="B93" location="FixPlan!A33" display="No Answer-Friendly Structure" xr:uid="{00000000-0004-0000-1600-000013010000}"/>
    <hyperlink ref="E93" location="Technical!A1" display="https://africanmarketingconfederation.org/amc-conference-2023/amc-awards-book-now::no_answer-friendly_structure" xr:uid="{00000000-0004-0000-1600-000014010000}"/>
    <hyperlink ref="A94" r:id="rId93" xr:uid="{00000000-0004-0000-1600-000015010000}"/>
    <hyperlink ref="B94" location="FixPlan!A34" display="No 40-60 Word Answer Paragraphs" xr:uid="{00000000-0004-0000-1600-000016010000}"/>
    <hyperlink ref="E94" location="Technical!A1" display="https://africanmarketingconfederation.org/amc-conference-2023/amc-awards-book-now::no_40-60_word_answer_paragraphs" xr:uid="{00000000-0004-0000-1600-000017010000}"/>
    <hyperlink ref="A95" r:id="rId94" xr:uid="{00000000-0004-0000-1600-000018010000}"/>
    <hyperlink ref="B95" location="FixPlan!A35" display="AI Crawlers Not Explicitly Allowed" xr:uid="{00000000-0004-0000-1600-000019010000}"/>
    <hyperlink ref="E95" location="Technical!A1" display="https://africanmarketingconfederation.org/amc-conference-2023/amc-awards-book-now::ai_crawlers_not_explicitly_allowed" xr:uid="{00000000-0004-0000-1600-00001A01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5" customWidth="1"/>
    <col min="3" max="3" width="60" customWidth="1"/>
    <col min="4" max="4" width="18" customWidth="1"/>
    <col min="5" max="5" width="13" customWidth="1"/>
    <col min="6" max="6" width="19" customWidth="1"/>
  </cols>
  <sheetData>
    <row r="1" spans="1:8" ht="45" x14ac:dyDescent="0.25">
      <c r="A1" s="26" t="s">
        <v>102</v>
      </c>
      <c r="B1" s="26" t="s">
        <v>1163</v>
      </c>
      <c r="C1" s="26" t="s">
        <v>1164</v>
      </c>
      <c r="D1" s="26" t="s">
        <v>1165</v>
      </c>
      <c r="E1" s="26" t="s">
        <v>432</v>
      </c>
      <c r="F1" s="26" t="s">
        <v>434</v>
      </c>
      <c r="G1" s="26" t="s">
        <v>122</v>
      </c>
      <c r="H1" s="35" t="s">
        <v>211</v>
      </c>
    </row>
    <row r="2" spans="1:8" ht="30" customHeight="1" x14ac:dyDescent="0.25">
      <c r="A2" s="32" t="s">
        <v>144</v>
      </c>
      <c r="B2" s="27">
        <v>6</v>
      </c>
      <c r="C2" s="30" t="s">
        <v>1166</v>
      </c>
      <c r="D2" s="40" t="b">
        <v>0</v>
      </c>
      <c r="E2" s="27">
        <v>1</v>
      </c>
      <c r="F2" s="27">
        <v>0.271899</v>
      </c>
      <c r="G2" s="33" t="str">
        <f>IFERROR(HYPERLINK("#Main!A"&amp;MATCH(A2,Main!A:A,0),"Open"),HYPERLINK("#Main!A1","Open"))</f>
        <v>Open</v>
      </c>
      <c r="H2" s="33"/>
    </row>
    <row r="3" spans="1:8" ht="195" x14ac:dyDescent="0.25">
      <c r="A3" s="29" t="s">
        <v>127</v>
      </c>
      <c r="B3" s="36">
        <v>8</v>
      </c>
      <c r="C3" s="42" t="s">
        <v>1167</v>
      </c>
      <c r="D3" s="43" t="b">
        <v>0</v>
      </c>
      <c r="E3" s="36">
        <v>0</v>
      </c>
      <c r="F3" s="36">
        <v>0.28744900000000001</v>
      </c>
      <c r="G3" t="str">
        <f>IFERROR(HYPERLINK("#Main!A"&amp;MATCH(A3,Main!A:A,0),"Open"),HYPERLINK("#Main!A1","Open"))</f>
        <v>Open</v>
      </c>
    </row>
    <row r="4" spans="1:8" ht="30" customHeight="1" x14ac:dyDescent="0.25">
      <c r="A4" s="32" t="s">
        <v>135</v>
      </c>
      <c r="B4" s="27">
        <v>6</v>
      </c>
      <c r="C4" s="30" t="s">
        <v>1166</v>
      </c>
      <c r="D4" s="40" t="b">
        <v>0</v>
      </c>
      <c r="E4" s="27">
        <v>1</v>
      </c>
      <c r="F4" s="27">
        <v>0.271899</v>
      </c>
      <c r="G4" s="33" t="str">
        <f>IFERROR(HYPERLINK("#Main!A"&amp;MATCH(A4,Main!A:A,0),"Open"),HYPERLINK("#Main!A1","Open"))</f>
        <v>Open</v>
      </c>
      <c r="H4" s="33"/>
    </row>
    <row r="5" spans="1:8" ht="30" customHeight="1" x14ac:dyDescent="0.25">
      <c r="A5" s="29" t="s">
        <v>152</v>
      </c>
      <c r="B5" s="36">
        <v>0</v>
      </c>
      <c r="C5" s="42"/>
      <c r="D5" s="43" t="b">
        <v>1</v>
      </c>
      <c r="E5" s="36"/>
      <c r="F5" s="36">
        <v>1.9664999999999998E-2</v>
      </c>
      <c r="G5" t="str">
        <f>IFERROR(HYPERLINK("#Main!A"&amp;MATCH(A5,Main!A:A,0),"Open"),HYPERLINK("#Main!A1","Open"))</f>
        <v>Open</v>
      </c>
    </row>
    <row r="6" spans="1:8" ht="30" customHeight="1" x14ac:dyDescent="0.25">
      <c r="A6" s="32" t="s">
        <v>169</v>
      </c>
      <c r="B6" s="27">
        <v>0</v>
      </c>
      <c r="C6" s="30"/>
      <c r="D6" s="40" t="b">
        <v>1</v>
      </c>
      <c r="E6" s="27"/>
      <c r="F6" s="27">
        <v>1.9664999999999998E-2</v>
      </c>
      <c r="G6" s="33" t="str">
        <f>IFERROR(HYPERLINK("#Main!A"&amp;MATCH(A6,Main!A:A,0),"Open"),HYPERLINK("#Main!A1","Open"))</f>
        <v>Open</v>
      </c>
      <c r="H6" s="33"/>
    </row>
    <row r="7" spans="1:8" ht="30" customHeight="1" x14ac:dyDescent="0.25">
      <c r="A7" s="29" t="s">
        <v>161</v>
      </c>
      <c r="B7" s="36">
        <v>0</v>
      </c>
      <c r="C7" s="42"/>
      <c r="D7" s="43" t="b">
        <v>1</v>
      </c>
      <c r="E7" s="36"/>
      <c r="F7" s="36">
        <v>1.9664999999999998E-2</v>
      </c>
      <c r="G7" t="str">
        <f>IFERROR(HYPERLINK("#Main!A"&amp;MATCH(A7,Main!A:A,0),"Open"),HYPERLINK("#Main!A1","Open"))</f>
        <v>Open</v>
      </c>
    </row>
    <row r="8" spans="1:8" ht="30" customHeight="1" x14ac:dyDescent="0.25">
      <c r="A8" s="32" t="s">
        <v>177</v>
      </c>
      <c r="B8" s="27">
        <v>0</v>
      </c>
      <c r="C8" s="30"/>
      <c r="D8" s="40" t="b">
        <v>1</v>
      </c>
      <c r="E8" s="27"/>
      <c r="F8" s="27">
        <v>1.9664999999999998E-2</v>
      </c>
      <c r="G8" s="33" t="str">
        <f>IFERROR(HYPERLINK("#Main!A"&amp;MATCH(A8,Main!A:A,0),"Open"),HYPERLINK("#Main!A1","Open"))</f>
        <v>Open</v>
      </c>
      <c r="H8" s="33"/>
    </row>
    <row r="9" spans="1:8" ht="30" customHeight="1" x14ac:dyDescent="0.25">
      <c r="A9" s="29" t="s">
        <v>186</v>
      </c>
      <c r="B9" s="36">
        <v>2</v>
      </c>
      <c r="C9" s="42" t="s">
        <v>1168</v>
      </c>
      <c r="D9" s="43" t="b">
        <v>0</v>
      </c>
      <c r="E9" s="36"/>
      <c r="F9" s="36">
        <v>3.5214000000000002E-2</v>
      </c>
      <c r="G9" t="str">
        <f>IFERROR(HYPERLINK("#Main!A"&amp;MATCH(A9,Main!A:A,0),"Open"),HYPERLINK("#Main!A1","Open"))</f>
        <v>Open</v>
      </c>
    </row>
    <row r="10" spans="1:8" ht="30" customHeight="1" x14ac:dyDescent="0.25">
      <c r="A10" s="32" t="s">
        <v>194</v>
      </c>
      <c r="B10" s="27">
        <v>2</v>
      </c>
      <c r="C10" s="30" t="s">
        <v>1168</v>
      </c>
      <c r="D10" s="40" t="b">
        <v>0</v>
      </c>
      <c r="E10" s="27"/>
      <c r="F10" s="27">
        <v>3.5214000000000002E-2</v>
      </c>
      <c r="G10" s="33" t="str">
        <f>IFERROR(HYPERLINK("#Main!A"&amp;MATCH(A10,Main!A:A,0),"Open"),HYPERLINK("#Main!A1","Open"))</f>
        <v>Open</v>
      </c>
      <c r="H10" s="33"/>
    </row>
    <row r="11" spans="1:8" ht="30" customHeight="1" x14ac:dyDescent="0.25">
      <c r="A11" s="29" t="s">
        <v>202</v>
      </c>
      <c r="B11" s="36">
        <v>0</v>
      </c>
      <c r="C11" s="42"/>
      <c r="D11" s="43" t="b">
        <v>1</v>
      </c>
      <c r="E11" s="36"/>
      <c r="F11" s="36">
        <v>1.9664999999999998E-2</v>
      </c>
      <c r="G11" t="str">
        <f>IFERROR(HYPERLINK("#Main!A"&amp;MATCH(A11,Main!A:A,0),"Open"),HYPERLINK("#Main!A1","Open"))</f>
        <v>Open</v>
      </c>
    </row>
  </sheetData>
  <autoFilter ref="A1:H11" xr:uid="{00000000-0009-0000-0000-000017000000}"/>
  <dataValidations count="8">
    <dataValidation type="custom" allowBlank="1" showInputMessage="1" promptTitle="URL" prompt="URL. Use this URL to inspect the page directly or jump to related tabs." sqref="A1" xr:uid="{00000000-0002-0000-1700-000000000000}">
      <formula1>TRUE</formula1>
    </dataValidation>
    <dataValidation type="custom" allowBlank="1" showInputMessage="1" promptTitle="Inlinks Count" prompt="Link quality and crawl-path metric. Fix: repair broken links and improve internal linking relevance." sqref="B1" xr:uid="{00000000-0002-0000-1700-000001000000}">
      <formula1>TRUE</formula1>
    </dataValidation>
    <dataValidation type="custom" allowBlank="1" showInputMessage="1" promptTitle="Inlinks URLs" prompt="Inlinks URLs. Use this URL to inspect the page directly or jump to related tabs." sqref="C1" xr:uid="{00000000-0002-0000-1700-000002000000}">
      <formula1>TRUE</formula1>
    </dataValidation>
    <dataValidation type="custom" allowBlank="1" showInputMessage="1" promptTitle="Orphan Candidate" prompt="Orphan Candidate. Review this metric to identify risk, then use linked tabs for details and remediation." sqref="D1" xr:uid="{00000000-0002-0000-1700-000003000000}">
      <formula1>TRUE</formula1>
    </dataValidation>
    <dataValidation type="custom" allowBlank="1" showInputMessage="1" promptTitle="Click Depth" prompt="Click Depth. Review this metric to identify risk, then use linked tabs for details and remediation." sqref="E1" xr:uid="{00000000-0002-0000-1700-000004000000}">
      <formula1>TRUE</formula1>
    </dataValidation>
    <dataValidation type="custom" allowBlank="1" showInputMessage="1" promptTitle="Internal PageRank" prompt="Internal PageRank. Review this metric to identify risk, then use linked tabs for details and remediation." sqref="F1" xr:uid="{00000000-0002-0000-1700-000005000000}">
      <formula1>TRUE</formula1>
    </dataValidation>
    <dataValidation type="custom" allowBlank="1" showInputMessage="1" promptTitle="Open in Main" prompt="Navigation helper. Click to jump directly to the related record in another tab." sqref="G1" xr:uid="{00000000-0002-0000-1700-000006000000}">
      <formula1>TRUE</formula1>
    </dataValidation>
    <dataValidation type="custom" allowBlank="1" showInputMessage="1" promptTitle="BACK TO DASHBOARD" prompt="BACK TO DASHBOARD. Review this metric to identify risk, then use linked tabs for details and remediation." sqref="H1" xr:uid="{00000000-0002-0000-1700-000007000000}">
      <formula1>TRUE</formula1>
    </dataValidation>
  </dataValidations>
  <hyperlinks>
    <hyperlink ref="H1" location="Dashboard!A1" display="BACK TO DASHBOARD" xr:uid="{00000000-0004-0000-1700-000000000000}"/>
    <hyperlink ref="A2" r:id="rId1" xr:uid="{00000000-0004-0000-1700-000001000000}"/>
    <hyperlink ref="A3" r:id="rId2" xr:uid="{00000000-0004-0000-1700-000002000000}"/>
    <hyperlink ref="A4" r:id="rId3" xr:uid="{00000000-0004-0000-1700-000003000000}"/>
    <hyperlink ref="A5" r:id="rId4" xr:uid="{00000000-0004-0000-1700-000004000000}"/>
    <hyperlink ref="A6" r:id="rId5" xr:uid="{00000000-0004-0000-1700-000005000000}"/>
    <hyperlink ref="A7" r:id="rId6" xr:uid="{00000000-0004-0000-1700-000006000000}"/>
    <hyperlink ref="A8" r:id="rId7" xr:uid="{00000000-0004-0000-1700-000007000000}"/>
    <hyperlink ref="A9" r:id="rId8" xr:uid="{00000000-0004-0000-1700-000008000000}"/>
    <hyperlink ref="A10" r:id="rId9" xr:uid="{00000000-0004-0000-1700-000009000000}"/>
    <hyperlink ref="A11" r:id="rId10" xr:uid="{00000000-0004-0000-1700-00000A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6" t="s">
        <v>1169</v>
      </c>
      <c r="B1" s="26" t="s">
        <v>449</v>
      </c>
      <c r="C1" s="26" t="s">
        <v>395</v>
      </c>
      <c r="D1" s="26" t="s">
        <v>436</v>
      </c>
      <c r="E1" s="26" t="s">
        <v>435</v>
      </c>
      <c r="F1" s="26" t="s">
        <v>437</v>
      </c>
      <c r="G1" s="26" t="s">
        <v>1170</v>
      </c>
      <c r="H1" s="26" t="s">
        <v>1171</v>
      </c>
      <c r="I1" s="26" t="s">
        <v>1172</v>
      </c>
      <c r="J1" s="26" t="s">
        <v>1173</v>
      </c>
      <c r="K1" s="26" t="s">
        <v>1174</v>
      </c>
      <c r="L1" s="26" t="s">
        <v>1175</v>
      </c>
      <c r="M1" s="26" t="s">
        <v>1176</v>
      </c>
      <c r="N1" s="26" t="s">
        <v>1177</v>
      </c>
      <c r="O1" s="26" t="s">
        <v>1178</v>
      </c>
      <c r="P1" s="26" t="s">
        <v>1179</v>
      </c>
      <c r="Q1" s="35" t="s">
        <v>211</v>
      </c>
    </row>
    <row r="2" spans="1:17" x14ac:dyDescent="0.25">
      <c r="A2" s="54" t="s">
        <v>127</v>
      </c>
      <c r="B2" s="30" t="s">
        <v>127</v>
      </c>
      <c r="C2" s="27">
        <v>200</v>
      </c>
      <c r="D2" s="27" t="b">
        <v>1</v>
      </c>
      <c r="E2" s="27" t="b">
        <v>1</v>
      </c>
      <c r="F2" s="27" t="s">
        <v>444</v>
      </c>
      <c r="G2" s="34" t="b">
        <v>0</v>
      </c>
      <c r="H2" s="30" t="b">
        <v>0</v>
      </c>
      <c r="I2" s="27" t="b">
        <v>0</v>
      </c>
      <c r="J2" s="63" t="b">
        <v>0</v>
      </c>
      <c r="K2" s="34" t="b">
        <v>0</v>
      </c>
      <c r="L2" s="34" t="b">
        <v>0</v>
      </c>
      <c r="M2" s="40" t="s">
        <v>1180</v>
      </c>
      <c r="N2" s="27" t="s">
        <v>515</v>
      </c>
      <c r="O2" s="27" t="s">
        <v>516</v>
      </c>
      <c r="P2" s="27" t="s">
        <v>1181</v>
      </c>
      <c r="Q2" s="33"/>
    </row>
    <row r="3" spans="1:17" x14ac:dyDescent="0.25">
      <c r="A3" s="42" t="s">
        <v>1182</v>
      </c>
      <c r="B3" s="42"/>
      <c r="C3" s="36"/>
      <c r="D3" s="36" t="b">
        <v>0</v>
      </c>
      <c r="E3" s="36" t="b">
        <v>1</v>
      </c>
      <c r="F3" s="36" t="s">
        <v>1183</v>
      </c>
      <c r="G3" s="28" t="b">
        <v>1</v>
      </c>
      <c r="H3" s="42"/>
      <c r="I3" s="36"/>
      <c r="J3" s="63" t="b">
        <v>0</v>
      </c>
      <c r="K3" s="34" t="b">
        <v>0</v>
      </c>
      <c r="L3" s="34" t="b">
        <v>0</v>
      </c>
      <c r="M3" s="43" t="s">
        <v>1184</v>
      </c>
      <c r="N3" s="36" t="s">
        <v>520</v>
      </c>
      <c r="O3" s="36" t="s">
        <v>521</v>
      </c>
      <c r="P3" s="36" t="s">
        <v>1181</v>
      </c>
    </row>
    <row r="4" spans="1:17" ht="30" x14ac:dyDescent="0.25">
      <c r="A4" s="30" t="s">
        <v>1185</v>
      </c>
      <c r="B4" s="30"/>
      <c r="C4" s="27"/>
      <c r="D4" s="27" t="b">
        <v>0</v>
      </c>
      <c r="E4" s="27" t="b">
        <v>1</v>
      </c>
      <c r="F4" s="27" t="s">
        <v>1183</v>
      </c>
      <c r="G4" s="28" t="b">
        <v>1</v>
      </c>
      <c r="H4" s="30"/>
      <c r="I4" s="27"/>
      <c r="J4" s="63" t="b">
        <v>0</v>
      </c>
      <c r="K4" s="34" t="b">
        <v>0</v>
      </c>
      <c r="L4" s="34" t="b">
        <v>0</v>
      </c>
      <c r="M4" s="40" t="s">
        <v>1186</v>
      </c>
      <c r="N4" s="27" t="s">
        <v>520</v>
      </c>
      <c r="O4" s="27" t="s">
        <v>521</v>
      </c>
      <c r="P4" s="27" t="s">
        <v>1181</v>
      </c>
      <c r="Q4" s="33"/>
    </row>
    <row r="5" spans="1:17" ht="30" x14ac:dyDescent="0.25">
      <c r="A5" s="42" t="s">
        <v>1187</v>
      </c>
      <c r="B5" s="42"/>
      <c r="C5" s="36"/>
      <c r="D5" s="36" t="b">
        <v>0</v>
      </c>
      <c r="E5" s="36" t="b">
        <v>1</v>
      </c>
      <c r="F5" s="36" t="s">
        <v>1183</v>
      </c>
      <c r="G5" s="28" t="b">
        <v>1</v>
      </c>
      <c r="H5" s="42"/>
      <c r="I5" s="36"/>
      <c r="J5" s="63" t="b">
        <v>0</v>
      </c>
      <c r="K5" s="34" t="b">
        <v>0</v>
      </c>
      <c r="L5" s="34" t="b">
        <v>0</v>
      </c>
      <c r="M5" s="43" t="s">
        <v>1188</v>
      </c>
      <c r="N5" s="36" t="s">
        <v>520</v>
      </c>
      <c r="O5" s="36" t="s">
        <v>521</v>
      </c>
      <c r="P5" s="36" t="s">
        <v>1181</v>
      </c>
    </row>
    <row r="6" spans="1:17" ht="30" x14ac:dyDescent="0.25">
      <c r="A6" s="30" t="s">
        <v>1189</v>
      </c>
      <c r="B6" s="30"/>
      <c r="C6" s="27"/>
      <c r="D6" s="27" t="b">
        <v>0</v>
      </c>
      <c r="E6" s="27" t="b">
        <v>1</v>
      </c>
      <c r="F6" s="27" t="s">
        <v>1183</v>
      </c>
      <c r="G6" s="28" t="b">
        <v>1</v>
      </c>
      <c r="H6" s="30"/>
      <c r="I6" s="27"/>
      <c r="J6" s="63" t="b">
        <v>0</v>
      </c>
      <c r="K6" s="34" t="b">
        <v>0</v>
      </c>
      <c r="L6" s="34" t="b">
        <v>0</v>
      </c>
      <c r="M6" s="40" t="s">
        <v>1190</v>
      </c>
      <c r="N6" s="27" t="s">
        <v>520</v>
      </c>
      <c r="O6" s="27" t="s">
        <v>521</v>
      </c>
      <c r="P6" s="27" t="s">
        <v>1181</v>
      </c>
      <c r="Q6" s="33"/>
    </row>
    <row r="7" spans="1:17" ht="30" x14ac:dyDescent="0.25">
      <c r="A7" s="42" t="s">
        <v>1191</v>
      </c>
      <c r="B7" s="42"/>
      <c r="C7" s="36"/>
      <c r="D7" s="36" t="b">
        <v>0</v>
      </c>
      <c r="E7" s="36" t="b">
        <v>1</v>
      </c>
      <c r="F7" s="36" t="s">
        <v>1183</v>
      </c>
      <c r="G7" s="28" t="b">
        <v>1</v>
      </c>
      <c r="H7" s="42"/>
      <c r="I7" s="36"/>
      <c r="J7" s="63" t="b">
        <v>0</v>
      </c>
      <c r="K7" s="34" t="b">
        <v>0</v>
      </c>
      <c r="L7" s="34" t="b">
        <v>0</v>
      </c>
      <c r="M7" s="43" t="s">
        <v>1192</v>
      </c>
      <c r="N7" s="36" t="s">
        <v>520</v>
      </c>
      <c r="O7" s="36" t="s">
        <v>521</v>
      </c>
      <c r="P7" s="36" t="s">
        <v>1181</v>
      </c>
    </row>
    <row r="8" spans="1:17" ht="30" x14ac:dyDescent="0.25">
      <c r="A8" s="30" t="s">
        <v>1193</v>
      </c>
      <c r="B8" s="30"/>
      <c r="C8" s="27"/>
      <c r="D8" s="27" t="b">
        <v>0</v>
      </c>
      <c r="E8" s="27" t="b">
        <v>1</v>
      </c>
      <c r="F8" s="27" t="s">
        <v>1183</v>
      </c>
      <c r="G8" s="28" t="b">
        <v>1</v>
      </c>
      <c r="H8" s="30"/>
      <c r="I8" s="27"/>
      <c r="J8" s="63" t="b">
        <v>0</v>
      </c>
      <c r="K8" s="34" t="b">
        <v>0</v>
      </c>
      <c r="L8" s="34" t="b">
        <v>0</v>
      </c>
      <c r="M8" s="40" t="s">
        <v>1194</v>
      </c>
      <c r="N8" s="27" t="s">
        <v>520</v>
      </c>
      <c r="O8" s="27" t="s">
        <v>521</v>
      </c>
      <c r="P8" s="27" t="s">
        <v>1181</v>
      </c>
      <c r="Q8" s="33"/>
    </row>
    <row r="9" spans="1:17" x14ac:dyDescent="0.25">
      <c r="A9" s="42" t="s">
        <v>1195</v>
      </c>
      <c r="B9" s="42"/>
      <c r="C9" s="36"/>
      <c r="D9" s="36" t="b">
        <v>0</v>
      </c>
      <c r="E9" s="36" t="b">
        <v>1</v>
      </c>
      <c r="F9" s="36" t="s">
        <v>1183</v>
      </c>
      <c r="G9" s="28" t="b">
        <v>1</v>
      </c>
      <c r="H9" s="42"/>
      <c r="I9" s="36"/>
      <c r="J9" s="63" t="b">
        <v>0</v>
      </c>
      <c r="K9" s="34" t="b">
        <v>0</v>
      </c>
      <c r="L9" s="34" t="b">
        <v>0</v>
      </c>
      <c r="M9" s="43" t="s">
        <v>1196</v>
      </c>
      <c r="N9" s="36" t="s">
        <v>520</v>
      </c>
      <c r="O9" s="36" t="s">
        <v>521</v>
      </c>
      <c r="P9" s="36" t="s">
        <v>1181</v>
      </c>
    </row>
    <row r="10" spans="1:17" x14ac:dyDescent="0.25">
      <c r="A10" s="30" t="s">
        <v>1197</v>
      </c>
      <c r="B10" s="30"/>
      <c r="C10" s="27"/>
      <c r="D10" s="27" t="b">
        <v>0</v>
      </c>
      <c r="E10" s="27" t="b">
        <v>1</v>
      </c>
      <c r="F10" s="27" t="s">
        <v>1183</v>
      </c>
      <c r="G10" s="28" t="b">
        <v>1</v>
      </c>
      <c r="H10" s="30"/>
      <c r="I10" s="27"/>
      <c r="J10" s="63" t="b">
        <v>0</v>
      </c>
      <c r="K10" s="34" t="b">
        <v>0</v>
      </c>
      <c r="L10" s="34" t="b">
        <v>0</v>
      </c>
      <c r="M10" s="40" t="s">
        <v>1198</v>
      </c>
      <c r="N10" s="27" t="s">
        <v>520</v>
      </c>
      <c r="O10" s="27" t="s">
        <v>521</v>
      </c>
      <c r="P10" s="27" t="s">
        <v>1181</v>
      </c>
      <c r="Q10" s="33"/>
    </row>
    <row r="11" spans="1:17" x14ac:dyDescent="0.25">
      <c r="A11" s="42" t="s">
        <v>1199</v>
      </c>
      <c r="B11" s="42"/>
      <c r="C11" s="36"/>
      <c r="D11" s="36" t="b">
        <v>0</v>
      </c>
      <c r="E11" s="36" t="b">
        <v>1</v>
      </c>
      <c r="F11" s="36" t="s">
        <v>1183</v>
      </c>
      <c r="G11" s="28" t="b">
        <v>1</v>
      </c>
      <c r="H11" s="42"/>
      <c r="I11" s="36"/>
      <c r="J11" s="63" t="b">
        <v>0</v>
      </c>
      <c r="K11" s="34" t="b">
        <v>0</v>
      </c>
      <c r="L11" s="34" t="b">
        <v>0</v>
      </c>
      <c r="M11" s="43" t="s">
        <v>1200</v>
      </c>
      <c r="N11" s="36" t="s">
        <v>520</v>
      </c>
      <c r="O11" s="36" t="s">
        <v>521</v>
      </c>
      <c r="P11" s="36" t="s">
        <v>1181</v>
      </c>
    </row>
    <row r="12" spans="1:17" x14ac:dyDescent="0.25">
      <c r="A12" s="30" t="s">
        <v>1201</v>
      </c>
      <c r="B12" s="30"/>
      <c r="C12" s="27"/>
      <c r="D12" s="27" t="b">
        <v>0</v>
      </c>
      <c r="E12" s="27" t="b">
        <v>1</v>
      </c>
      <c r="F12" s="27" t="s">
        <v>1183</v>
      </c>
      <c r="G12" s="28" t="b">
        <v>1</v>
      </c>
      <c r="H12" s="30"/>
      <c r="I12" s="27"/>
      <c r="J12" s="63" t="b">
        <v>0</v>
      </c>
      <c r="K12" s="34" t="b">
        <v>0</v>
      </c>
      <c r="L12" s="34" t="b">
        <v>0</v>
      </c>
      <c r="M12" s="40" t="s">
        <v>1202</v>
      </c>
      <c r="N12" s="27" t="s">
        <v>520</v>
      </c>
      <c r="O12" s="27" t="s">
        <v>521</v>
      </c>
      <c r="P12" s="27" t="s">
        <v>1181</v>
      </c>
      <c r="Q12" s="33"/>
    </row>
    <row r="13" spans="1:17" ht="30" customHeight="1" x14ac:dyDescent="0.25">
      <c r="A13" s="54" t="s">
        <v>1203</v>
      </c>
      <c r="B13" s="42" t="s">
        <v>144</v>
      </c>
      <c r="C13" s="36">
        <v>200</v>
      </c>
      <c r="D13" s="36" t="b">
        <v>1</v>
      </c>
      <c r="E13" s="36" t="b">
        <v>1</v>
      </c>
      <c r="F13" s="36" t="s">
        <v>444</v>
      </c>
      <c r="G13" s="34" t="b">
        <v>0</v>
      </c>
      <c r="H13" s="42" t="b">
        <v>0</v>
      </c>
      <c r="I13" s="36" t="b">
        <v>0</v>
      </c>
      <c r="J13" s="63" t="b">
        <v>0</v>
      </c>
      <c r="K13" s="34" t="b">
        <v>0</v>
      </c>
      <c r="L13" s="34" t="b">
        <v>0</v>
      </c>
      <c r="M13" s="43" t="s">
        <v>1204</v>
      </c>
      <c r="N13" s="36" t="s">
        <v>520</v>
      </c>
      <c r="O13" s="36" t="s">
        <v>521</v>
      </c>
      <c r="P13" s="36" t="s">
        <v>1181</v>
      </c>
    </row>
    <row r="14" spans="1:17" x14ac:dyDescent="0.25">
      <c r="A14" s="30" t="s">
        <v>1205</v>
      </c>
      <c r="B14" s="30"/>
      <c r="C14" s="27"/>
      <c r="D14" s="27" t="b">
        <v>0</v>
      </c>
      <c r="E14" s="27" t="b">
        <v>1</v>
      </c>
      <c r="F14" s="27" t="s">
        <v>1183</v>
      </c>
      <c r="G14" s="28" t="b">
        <v>1</v>
      </c>
      <c r="H14" s="30"/>
      <c r="I14" s="27"/>
      <c r="J14" s="63" t="b">
        <v>0</v>
      </c>
      <c r="K14" s="34" t="b">
        <v>0</v>
      </c>
      <c r="L14" s="34" t="b">
        <v>0</v>
      </c>
      <c r="M14" s="40" t="s">
        <v>1206</v>
      </c>
      <c r="N14" s="27" t="s">
        <v>520</v>
      </c>
      <c r="O14" s="27" t="s">
        <v>521</v>
      </c>
      <c r="P14" s="27" t="s">
        <v>1181</v>
      </c>
      <c r="Q14" s="33"/>
    </row>
    <row r="15" spans="1:17" x14ac:dyDescent="0.25">
      <c r="A15" s="42" t="s">
        <v>1207</v>
      </c>
      <c r="B15" s="42"/>
      <c r="C15" s="36"/>
      <c r="D15" s="36" t="b">
        <v>0</v>
      </c>
      <c r="E15" s="36" t="b">
        <v>1</v>
      </c>
      <c r="F15" s="36" t="s">
        <v>1183</v>
      </c>
      <c r="G15" s="28" t="b">
        <v>1</v>
      </c>
      <c r="H15" s="42"/>
      <c r="I15" s="36"/>
      <c r="J15" s="63" t="b">
        <v>0</v>
      </c>
      <c r="K15" s="34" t="b">
        <v>0</v>
      </c>
      <c r="L15" s="34" t="b">
        <v>0</v>
      </c>
      <c r="M15" s="43" t="s">
        <v>1208</v>
      </c>
      <c r="N15" s="36" t="s">
        <v>520</v>
      </c>
      <c r="O15" s="36" t="s">
        <v>521</v>
      </c>
      <c r="P15" s="36" t="s">
        <v>1181</v>
      </c>
    </row>
    <row r="16" spans="1:17" ht="30" customHeight="1" x14ac:dyDescent="0.25">
      <c r="A16" s="54" t="s">
        <v>1209</v>
      </c>
      <c r="B16" s="30" t="s">
        <v>135</v>
      </c>
      <c r="C16" s="27">
        <v>200</v>
      </c>
      <c r="D16" s="27" t="b">
        <v>1</v>
      </c>
      <c r="E16" s="27" t="b">
        <v>1</v>
      </c>
      <c r="F16" s="27" t="s">
        <v>444</v>
      </c>
      <c r="G16" s="34" t="b">
        <v>0</v>
      </c>
      <c r="H16" s="30" t="b">
        <v>0</v>
      </c>
      <c r="I16" s="27" t="b">
        <v>0</v>
      </c>
      <c r="J16" s="63" t="b">
        <v>0</v>
      </c>
      <c r="K16" s="34" t="b">
        <v>0</v>
      </c>
      <c r="L16" s="34" t="b">
        <v>0</v>
      </c>
      <c r="M16" s="40" t="s">
        <v>1210</v>
      </c>
      <c r="N16" s="27" t="s">
        <v>520</v>
      </c>
      <c r="O16" s="27" t="s">
        <v>521</v>
      </c>
      <c r="P16" s="27" t="s">
        <v>1181</v>
      </c>
      <c r="Q16" s="33"/>
    </row>
    <row r="17" spans="1:17" x14ac:dyDescent="0.25">
      <c r="A17" s="42" t="s">
        <v>1211</v>
      </c>
      <c r="B17" s="42"/>
      <c r="C17" s="36"/>
      <c r="D17" s="36" t="b">
        <v>0</v>
      </c>
      <c r="E17" s="36" t="b">
        <v>1</v>
      </c>
      <c r="F17" s="36" t="s">
        <v>1183</v>
      </c>
      <c r="G17" s="28" t="b">
        <v>1</v>
      </c>
      <c r="H17" s="42"/>
      <c r="I17" s="36"/>
      <c r="J17" s="63" t="b">
        <v>0</v>
      </c>
      <c r="K17" s="34" t="b">
        <v>0</v>
      </c>
      <c r="L17" s="34" t="b">
        <v>0</v>
      </c>
      <c r="M17" s="43" t="s">
        <v>1212</v>
      </c>
      <c r="N17" s="36" t="s">
        <v>520</v>
      </c>
      <c r="O17" s="36" t="s">
        <v>521</v>
      </c>
      <c r="P17" s="36" t="s">
        <v>1181</v>
      </c>
    </row>
    <row r="18" spans="1:17" x14ac:dyDescent="0.25">
      <c r="A18" s="30" t="s">
        <v>1213</v>
      </c>
      <c r="B18" s="30"/>
      <c r="C18" s="27"/>
      <c r="D18" s="27" t="b">
        <v>0</v>
      </c>
      <c r="E18" s="27" t="b">
        <v>1</v>
      </c>
      <c r="F18" s="27" t="s">
        <v>1183</v>
      </c>
      <c r="G18" s="28" t="b">
        <v>1</v>
      </c>
      <c r="H18" s="30"/>
      <c r="I18" s="27"/>
      <c r="J18" s="63" t="b">
        <v>0</v>
      </c>
      <c r="K18" s="34" t="b">
        <v>0</v>
      </c>
      <c r="L18" s="34" t="b">
        <v>0</v>
      </c>
      <c r="M18" s="40" t="s">
        <v>1214</v>
      </c>
      <c r="N18" s="27" t="s">
        <v>520</v>
      </c>
      <c r="O18" s="27" t="s">
        <v>521</v>
      </c>
      <c r="P18" s="27" t="s">
        <v>1181</v>
      </c>
      <c r="Q18" s="33"/>
    </row>
    <row r="19" spans="1:17" x14ac:dyDescent="0.25">
      <c r="A19" s="42" t="s">
        <v>1215</v>
      </c>
      <c r="B19" s="42"/>
      <c r="C19" s="36"/>
      <c r="D19" s="36" t="b">
        <v>0</v>
      </c>
      <c r="E19" s="36" t="b">
        <v>1</v>
      </c>
      <c r="F19" s="36" t="s">
        <v>1183</v>
      </c>
      <c r="G19" s="28" t="b">
        <v>1</v>
      </c>
      <c r="H19" s="42"/>
      <c r="I19" s="36"/>
      <c r="J19" s="63" t="b">
        <v>0</v>
      </c>
      <c r="K19" s="34" t="b">
        <v>0</v>
      </c>
      <c r="L19" s="34" t="b">
        <v>0</v>
      </c>
      <c r="M19" s="43" t="s">
        <v>1216</v>
      </c>
      <c r="N19" s="36" t="s">
        <v>520</v>
      </c>
      <c r="O19" s="36" t="s">
        <v>521</v>
      </c>
      <c r="P19" s="36" t="s">
        <v>1181</v>
      </c>
    </row>
    <row r="20" spans="1:17" ht="30" x14ac:dyDescent="0.25">
      <c r="A20" s="30" t="s">
        <v>1217</v>
      </c>
      <c r="B20" s="30"/>
      <c r="C20" s="27"/>
      <c r="D20" s="27" t="b">
        <v>0</v>
      </c>
      <c r="E20" s="27" t="b">
        <v>1</v>
      </c>
      <c r="F20" s="27" t="s">
        <v>1183</v>
      </c>
      <c r="G20" s="28" t="b">
        <v>1</v>
      </c>
      <c r="H20" s="30"/>
      <c r="I20" s="27"/>
      <c r="J20" s="63" t="b">
        <v>0</v>
      </c>
      <c r="K20" s="34" t="b">
        <v>0</v>
      </c>
      <c r="L20" s="34" t="b">
        <v>0</v>
      </c>
      <c r="M20" s="40" t="s">
        <v>1218</v>
      </c>
      <c r="N20" s="27" t="s">
        <v>520</v>
      </c>
      <c r="O20" s="27" t="s">
        <v>521</v>
      </c>
      <c r="P20" s="27" t="s">
        <v>1181</v>
      </c>
      <c r="Q20" s="33"/>
    </row>
    <row r="21" spans="1:17" ht="30" x14ac:dyDescent="0.25">
      <c r="A21" s="42" t="s">
        <v>1219</v>
      </c>
      <c r="B21" s="42"/>
      <c r="C21" s="36"/>
      <c r="D21" s="36" t="b">
        <v>0</v>
      </c>
      <c r="E21" s="36" t="b">
        <v>1</v>
      </c>
      <c r="F21" s="36" t="s">
        <v>1183</v>
      </c>
      <c r="G21" s="28" t="b">
        <v>1</v>
      </c>
      <c r="H21" s="42"/>
      <c r="I21" s="36"/>
      <c r="J21" s="63" t="b">
        <v>0</v>
      </c>
      <c r="K21" s="34" t="b">
        <v>0</v>
      </c>
      <c r="L21" s="34" t="b">
        <v>0</v>
      </c>
      <c r="M21" s="43" t="s">
        <v>1220</v>
      </c>
      <c r="N21" s="36" t="s">
        <v>520</v>
      </c>
      <c r="O21" s="36" t="s">
        <v>521</v>
      </c>
      <c r="P21" s="36" t="s">
        <v>1181</v>
      </c>
    </row>
    <row r="22" spans="1:17" ht="30" x14ac:dyDescent="0.25">
      <c r="A22" s="30" t="s">
        <v>1221</v>
      </c>
      <c r="B22" s="30"/>
      <c r="C22" s="27"/>
      <c r="D22" s="27" t="b">
        <v>0</v>
      </c>
      <c r="E22" s="27" t="b">
        <v>1</v>
      </c>
      <c r="F22" s="27" t="s">
        <v>1183</v>
      </c>
      <c r="G22" s="28" t="b">
        <v>1</v>
      </c>
      <c r="H22" s="30"/>
      <c r="I22" s="27"/>
      <c r="J22" s="63" t="b">
        <v>0</v>
      </c>
      <c r="K22" s="34" t="b">
        <v>0</v>
      </c>
      <c r="L22" s="34" t="b">
        <v>0</v>
      </c>
      <c r="M22" s="40" t="s">
        <v>1222</v>
      </c>
      <c r="N22" s="27" t="s">
        <v>520</v>
      </c>
      <c r="O22" s="27" t="s">
        <v>521</v>
      </c>
      <c r="P22" s="27" t="s">
        <v>1181</v>
      </c>
      <c r="Q22" s="33"/>
    </row>
    <row r="23" spans="1:17" ht="30" x14ac:dyDescent="0.25">
      <c r="A23" s="42" t="s">
        <v>1223</v>
      </c>
      <c r="B23" s="42"/>
      <c r="C23" s="36"/>
      <c r="D23" s="36" t="b">
        <v>0</v>
      </c>
      <c r="E23" s="36" t="b">
        <v>1</v>
      </c>
      <c r="F23" s="36" t="s">
        <v>1183</v>
      </c>
      <c r="G23" s="28" t="b">
        <v>1</v>
      </c>
      <c r="H23" s="42"/>
      <c r="I23" s="36"/>
      <c r="J23" s="63" t="b">
        <v>0</v>
      </c>
      <c r="K23" s="34" t="b">
        <v>0</v>
      </c>
      <c r="L23" s="34" t="b">
        <v>0</v>
      </c>
      <c r="M23" s="43" t="s">
        <v>1224</v>
      </c>
      <c r="N23" s="36" t="s">
        <v>520</v>
      </c>
      <c r="O23" s="36" t="s">
        <v>521</v>
      </c>
      <c r="P23" s="36" t="s">
        <v>1181</v>
      </c>
    </row>
    <row r="24" spans="1:17" ht="30" x14ac:dyDescent="0.25">
      <c r="A24" s="30" t="s">
        <v>1225</v>
      </c>
      <c r="B24" s="30"/>
      <c r="C24" s="27"/>
      <c r="D24" s="27" t="b">
        <v>0</v>
      </c>
      <c r="E24" s="27" t="b">
        <v>1</v>
      </c>
      <c r="F24" s="27" t="s">
        <v>1183</v>
      </c>
      <c r="G24" s="28" t="b">
        <v>1</v>
      </c>
      <c r="H24" s="30"/>
      <c r="I24" s="27"/>
      <c r="J24" s="63" t="b">
        <v>0</v>
      </c>
      <c r="K24" s="34" t="b">
        <v>0</v>
      </c>
      <c r="L24" s="34" t="b">
        <v>0</v>
      </c>
      <c r="M24" s="40" t="s">
        <v>1226</v>
      </c>
      <c r="N24" s="27" t="s">
        <v>520</v>
      </c>
      <c r="O24" s="27" t="s">
        <v>521</v>
      </c>
      <c r="P24" s="27" t="s">
        <v>1181</v>
      </c>
      <c r="Q24" s="33"/>
    </row>
    <row r="25" spans="1:17" ht="30" customHeight="1" x14ac:dyDescent="0.25">
      <c r="A25" s="54" t="s">
        <v>1227</v>
      </c>
      <c r="B25" s="42" t="s">
        <v>161</v>
      </c>
      <c r="C25" s="36">
        <v>200</v>
      </c>
      <c r="D25" s="36" t="b">
        <v>1</v>
      </c>
      <c r="E25" s="36" t="b">
        <v>1</v>
      </c>
      <c r="F25" s="36" t="s">
        <v>444</v>
      </c>
      <c r="G25" s="34" t="b">
        <v>0</v>
      </c>
      <c r="H25" s="42" t="b">
        <v>0</v>
      </c>
      <c r="I25" s="36" t="b">
        <v>0</v>
      </c>
      <c r="J25" s="63" t="b">
        <v>0</v>
      </c>
      <c r="K25" s="34" t="b">
        <v>0</v>
      </c>
      <c r="L25" s="34" t="b">
        <v>0</v>
      </c>
      <c r="M25" s="43" t="s">
        <v>1228</v>
      </c>
      <c r="N25" s="36" t="s">
        <v>520</v>
      </c>
      <c r="O25" s="36" t="s">
        <v>521</v>
      </c>
      <c r="P25" s="36" t="s">
        <v>1181</v>
      </c>
    </row>
    <row r="26" spans="1:17" ht="30" x14ac:dyDescent="0.25">
      <c r="A26" s="30" t="s">
        <v>1229</v>
      </c>
      <c r="B26" s="30"/>
      <c r="C26" s="27"/>
      <c r="D26" s="27" t="b">
        <v>0</v>
      </c>
      <c r="E26" s="27" t="b">
        <v>1</v>
      </c>
      <c r="F26" s="27" t="s">
        <v>1183</v>
      </c>
      <c r="G26" s="28" t="b">
        <v>1</v>
      </c>
      <c r="H26" s="30"/>
      <c r="I26" s="27"/>
      <c r="J26" s="63" t="b">
        <v>0</v>
      </c>
      <c r="K26" s="34" t="b">
        <v>0</v>
      </c>
      <c r="L26" s="34" t="b">
        <v>0</v>
      </c>
      <c r="M26" s="40" t="s">
        <v>1230</v>
      </c>
      <c r="N26" s="27" t="s">
        <v>520</v>
      </c>
      <c r="O26" s="27" t="s">
        <v>521</v>
      </c>
      <c r="P26" s="27" t="s">
        <v>1181</v>
      </c>
      <c r="Q26" s="33"/>
    </row>
    <row r="27" spans="1:17" ht="30" x14ac:dyDescent="0.25">
      <c r="A27" s="42" t="s">
        <v>1231</v>
      </c>
      <c r="B27" s="42"/>
      <c r="C27" s="36"/>
      <c r="D27" s="36" t="b">
        <v>0</v>
      </c>
      <c r="E27" s="36" t="b">
        <v>1</v>
      </c>
      <c r="F27" s="36" t="s">
        <v>1183</v>
      </c>
      <c r="G27" s="28" t="b">
        <v>1</v>
      </c>
      <c r="H27" s="42"/>
      <c r="I27" s="36"/>
      <c r="J27" s="63" t="b">
        <v>0</v>
      </c>
      <c r="K27" s="34" t="b">
        <v>0</v>
      </c>
      <c r="L27" s="34" t="b">
        <v>0</v>
      </c>
      <c r="M27" s="43" t="s">
        <v>1232</v>
      </c>
      <c r="N27" s="36" t="s">
        <v>520</v>
      </c>
      <c r="O27" s="36" t="s">
        <v>521</v>
      </c>
      <c r="P27" s="36" t="s">
        <v>1181</v>
      </c>
    </row>
    <row r="28" spans="1:17" x14ac:dyDescent="0.25">
      <c r="A28" s="30" t="s">
        <v>1233</v>
      </c>
      <c r="B28" s="30"/>
      <c r="C28" s="27"/>
      <c r="D28" s="27" t="b">
        <v>0</v>
      </c>
      <c r="E28" s="27" t="b">
        <v>1</v>
      </c>
      <c r="F28" s="27" t="s">
        <v>1183</v>
      </c>
      <c r="G28" s="28" t="b">
        <v>1</v>
      </c>
      <c r="H28" s="30"/>
      <c r="I28" s="27"/>
      <c r="J28" s="63" t="b">
        <v>0</v>
      </c>
      <c r="K28" s="34" t="b">
        <v>0</v>
      </c>
      <c r="L28" s="34" t="b">
        <v>0</v>
      </c>
      <c r="M28" s="40" t="s">
        <v>1234</v>
      </c>
      <c r="N28" s="27" t="s">
        <v>520</v>
      </c>
      <c r="O28" s="27" t="s">
        <v>521</v>
      </c>
      <c r="P28" s="27" t="s">
        <v>1181</v>
      </c>
      <c r="Q28" s="33"/>
    </row>
    <row r="29" spans="1:17" ht="30" x14ac:dyDescent="0.25">
      <c r="A29" s="42" t="s">
        <v>1235</v>
      </c>
      <c r="B29" s="42"/>
      <c r="C29" s="36"/>
      <c r="D29" s="36" t="b">
        <v>0</v>
      </c>
      <c r="E29" s="36" t="b">
        <v>1</v>
      </c>
      <c r="F29" s="36" t="s">
        <v>1183</v>
      </c>
      <c r="G29" s="28" t="b">
        <v>1</v>
      </c>
      <c r="H29" s="42"/>
      <c r="I29" s="36"/>
      <c r="J29" s="63" t="b">
        <v>0</v>
      </c>
      <c r="K29" s="34" t="b">
        <v>0</v>
      </c>
      <c r="L29" s="34" t="b">
        <v>0</v>
      </c>
      <c r="M29" s="43" t="s">
        <v>1236</v>
      </c>
      <c r="N29" s="36" t="s">
        <v>520</v>
      </c>
      <c r="O29" s="36" t="s">
        <v>521</v>
      </c>
      <c r="P29" s="36" t="s">
        <v>1181</v>
      </c>
    </row>
    <row r="30" spans="1:17" ht="30" x14ac:dyDescent="0.25">
      <c r="A30" s="30" t="s">
        <v>1237</v>
      </c>
      <c r="B30" s="30"/>
      <c r="C30" s="27"/>
      <c r="D30" s="27" t="b">
        <v>0</v>
      </c>
      <c r="E30" s="27" t="b">
        <v>1</v>
      </c>
      <c r="F30" s="27" t="s">
        <v>1183</v>
      </c>
      <c r="G30" s="28" t="b">
        <v>1</v>
      </c>
      <c r="H30" s="30"/>
      <c r="I30" s="27"/>
      <c r="J30" s="63" t="b">
        <v>0</v>
      </c>
      <c r="K30" s="34" t="b">
        <v>0</v>
      </c>
      <c r="L30" s="34" t="b">
        <v>0</v>
      </c>
      <c r="M30" s="40" t="s">
        <v>1238</v>
      </c>
      <c r="N30" s="27" t="s">
        <v>520</v>
      </c>
      <c r="O30" s="27" t="s">
        <v>521</v>
      </c>
      <c r="P30" s="27" t="s">
        <v>1181</v>
      </c>
      <c r="Q30" s="33"/>
    </row>
    <row r="31" spans="1:17" ht="30" x14ac:dyDescent="0.25">
      <c r="A31" s="42" t="s">
        <v>1239</v>
      </c>
      <c r="B31" s="42"/>
      <c r="C31" s="36"/>
      <c r="D31" s="36" t="b">
        <v>0</v>
      </c>
      <c r="E31" s="36" t="b">
        <v>1</v>
      </c>
      <c r="F31" s="36" t="s">
        <v>1183</v>
      </c>
      <c r="G31" s="28" t="b">
        <v>1</v>
      </c>
      <c r="H31" s="42"/>
      <c r="I31" s="36"/>
      <c r="J31" s="63" t="b">
        <v>0</v>
      </c>
      <c r="K31" s="34" t="b">
        <v>0</v>
      </c>
      <c r="L31" s="34" t="b">
        <v>0</v>
      </c>
      <c r="M31" s="43" t="s">
        <v>1240</v>
      </c>
      <c r="N31" s="36" t="s">
        <v>520</v>
      </c>
      <c r="O31" s="36" t="s">
        <v>521</v>
      </c>
      <c r="P31" s="36" t="s">
        <v>1181</v>
      </c>
    </row>
    <row r="32" spans="1:17" x14ac:dyDescent="0.25">
      <c r="A32" s="30" t="s">
        <v>1241</v>
      </c>
      <c r="B32" s="30"/>
      <c r="C32" s="27"/>
      <c r="D32" s="27" t="b">
        <v>0</v>
      </c>
      <c r="E32" s="27" t="b">
        <v>1</v>
      </c>
      <c r="F32" s="27" t="s">
        <v>1183</v>
      </c>
      <c r="G32" s="28" t="b">
        <v>1</v>
      </c>
      <c r="H32" s="30"/>
      <c r="I32" s="27"/>
      <c r="J32" s="63" t="b">
        <v>0</v>
      </c>
      <c r="K32" s="34" t="b">
        <v>0</v>
      </c>
      <c r="L32" s="34" t="b">
        <v>0</v>
      </c>
      <c r="M32" s="40" t="s">
        <v>1242</v>
      </c>
      <c r="N32" s="27" t="s">
        <v>520</v>
      </c>
      <c r="O32" s="27" t="s">
        <v>521</v>
      </c>
      <c r="P32" s="27" t="s">
        <v>1181</v>
      </c>
      <c r="Q32" s="33"/>
    </row>
    <row r="33" spans="1:17" ht="30" customHeight="1" x14ac:dyDescent="0.25">
      <c r="A33" s="54" t="s">
        <v>1243</v>
      </c>
      <c r="B33" s="42" t="s">
        <v>169</v>
      </c>
      <c r="C33" s="36">
        <v>200</v>
      </c>
      <c r="D33" s="36" t="b">
        <v>1</v>
      </c>
      <c r="E33" s="36" t="b">
        <v>1</v>
      </c>
      <c r="F33" s="36" t="s">
        <v>444</v>
      </c>
      <c r="G33" s="34" t="b">
        <v>0</v>
      </c>
      <c r="H33" s="42" t="b">
        <v>0</v>
      </c>
      <c r="I33" s="36" t="b">
        <v>0</v>
      </c>
      <c r="J33" s="63" t="b">
        <v>0</v>
      </c>
      <c r="K33" s="34" t="b">
        <v>0</v>
      </c>
      <c r="L33" s="34" t="b">
        <v>0</v>
      </c>
      <c r="M33" s="43" t="s">
        <v>1244</v>
      </c>
      <c r="N33" s="36" t="s">
        <v>520</v>
      </c>
      <c r="O33" s="36" t="s">
        <v>521</v>
      </c>
      <c r="P33" s="36" t="s">
        <v>1181</v>
      </c>
    </row>
    <row r="34" spans="1:17" x14ac:dyDescent="0.25">
      <c r="A34" s="30" t="s">
        <v>1245</v>
      </c>
      <c r="B34" s="30"/>
      <c r="C34" s="27"/>
      <c r="D34" s="27" t="b">
        <v>0</v>
      </c>
      <c r="E34" s="27" t="b">
        <v>1</v>
      </c>
      <c r="F34" s="27" t="s">
        <v>1183</v>
      </c>
      <c r="G34" s="28" t="b">
        <v>1</v>
      </c>
      <c r="H34" s="30"/>
      <c r="I34" s="27"/>
      <c r="J34" s="63" t="b">
        <v>0</v>
      </c>
      <c r="K34" s="34" t="b">
        <v>0</v>
      </c>
      <c r="L34" s="34" t="b">
        <v>0</v>
      </c>
      <c r="M34" s="40" t="s">
        <v>1246</v>
      </c>
      <c r="N34" s="27" t="s">
        <v>520</v>
      </c>
      <c r="O34" s="27" t="s">
        <v>521</v>
      </c>
      <c r="P34" s="27" t="s">
        <v>1181</v>
      </c>
      <c r="Q34" s="33"/>
    </row>
    <row r="35" spans="1:17" x14ac:dyDescent="0.25">
      <c r="A35" s="42" t="s">
        <v>1247</v>
      </c>
      <c r="B35" s="42"/>
      <c r="C35" s="36"/>
      <c r="D35" s="36" t="b">
        <v>0</v>
      </c>
      <c r="E35" s="36" t="b">
        <v>1</v>
      </c>
      <c r="F35" s="36" t="s">
        <v>1183</v>
      </c>
      <c r="G35" s="28" t="b">
        <v>1</v>
      </c>
      <c r="H35" s="42"/>
      <c r="I35" s="36"/>
      <c r="J35" s="63" t="b">
        <v>0</v>
      </c>
      <c r="K35" s="34" t="b">
        <v>0</v>
      </c>
      <c r="L35" s="34" t="b">
        <v>0</v>
      </c>
      <c r="M35" s="43" t="s">
        <v>1248</v>
      </c>
      <c r="N35" s="36" t="s">
        <v>520</v>
      </c>
      <c r="O35" s="36" t="s">
        <v>521</v>
      </c>
      <c r="P35" s="36" t="s">
        <v>1181</v>
      </c>
    </row>
    <row r="36" spans="1:17" ht="30" x14ac:dyDescent="0.25">
      <c r="A36" s="30" t="s">
        <v>1249</v>
      </c>
      <c r="B36" s="30"/>
      <c r="C36" s="27"/>
      <c r="D36" s="27" t="b">
        <v>0</v>
      </c>
      <c r="E36" s="27" t="b">
        <v>1</v>
      </c>
      <c r="F36" s="27" t="s">
        <v>1183</v>
      </c>
      <c r="G36" s="28" t="b">
        <v>1</v>
      </c>
      <c r="H36" s="30"/>
      <c r="I36" s="27"/>
      <c r="J36" s="63" t="b">
        <v>0</v>
      </c>
      <c r="K36" s="34" t="b">
        <v>0</v>
      </c>
      <c r="L36" s="34" t="b">
        <v>0</v>
      </c>
      <c r="M36" s="40" t="s">
        <v>1250</v>
      </c>
      <c r="N36" s="27" t="s">
        <v>520</v>
      </c>
      <c r="O36" s="27" t="s">
        <v>521</v>
      </c>
      <c r="P36" s="27" t="s">
        <v>1181</v>
      </c>
      <c r="Q36" s="33"/>
    </row>
    <row r="37" spans="1:17" ht="30" x14ac:dyDescent="0.25">
      <c r="A37" s="42" t="s">
        <v>1251</v>
      </c>
      <c r="B37" s="42"/>
      <c r="C37" s="36"/>
      <c r="D37" s="36" t="b">
        <v>0</v>
      </c>
      <c r="E37" s="36" t="b">
        <v>1</v>
      </c>
      <c r="F37" s="36" t="s">
        <v>1183</v>
      </c>
      <c r="G37" s="28" t="b">
        <v>1</v>
      </c>
      <c r="H37" s="42"/>
      <c r="I37" s="36"/>
      <c r="J37" s="63" t="b">
        <v>0</v>
      </c>
      <c r="K37" s="34" t="b">
        <v>0</v>
      </c>
      <c r="L37" s="34" t="b">
        <v>0</v>
      </c>
      <c r="M37" s="43" t="s">
        <v>1252</v>
      </c>
      <c r="N37" s="36" t="s">
        <v>520</v>
      </c>
      <c r="O37" s="36" t="s">
        <v>521</v>
      </c>
      <c r="P37" s="36" t="s">
        <v>1181</v>
      </c>
    </row>
    <row r="38" spans="1:17" ht="30" x14ac:dyDescent="0.25">
      <c r="A38" s="30" t="s">
        <v>1253</v>
      </c>
      <c r="B38" s="30"/>
      <c r="C38" s="27"/>
      <c r="D38" s="27" t="b">
        <v>0</v>
      </c>
      <c r="E38" s="27" t="b">
        <v>1</v>
      </c>
      <c r="F38" s="27" t="s">
        <v>1183</v>
      </c>
      <c r="G38" s="28" t="b">
        <v>1</v>
      </c>
      <c r="H38" s="30"/>
      <c r="I38" s="27"/>
      <c r="J38" s="63" t="b">
        <v>0</v>
      </c>
      <c r="K38" s="34" t="b">
        <v>0</v>
      </c>
      <c r="L38" s="34" t="b">
        <v>0</v>
      </c>
      <c r="M38" s="40" t="s">
        <v>1254</v>
      </c>
      <c r="N38" s="27" t="s">
        <v>520</v>
      </c>
      <c r="O38" s="27" t="s">
        <v>521</v>
      </c>
      <c r="P38" s="27" t="s">
        <v>1181</v>
      </c>
      <c r="Q38" s="33"/>
    </row>
    <row r="39" spans="1:17" ht="30" x14ac:dyDescent="0.25">
      <c r="A39" s="42" t="s">
        <v>1255</v>
      </c>
      <c r="B39" s="42"/>
      <c r="C39" s="36"/>
      <c r="D39" s="36" t="b">
        <v>0</v>
      </c>
      <c r="E39" s="36" t="b">
        <v>1</v>
      </c>
      <c r="F39" s="36" t="s">
        <v>1183</v>
      </c>
      <c r="G39" s="28" t="b">
        <v>1</v>
      </c>
      <c r="H39" s="42"/>
      <c r="I39" s="36"/>
      <c r="J39" s="63" t="b">
        <v>0</v>
      </c>
      <c r="K39" s="34" t="b">
        <v>0</v>
      </c>
      <c r="L39" s="34" t="b">
        <v>0</v>
      </c>
      <c r="M39" s="43" t="s">
        <v>1256</v>
      </c>
      <c r="N39" s="36" t="s">
        <v>520</v>
      </c>
      <c r="O39" s="36" t="s">
        <v>521</v>
      </c>
      <c r="P39" s="36" t="s">
        <v>1181</v>
      </c>
    </row>
    <row r="40" spans="1:17" ht="30" x14ac:dyDescent="0.25">
      <c r="A40" s="30" t="s">
        <v>1257</v>
      </c>
      <c r="B40" s="30"/>
      <c r="C40" s="27"/>
      <c r="D40" s="27" t="b">
        <v>0</v>
      </c>
      <c r="E40" s="27" t="b">
        <v>1</v>
      </c>
      <c r="F40" s="27" t="s">
        <v>1183</v>
      </c>
      <c r="G40" s="28" t="b">
        <v>1</v>
      </c>
      <c r="H40" s="30"/>
      <c r="I40" s="27"/>
      <c r="J40" s="63" t="b">
        <v>0</v>
      </c>
      <c r="K40" s="34" t="b">
        <v>0</v>
      </c>
      <c r="L40" s="34" t="b">
        <v>0</v>
      </c>
      <c r="M40" s="40" t="s">
        <v>1258</v>
      </c>
      <c r="N40" s="27" t="s">
        <v>520</v>
      </c>
      <c r="O40" s="27" t="s">
        <v>521</v>
      </c>
      <c r="P40" s="27" t="s">
        <v>1181</v>
      </c>
      <c r="Q40" s="33"/>
    </row>
    <row r="41" spans="1:17" ht="30" customHeight="1" x14ac:dyDescent="0.25">
      <c r="A41" s="54" t="s">
        <v>1259</v>
      </c>
      <c r="B41" s="42" t="s">
        <v>152</v>
      </c>
      <c r="C41" s="36">
        <v>200</v>
      </c>
      <c r="D41" s="36" t="b">
        <v>1</v>
      </c>
      <c r="E41" s="36" t="b">
        <v>1</v>
      </c>
      <c r="F41" s="36" t="s">
        <v>444</v>
      </c>
      <c r="G41" s="34" t="b">
        <v>0</v>
      </c>
      <c r="H41" s="42" t="b">
        <v>0</v>
      </c>
      <c r="I41" s="36" t="b">
        <v>0</v>
      </c>
      <c r="J41" s="63" t="b">
        <v>0</v>
      </c>
      <c r="K41" s="34" t="b">
        <v>0</v>
      </c>
      <c r="L41" s="34" t="b">
        <v>0</v>
      </c>
      <c r="M41" s="43" t="s">
        <v>1260</v>
      </c>
      <c r="N41" s="36" t="s">
        <v>520</v>
      </c>
      <c r="O41" s="36" t="s">
        <v>521</v>
      </c>
      <c r="P41" s="36" t="s">
        <v>1181</v>
      </c>
    </row>
    <row r="42" spans="1:17" ht="30" customHeight="1" x14ac:dyDescent="0.25">
      <c r="A42" s="54" t="s">
        <v>1261</v>
      </c>
      <c r="B42" s="30" t="s">
        <v>186</v>
      </c>
      <c r="C42" s="27">
        <v>200</v>
      </c>
      <c r="D42" s="27" t="b">
        <v>1</v>
      </c>
      <c r="E42" s="27" t="b">
        <v>1</v>
      </c>
      <c r="F42" s="27" t="s">
        <v>444</v>
      </c>
      <c r="G42" s="34" t="b">
        <v>0</v>
      </c>
      <c r="H42" s="30" t="b">
        <v>0</v>
      </c>
      <c r="I42" s="27" t="b">
        <v>0</v>
      </c>
      <c r="J42" s="63" t="b">
        <v>0</v>
      </c>
      <c r="K42" s="34" t="b">
        <v>0</v>
      </c>
      <c r="L42" s="34" t="b">
        <v>0</v>
      </c>
      <c r="M42" s="40" t="s">
        <v>1262</v>
      </c>
      <c r="N42" s="27" t="s">
        <v>520</v>
      </c>
      <c r="O42" s="27" t="s">
        <v>521</v>
      </c>
      <c r="P42" s="27" t="s">
        <v>1181</v>
      </c>
      <c r="Q42" s="33"/>
    </row>
    <row r="43" spans="1:17" ht="30" x14ac:dyDescent="0.25">
      <c r="A43" s="42" t="s">
        <v>1263</v>
      </c>
      <c r="B43" s="42"/>
      <c r="C43" s="36"/>
      <c r="D43" s="36" t="b">
        <v>0</v>
      </c>
      <c r="E43" s="36" t="b">
        <v>1</v>
      </c>
      <c r="F43" s="36" t="s">
        <v>1183</v>
      </c>
      <c r="G43" s="28" t="b">
        <v>1</v>
      </c>
      <c r="H43" s="42"/>
      <c r="I43" s="36"/>
      <c r="J43" s="63" t="b">
        <v>0</v>
      </c>
      <c r="K43" s="34" t="b">
        <v>0</v>
      </c>
      <c r="L43" s="34" t="b">
        <v>0</v>
      </c>
      <c r="M43" s="43" t="s">
        <v>1264</v>
      </c>
      <c r="N43" s="36" t="s">
        <v>520</v>
      </c>
      <c r="O43" s="36" t="s">
        <v>521</v>
      </c>
      <c r="P43" s="36" t="s">
        <v>1181</v>
      </c>
    </row>
    <row r="44" spans="1:17" ht="30" x14ac:dyDescent="0.25">
      <c r="A44" s="30" t="s">
        <v>1265</v>
      </c>
      <c r="B44" s="30"/>
      <c r="C44" s="27"/>
      <c r="D44" s="27" t="b">
        <v>0</v>
      </c>
      <c r="E44" s="27" t="b">
        <v>1</v>
      </c>
      <c r="F44" s="27" t="s">
        <v>1183</v>
      </c>
      <c r="G44" s="28" t="b">
        <v>1</v>
      </c>
      <c r="H44" s="30"/>
      <c r="I44" s="27"/>
      <c r="J44" s="63" t="b">
        <v>0</v>
      </c>
      <c r="K44" s="34" t="b">
        <v>0</v>
      </c>
      <c r="L44" s="34" t="b">
        <v>0</v>
      </c>
      <c r="M44" s="40" t="s">
        <v>1266</v>
      </c>
      <c r="N44" s="27" t="s">
        <v>520</v>
      </c>
      <c r="O44" s="27" t="s">
        <v>521</v>
      </c>
      <c r="P44" s="27" t="s">
        <v>1181</v>
      </c>
      <c r="Q44" s="33"/>
    </row>
    <row r="45" spans="1:17" ht="30" x14ac:dyDescent="0.25">
      <c r="A45" s="42" t="s">
        <v>1267</v>
      </c>
      <c r="B45" s="42"/>
      <c r="C45" s="36"/>
      <c r="D45" s="36" t="b">
        <v>0</v>
      </c>
      <c r="E45" s="36" t="b">
        <v>1</v>
      </c>
      <c r="F45" s="36" t="s">
        <v>1183</v>
      </c>
      <c r="G45" s="28" t="b">
        <v>1</v>
      </c>
      <c r="H45" s="42"/>
      <c r="I45" s="36"/>
      <c r="J45" s="63" t="b">
        <v>0</v>
      </c>
      <c r="K45" s="34" t="b">
        <v>0</v>
      </c>
      <c r="L45" s="34" t="b">
        <v>0</v>
      </c>
      <c r="M45" s="43" t="s">
        <v>1268</v>
      </c>
      <c r="N45" s="36" t="s">
        <v>520</v>
      </c>
      <c r="O45" s="36" t="s">
        <v>521</v>
      </c>
      <c r="P45" s="36" t="s">
        <v>1181</v>
      </c>
    </row>
    <row r="46" spans="1:17" ht="30" x14ac:dyDescent="0.25">
      <c r="A46" s="30" t="s">
        <v>1269</v>
      </c>
      <c r="B46" s="30"/>
      <c r="C46" s="27"/>
      <c r="D46" s="27" t="b">
        <v>0</v>
      </c>
      <c r="E46" s="27" t="b">
        <v>1</v>
      </c>
      <c r="F46" s="27" t="s">
        <v>1183</v>
      </c>
      <c r="G46" s="28" t="b">
        <v>1</v>
      </c>
      <c r="H46" s="30"/>
      <c r="I46" s="27"/>
      <c r="J46" s="63" t="b">
        <v>0</v>
      </c>
      <c r="K46" s="34" t="b">
        <v>0</v>
      </c>
      <c r="L46" s="34" t="b">
        <v>0</v>
      </c>
      <c r="M46" s="40" t="s">
        <v>1270</v>
      </c>
      <c r="N46" s="27" t="s">
        <v>520</v>
      </c>
      <c r="O46" s="27" t="s">
        <v>521</v>
      </c>
      <c r="P46" s="27" t="s">
        <v>1181</v>
      </c>
      <c r="Q46" s="33"/>
    </row>
    <row r="47" spans="1:17" ht="30" x14ac:dyDescent="0.25">
      <c r="A47" s="42" t="s">
        <v>1271</v>
      </c>
      <c r="B47" s="42"/>
      <c r="C47" s="36"/>
      <c r="D47" s="36" t="b">
        <v>0</v>
      </c>
      <c r="E47" s="36" t="b">
        <v>1</v>
      </c>
      <c r="F47" s="36" t="s">
        <v>1183</v>
      </c>
      <c r="G47" s="28" t="b">
        <v>1</v>
      </c>
      <c r="H47" s="42"/>
      <c r="I47" s="36"/>
      <c r="J47" s="63" t="b">
        <v>0</v>
      </c>
      <c r="K47" s="34" t="b">
        <v>0</v>
      </c>
      <c r="L47" s="34" t="b">
        <v>0</v>
      </c>
      <c r="M47" s="43" t="s">
        <v>1272</v>
      </c>
      <c r="N47" s="36" t="s">
        <v>520</v>
      </c>
      <c r="O47" s="36" t="s">
        <v>521</v>
      </c>
      <c r="P47" s="36" t="s">
        <v>1181</v>
      </c>
    </row>
    <row r="48" spans="1:17" ht="30" x14ac:dyDescent="0.25">
      <c r="A48" s="30" t="s">
        <v>1273</v>
      </c>
      <c r="B48" s="30"/>
      <c r="C48" s="27"/>
      <c r="D48" s="27" t="b">
        <v>0</v>
      </c>
      <c r="E48" s="27" t="b">
        <v>1</v>
      </c>
      <c r="F48" s="27" t="s">
        <v>1183</v>
      </c>
      <c r="G48" s="28" t="b">
        <v>1</v>
      </c>
      <c r="H48" s="30"/>
      <c r="I48" s="27"/>
      <c r="J48" s="63" t="b">
        <v>0</v>
      </c>
      <c r="K48" s="34" t="b">
        <v>0</v>
      </c>
      <c r="L48" s="34" t="b">
        <v>0</v>
      </c>
      <c r="M48" s="40" t="s">
        <v>1274</v>
      </c>
      <c r="N48" s="27" t="s">
        <v>520</v>
      </c>
      <c r="O48" s="27" t="s">
        <v>521</v>
      </c>
      <c r="P48" s="27" t="s">
        <v>1181</v>
      </c>
      <c r="Q48" s="33"/>
    </row>
    <row r="49" spans="1:17" ht="30" x14ac:dyDescent="0.25">
      <c r="A49" s="42" t="s">
        <v>1275</v>
      </c>
      <c r="B49" s="42"/>
      <c r="C49" s="36"/>
      <c r="D49" s="36" t="b">
        <v>0</v>
      </c>
      <c r="E49" s="36" t="b">
        <v>1</v>
      </c>
      <c r="F49" s="36" t="s">
        <v>1183</v>
      </c>
      <c r="G49" s="28" t="b">
        <v>1</v>
      </c>
      <c r="H49" s="42"/>
      <c r="I49" s="36"/>
      <c r="J49" s="63" t="b">
        <v>0</v>
      </c>
      <c r="K49" s="34" t="b">
        <v>0</v>
      </c>
      <c r="L49" s="34" t="b">
        <v>0</v>
      </c>
      <c r="M49" s="43" t="s">
        <v>1276</v>
      </c>
      <c r="N49" s="36" t="s">
        <v>520</v>
      </c>
      <c r="O49" s="36" t="s">
        <v>521</v>
      </c>
      <c r="P49" s="36" t="s">
        <v>1181</v>
      </c>
    </row>
    <row r="50" spans="1:17" ht="30" x14ac:dyDescent="0.25">
      <c r="A50" s="30" t="s">
        <v>1277</v>
      </c>
      <c r="B50" s="30"/>
      <c r="C50" s="27"/>
      <c r="D50" s="27" t="b">
        <v>0</v>
      </c>
      <c r="E50" s="27" t="b">
        <v>1</v>
      </c>
      <c r="F50" s="27" t="s">
        <v>1183</v>
      </c>
      <c r="G50" s="28" t="b">
        <v>1</v>
      </c>
      <c r="H50" s="30"/>
      <c r="I50" s="27"/>
      <c r="J50" s="63" t="b">
        <v>0</v>
      </c>
      <c r="K50" s="34" t="b">
        <v>0</v>
      </c>
      <c r="L50" s="34" t="b">
        <v>0</v>
      </c>
      <c r="M50" s="40" t="s">
        <v>1278</v>
      </c>
      <c r="N50" s="27" t="s">
        <v>520</v>
      </c>
      <c r="O50" s="27" t="s">
        <v>521</v>
      </c>
      <c r="P50" s="27" t="s">
        <v>1181</v>
      </c>
      <c r="Q50" s="33"/>
    </row>
    <row r="51" spans="1:17" ht="30" x14ac:dyDescent="0.25">
      <c r="A51" s="42" t="s">
        <v>1279</v>
      </c>
      <c r="B51" s="42"/>
      <c r="C51" s="36"/>
      <c r="D51" s="36" t="b">
        <v>0</v>
      </c>
      <c r="E51" s="36" t="b">
        <v>1</v>
      </c>
      <c r="F51" s="36" t="s">
        <v>1183</v>
      </c>
      <c r="G51" s="28" t="b">
        <v>1</v>
      </c>
      <c r="H51" s="42"/>
      <c r="I51" s="36"/>
      <c r="J51" s="63" t="b">
        <v>0</v>
      </c>
      <c r="K51" s="34" t="b">
        <v>0</v>
      </c>
      <c r="L51" s="34" t="b">
        <v>0</v>
      </c>
      <c r="M51" s="43" t="s">
        <v>1280</v>
      </c>
      <c r="N51" s="36" t="s">
        <v>520</v>
      </c>
      <c r="O51" s="36" t="s">
        <v>521</v>
      </c>
      <c r="P51" s="36" t="s">
        <v>1181</v>
      </c>
    </row>
    <row r="52" spans="1:17" ht="30" x14ac:dyDescent="0.25">
      <c r="A52" s="30" t="s">
        <v>1281</v>
      </c>
      <c r="B52" s="30"/>
      <c r="C52" s="27"/>
      <c r="D52" s="27" t="b">
        <v>0</v>
      </c>
      <c r="E52" s="27" t="b">
        <v>1</v>
      </c>
      <c r="F52" s="27" t="s">
        <v>1183</v>
      </c>
      <c r="G52" s="28" t="b">
        <v>1</v>
      </c>
      <c r="H52" s="30"/>
      <c r="I52" s="27"/>
      <c r="J52" s="63" t="b">
        <v>0</v>
      </c>
      <c r="K52" s="34" t="b">
        <v>0</v>
      </c>
      <c r="L52" s="34" t="b">
        <v>0</v>
      </c>
      <c r="M52" s="40" t="s">
        <v>1282</v>
      </c>
      <c r="N52" s="27" t="s">
        <v>520</v>
      </c>
      <c r="O52" s="27" t="s">
        <v>521</v>
      </c>
      <c r="P52" s="27" t="s">
        <v>1181</v>
      </c>
      <c r="Q52" s="33"/>
    </row>
    <row r="53" spans="1:17" ht="30" x14ac:dyDescent="0.25">
      <c r="A53" s="42" t="s">
        <v>1283</v>
      </c>
      <c r="B53" s="42"/>
      <c r="C53" s="36"/>
      <c r="D53" s="36" t="b">
        <v>0</v>
      </c>
      <c r="E53" s="36" t="b">
        <v>1</v>
      </c>
      <c r="F53" s="36" t="s">
        <v>1183</v>
      </c>
      <c r="G53" s="28" t="b">
        <v>1</v>
      </c>
      <c r="H53" s="42"/>
      <c r="I53" s="36"/>
      <c r="J53" s="63" t="b">
        <v>0</v>
      </c>
      <c r="K53" s="34" t="b">
        <v>0</v>
      </c>
      <c r="L53" s="34" t="b">
        <v>0</v>
      </c>
      <c r="M53" s="43" t="s">
        <v>1284</v>
      </c>
      <c r="N53" s="36" t="s">
        <v>520</v>
      </c>
      <c r="O53" s="36" t="s">
        <v>521</v>
      </c>
      <c r="P53" s="36" t="s">
        <v>1181</v>
      </c>
    </row>
    <row r="54" spans="1:17" x14ac:dyDescent="0.25">
      <c r="A54" s="30" t="s">
        <v>1285</v>
      </c>
      <c r="B54" s="30"/>
      <c r="C54" s="27"/>
      <c r="D54" s="27" t="b">
        <v>0</v>
      </c>
      <c r="E54" s="27" t="b">
        <v>1</v>
      </c>
      <c r="F54" s="27" t="s">
        <v>1183</v>
      </c>
      <c r="G54" s="28" t="b">
        <v>1</v>
      </c>
      <c r="H54" s="30"/>
      <c r="I54" s="27"/>
      <c r="J54" s="63" t="b">
        <v>0</v>
      </c>
      <c r="K54" s="34" t="b">
        <v>0</v>
      </c>
      <c r="L54" s="34" t="b">
        <v>0</v>
      </c>
      <c r="M54" s="40" t="s">
        <v>1286</v>
      </c>
      <c r="N54" s="27" t="s">
        <v>520</v>
      </c>
      <c r="O54" s="27" t="s">
        <v>521</v>
      </c>
      <c r="P54" s="27" t="s">
        <v>1181</v>
      </c>
      <c r="Q54" s="33"/>
    </row>
    <row r="55" spans="1:17" x14ac:dyDescent="0.25">
      <c r="A55" s="42" t="s">
        <v>1287</v>
      </c>
      <c r="B55" s="42"/>
      <c r="C55" s="36"/>
      <c r="D55" s="36" t="b">
        <v>0</v>
      </c>
      <c r="E55" s="36" t="b">
        <v>1</v>
      </c>
      <c r="F55" s="36" t="s">
        <v>1183</v>
      </c>
      <c r="G55" s="28" t="b">
        <v>1</v>
      </c>
      <c r="H55" s="42"/>
      <c r="I55" s="36"/>
      <c r="J55" s="63" t="b">
        <v>0</v>
      </c>
      <c r="K55" s="34" t="b">
        <v>0</v>
      </c>
      <c r="L55" s="34" t="b">
        <v>0</v>
      </c>
      <c r="M55" s="43" t="s">
        <v>1288</v>
      </c>
      <c r="N55" s="36" t="s">
        <v>520</v>
      </c>
      <c r="O55" s="36" t="s">
        <v>521</v>
      </c>
      <c r="P55" s="36" t="s">
        <v>1181</v>
      </c>
    </row>
    <row r="56" spans="1:17" ht="30" x14ac:dyDescent="0.25">
      <c r="A56" s="30" t="s">
        <v>1289</v>
      </c>
      <c r="B56" s="30"/>
      <c r="C56" s="27"/>
      <c r="D56" s="27" t="b">
        <v>0</v>
      </c>
      <c r="E56" s="27" t="b">
        <v>1</v>
      </c>
      <c r="F56" s="27" t="s">
        <v>1183</v>
      </c>
      <c r="G56" s="28" t="b">
        <v>1</v>
      </c>
      <c r="H56" s="30"/>
      <c r="I56" s="27"/>
      <c r="J56" s="63" t="b">
        <v>0</v>
      </c>
      <c r="K56" s="34" t="b">
        <v>0</v>
      </c>
      <c r="L56" s="34" t="b">
        <v>0</v>
      </c>
      <c r="M56" s="40" t="s">
        <v>1290</v>
      </c>
      <c r="N56" s="27" t="s">
        <v>520</v>
      </c>
      <c r="O56" s="27" t="s">
        <v>521</v>
      </c>
      <c r="P56" s="27" t="s">
        <v>1181</v>
      </c>
      <c r="Q56" s="33"/>
    </row>
    <row r="57" spans="1:17" ht="30" x14ac:dyDescent="0.25">
      <c r="A57" s="42" t="s">
        <v>1291</v>
      </c>
      <c r="B57" s="42"/>
      <c r="C57" s="36"/>
      <c r="D57" s="36" t="b">
        <v>0</v>
      </c>
      <c r="E57" s="36" t="b">
        <v>1</v>
      </c>
      <c r="F57" s="36" t="s">
        <v>1183</v>
      </c>
      <c r="G57" s="28" t="b">
        <v>1</v>
      </c>
      <c r="H57" s="42"/>
      <c r="I57" s="36"/>
      <c r="J57" s="63" t="b">
        <v>0</v>
      </c>
      <c r="K57" s="34" t="b">
        <v>0</v>
      </c>
      <c r="L57" s="34" t="b">
        <v>0</v>
      </c>
      <c r="M57" s="43" t="s">
        <v>1292</v>
      </c>
      <c r="N57" s="36" t="s">
        <v>520</v>
      </c>
      <c r="O57" s="36" t="s">
        <v>521</v>
      </c>
      <c r="P57" s="36" t="s">
        <v>1181</v>
      </c>
    </row>
    <row r="58" spans="1:17" x14ac:dyDescent="0.25">
      <c r="A58" s="30" t="s">
        <v>1293</v>
      </c>
      <c r="B58" s="30"/>
      <c r="C58" s="27"/>
      <c r="D58" s="27" t="b">
        <v>0</v>
      </c>
      <c r="E58" s="27" t="b">
        <v>1</v>
      </c>
      <c r="F58" s="27" t="s">
        <v>1183</v>
      </c>
      <c r="G58" s="28" t="b">
        <v>1</v>
      </c>
      <c r="H58" s="30"/>
      <c r="I58" s="27"/>
      <c r="J58" s="63" t="b">
        <v>0</v>
      </c>
      <c r="K58" s="34" t="b">
        <v>0</v>
      </c>
      <c r="L58" s="34" t="b">
        <v>0</v>
      </c>
      <c r="M58" s="40" t="s">
        <v>1294</v>
      </c>
      <c r="N58" s="27" t="s">
        <v>520</v>
      </c>
      <c r="O58" s="27" t="s">
        <v>521</v>
      </c>
      <c r="P58" s="27" t="s">
        <v>1181</v>
      </c>
      <c r="Q58" s="33"/>
    </row>
    <row r="59" spans="1:17" ht="30" x14ac:dyDescent="0.25">
      <c r="A59" s="42" t="s">
        <v>1295</v>
      </c>
      <c r="B59" s="42"/>
      <c r="C59" s="36"/>
      <c r="D59" s="36" t="b">
        <v>0</v>
      </c>
      <c r="E59" s="36" t="b">
        <v>1</v>
      </c>
      <c r="F59" s="36" t="s">
        <v>1183</v>
      </c>
      <c r="G59" s="28" t="b">
        <v>1</v>
      </c>
      <c r="H59" s="42"/>
      <c r="I59" s="36"/>
      <c r="J59" s="63" t="b">
        <v>0</v>
      </c>
      <c r="K59" s="34" t="b">
        <v>0</v>
      </c>
      <c r="L59" s="34" t="b">
        <v>0</v>
      </c>
      <c r="M59" s="43" t="s">
        <v>1296</v>
      </c>
      <c r="N59" s="36" t="s">
        <v>520</v>
      </c>
      <c r="O59" s="36" t="s">
        <v>521</v>
      </c>
      <c r="P59" s="36" t="s">
        <v>1181</v>
      </c>
    </row>
    <row r="60" spans="1:17" ht="30" x14ac:dyDescent="0.25">
      <c r="A60" s="30" t="s">
        <v>1297</v>
      </c>
      <c r="B60" s="30"/>
      <c r="C60" s="27"/>
      <c r="D60" s="27" t="b">
        <v>0</v>
      </c>
      <c r="E60" s="27" t="b">
        <v>1</v>
      </c>
      <c r="F60" s="27" t="s">
        <v>1183</v>
      </c>
      <c r="G60" s="28" t="b">
        <v>1</v>
      </c>
      <c r="H60" s="30"/>
      <c r="I60" s="27"/>
      <c r="J60" s="63" t="b">
        <v>0</v>
      </c>
      <c r="K60" s="34" t="b">
        <v>0</v>
      </c>
      <c r="L60" s="34" t="b">
        <v>0</v>
      </c>
      <c r="M60" s="40" t="s">
        <v>1298</v>
      </c>
      <c r="N60" s="27" t="s">
        <v>520</v>
      </c>
      <c r="O60" s="27" t="s">
        <v>521</v>
      </c>
      <c r="P60" s="27" t="s">
        <v>1181</v>
      </c>
      <c r="Q60" s="33"/>
    </row>
    <row r="61" spans="1:17" ht="30" x14ac:dyDescent="0.25">
      <c r="A61" s="42" t="s">
        <v>1299</v>
      </c>
      <c r="B61" s="42"/>
      <c r="C61" s="36"/>
      <c r="D61" s="36" t="b">
        <v>0</v>
      </c>
      <c r="E61" s="36" t="b">
        <v>1</v>
      </c>
      <c r="F61" s="36" t="s">
        <v>1183</v>
      </c>
      <c r="G61" s="28" t="b">
        <v>1</v>
      </c>
      <c r="H61" s="42"/>
      <c r="I61" s="36"/>
      <c r="J61" s="63" t="b">
        <v>0</v>
      </c>
      <c r="K61" s="34" t="b">
        <v>0</v>
      </c>
      <c r="L61" s="34" t="b">
        <v>0</v>
      </c>
      <c r="M61" s="43" t="s">
        <v>1300</v>
      </c>
      <c r="N61" s="36" t="s">
        <v>520</v>
      </c>
      <c r="O61" s="36" t="s">
        <v>521</v>
      </c>
      <c r="P61" s="36" t="s">
        <v>1181</v>
      </c>
    </row>
    <row r="62" spans="1:17" x14ac:dyDescent="0.25">
      <c r="A62" s="30" t="s">
        <v>1301</v>
      </c>
      <c r="B62" s="30"/>
      <c r="C62" s="27"/>
      <c r="D62" s="27" t="b">
        <v>0</v>
      </c>
      <c r="E62" s="27" t="b">
        <v>1</v>
      </c>
      <c r="F62" s="27" t="s">
        <v>1183</v>
      </c>
      <c r="G62" s="28" t="b">
        <v>1</v>
      </c>
      <c r="H62" s="30"/>
      <c r="I62" s="27"/>
      <c r="J62" s="63" t="b">
        <v>0</v>
      </c>
      <c r="K62" s="34" t="b">
        <v>0</v>
      </c>
      <c r="L62" s="34" t="b">
        <v>0</v>
      </c>
      <c r="M62" s="40" t="s">
        <v>1302</v>
      </c>
      <c r="N62" s="27" t="s">
        <v>520</v>
      </c>
      <c r="O62" s="27" t="s">
        <v>521</v>
      </c>
      <c r="P62" s="27" t="s">
        <v>1181</v>
      </c>
      <c r="Q62" s="33"/>
    </row>
    <row r="63" spans="1:17" ht="30" x14ac:dyDescent="0.25">
      <c r="A63" s="42" t="s">
        <v>1303</v>
      </c>
      <c r="B63" s="42"/>
      <c r="C63" s="36"/>
      <c r="D63" s="36" t="b">
        <v>0</v>
      </c>
      <c r="E63" s="36" t="b">
        <v>1</v>
      </c>
      <c r="F63" s="36" t="s">
        <v>1183</v>
      </c>
      <c r="G63" s="28" t="b">
        <v>1</v>
      </c>
      <c r="H63" s="42"/>
      <c r="I63" s="36"/>
      <c r="J63" s="63" t="b">
        <v>0</v>
      </c>
      <c r="K63" s="34" t="b">
        <v>0</v>
      </c>
      <c r="L63" s="34" t="b">
        <v>0</v>
      </c>
      <c r="M63" s="43" t="s">
        <v>1304</v>
      </c>
      <c r="N63" s="36" t="s">
        <v>520</v>
      </c>
      <c r="O63" s="36" t="s">
        <v>521</v>
      </c>
      <c r="P63" s="36" t="s">
        <v>1181</v>
      </c>
    </row>
    <row r="64" spans="1:17" ht="30" customHeight="1" x14ac:dyDescent="0.25">
      <c r="A64" s="54" t="s">
        <v>1305</v>
      </c>
      <c r="B64" s="30" t="s">
        <v>194</v>
      </c>
      <c r="C64" s="27">
        <v>200</v>
      </c>
      <c r="D64" s="27" t="b">
        <v>1</v>
      </c>
      <c r="E64" s="27" t="b">
        <v>1</v>
      </c>
      <c r="F64" s="27" t="s">
        <v>444</v>
      </c>
      <c r="G64" s="34" t="b">
        <v>0</v>
      </c>
      <c r="H64" s="30" t="b">
        <v>0</v>
      </c>
      <c r="I64" s="27" t="b">
        <v>0</v>
      </c>
      <c r="J64" s="63" t="b">
        <v>0</v>
      </c>
      <c r="K64" s="34" t="b">
        <v>0</v>
      </c>
      <c r="L64" s="34" t="b">
        <v>0</v>
      </c>
      <c r="M64" s="40" t="s">
        <v>1306</v>
      </c>
      <c r="N64" s="27" t="s">
        <v>520</v>
      </c>
      <c r="O64" s="27" t="s">
        <v>521</v>
      </c>
      <c r="P64" s="27" t="s">
        <v>1181</v>
      </c>
      <c r="Q64" s="33"/>
    </row>
    <row r="65" spans="1:17" ht="30" x14ac:dyDescent="0.25">
      <c r="A65" s="42" t="s">
        <v>1307</v>
      </c>
      <c r="B65" s="42"/>
      <c r="C65" s="36"/>
      <c r="D65" s="36" t="b">
        <v>0</v>
      </c>
      <c r="E65" s="36" t="b">
        <v>1</v>
      </c>
      <c r="F65" s="36" t="s">
        <v>1183</v>
      </c>
      <c r="G65" s="28" t="b">
        <v>1</v>
      </c>
      <c r="H65" s="42"/>
      <c r="I65" s="36"/>
      <c r="J65" s="63" t="b">
        <v>0</v>
      </c>
      <c r="K65" s="34" t="b">
        <v>0</v>
      </c>
      <c r="L65" s="34" t="b">
        <v>0</v>
      </c>
      <c r="M65" s="43" t="s">
        <v>1308</v>
      </c>
      <c r="N65" s="36" t="s">
        <v>520</v>
      </c>
      <c r="O65" s="36" t="s">
        <v>521</v>
      </c>
      <c r="P65" s="36" t="s">
        <v>1181</v>
      </c>
    </row>
    <row r="66" spans="1:17" ht="30" x14ac:dyDescent="0.25">
      <c r="A66" s="30" t="s">
        <v>1309</v>
      </c>
      <c r="B66" s="30"/>
      <c r="C66" s="27"/>
      <c r="D66" s="27" t="b">
        <v>0</v>
      </c>
      <c r="E66" s="27" t="b">
        <v>1</v>
      </c>
      <c r="F66" s="27" t="s">
        <v>1183</v>
      </c>
      <c r="G66" s="28" t="b">
        <v>1</v>
      </c>
      <c r="H66" s="30"/>
      <c r="I66" s="27"/>
      <c r="J66" s="63" t="b">
        <v>0</v>
      </c>
      <c r="K66" s="34" t="b">
        <v>0</v>
      </c>
      <c r="L66" s="34" t="b">
        <v>0</v>
      </c>
      <c r="M66" s="40" t="s">
        <v>1310</v>
      </c>
      <c r="N66" s="27" t="s">
        <v>520</v>
      </c>
      <c r="O66" s="27" t="s">
        <v>521</v>
      </c>
      <c r="P66" s="27" t="s">
        <v>1181</v>
      </c>
      <c r="Q66" s="33"/>
    </row>
    <row r="67" spans="1:17" ht="30" x14ac:dyDescent="0.25">
      <c r="A67" s="42" t="s">
        <v>1311</v>
      </c>
      <c r="B67" s="42"/>
      <c r="C67" s="36"/>
      <c r="D67" s="36" t="b">
        <v>0</v>
      </c>
      <c r="E67" s="36" t="b">
        <v>1</v>
      </c>
      <c r="F67" s="36" t="s">
        <v>1183</v>
      </c>
      <c r="G67" s="28" t="b">
        <v>1</v>
      </c>
      <c r="H67" s="42"/>
      <c r="I67" s="36"/>
      <c r="J67" s="63" t="b">
        <v>0</v>
      </c>
      <c r="K67" s="34" t="b">
        <v>0</v>
      </c>
      <c r="L67" s="34" t="b">
        <v>0</v>
      </c>
      <c r="M67" s="43" t="s">
        <v>1312</v>
      </c>
      <c r="N67" s="36" t="s">
        <v>520</v>
      </c>
      <c r="O67" s="36" t="s">
        <v>521</v>
      </c>
      <c r="P67" s="36" t="s">
        <v>1181</v>
      </c>
    </row>
    <row r="68" spans="1:17" ht="30" x14ac:dyDescent="0.25">
      <c r="A68" s="30" t="s">
        <v>1313</v>
      </c>
      <c r="B68" s="30"/>
      <c r="C68" s="27"/>
      <c r="D68" s="27" t="b">
        <v>0</v>
      </c>
      <c r="E68" s="27" t="b">
        <v>1</v>
      </c>
      <c r="F68" s="27" t="s">
        <v>1183</v>
      </c>
      <c r="G68" s="28" t="b">
        <v>1</v>
      </c>
      <c r="H68" s="30"/>
      <c r="I68" s="27"/>
      <c r="J68" s="63" t="b">
        <v>0</v>
      </c>
      <c r="K68" s="34" t="b">
        <v>0</v>
      </c>
      <c r="L68" s="34" t="b">
        <v>0</v>
      </c>
      <c r="M68" s="40" t="s">
        <v>1314</v>
      </c>
      <c r="N68" s="27" t="s">
        <v>520</v>
      </c>
      <c r="O68" s="27" t="s">
        <v>521</v>
      </c>
      <c r="P68" s="27" t="s">
        <v>1181</v>
      </c>
      <c r="Q68" s="33"/>
    </row>
    <row r="69" spans="1:17" ht="30" customHeight="1" x14ac:dyDescent="0.25">
      <c r="A69" s="54" t="s">
        <v>1315</v>
      </c>
      <c r="B69" s="42" t="s">
        <v>202</v>
      </c>
      <c r="C69" s="36">
        <v>200</v>
      </c>
      <c r="D69" s="36" t="b">
        <v>1</v>
      </c>
      <c r="E69" s="36" t="b">
        <v>1</v>
      </c>
      <c r="F69" s="36" t="s">
        <v>444</v>
      </c>
      <c r="G69" s="34" t="b">
        <v>0</v>
      </c>
      <c r="H69" s="42" t="b">
        <v>0</v>
      </c>
      <c r="I69" s="36" t="b">
        <v>0</v>
      </c>
      <c r="J69" s="63" t="b">
        <v>0</v>
      </c>
      <c r="K69" s="34" t="b">
        <v>0</v>
      </c>
      <c r="L69" s="34" t="b">
        <v>0</v>
      </c>
      <c r="M69" s="43" t="s">
        <v>1316</v>
      </c>
      <c r="N69" s="36" t="s">
        <v>520</v>
      </c>
      <c r="O69" s="36" t="s">
        <v>521</v>
      </c>
      <c r="P69" s="36" t="s">
        <v>1181</v>
      </c>
    </row>
    <row r="70" spans="1:17" ht="30" x14ac:dyDescent="0.25">
      <c r="A70" s="30" t="s">
        <v>1317</v>
      </c>
      <c r="B70" s="30"/>
      <c r="C70" s="27"/>
      <c r="D70" s="27" t="b">
        <v>0</v>
      </c>
      <c r="E70" s="27" t="b">
        <v>1</v>
      </c>
      <c r="F70" s="27" t="s">
        <v>1183</v>
      </c>
      <c r="G70" s="28" t="b">
        <v>1</v>
      </c>
      <c r="H70" s="30"/>
      <c r="I70" s="27"/>
      <c r="J70" s="63" t="b">
        <v>0</v>
      </c>
      <c r="K70" s="34" t="b">
        <v>0</v>
      </c>
      <c r="L70" s="34" t="b">
        <v>0</v>
      </c>
      <c r="M70" s="40" t="s">
        <v>1318</v>
      </c>
      <c r="N70" s="27" t="s">
        <v>520</v>
      </c>
      <c r="O70" s="27" t="s">
        <v>521</v>
      </c>
      <c r="P70" s="27" t="s">
        <v>1181</v>
      </c>
      <c r="Q70" s="33"/>
    </row>
    <row r="71" spans="1:17" ht="30" x14ac:dyDescent="0.25">
      <c r="A71" s="42" t="s">
        <v>1319</v>
      </c>
      <c r="B71" s="42"/>
      <c r="C71" s="36"/>
      <c r="D71" s="36" t="b">
        <v>0</v>
      </c>
      <c r="E71" s="36" t="b">
        <v>1</v>
      </c>
      <c r="F71" s="36" t="s">
        <v>1183</v>
      </c>
      <c r="G71" s="28" t="b">
        <v>1</v>
      </c>
      <c r="H71" s="42"/>
      <c r="I71" s="36"/>
      <c r="J71" s="63" t="b">
        <v>0</v>
      </c>
      <c r="K71" s="34" t="b">
        <v>0</v>
      </c>
      <c r="L71" s="34" t="b">
        <v>0</v>
      </c>
      <c r="M71" s="43" t="s">
        <v>1320</v>
      </c>
      <c r="N71" s="36" t="s">
        <v>520</v>
      </c>
      <c r="O71" s="36" t="s">
        <v>521</v>
      </c>
      <c r="P71" s="36" t="s">
        <v>1181</v>
      </c>
    </row>
    <row r="72" spans="1:17" ht="30" x14ac:dyDescent="0.25">
      <c r="A72" s="30" t="s">
        <v>1321</v>
      </c>
      <c r="B72" s="30"/>
      <c r="C72" s="27"/>
      <c r="D72" s="27" t="b">
        <v>0</v>
      </c>
      <c r="E72" s="27" t="b">
        <v>1</v>
      </c>
      <c r="F72" s="27" t="s">
        <v>1183</v>
      </c>
      <c r="G72" s="28" t="b">
        <v>1</v>
      </c>
      <c r="H72" s="30"/>
      <c r="I72" s="27"/>
      <c r="J72" s="63" t="b">
        <v>0</v>
      </c>
      <c r="K72" s="34" t="b">
        <v>0</v>
      </c>
      <c r="L72" s="34" t="b">
        <v>0</v>
      </c>
      <c r="M72" s="40" t="s">
        <v>1322</v>
      </c>
      <c r="N72" s="27" t="s">
        <v>520</v>
      </c>
      <c r="O72" s="27" t="s">
        <v>521</v>
      </c>
      <c r="P72" s="27" t="s">
        <v>1181</v>
      </c>
      <c r="Q72" s="33"/>
    </row>
    <row r="73" spans="1:17" ht="30" x14ac:dyDescent="0.25">
      <c r="A73" s="42" t="s">
        <v>1323</v>
      </c>
      <c r="B73" s="42"/>
      <c r="C73" s="36"/>
      <c r="D73" s="36" t="b">
        <v>0</v>
      </c>
      <c r="E73" s="36" t="b">
        <v>1</v>
      </c>
      <c r="F73" s="36" t="s">
        <v>1183</v>
      </c>
      <c r="G73" s="28" t="b">
        <v>1</v>
      </c>
      <c r="H73" s="42"/>
      <c r="I73" s="36"/>
      <c r="J73" s="63" t="b">
        <v>0</v>
      </c>
      <c r="K73" s="34" t="b">
        <v>0</v>
      </c>
      <c r="L73" s="34" t="b">
        <v>0</v>
      </c>
      <c r="M73" s="43" t="s">
        <v>1324</v>
      </c>
      <c r="N73" s="36" t="s">
        <v>520</v>
      </c>
      <c r="O73" s="36" t="s">
        <v>521</v>
      </c>
      <c r="P73" s="36" t="s">
        <v>1181</v>
      </c>
    </row>
    <row r="74" spans="1:17" x14ac:dyDescent="0.25">
      <c r="A74" s="30" t="s">
        <v>1325</v>
      </c>
      <c r="B74" s="30"/>
      <c r="C74" s="27"/>
      <c r="D74" s="27" t="b">
        <v>0</v>
      </c>
      <c r="E74" s="27" t="b">
        <v>1</v>
      </c>
      <c r="F74" s="27" t="s">
        <v>1183</v>
      </c>
      <c r="G74" s="28" t="b">
        <v>1</v>
      </c>
      <c r="H74" s="30"/>
      <c r="I74" s="27"/>
      <c r="J74" s="63" t="b">
        <v>0</v>
      </c>
      <c r="K74" s="34" t="b">
        <v>0</v>
      </c>
      <c r="L74" s="34" t="b">
        <v>0</v>
      </c>
      <c r="M74" s="40" t="s">
        <v>1326</v>
      </c>
      <c r="N74" s="27" t="s">
        <v>520</v>
      </c>
      <c r="O74" s="27" t="s">
        <v>521</v>
      </c>
      <c r="P74" s="27" t="s">
        <v>1181</v>
      </c>
      <c r="Q74" s="33"/>
    </row>
    <row r="75" spans="1:17" ht="30" x14ac:dyDescent="0.25">
      <c r="A75" s="42" t="s">
        <v>1327</v>
      </c>
      <c r="B75" s="42"/>
      <c r="C75" s="36"/>
      <c r="D75" s="36" t="b">
        <v>0</v>
      </c>
      <c r="E75" s="36" t="b">
        <v>1</v>
      </c>
      <c r="F75" s="36" t="s">
        <v>1183</v>
      </c>
      <c r="G75" s="28" t="b">
        <v>1</v>
      </c>
      <c r="H75" s="42"/>
      <c r="I75" s="36"/>
      <c r="J75" s="63" t="b">
        <v>0</v>
      </c>
      <c r="K75" s="34" t="b">
        <v>0</v>
      </c>
      <c r="L75" s="34" t="b">
        <v>0</v>
      </c>
      <c r="M75" s="43" t="s">
        <v>1328</v>
      </c>
      <c r="N75" s="36" t="s">
        <v>520</v>
      </c>
      <c r="O75" s="36" t="s">
        <v>521</v>
      </c>
      <c r="P75" s="36" t="s">
        <v>1181</v>
      </c>
    </row>
    <row r="76" spans="1:17" ht="30" x14ac:dyDescent="0.25">
      <c r="A76" s="30" t="s">
        <v>1329</v>
      </c>
      <c r="B76" s="30"/>
      <c r="C76" s="27"/>
      <c r="D76" s="27" t="b">
        <v>0</v>
      </c>
      <c r="E76" s="27" t="b">
        <v>1</v>
      </c>
      <c r="F76" s="27" t="s">
        <v>1183</v>
      </c>
      <c r="G76" s="28" t="b">
        <v>1</v>
      </c>
      <c r="H76" s="30"/>
      <c r="I76" s="27"/>
      <c r="J76" s="63" t="b">
        <v>0</v>
      </c>
      <c r="K76" s="34" t="b">
        <v>0</v>
      </c>
      <c r="L76" s="34" t="b">
        <v>0</v>
      </c>
      <c r="M76" s="40" t="s">
        <v>1330</v>
      </c>
      <c r="N76" s="27" t="s">
        <v>520</v>
      </c>
      <c r="O76" s="27" t="s">
        <v>521</v>
      </c>
      <c r="P76" s="27" t="s">
        <v>1181</v>
      </c>
      <c r="Q76" s="33"/>
    </row>
    <row r="77" spans="1:17" x14ac:dyDescent="0.25">
      <c r="A77" s="42" t="s">
        <v>1331</v>
      </c>
      <c r="B77" s="42"/>
      <c r="C77" s="36"/>
      <c r="D77" s="36" t="b">
        <v>0</v>
      </c>
      <c r="E77" s="36" t="b">
        <v>1</v>
      </c>
      <c r="F77" s="36" t="s">
        <v>1183</v>
      </c>
      <c r="G77" s="28" t="b">
        <v>1</v>
      </c>
      <c r="H77" s="42"/>
      <c r="I77" s="36"/>
      <c r="J77" s="63" t="b">
        <v>0</v>
      </c>
      <c r="K77" s="34" t="b">
        <v>0</v>
      </c>
      <c r="L77" s="34" t="b">
        <v>0</v>
      </c>
      <c r="M77" s="43" t="s">
        <v>1332</v>
      </c>
      <c r="N77" s="36" t="s">
        <v>520</v>
      </c>
      <c r="O77" s="36" t="s">
        <v>521</v>
      </c>
      <c r="P77" s="36" t="s">
        <v>1181</v>
      </c>
    </row>
    <row r="78" spans="1:17" ht="30" x14ac:dyDescent="0.25">
      <c r="A78" s="30" t="s">
        <v>1333</v>
      </c>
      <c r="B78" s="30"/>
      <c r="C78" s="27"/>
      <c r="D78" s="27" t="b">
        <v>0</v>
      </c>
      <c r="E78" s="27" t="b">
        <v>1</v>
      </c>
      <c r="F78" s="27" t="s">
        <v>1183</v>
      </c>
      <c r="G78" s="28" t="b">
        <v>1</v>
      </c>
      <c r="H78" s="30"/>
      <c r="I78" s="27"/>
      <c r="J78" s="63" t="b">
        <v>0</v>
      </c>
      <c r="K78" s="34" t="b">
        <v>0</v>
      </c>
      <c r="L78" s="34" t="b">
        <v>0</v>
      </c>
      <c r="M78" s="40" t="s">
        <v>1334</v>
      </c>
      <c r="N78" s="27" t="s">
        <v>520</v>
      </c>
      <c r="O78" s="27" t="s">
        <v>521</v>
      </c>
      <c r="P78" s="27" t="s">
        <v>1181</v>
      </c>
      <c r="Q78" s="33"/>
    </row>
    <row r="79" spans="1:17" ht="30" x14ac:dyDescent="0.25">
      <c r="A79" s="42" t="s">
        <v>1335</v>
      </c>
      <c r="B79" s="42"/>
      <c r="C79" s="36"/>
      <c r="D79" s="36" t="b">
        <v>0</v>
      </c>
      <c r="E79" s="36" t="b">
        <v>1</v>
      </c>
      <c r="F79" s="36" t="s">
        <v>1183</v>
      </c>
      <c r="G79" s="28" t="b">
        <v>1</v>
      </c>
      <c r="H79" s="42"/>
      <c r="I79" s="36"/>
      <c r="J79" s="63" t="b">
        <v>0</v>
      </c>
      <c r="K79" s="34" t="b">
        <v>0</v>
      </c>
      <c r="L79" s="34" t="b">
        <v>0</v>
      </c>
      <c r="M79" s="43" t="s">
        <v>1336</v>
      </c>
      <c r="N79" s="36" t="s">
        <v>520</v>
      </c>
      <c r="O79" s="36" t="s">
        <v>521</v>
      </c>
      <c r="P79" s="36" t="s">
        <v>1181</v>
      </c>
    </row>
    <row r="80" spans="1:17" ht="30" x14ac:dyDescent="0.25">
      <c r="A80" s="30" t="s">
        <v>1337</v>
      </c>
      <c r="B80" s="30"/>
      <c r="C80" s="27"/>
      <c r="D80" s="27" t="b">
        <v>0</v>
      </c>
      <c r="E80" s="27" t="b">
        <v>1</v>
      </c>
      <c r="F80" s="27" t="s">
        <v>1183</v>
      </c>
      <c r="G80" s="28" t="b">
        <v>1</v>
      </c>
      <c r="H80" s="30"/>
      <c r="I80" s="27"/>
      <c r="J80" s="63" t="b">
        <v>0</v>
      </c>
      <c r="K80" s="34" t="b">
        <v>0</v>
      </c>
      <c r="L80" s="34" t="b">
        <v>0</v>
      </c>
      <c r="M80" s="40" t="s">
        <v>1338</v>
      </c>
      <c r="N80" s="27" t="s">
        <v>520</v>
      </c>
      <c r="O80" s="27" t="s">
        <v>521</v>
      </c>
      <c r="P80" s="27" t="s">
        <v>1181</v>
      </c>
      <c r="Q80" s="33"/>
    </row>
    <row r="81" spans="1:17" x14ac:dyDescent="0.25">
      <c r="A81" s="42" t="s">
        <v>1339</v>
      </c>
      <c r="B81" s="42"/>
      <c r="C81" s="36"/>
      <c r="D81" s="36" t="b">
        <v>0</v>
      </c>
      <c r="E81" s="36" t="b">
        <v>1</v>
      </c>
      <c r="F81" s="36" t="s">
        <v>1183</v>
      </c>
      <c r="G81" s="28" t="b">
        <v>1</v>
      </c>
      <c r="H81" s="42"/>
      <c r="I81" s="36"/>
      <c r="J81" s="63" t="b">
        <v>0</v>
      </c>
      <c r="K81" s="34" t="b">
        <v>0</v>
      </c>
      <c r="L81" s="34" t="b">
        <v>0</v>
      </c>
      <c r="M81" s="43" t="s">
        <v>1340</v>
      </c>
      <c r="N81" s="36" t="s">
        <v>520</v>
      </c>
      <c r="O81" s="36" t="s">
        <v>521</v>
      </c>
      <c r="P81" s="36" t="s">
        <v>1181</v>
      </c>
    </row>
    <row r="82" spans="1:17" x14ac:dyDescent="0.25">
      <c r="A82" s="30" t="s">
        <v>1341</v>
      </c>
      <c r="B82" s="30"/>
      <c r="C82" s="27"/>
      <c r="D82" s="27" t="b">
        <v>0</v>
      </c>
      <c r="E82" s="27" t="b">
        <v>1</v>
      </c>
      <c r="F82" s="27" t="s">
        <v>1183</v>
      </c>
      <c r="G82" s="28" t="b">
        <v>1</v>
      </c>
      <c r="H82" s="30"/>
      <c r="I82" s="27"/>
      <c r="J82" s="63" t="b">
        <v>0</v>
      </c>
      <c r="K82" s="34" t="b">
        <v>0</v>
      </c>
      <c r="L82" s="34" t="b">
        <v>0</v>
      </c>
      <c r="M82" s="40" t="s">
        <v>1342</v>
      </c>
      <c r="N82" s="27" t="s">
        <v>520</v>
      </c>
      <c r="O82" s="27" t="s">
        <v>521</v>
      </c>
      <c r="P82" s="27" t="s">
        <v>1181</v>
      </c>
      <c r="Q82" s="33"/>
    </row>
    <row r="83" spans="1:17" ht="30" x14ac:dyDescent="0.25">
      <c r="A83" s="42" t="s">
        <v>1343</v>
      </c>
      <c r="B83" s="42"/>
      <c r="C83" s="36"/>
      <c r="D83" s="36" t="b">
        <v>0</v>
      </c>
      <c r="E83" s="36" t="b">
        <v>1</v>
      </c>
      <c r="F83" s="36" t="s">
        <v>1183</v>
      </c>
      <c r="G83" s="28" t="b">
        <v>1</v>
      </c>
      <c r="H83" s="42"/>
      <c r="I83" s="36"/>
      <c r="J83" s="63" t="b">
        <v>0</v>
      </c>
      <c r="K83" s="34" t="b">
        <v>0</v>
      </c>
      <c r="L83" s="34" t="b">
        <v>0</v>
      </c>
      <c r="M83" s="43" t="s">
        <v>1344</v>
      </c>
      <c r="N83" s="36" t="s">
        <v>520</v>
      </c>
      <c r="O83" s="36" t="s">
        <v>521</v>
      </c>
      <c r="P83" s="36" t="s">
        <v>1181</v>
      </c>
    </row>
    <row r="84" spans="1:17" ht="30" customHeight="1" x14ac:dyDescent="0.25">
      <c r="A84" s="54" t="s">
        <v>1345</v>
      </c>
      <c r="B84" s="30" t="s">
        <v>177</v>
      </c>
      <c r="C84" s="27">
        <v>200</v>
      </c>
      <c r="D84" s="27" t="b">
        <v>1</v>
      </c>
      <c r="E84" s="27" t="b">
        <v>1</v>
      </c>
      <c r="F84" s="27" t="s">
        <v>444</v>
      </c>
      <c r="G84" s="34" t="b">
        <v>0</v>
      </c>
      <c r="H84" s="30" t="b">
        <v>0</v>
      </c>
      <c r="I84" s="27" t="b">
        <v>0</v>
      </c>
      <c r="J84" s="63" t="b">
        <v>0</v>
      </c>
      <c r="K84" s="34" t="b">
        <v>0</v>
      </c>
      <c r="L84" s="34" t="b">
        <v>0</v>
      </c>
      <c r="M84" s="40" t="s">
        <v>1346</v>
      </c>
      <c r="N84" s="27" t="s">
        <v>520</v>
      </c>
      <c r="O84" s="27" t="s">
        <v>521</v>
      </c>
      <c r="P84" s="27" t="s">
        <v>1181</v>
      </c>
      <c r="Q84" s="33"/>
    </row>
    <row r="85" spans="1:17" x14ac:dyDescent="0.25">
      <c r="A85" s="42" t="s">
        <v>1347</v>
      </c>
      <c r="B85" s="42"/>
      <c r="C85" s="36"/>
      <c r="D85" s="36" t="b">
        <v>0</v>
      </c>
      <c r="E85" s="36" t="b">
        <v>1</v>
      </c>
      <c r="F85" s="36" t="s">
        <v>1183</v>
      </c>
      <c r="G85" s="28" t="b">
        <v>1</v>
      </c>
      <c r="H85" s="42"/>
      <c r="I85" s="36"/>
      <c r="J85" s="63" t="b">
        <v>0</v>
      </c>
      <c r="K85" s="34" t="b">
        <v>0</v>
      </c>
      <c r="L85" s="34" t="b">
        <v>0</v>
      </c>
      <c r="M85" s="43" t="s">
        <v>1348</v>
      </c>
      <c r="N85" s="36" t="s">
        <v>520</v>
      </c>
      <c r="O85" s="36" t="s">
        <v>521</v>
      </c>
      <c r="P85" s="36" t="s">
        <v>1181</v>
      </c>
    </row>
    <row r="86" spans="1:17" x14ac:dyDescent="0.25">
      <c r="A86" s="30" t="s">
        <v>1349</v>
      </c>
      <c r="B86" s="30"/>
      <c r="C86" s="27"/>
      <c r="D86" s="27" t="b">
        <v>0</v>
      </c>
      <c r="E86" s="27" t="b">
        <v>1</v>
      </c>
      <c r="F86" s="27" t="s">
        <v>1183</v>
      </c>
      <c r="G86" s="28" t="b">
        <v>1</v>
      </c>
      <c r="H86" s="30"/>
      <c r="I86" s="27"/>
      <c r="J86" s="63" t="b">
        <v>0</v>
      </c>
      <c r="K86" s="34" t="b">
        <v>0</v>
      </c>
      <c r="L86" s="34" t="b">
        <v>0</v>
      </c>
      <c r="M86" s="40" t="s">
        <v>1350</v>
      </c>
      <c r="N86" s="27" t="s">
        <v>520</v>
      </c>
      <c r="O86" s="27" t="s">
        <v>521</v>
      </c>
      <c r="P86" s="27" t="s">
        <v>1181</v>
      </c>
      <c r="Q86" s="33"/>
    </row>
  </sheetData>
  <autoFilter ref="A1:Q86" xr:uid="{00000000-0009-0000-0000-000018000000}"/>
  <conditionalFormatting sqref="C2:C86">
    <cfRule type="cellIs" dxfId="2" priority="1" operator="equal">
      <formula>200</formula>
    </cfRule>
    <cfRule type="cellIs" dxfId="1" priority="2" operator="between">
      <formula>300</formula>
      <formula>399</formula>
    </cfRule>
    <cfRule type="cellIs" dxfId="0" priority="3" operator="greaterThanOrEqual">
      <formula>400</formula>
    </cfRule>
  </conditionalFormatting>
  <dataValidations count="17">
    <dataValidation type="custom" allowBlank="1" showInputMessage="1" promptTitle="Sitemap URL" prompt="Sitemap URL. Use this URL to inspect the page directly or jump to related tabs." sqref="A1" xr:uid="{00000000-0002-0000-1800-000000000000}">
      <formula1>TRUE</formula1>
    </dataValidation>
    <dataValidation type="custom" allowBlank="1" showInputMessage="1" promptTitle="Final URL" prompt="Final URL. Use this URL to inspect the page directly or jump to related tabs." sqref="B1" xr:uid="{00000000-0002-0000-1800-000001000000}">
      <formula1>TRUE</formula1>
    </dataValidation>
    <dataValidation type="custom" allowBlank="1" showInputMessage="1" promptTitle="Status Code" prompt="HTTP response code returned for this page/resource. Fix: Resolve 4xx/5xx errors and reduce unnecessary redirects." sqref="C1" xr:uid="{00000000-0002-0000-1800-000002000000}">
      <formula1>TRUE</formula1>
    </dataValidation>
    <dataValidation type="custom" allowBlank="1" showInputMessage="1" promptTitle="Found via Crawl" prompt="Found via Crawl. Review this metric to identify risk, then use linked tabs for details and remediation." sqref="D1" xr:uid="{00000000-0002-0000-1800-000003000000}">
      <formula1>TRUE</formula1>
    </dataValidation>
    <dataValidation type="custom" allowBlank="1" showInputMessage="1" promptTitle="Found via Sitemap" prompt="Found via Sitemap. Review this metric to identify risk, then use linked tabs for details and remediation." sqref="E1" xr:uid="{00000000-0002-0000-1800-000004000000}">
      <formula1>TRUE</formula1>
    </dataValidation>
    <dataValidation type="custom" allowBlank="1" showInputMessage="1" promptTitle="Discovery Source" prompt="Discovery Source. Review this metric to identify risk, then use linked tabs for details and remediation." sqref="F1" xr:uid="{00000000-0002-0000-1800-000005000000}">
      <formula1>TRUE</formula1>
    </dataValidation>
    <dataValidation type="custom" allowBlank="1" showInputMessage="1" promptTitle="In Sitemap but Non-200" prompt="In Sitemap but Non-200. Review this metric to identify risk, then use linked tabs for details and remediation." sqref="G1" xr:uid="{00000000-0002-0000-1800-000006000000}">
      <formula1>TRUE</formula1>
    </dataValidation>
    <dataValidation type="custom" allowBlank="1" showInputMessage="1" promptTitle="Sitemap URL Redirects" prompt="Sitemap URL Redirects. Use this URL to inspect the page directly or jump to related tabs." sqref="H1" xr:uid="{00000000-0002-0000-1800-000007000000}">
      <formula1>TRUE</formula1>
    </dataValidation>
    <dataValidation type="custom" allowBlank="1" showInputMessage="1" promptTitle="In Sitemap but Canonicalized Els" prompt="Indexing/canonicalization signal. Fix: ensure indexable pages use correct canonicals and non-conflicting directives." sqref="I1" xr:uid="{00000000-0002-0000-1800-000008000000}">
      <formula1>TRUE</formula1>
    </dataValidation>
    <dataValidation type="custom" allowBlank="1" showInputMessage="1" promptTitle="Missing &lt;lastmod&gt;" prompt="Missing &lt;lastmod&gt;. Review this metric to identify risk, then use linked tabs for details and remediation." sqref="J1" xr:uid="{00000000-0002-0000-1800-000009000000}">
      <formula1>TRUE</formula1>
    </dataValidation>
    <dataValidation type="custom" allowBlank="1" showInputMessage="1" promptTitle="Missing &lt;changefreq&gt;" prompt="Missing &lt;changefreq&gt;. Review this metric to identify risk, then use linked tabs for details and remediation." sqref="K1" xr:uid="{00000000-0002-0000-1800-00000A000000}">
      <formula1>TRUE</formula1>
    </dataValidation>
    <dataValidation type="custom" allowBlank="1" showInputMessage="1" promptTitle="Missing &lt;priority&gt;" prompt="Missing &lt;priority&gt;. Review this metric to identify risk, then use linked tabs for details and remediation." sqref="L1" xr:uid="{00000000-0002-0000-1800-00000B000000}">
      <formula1>TRUE</formula1>
    </dataValidation>
    <dataValidation type="custom" allowBlank="1" showInputMessage="1" promptTitle="Sitemap &lt;lastmod&gt;" prompt="Sitemap &lt;lastmod&gt;. Review this metric to identify risk, then use linked tabs for details and remediation." sqref="M1" xr:uid="{00000000-0002-0000-1800-00000C000000}">
      <formula1>TRUE</formula1>
    </dataValidation>
    <dataValidation type="custom" allowBlank="1" showInputMessage="1" promptTitle="Sitemap &lt;changefreq&gt;" prompt="Sitemap &lt;changefreq&gt;. Review this metric to identify risk, then use linked tabs for details and remediation." sqref="N1" xr:uid="{00000000-0002-0000-1800-00000D000000}">
      <formula1>TRUE</formula1>
    </dataValidation>
    <dataValidation type="custom" allowBlank="1" showInputMessage="1" promptTitle="Sitemap &lt;priority&gt;" prompt="Sitemap &lt;priority&gt;. Review this metric to identify risk, then use linked tabs for details and remediation." sqref="O1" xr:uid="{00000000-0002-0000-1800-00000E000000}">
      <formula1>TRUE</formula1>
    </dataValidation>
    <dataValidation type="custom" allowBlank="1" showInputMessage="1" promptTitle="Source Sitemap" prompt="Source Sitemap. Review this metric to identify risk, then use linked tabs for details and remediation." sqref="P1" xr:uid="{00000000-0002-0000-1800-00000F000000}">
      <formula1>TRUE</formula1>
    </dataValidation>
    <dataValidation type="custom" allowBlank="1" showInputMessage="1" promptTitle="BACK TO DASHBOARD" prompt="BACK TO DASHBOARD. Review this metric to identify risk, then use linked tabs for details and remediation." sqref="Q1" xr:uid="{00000000-0002-0000-1800-000010000000}">
      <formula1>TRUE</formula1>
    </dataValidation>
  </dataValidations>
  <hyperlinks>
    <hyperlink ref="Q1" location="Dashboard!A1" display="BACK TO DASHBOARD" xr:uid="{00000000-0004-0000-1800-000000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26" t="s">
        <v>1351</v>
      </c>
      <c r="B1" s="26" t="s">
        <v>65</v>
      </c>
      <c r="C1" s="35" t="s">
        <v>211</v>
      </c>
    </row>
    <row r="2" spans="1:3" x14ac:dyDescent="0.25">
      <c r="A2" s="34" t="s">
        <v>1352</v>
      </c>
      <c r="B2" s="27">
        <v>94</v>
      </c>
      <c r="C2" s="33"/>
    </row>
    <row r="3" spans="1:3" x14ac:dyDescent="0.25">
      <c r="A3" s="34" t="s">
        <v>1353</v>
      </c>
      <c r="B3" s="36">
        <v>0</v>
      </c>
    </row>
    <row r="4" spans="1:3" x14ac:dyDescent="0.25">
      <c r="A4" s="34" t="s">
        <v>1354</v>
      </c>
      <c r="B4" s="27">
        <v>0</v>
      </c>
      <c r="C4" s="33"/>
    </row>
    <row r="5" spans="1:3" x14ac:dyDescent="0.25">
      <c r="A5" s="34" t="s">
        <v>1355</v>
      </c>
      <c r="B5" s="36">
        <v>0</v>
      </c>
    </row>
    <row r="6" spans="1:3" x14ac:dyDescent="0.25">
      <c r="A6" s="34" t="s">
        <v>1356</v>
      </c>
      <c r="B6" s="27">
        <v>0</v>
      </c>
      <c r="C6" s="33"/>
    </row>
    <row r="7" spans="1:3" x14ac:dyDescent="0.25">
      <c r="A7" s="34" t="s">
        <v>1357</v>
      </c>
      <c r="B7" s="36">
        <v>0</v>
      </c>
    </row>
    <row r="8" spans="1:3" x14ac:dyDescent="0.25">
      <c r="A8" s="34" t="s">
        <v>1358</v>
      </c>
      <c r="B8" s="27">
        <v>0</v>
      </c>
      <c r="C8" s="33"/>
    </row>
    <row r="9" spans="1:3" x14ac:dyDescent="0.25">
      <c r="A9" s="34" t="s">
        <v>1359</v>
      </c>
      <c r="B9" s="36">
        <v>0</v>
      </c>
    </row>
    <row r="10" spans="1:3" x14ac:dyDescent="0.25">
      <c r="A10" s="34" t="s">
        <v>1360</v>
      </c>
      <c r="B10" s="27">
        <v>0</v>
      </c>
      <c r="C10" s="33"/>
    </row>
    <row r="11" spans="1:3" x14ac:dyDescent="0.25">
      <c r="A11" s="34" t="s">
        <v>1361</v>
      </c>
      <c r="B11" s="36">
        <v>0</v>
      </c>
    </row>
    <row r="12" spans="1:3" x14ac:dyDescent="0.25">
      <c r="A12" s="34" t="s">
        <v>1362</v>
      </c>
      <c r="B12" s="27">
        <v>10</v>
      </c>
      <c r="C12" s="33"/>
    </row>
    <row r="13" spans="1:3" x14ac:dyDescent="0.25">
      <c r="A13" s="34" t="s">
        <v>1363</v>
      </c>
      <c r="B13" s="36">
        <v>0</v>
      </c>
    </row>
    <row r="14" spans="1:3" x14ac:dyDescent="0.25">
      <c r="A14" s="34" t="s">
        <v>1364</v>
      </c>
      <c r="B14" s="27">
        <v>1</v>
      </c>
      <c r="C14" s="33"/>
    </row>
    <row r="15" spans="1:3" x14ac:dyDescent="0.25">
      <c r="A15" s="34" t="s">
        <v>1365</v>
      </c>
      <c r="B15" s="36">
        <v>4</v>
      </c>
    </row>
    <row r="16" spans="1:3" x14ac:dyDescent="0.25">
      <c r="A16" s="34" t="s">
        <v>1366</v>
      </c>
      <c r="B16" s="27">
        <v>3</v>
      </c>
      <c r="C16" s="33"/>
    </row>
    <row r="17" spans="1:3" x14ac:dyDescent="0.25">
      <c r="A17" s="34" t="s">
        <v>1367</v>
      </c>
      <c r="B17" s="36">
        <v>0</v>
      </c>
    </row>
    <row r="18" spans="1:3" x14ac:dyDescent="0.25">
      <c r="A18" s="34" t="s">
        <v>1368</v>
      </c>
      <c r="B18" s="27">
        <v>0</v>
      </c>
      <c r="C18" s="33"/>
    </row>
    <row r="19" spans="1:3" x14ac:dyDescent="0.25">
      <c r="A19" s="34" t="s">
        <v>1369</v>
      </c>
      <c r="B19" s="36">
        <v>0</v>
      </c>
    </row>
    <row r="20" spans="1:3" x14ac:dyDescent="0.25">
      <c r="A20" s="34" t="s">
        <v>1370</v>
      </c>
      <c r="B20" s="27">
        <v>10</v>
      </c>
      <c r="C20" s="33"/>
    </row>
    <row r="21" spans="1:3" x14ac:dyDescent="0.25">
      <c r="A21" s="34" t="s">
        <v>1371</v>
      </c>
      <c r="B21" s="36">
        <v>0</v>
      </c>
    </row>
    <row r="22" spans="1:3" x14ac:dyDescent="0.25">
      <c r="A22" s="34" t="s">
        <v>1372</v>
      </c>
      <c r="B22" s="27">
        <v>0</v>
      </c>
      <c r="C22" s="33"/>
    </row>
    <row r="23" spans="1:3" x14ac:dyDescent="0.25">
      <c r="A23" s="34" t="s">
        <v>1373</v>
      </c>
      <c r="B23" s="36">
        <v>0</v>
      </c>
    </row>
    <row r="24" spans="1:3" x14ac:dyDescent="0.25">
      <c r="A24" s="34" t="s">
        <v>1374</v>
      </c>
      <c r="B24" s="27">
        <v>0</v>
      </c>
      <c r="C24" s="33"/>
    </row>
    <row r="25" spans="1:3" x14ac:dyDescent="0.25">
      <c r="A25" s="34" t="s">
        <v>1375</v>
      </c>
      <c r="B25" s="36">
        <v>1</v>
      </c>
    </row>
    <row r="26" spans="1:3" x14ac:dyDescent="0.25">
      <c r="A26" s="34" t="s">
        <v>1376</v>
      </c>
      <c r="B26" s="27">
        <v>0</v>
      </c>
      <c r="C26" s="33"/>
    </row>
    <row r="27" spans="1:3" x14ac:dyDescent="0.25">
      <c r="A27" s="34" t="s">
        <v>1377</v>
      </c>
      <c r="B27" s="36">
        <v>0</v>
      </c>
    </row>
    <row r="28" spans="1:3" x14ac:dyDescent="0.25">
      <c r="A28" s="34" t="s">
        <v>1378</v>
      </c>
      <c r="B28" s="27">
        <v>0</v>
      </c>
      <c r="C28" s="33"/>
    </row>
    <row r="29" spans="1:3" x14ac:dyDescent="0.25">
      <c r="A29" s="34" t="s">
        <v>1379</v>
      </c>
      <c r="B29" s="36">
        <v>10</v>
      </c>
    </row>
    <row r="30" spans="1:3" x14ac:dyDescent="0.25">
      <c r="A30" s="34" t="s">
        <v>1380</v>
      </c>
      <c r="B30" s="27">
        <v>5</v>
      </c>
      <c r="C30" s="33"/>
    </row>
    <row r="31" spans="1:3" x14ac:dyDescent="0.25">
      <c r="A31" s="34" t="s">
        <v>1381</v>
      </c>
      <c r="B31" s="36">
        <v>10</v>
      </c>
    </row>
    <row r="32" spans="1:3" x14ac:dyDescent="0.25">
      <c r="A32" s="34" t="s">
        <v>1382</v>
      </c>
      <c r="B32" s="27">
        <v>10</v>
      </c>
      <c r="C32" s="33"/>
    </row>
    <row r="33" spans="1:3" x14ac:dyDescent="0.25">
      <c r="A33" s="34" t="s">
        <v>1383</v>
      </c>
      <c r="B33" s="36">
        <v>10</v>
      </c>
    </row>
    <row r="34" spans="1:3" x14ac:dyDescent="0.25">
      <c r="A34" s="34" t="s">
        <v>1384</v>
      </c>
      <c r="B34" s="27">
        <v>10</v>
      </c>
      <c r="C34" s="33"/>
    </row>
    <row r="35" spans="1:3" x14ac:dyDescent="0.25">
      <c r="A35" s="34" t="s">
        <v>1385</v>
      </c>
      <c r="B35" s="36">
        <v>0</v>
      </c>
    </row>
    <row r="36" spans="1:3" x14ac:dyDescent="0.25">
      <c r="A36" s="34" t="s">
        <v>1386</v>
      </c>
      <c r="B36" s="27">
        <v>0</v>
      </c>
      <c r="C36" s="33"/>
    </row>
    <row r="37" spans="1:3" x14ac:dyDescent="0.25">
      <c r="A37" s="34" t="s">
        <v>1387</v>
      </c>
      <c r="B37" s="36">
        <v>0</v>
      </c>
    </row>
    <row r="38" spans="1:3" x14ac:dyDescent="0.25">
      <c r="A38" s="34" t="s">
        <v>1388</v>
      </c>
      <c r="B38" s="27">
        <v>0</v>
      </c>
      <c r="C38" s="33"/>
    </row>
    <row r="39" spans="1:3" x14ac:dyDescent="0.25">
      <c r="A39" s="34" t="s">
        <v>1389</v>
      </c>
      <c r="B39" s="36">
        <v>10</v>
      </c>
    </row>
  </sheetData>
  <dataValidations count="3">
    <dataValidation type="custom" allowBlank="1" showInputMessage="1" promptTitle="Metric" prompt="Metric. Review this metric to identify risk, then use linked tabs for details and remediation." sqref="A1" xr:uid="{00000000-0002-0000-1900-000000000000}">
      <formula1>TRUE</formula1>
    </dataValidation>
    <dataValidation type="custom" allowBlank="1" showInputMessage="1" promptTitle="Count" prompt="Count. Review this metric to identify risk, then use linked tabs for details and remediation." sqref="B1" xr:uid="{00000000-0002-0000-1900-000001000000}">
      <formula1>TRUE</formula1>
    </dataValidation>
    <dataValidation type="custom" allowBlank="1" showInputMessage="1" promptTitle="BACK TO DASHBOARD" prompt="BACK TO DASHBOARD. Review this metric to identify risk, then use linked tabs for details and remediation." sqref="C1" xr:uid="{00000000-0002-0000-1900-000002000000}">
      <formula1>TRUE</formula1>
    </dataValidation>
  </dataValidations>
  <hyperlinks>
    <hyperlink ref="C1" location="Dashboard!A1" display="BACK TO DASHBOARD" xr:uid="{00000000-0004-0000-1900-000000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26" t="s">
        <v>1390</v>
      </c>
      <c r="B1" s="26" t="s">
        <v>63</v>
      </c>
      <c r="C1" s="35" t="s">
        <v>211</v>
      </c>
    </row>
    <row r="2" spans="1:3" x14ac:dyDescent="0.25">
      <c r="A2" s="34" t="s">
        <v>1391</v>
      </c>
      <c r="B2" s="38" t="s">
        <v>1392</v>
      </c>
      <c r="C2" s="33"/>
    </row>
    <row r="3" spans="1:3" x14ac:dyDescent="0.25">
      <c r="A3" s="34" t="s">
        <v>1393</v>
      </c>
      <c r="B3" s="41">
        <v>10</v>
      </c>
    </row>
    <row r="4" spans="1:3" x14ac:dyDescent="0.25">
      <c r="A4" s="34" t="s">
        <v>1394</v>
      </c>
      <c r="B4" s="38" t="s">
        <v>1395</v>
      </c>
      <c r="C4" s="33"/>
    </row>
    <row r="5" spans="1:3" x14ac:dyDescent="0.25">
      <c r="A5" s="34" t="s">
        <v>1396</v>
      </c>
      <c r="B5" s="41">
        <v>4</v>
      </c>
    </row>
    <row r="6" spans="1:3" x14ac:dyDescent="0.25">
      <c r="A6" s="34" t="s">
        <v>1397</v>
      </c>
      <c r="B6" s="38">
        <v>1.5</v>
      </c>
      <c r="C6" s="33"/>
    </row>
    <row r="7" spans="1:3" x14ac:dyDescent="0.25">
      <c r="A7" s="34" t="s">
        <v>1398</v>
      </c>
      <c r="B7" s="41">
        <v>3</v>
      </c>
    </row>
    <row r="8" spans="1:3" x14ac:dyDescent="0.25">
      <c r="A8" s="34" t="s">
        <v>1399</v>
      </c>
      <c r="B8" s="38">
        <v>20</v>
      </c>
      <c r="C8" s="33"/>
    </row>
    <row r="9" spans="1:3" x14ac:dyDescent="0.25">
      <c r="A9" s="34" t="s">
        <v>1400</v>
      </c>
      <c r="B9" s="41">
        <v>0</v>
      </c>
    </row>
    <row r="10" spans="1:3" x14ac:dyDescent="0.25">
      <c r="A10" s="34" t="s">
        <v>1401</v>
      </c>
      <c r="B10" s="38" t="s">
        <v>1402</v>
      </c>
      <c r="C10" s="33"/>
    </row>
  </sheetData>
  <dataValidations count="3">
    <dataValidation type="custom" allowBlank="1" showInputMessage="1" promptTitle="Key" prompt="Key. Review this metric to identify risk, then use linked tabs for details and remediation." sqref="A1" xr:uid="{00000000-0002-0000-1A00-000000000000}">
      <formula1>TRUE</formula1>
    </dataValidation>
    <dataValidation type="custom" allowBlank="1" showInputMessage="1" promptTitle="Value" prompt="Value. Review this metric to identify risk, then use linked tabs for details and remediation." sqref="B1" xr:uid="{00000000-0002-0000-1A00-000001000000}">
      <formula1>TRUE</formula1>
    </dataValidation>
    <dataValidation type="custom" allowBlank="1" showInputMessage="1" promptTitle="BACK TO DASHBOARD" prompt="BACK TO DASHBOARD. Review this metric to identify risk, then use linked tabs for details and remediation." sqref="C1" xr:uid="{00000000-0002-0000-1A00-000002000000}">
      <formula1>TRUE</formula1>
    </dataValidation>
  </dataValidations>
  <hyperlinks>
    <hyperlink ref="C1" location="Dashboard!A1" display="BACK TO DASHBOARD" xr:uid="{00000000-0004-0000-1A00-000000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26" t="s">
        <v>607</v>
      </c>
      <c r="B1" s="26" t="s">
        <v>601</v>
      </c>
      <c r="C1" s="26" t="s">
        <v>102</v>
      </c>
      <c r="D1" s="26" t="s">
        <v>122</v>
      </c>
      <c r="E1" s="35" t="s">
        <v>211</v>
      </c>
    </row>
    <row r="2" spans="1:5" x14ac:dyDescent="0.25">
      <c r="A2" s="34"/>
      <c r="B2" s="27" t="s">
        <v>1403</v>
      </c>
      <c r="C2" s="30"/>
      <c r="D2" s="33" t="str">
        <f>IFERROR(HYPERLINK("#Main!A"&amp;MATCH(C2,Main!A:A,0),"Open"),HYPERLINK("#Main!A1","Open"))</f>
        <v>Open</v>
      </c>
      <c r="E2" s="33"/>
    </row>
  </sheetData>
  <dataValidations count="5">
    <dataValidation type="custom" allowBlank="1" showInputMessage="1" promptTitle="Stable Issue ID" prompt="Stable Issue ID. Review this metric to identify risk, then use linked tabs for details and remediation." sqref="A1" xr:uid="{00000000-0002-0000-1B00-000000000000}">
      <formula1>TRUE</formula1>
    </dataValidation>
    <dataValidation type="custom" allowBlank="1" showInputMessage="1" promptTitle="Issue" prompt="Issue. Review this metric to identify risk, then use linked tabs for details and remediation." sqref="B1" xr:uid="{00000000-0002-0000-1B00-000001000000}">
      <formula1>TRUE</formula1>
    </dataValidation>
    <dataValidation type="custom" allowBlank="1" showInputMessage="1" promptTitle="URL" prompt="URL. Use this URL to inspect the page directly or jump to related tabs." sqref="C1" xr:uid="{00000000-0002-0000-1B00-000002000000}">
      <formula1>TRUE</formula1>
    </dataValidation>
    <dataValidation type="custom" allowBlank="1" showInputMessage="1" promptTitle="Open in Main" prompt="Navigation helper. Click to jump directly to the related record in another tab." sqref="D1" xr:uid="{00000000-0002-0000-1B00-000003000000}">
      <formula1>TRUE</formula1>
    </dataValidation>
    <dataValidation type="custom" allowBlank="1" showInputMessage="1" promptTitle="BACK TO DASHBOARD" prompt="BACK TO DASHBOARD. Review this metric to identify risk, then use linked tabs for details and remediation." sqref="E1" xr:uid="{00000000-0002-0000-1B00-000004000000}">
      <formula1>TRUE</formula1>
    </dataValidation>
  </dataValidations>
  <hyperlinks>
    <hyperlink ref="E1" location="Dashboard!A1" display="BACK TO DASHBOARD" xr:uid="{00000000-0004-0000-1B00-000000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4"/>
  <sheetViews>
    <sheetView workbookViewId="0">
      <pane xSplit="2" ySplit="1" topLeftCell="C2" activePane="bottomRight" state="frozen"/>
      <selection pane="topRight"/>
      <selection pane="bottomLeft"/>
      <selection pane="bottomRight"/>
    </sheetView>
  </sheetViews>
  <sheetFormatPr defaultRowHeight="15" x14ac:dyDescent="0.25"/>
  <cols>
    <col min="1" max="2" width="31" customWidth="1"/>
    <col min="3" max="3" width="60" customWidth="1"/>
    <col min="4" max="5" width="38" customWidth="1"/>
  </cols>
  <sheetData>
    <row r="1" spans="1:6" ht="45" x14ac:dyDescent="0.25">
      <c r="A1" s="26" t="s">
        <v>1</v>
      </c>
      <c r="B1" s="26" t="s">
        <v>1404</v>
      </c>
      <c r="C1" s="26" t="s">
        <v>1405</v>
      </c>
      <c r="D1" s="26" t="s">
        <v>1406</v>
      </c>
      <c r="E1" s="26" t="s">
        <v>1407</v>
      </c>
      <c r="F1" s="35" t="s">
        <v>211</v>
      </c>
    </row>
    <row r="2" spans="1:6" x14ac:dyDescent="0.25">
      <c r="A2" s="34" t="s">
        <v>1408</v>
      </c>
      <c r="B2" s="27" t="s">
        <v>1409</v>
      </c>
      <c r="C2" s="27" t="s">
        <v>1410</v>
      </c>
      <c r="D2" s="27" t="s">
        <v>1411</v>
      </c>
      <c r="E2" s="27" t="s">
        <v>1412</v>
      </c>
      <c r="F2" s="33"/>
    </row>
    <row r="3" spans="1:6" x14ac:dyDescent="0.25">
      <c r="A3" s="34" t="s">
        <v>1408</v>
      </c>
      <c r="B3" s="36" t="s">
        <v>1413</v>
      </c>
      <c r="C3" s="36" t="s">
        <v>1414</v>
      </c>
      <c r="D3" s="36" t="s">
        <v>1415</v>
      </c>
      <c r="E3" s="36" t="s">
        <v>1416</v>
      </c>
    </row>
    <row r="4" spans="1:6" x14ac:dyDescent="0.25">
      <c r="A4" s="34" t="s">
        <v>1408</v>
      </c>
      <c r="B4" s="27" t="s">
        <v>1417</v>
      </c>
      <c r="C4" s="27" t="s">
        <v>1418</v>
      </c>
      <c r="D4" s="27" t="s">
        <v>1419</v>
      </c>
      <c r="E4" s="27" t="s">
        <v>1420</v>
      </c>
      <c r="F4" s="33"/>
    </row>
    <row r="5" spans="1:6" x14ac:dyDescent="0.25">
      <c r="A5" s="34" t="s">
        <v>1421</v>
      </c>
      <c r="B5" s="36" t="s">
        <v>1422</v>
      </c>
      <c r="C5" s="36" t="s">
        <v>1423</v>
      </c>
      <c r="D5" s="36" t="s">
        <v>1424</v>
      </c>
      <c r="E5" s="36" t="s">
        <v>1425</v>
      </c>
    </row>
    <row r="6" spans="1:6" x14ac:dyDescent="0.25">
      <c r="A6" s="34" t="s">
        <v>1421</v>
      </c>
      <c r="B6" s="27" t="s">
        <v>1426</v>
      </c>
      <c r="C6" s="27" t="s">
        <v>1427</v>
      </c>
      <c r="D6" s="27" t="s">
        <v>1428</v>
      </c>
      <c r="E6" s="27" t="s">
        <v>1429</v>
      </c>
      <c r="F6" s="33"/>
    </row>
    <row r="7" spans="1:6" x14ac:dyDescent="0.25">
      <c r="A7" s="34" t="s">
        <v>77</v>
      </c>
      <c r="B7" s="36" t="s">
        <v>71</v>
      </c>
      <c r="C7" s="36" t="s">
        <v>1430</v>
      </c>
      <c r="D7" s="36" t="s">
        <v>1431</v>
      </c>
      <c r="E7" s="36" t="s">
        <v>1425</v>
      </c>
    </row>
    <row r="8" spans="1:6" x14ac:dyDescent="0.25">
      <c r="A8" s="34" t="s">
        <v>77</v>
      </c>
      <c r="B8" s="27" t="s">
        <v>72</v>
      </c>
      <c r="C8" s="27" t="s">
        <v>1432</v>
      </c>
      <c r="D8" s="27" t="s">
        <v>1433</v>
      </c>
      <c r="E8" s="27" t="s">
        <v>1425</v>
      </c>
      <c r="F8" s="33"/>
    </row>
    <row r="9" spans="1:6" x14ac:dyDescent="0.25">
      <c r="A9" s="34" t="s">
        <v>77</v>
      </c>
      <c r="B9" s="36" t="s">
        <v>351</v>
      </c>
      <c r="C9" s="36" t="s">
        <v>1434</v>
      </c>
      <c r="D9" s="36" t="s">
        <v>1435</v>
      </c>
      <c r="E9" s="36" t="s">
        <v>1436</v>
      </c>
    </row>
    <row r="10" spans="1:6" x14ac:dyDescent="0.25">
      <c r="A10" s="34" t="s">
        <v>1437</v>
      </c>
      <c r="B10" s="27" t="s">
        <v>399</v>
      </c>
      <c r="C10" s="27" t="s">
        <v>1438</v>
      </c>
      <c r="D10" s="27" t="s">
        <v>1439</v>
      </c>
      <c r="E10" s="27" t="s">
        <v>1440</v>
      </c>
      <c r="F10" s="33"/>
    </row>
    <row r="11" spans="1:6" x14ac:dyDescent="0.25">
      <c r="A11" s="34" t="s">
        <v>1437</v>
      </c>
      <c r="B11" s="36" t="s">
        <v>555</v>
      </c>
      <c r="C11" s="36" t="s">
        <v>1441</v>
      </c>
      <c r="D11" s="36" t="s">
        <v>1442</v>
      </c>
      <c r="E11" s="36" t="s">
        <v>20</v>
      </c>
    </row>
    <row r="12" spans="1:6" x14ac:dyDescent="0.25">
      <c r="A12" s="34" t="s">
        <v>1443</v>
      </c>
      <c r="B12" s="27" t="s">
        <v>446</v>
      </c>
      <c r="C12" s="27" t="s">
        <v>1444</v>
      </c>
      <c r="D12" s="27" t="s">
        <v>1445</v>
      </c>
      <c r="E12" s="27" t="s">
        <v>1446</v>
      </c>
      <c r="F12" s="33"/>
    </row>
    <row r="13" spans="1:6" x14ac:dyDescent="0.25">
      <c r="A13" s="34" t="s">
        <v>24</v>
      </c>
      <c r="B13" s="36" t="s">
        <v>577</v>
      </c>
      <c r="C13" s="36" t="s">
        <v>1447</v>
      </c>
      <c r="D13" s="36" t="s">
        <v>1448</v>
      </c>
      <c r="E13" s="36" t="s">
        <v>1449</v>
      </c>
    </row>
    <row r="14" spans="1:6" x14ac:dyDescent="0.25">
      <c r="A14" s="34" t="s">
        <v>18</v>
      </c>
      <c r="B14" s="27" t="s">
        <v>542</v>
      </c>
      <c r="C14" s="27" t="s">
        <v>1450</v>
      </c>
      <c r="D14" s="27" t="s">
        <v>1451</v>
      </c>
      <c r="E14" s="27" t="s">
        <v>18</v>
      </c>
      <c r="F14" s="33"/>
    </row>
    <row r="15" spans="1:6" x14ac:dyDescent="0.25">
      <c r="A15" s="34" t="s">
        <v>20</v>
      </c>
      <c r="B15" s="36" t="s">
        <v>558</v>
      </c>
      <c r="C15" s="36" t="s">
        <v>1452</v>
      </c>
      <c r="D15" s="36" t="s">
        <v>1453</v>
      </c>
      <c r="E15" s="36" t="s">
        <v>20</v>
      </c>
    </row>
    <row r="16" spans="1:6" x14ac:dyDescent="0.25">
      <c r="A16" s="34" t="s">
        <v>1454</v>
      </c>
      <c r="B16" s="27" t="s">
        <v>1455</v>
      </c>
      <c r="C16" s="27" t="s">
        <v>1456</v>
      </c>
      <c r="D16" s="27" t="s">
        <v>1457</v>
      </c>
      <c r="E16" s="27" t="s">
        <v>1458</v>
      </c>
      <c r="F16" s="33"/>
    </row>
    <row r="17" spans="1:6" x14ac:dyDescent="0.25">
      <c r="A17" s="34" t="s">
        <v>1454</v>
      </c>
      <c r="B17" s="36" t="s">
        <v>1459</v>
      </c>
      <c r="C17" s="36" t="s">
        <v>1460</v>
      </c>
      <c r="D17" s="36" t="s">
        <v>1461</v>
      </c>
      <c r="E17" s="36" t="s">
        <v>1462</v>
      </c>
    </row>
    <row r="18" spans="1:6" x14ac:dyDescent="0.25">
      <c r="A18" s="34" t="s">
        <v>1454</v>
      </c>
      <c r="B18" s="27" t="s">
        <v>238</v>
      </c>
      <c r="C18" s="27" t="s">
        <v>1463</v>
      </c>
      <c r="D18" s="27" t="s">
        <v>1464</v>
      </c>
      <c r="E18" s="27" t="s">
        <v>1465</v>
      </c>
      <c r="F18" s="33"/>
    </row>
    <row r="19" spans="1:6" x14ac:dyDescent="0.25">
      <c r="A19" s="34" t="s">
        <v>1454</v>
      </c>
      <c r="B19" s="36" t="s">
        <v>1466</v>
      </c>
      <c r="C19" s="36" t="s">
        <v>1467</v>
      </c>
      <c r="D19" s="36" t="s">
        <v>1468</v>
      </c>
      <c r="E19" s="36" t="s">
        <v>1469</v>
      </c>
    </row>
    <row r="20" spans="1:6" x14ac:dyDescent="0.25">
      <c r="A20" s="34" t="s">
        <v>1454</v>
      </c>
      <c r="B20" s="27" t="s">
        <v>1470</v>
      </c>
      <c r="C20" s="27" t="s">
        <v>1471</v>
      </c>
      <c r="D20" s="27" t="s">
        <v>1472</v>
      </c>
      <c r="E20" s="27" t="s">
        <v>1462</v>
      </c>
      <c r="F20" s="33"/>
    </row>
    <row r="21" spans="1:6" x14ac:dyDescent="0.25">
      <c r="A21" s="34" t="s">
        <v>1473</v>
      </c>
      <c r="B21" s="36" t="s">
        <v>1474</v>
      </c>
      <c r="C21" s="36" t="s">
        <v>1475</v>
      </c>
      <c r="D21" s="36" t="s">
        <v>1476</v>
      </c>
      <c r="E21" s="36" t="s">
        <v>1477</v>
      </c>
    </row>
    <row r="22" spans="1:6" x14ac:dyDescent="0.25">
      <c r="A22" s="34" t="s">
        <v>1473</v>
      </c>
      <c r="B22" s="27" t="s">
        <v>1478</v>
      </c>
      <c r="C22" s="27" t="s">
        <v>1479</v>
      </c>
      <c r="D22" s="27" t="s">
        <v>1480</v>
      </c>
      <c r="E22" s="27" t="s">
        <v>1477</v>
      </c>
      <c r="F22" s="33"/>
    </row>
    <row r="23" spans="1:6" x14ac:dyDescent="0.25">
      <c r="A23" s="34" t="s">
        <v>1473</v>
      </c>
      <c r="B23" s="36" t="s">
        <v>1481</v>
      </c>
      <c r="C23" s="36" t="s">
        <v>1482</v>
      </c>
      <c r="D23" s="36" t="s">
        <v>1483</v>
      </c>
      <c r="E23" s="36" t="s">
        <v>1477</v>
      </c>
    </row>
    <row r="24" spans="1:6" x14ac:dyDescent="0.25">
      <c r="A24" s="34" t="s">
        <v>1473</v>
      </c>
      <c r="B24" s="27" t="s">
        <v>1484</v>
      </c>
      <c r="C24" s="27" t="s">
        <v>1485</v>
      </c>
      <c r="D24" s="27" t="s">
        <v>1486</v>
      </c>
      <c r="E24" s="27" t="s">
        <v>1477</v>
      </c>
      <c r="F24" s="33"/>
    </row>
  </sheetData>
  <autoFilter ref="A1:F24" xr:uid="{00000000-0009-0000-0000-00001C000000}"/>
  <dataValidations count="6">
    <dataValidation type="custom" allowBlank="1" showInputMessage="1" promptTitle="Section" prompt="Summary grouping/navigation field. Use with hyperlinks to jump into detailed tabs." sqref="A1" xr:uid="{00000000-0002-0000-1C00-000000000000}">
      <formula1>TRUE</formula1>
    </dataValidation>
    <dataValidation type="custom" allowBlank="1" showInputMessage="1" promptTitle="Term" prompt="Term. Review this metric to identify risk, then use linked tabs for details and remediation." sqref="B1" xr:uid="{00000000-0002-0000-1C00-000001000000}">
      <formula1>TRUE</formula1>
    </dataValidation>
    <dataValidation type="custom" allowBlank="1" showInputMessage="1" promptTitle="Meaning" prompt="Meaning. Review this metric to identify risk, then use linked tabs for details and remediation." sqref="C1" xr:uid="{00000000-0002-0000-1C00-000002000000}">
      <formula1>TRUE</formula1>
    </dataValidation>
    <dataValidation type="custom" allowBlank="1" showInputMessage="1" promptTitle="Values/Threshold" prompt="Values/Threshold. Review this metric to identify risk, then use linked tabs for details and remediation." sqref="D1" xr:uid="{00000000-0002-0000-1C00-000003000000}">
      <formula1>TRUE</formula1>
    </dataValidation>
    <dataValidation type="custom" allowBlank="1" showInputMessage="1" promptTitle="Related Tabs" prompt="Related Tabs. Review this metric to identify risk, then use linked tabs for details and remediation." sqref="E1" xr:uid="{00000000-0002-0000-1C00-000004000000}">
      <formula1>TRUE</formula1>
    </dataValidation>
    <dataValidation type="custom" allowBlank="1" showInputMessage="1" promptTitle="BACK TO DASHBOARD" prompt="BACK TO DASHBOARD. Review this metric to identify risk, then use linked tabs for details and remediation." sqref="F1" xr:uid="{00000000-0002-0000-1C00-000005000000}">
      <formula1>TRUE</formula1>
    </dataValidation>
  </dataValidations>
  <hyperlinks>
    <hyperlink ref="F1" location="Dashboard!A1" display="BACK TO DASHBOARD" xr:uid="{00000000-0004-0000-1C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Table of Contents</vt:lpstr>
      <vt:lpstr>Dashboard</vt:lpstr>
      <vt:lpstr>Content Optimization Hub</vt:lpstr>
      <vt:lpstr>Quick Reference Guide</vt:lpstr>
      <vt:lpstr>FixPlan</vt:lpstr>
      <vt:lpstr>Main</vt:lpstr>
      <vt:lpstr>Technical</vt:lpstr>
      <vt:lpstr>Content</vt:lpstr>
      <vt:lpstr>AEO</vt:lpstr>
      <vt:lpstr>Schema &amp; Metadata</vt:lpstr>
      <vt:lpstr>Links</vt:lpstr>
      <vt:lpstr>Indexability</vt:lpstr>
      <vt:lpstr>Redirects</vt:lpstr>
      <vt:lpstr>Priority URLs</vt:lpstr>
      <vt:lpstr>AIOSEO</vt:lpstr>
      <vt:lpstr>Security</vt:lpstr>
      <vt:lpstr>Summary</vt:lpstr>
      <vt:lpstr>LinksDetail</vt:lpstr>
      <vt:lpstr>Media</vt:lpstr>
      <vt:lpstr>Duplicates</vt:lpstr>
      <vt:lpstr>Pattern and Template Issues</vt:lpstr>
      <vt:lpstr>PSI Performance</vt:lpstr>
      <vt:lpstr>IssueInventory</vt:lpstr>
      <vt:lpstr>CrawlGraph</vt:lpstr>
      <vt:lpstr>SitemapQA</vt:lpstr>
      <vt:lpstr>DeltaFromPreviousRun</vt:lpstr>
      <vt:lpstr>RunMetadata</vt:lpstr>
      <vt:lpstr>ResolvedIssues</vt:lpstr>
      <vt:lpstr>Glossary &amp;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2026-05-03T08:33:40Z</dcterms:created>
  <dcterms:modified xsi:type="dcterms:W3CDTF">2026-05-03T08:35:09Z</dcterms:modified>
</cp:coreProperties>
</file>