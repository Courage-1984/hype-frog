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non\github\hype-frog\reports\latest\"/>
    </mc:Choice>
  </mc:AlternateContent>
  <xr:revisionPtr revIDLastSave="0" documentId="13_ncr:1_{BE3B0674-BF34-423D-BD6C-73EE7E4E595D}" xr6:coauthVersionLast="47" xr6:coauthVersionMax="47" xr10:uidLastSave="{00000000-0000-0000-0000-000000000000}"/>
  <bookViews>
    <workbookView xWindow="-120" yWindow="-120" windowWidth="29040" windowHeight="16440" firstSheet="1" activeTab="4" xr2:uid="{00000000-000D-0000-FFFF-FFFF00000000}"/>
  </bookViews>
  <sheets>
    <sheet name="Table of Contents" sheetId="1" r:id="rId1"/>
    <sheet name="Dashboard" sheetId="2" r:id="rId2"/>
    <sheet name="FixPlan" sheetId="3" r:id="rId3"/>
    <sheet name="Priority URLs" sheetId="4" r:id="rId4"/>
    <sheet name="Content Optimisation Hub" sheetId="5" r:id="rId5"/>
    <sheet name="Issue Register" sheetId="6" r:id="rId6"/>
    <sheet name="Technical Diagnostics" sheetId="7" r:id="rId7"/>
    <sheet name="Content &amp; AI Readiness" sheetId="8" r:id="rId8"/>
    <sheet name="Link Intelligence" sheetId="9" r:id="rId9"/>
    <sheet name="Template &amp; Duplication Risks" sheetId="10" r:id="rId10"/>
    <sheet name="Playbook" sheetId="11" r:id="rId11"/>
    <sheet name="AIOSEO" sheetId="12" r:id="rId12"/>
    <sheet name="SitemapQA" sheetId="13" r:id="rId13"/>
    <sheet name="ResolvedIssues" sheetId="14" r:id="rId14"/>
    <sheet name="DeltaFromPreviousRun" sheetId="15" state="hidden" r:id="rId15"/>
    <sheet name="RunMetadata" sheetId="16" state="hidden" r:id="rId16"/>
    <sheet name="Main" sheetId="17" r:id="rId17"/>
  </sheets>
  <definedNames>
    <definedName name="_xlnm._FilterDatabase" localSheetId="11" hidden="1">AIOSEO!$A$1:$U$87</definedName>
    <definedName name="_xlnm._FilterDatabase" localSheetId="7" hidden="1">'Content &amp; AI Readiness'!$A$1:$X$11</definedName>
    <definedName name="_xlnm._FilterDatabase" localSheetId="4" hidden="1">'Content Optimisation Hub'!$A$2:$AD$12</definedName>
    <definedName name="_xlnm._FilterDatabase" localSheetId="1" hidden="1">Dashboard!$A$1:$O$69</definedName>
    <definedName name="_xlnm._FilterDatabase" localSheetId="2" hidden="1">FixPlan!$A$1:$AA$35</definedName>
    <definedName name="_xlnm._FilterDatabase" localSheetId="5" hidden="1">'Issue Register'!$A$1:$P$148</definedName>
    <definedName name="_xlnm._FilterDatabase" localSheetId="8" hidden="1">'Link Intelligence'!$A$1:$U$473</definedName>
    <definedName name="_xlnm._FilterDatabase" localSheetId="16" hidden="1">Main!$A$1:$BD$11</definedName>
    <definedName name="_xlnm._FilterDatabase" localSheetId="10" hidden="1">Playbook!$A$1:$E$29</definedName>
    <definedName name="_xlnm._FilterDatabase" localSheetId="3" hidden="1">'Priority URLs'!$A$1:$T$11</definedName>
    <definedName name="_xlnm._FilterDatabase" localSheetId="12" hidden="1">SitemapQA!$A$1:$Q$86</definedName>
    <definedName name="_xlnm._FilterDatabase" localSheetId="6" hidden="1">'Technical Diagnostics'!$A$1:$AC$11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C11" i="17" l="1"/>
  <c r="BA11" i="17"/>
  <c r="BC10" i="17"/>
  <c r="BA10" i="17"/>
  <c r="BC9" i="17"/>
  <c r="BA9" i="17"/>
  <c r="BC8" i="17"/>
  <c r="BA8" i="17"/>
  <c r="BC7" i="17"/>
  <c r="BA7" i="17"/>
  <c r="BC6" i="17"/>
  <c r="BA6" i="17"/>
  <c r="BC5" i="17"/>
  <c r="BA5" i="17"/>
  <c r="BC4" i="17"/>
  <c r="BA4" i="17"/>
  <c r="BC3" i="17"/>
  <c r="BA3" i="17"/>
  <c r="BC2" i="17"/>
  <c r="BA2" i="17"/>
  <c r="D2" i="14"/>
  <c r="T87" i="12"/>
  <c r="S87" i="12"/>
  <c r="T86" i="12"/>
  <c r="S86" i="12"/>
  <c r="T85" i="12"/>
  <c r="S85" i="12"/>
  <c r="T84" i="12"/>
  <c r="S84" i="12"/>
  <c r="T83" i="12"/>
  <c r="S83" i="12"/>
  <c r="T82" i="12"/>
  <c r="S82" i="12"/>
  <c r="T81" i="12"/>
  <c r="S81" i="12"/>
  <c r="T80" i="12"/>
  <c r="S80" i="12"/>
  <c r="T79" i="12"/>
  <c r="S79" i="12"/>
  <c r="T78" i="12"/>
  <c r="S78" i="12"/>
  <c r="T77" i="12"/>
  <c r="S77" i="12"/>
  <c r="T76" i="12"/>
  <c r="S76" i="12"/>
  <c r="T75" i="12"/>
  <c r="S75" i="12"/>
  <c r="T74" i="12"/>
  <c r="S74" i="12"/>
  <c r="T73" i="12"/>
  <c r="S73" i="12"/>
  <c r="T72" i="12"/>
  <c r="S72" i="12"/>
  <c r="T71" i="12"/>
  <c r="S71" i="12"/>
  <c r="T70" i="12"/>
  <c r="S70" i="12"/>
  <c r="T69" i="12"/>
  <c r="S69" i="12"/>
  <c r="T68" i="12"/>
  <c r="S68" i="12"/>
  <c r="T67" i="12"/>
  <c r="S67" i="12"/>
  <c r="T66" i="12"/>
  <c r="S66" i="12"/>
  <c r="T65" i="12"/>
  <c r="S65" i="12"/>
  <c r="T64" i="12"/>
  <c r="S64" i="12"/>
  <c r="T63" i="12"/>
  <c r="S63" i="12"/>
  <c r="T62" i="12"/>
  <c r="S62" i="12"/>
  <c r="T61" i="12"/>
  <c r="S61" i="12"/>
  <c r="T60" i="12"/>
  <c r="S60" i="12"/>
  <c r="T59" i="12"/>
  <c r="S59" i="12"/>
  <c r="T58" i="12"/>
  <c r="S58" i="12"/>
  <c r="T57" i="12"/>
  <c r="S57" i="12"/>
  <c r="T56" i="12"/>
  <c r="S56" i="12"/>
  <c r="T55" i="12"/>
  <c r="S55" i="12"/>
  <c r="T54" i="12"/>
  <c r="S54" i="12"/>
  <c r="T53" i="12"/>
  <c r="S53" i="12"/>
  <c r="T52" i="12"/>
  <c r="S52" i="12"/>
  <c r="T51" i="12"/>
  <c r="S51" i="12"/>
  <c r="T50" i="12"/>
  <c r="S50" i="12"/>
  <c r="T49" i="12"/>
  <c r="S49" i="12"/>
  <c r="T48" i="12"/>
  <c r="S48" i="12"/>
  <c r="T47" i="12"/>
  <c r="S47" i="12"/>
  <c r="T46" i="12"/>
  <c r="S46" i="12"/>
  <c r="T45" i="12"/>
  <c r="S45" i="12"/>
  <c r="T44" i="12"/>
  <c r="S44" i="12"/>
  <c r="T43" i="12"/>
  <c r="S43" i="12"/>
  <c r="T42" i="12"/>
  <c r="S42" i="12"/>
  <c r="T41" i="12"/>
  <c r="S41" i="12"/>
  <c r="T40" i="12"/>
  <c r="S40" i="12"/>
  <c r="T39" i="12"/>
  <c r="S39" i="12"/>
  <c r="T38" i="12"/>
  <c r="S38" i="12"/>
  <c r="T37" i="12"/>
  <c r="S37" i="12"/>
  <c r="T36" i="12"/>
  <c r="S36" i="12"/>
  <c r="T35" i="12"/>
  <c r="S35" i="12"/>
  <c r="T34" i="12"/>
  <c r="S34" i="12"/>
  <c r="T33" i="12"/>
  <c r="S33" i="12"/>
  <c r="T32" i="12"/>
  <c r="S32" i="12"/>
  <c r="T31" i="12"/>
  <c r="S31" i="12"/>
  <c r="T30" i="12"/>
  <c r="S30" i="12"/>
  <c r="T29" i="12"/>
  <c r="S29" i="12"/>
  <c r="T28" i="12"/>
  <c r="S28" i="12"/>
  <c r="T27" i="12"/>
  <c r="S27" i="12"/>
  <c r="T26" i="12"/>
  <c r="S26" i="12"/>
  <c r="T25" i="12"/>
  <c r="S25" i="12"/>
  <c r="T24" i="12"/>
  <c r="S24" i="12"/>
  <c r="T23" i="12"/>
  <c r="S23" i="12"/>
  <c r="T22" i="12"/>
  <c r="S22" i="12"/>
  <c r="T21" i="12"/>
  <c r="S21" i="12"/>
  <c r="T20" i="12"/>
  <c r="S20" i="12"/>
  <c r="T19" i="12"/>
  <c r="S19" i="12"/>
  <c r="T18" i="12"/>
  <c r="S18" i="12"/>
  <c r="T17" i="12"/>
  <c r="S17" i="12"/>
  <c r="T16" i="12"/>
  <c r="S16" i="12"/>
  <c r="T15" i="12"/>
  <c r="S15" i="12"/>
  <c r="T14" i="12"/>
  <c r="S14" i="12"/>
  <c r="T13" i="12"/>
  <c r="S13" i="12"/>
  <c r="T12" i="12"/>
  <c r="S12" i="12"/>
  <c r="T11" i="12"/>
  <c r="S11" i="12"/>
  <c r="T10" i="12"/>
  <c r="S10" i="12"/>
  <c r="T9" i="12"/>
  <c r="S9" i="12"/>
  <c r="T8" i="12"/>
  <c r="S8" i="12"/>
  <c r="T7" i="12"/>
  <c r="S7" i="12"/>
  <c r="T6" i="12"/>
  <c r="S6" i="12"/>
  <c r="T5" i="12"/>
  <c r="S5" i="12"/>
  <c r="T4" i="12"/>
  <c r="S4" i="12"/>
  <c r="T3" i="12"/>
  <c r="S3" i="12"/>
  <c r="T2" i="12"/>
  <c r="S2" i="12"/>
  <c r="K4" i="10"/>
  <c r="K3" i="10"/>
  <c r="K2" i="10"/>
  <c r="T473" i="9"/>
  <c r="T472" i="9"/>
  <c r="T471" i="9"/>
  <c r="T470" i="9"/>
  <c r="T469" i="9"/>
  <c r="T468" i="9"/>
  <c r="T467" i="9"/>
  <c r="T466" i="9"/>
  <c r="T465" i="9"/>
  <c r="T464" i="9"/>
  <c r="T463" i="9"/>
  <c r="T462" i="9"/>
  <c r="T461" i="9"/>
  <c r="T460" i="9"/>
  <c r="T459" i="9"/>
  <c r="T458" i="9"/>
  <c r="T457" i="9"/>
  <c r="T456" i="9"/>
  <c r="T455" i="9"/>
  <c r="T454" i="9"/>
  <c r="T453" i="9"/>
  <c r="T452" i="9"/>
  <c r="T451" i="9"/>
  <c r="T450" i="9"/>
  <c r="T449" i="9"/>
  <c r="T448" i="9"/>
  <c r="T447" i="9"/>
  <c r="T446" i="9"/>
  <c r="T445" i="9"/>
  <c r="T444" i="9"/>
  <c r="T443" i="9"/>
  <c r="T442" i="9"/>
  <c r="T441" i="9"/>
  <c r="T440" i="9"/>
  <c r="T439" i="9"/>
  <c r="T438" i="9"/>
  <c r="T437" i="9"/>
  <c r="T436" i="9"/>
  <c r="T435" i="9"/>
  <c r="T434" i="9"/>
  <c r="T433" i="9"/>
  <c r="T432" i="9"/>
  <c r="T431" i="9"/>
  <c r="T430" i="9"/>
  <c r="T429" i="9"/>
  <c r="T428" i="9"/>
  <c r="T427" i="9"/>
  <c r="T426" i="9"/>
  <c r="T425" i="9"/>
  <c r="T424" i="9"/>
  <c r="T423" i="9"/>
  <c r="T422" i="9"/>
  <c r="T421" i="9"/>
  <c r="T420" i="9"/>
  <c r="T419" i="9"/>
  <c r="T418" i="9"/>
  <c r="T417" i="9"/>
  <c r="T416" i="9"/>
  <c r="T415" i="9"/>
  <c r="T414" i="9"/>
  <c r="T413" i="9"/>
  <c r="T412" i="9"/>
  <c r="T411" i="9"/>
  <c r="T410" i="9"/>
  <c r="T409" i="9"/>
  <c r="T408" i="9"/>
  <c r="T407" i="9"/>
  <c r="T406" i="9"/>
  <c r="T405" i="9"/>
  <c r="T404" i="9"/>
  <c r="T403" i="9"/>
  <c r="T402" i="9"/>
  <c r="T401" i="9"/>
  <c r="T400" i="9"/>
  <c r="T399" i="9"/>
  <c r="T398" i="9"/>
  <c r="T397" i="9"/>
  <c r="T396" i="9"/>
  <c r="T395" i="9"/>
  <c r="T394" i="9"/>
  <c r="T393" i="9"/>
  <c r="T392" i="9"/>
  <c r="T391" i="9"/>
  <c r="T390" i="9"/>
  <c r="T389" i="9"/>
  <c r="T388" i="9"/>
  <c r="T387" i="9"/>
  <c r="T386" i="9"/>
  <c r="T385" i="9"/>
  <c r="T384" i="9"/>
  <c r="T383" i="9"/>
  <c r="T382" i="9"/>
  <c r="T381" i="9"/>
  <c r="T380" i="9"/>
  <c r="T379" i="9"/>
  <c r="T378" i="9"/>
  <c r="T377" i="9"/>
  <c r="T376" i="9"/>
  <c r="T375" i="9"/>
  <c r="T374" i="9"/>
  <c r="T373" i="9"/>
  <c r="T372" i="9"/>
  <c r="T371" i="9"/>
  <c r="T370" i="9"/>
  <c r="T369" i="9"/>
  <c r="T368" i="9"/>
  <c r="T367" i="9"/>
  <c r="T366" i="9"/>
  <c r="T365" i="9"/>
  <c r="T364" i="9"/>
  <c r="T363" i="9"/>
  <c r="T362" i="9"/>
  <c r="T361" i="9"/>
  <c r="T360" i="9"/>
  <c r="T359" i="9"/>
  <c r="T358" i="9"/>
  <c r="T357" i="9"/>
  <c r="T356" i="9"/>
  <c r="T355" i="9"/>
  <c r="T354" i="9"/>
  <c r="T353" i="9"/>
  <c r="T352" i="9"/>
  <c r="T351" i="9"/>
  <c r="T350" i="9"/>
  <c r="T349" i="9"/>
  <c r="T348" i="9"/>
  <c r="T347" i="9"/>
  <c r="T346" i="9"/>
  <c r="T345" i="9"/>
  <c r="T344" i="9"/>
  <c r="T343" i="9"/>
  <c r="T342" i="9"/>
  <c r="T341" i="9"/>
  <c r="T340" i="9"/>
  <c r="T339" i="9"/>
  <c r="T338" i="9"/>
  <c r="T337" i="9"/>
  <c r="T336" i="9"/>
  <c r="T335" i="9"/>
  <c r="T334" i="9"/>
  <c r="T333" i="9"/>
  <c r="T332" i="9"/>
  <c r="T331" i="9"/>
  <c r="T330" i="9"/>
  <c r="T329" i="9"/>
  <c r="T328" i="9"/>
  <c r="T327" i="9"/>
  <c r="T326" i="9"/>
  <c r="T325" i="9"/>
  <c r="T324" i="9"/>
  <c r="T323" i="9"/>
  <c r="T322" i="9"/>
  <c r="T321" i="9"/>
  <c r="T320" i="9"/>
  <c r="T319" i="9"/>
  <c r="T318" i="9"/>
  <c r="T317" i="9"/>
  <c r="T316" i="9"/>
  <c r="T315" i="9"/>
  <c r="T314" i="9"/>
  <c r="T313" i="9"/>
  <c r="T312" i="9"/>
  <c r="T311" i="9"/>
  <c r="T310" i="9"/>
  <c r="T309" i="9"/>
  <c r="T308" i="9"/>
  <c r="T307" i="9"/>
  <c r="T306" i="9"/>
  <c r="T305" i="9"/>
  <c r="T304" i="9"/>
  <c r="T303" i="9"/>
  <c r="T302" i="9"/>
  <c r="T301" i="9"/>
  <c r="T300" i="9"/>
  <c r="T299" i="9"/>
  <c r="T298" i="9"/>
  <c r="T297" i="9"/>
  <c r="T296" i="9"/>
  <c r="T295" i="9"/>
  <c r="T294" i="9"/>
  <c r="T293" i="9"/>
  <c r="T292" i="9"/>
  <c r="T291" i="9"/>
  <c r="T290" i="9"/>
  <c r="T289" i="9"/>
  <c r="T288" i="9"/>
  <c r="T287" i="9"/>
  <c r="T286" i="9"/>
  <c r="T285" i="9"/>
  <c r="T284" i="9"/>
  <c r="T283" i="9"/>
  <c r="T282" i="9"/>
  <c r="T281" i="9"/>
  <c r="T280" i="9"/>
  <c r="T279" i="9"/>
  <c r="T278" i="9"/>
  <c r="T277" i="9"/>
  <c r="T276" i="9"/>
  <c r="T275" i="9"/>
  <c r="T274" i="9"/>
  <c r="T273" i="9"/>
  <c r="T272" i="9"/>
  <c r="T271" i="9"/>
  <c r="T270" i="9"/>
  <c r="T269" i="9"/>
  <c r="T268" i="9"/>
  <c r="T267" i="9"/>
  <c r="T266" i="9"/>
  <c r="T265" i="9"/>
  <c r="T264" i="9"/>
  <c r="T263" i="9"/>
  <c r="T262" i="9"/>
  <c r="T261" i="9"/>
  <c r="T260" i="9"/>
  <c r="T259" i="9"/>
  <c r="T258" i="9"/>
  <c r="T257" i="9"/>
  <c r="T256" i="9"/>
  <c r="T255" i="9"/>
  <c r="T254" i="9"/>
  <c r="T253" i="9"/>
  <c r="T252" i="9"/>
  <c r="T251" i="9"/>
  <c r="T250" i="9"/>
  <c r="T249" i="9"/>
  <c r="T248" i="9"/>
  <c r="T247" i="9"/>
  <c r="T246" i="9"/>
  <c r="T245" i="9"/>
  <c r="T244" i="9"/>
  <c r="T243" i="9"/>
  <c r="T242" i="9"/>
  <c r="T241" i="9"/>
  <c r="T240" i="9"/>
  <c r="T239" i="9"/>
  <c r="T238" i="9"/>
  <c r="T237" i="9"/>
  <c r="T236" i="9"/>
  <c r="T235" i="9"/>
  <c r="T234" i="9"/>
  <c r="T233" i="9"/>
  <c r="T232" i="9"/>
  <c r="T231" i="9"/>
  <c r="T230" i="9"/>
  <c r="T229" i="9"/>
  <c r="T228" i="9"/>
  <c r="T227" i="9"/>
  <c r="T226" i="9"/>
  <c r="T225" i="9"/>
  <c r="T224" i="9"/>
  <c r="T223" i="9"/>
  <c r="T222" i="9"/>
  <c r="T221" i="9"/>
  <c r="T220" i="9"/>
  <c r="T219" i="9"/>
  <c r="T218" i="9"/>
  <c r="T217" i="9"/>
  <c r="T216" i="9"/>
  <c r="T215" i="9"/>
  <c r="T214" i="9"/>
  <c r="T213" i="9"/>
  <c r="T212" i="9"/>
  <c r="T211" i="9"/>
  <c r="T210" i="9"/>
  <c r="T209" i="9"/>
  <c r="T208" i="9"/>
  <c r="T207" i="9"/>
  <c r="T206" i="9"/>
  <c r="T205" i="9"/>
  <c r="T204" i="9"/>
  <c r="T203" i="9"/>
  <c r="T202" i="9"/>
  <c r="T201" i="9"/>
  <c r="T200" i="9"/>
  <c r="T199" i="9"/>
  <c r="T198" i="9"/>
  <c r="T197" i="9"/>
  <c r="T196" i="9"/>
  <c r="T195" i="9"/>
  <c r="T194" i="9"/>
  <c r="T193" i="9"/>
  <c r="T192" i="9"/>
  <c r="T191" i="9"/>
  <c r="T190" i="9"/>
  <c r="T189" i="9"/>
  <c r="T188" i="9"/>
  <c r="T187" i="9"/>
  <c r="T186" i="9"/>
  <c r="T185" i="9"/>
  <c r="T184" i="9"/>
  <c r="T183" i="9"/>
  <c r="T182" i="9"/>
  <c r="T181" i="9"/>
  <c r="T180" i="9"/>
  <c r="T179" i="9"/>
  <c r="T178" i="9"/>
  <c r="T177" i="9"/>
  <c r="T176" i="9"/>
  <c r="T175" i="9"/>
  <c r="T174" i="9"/>
  <c r="T173" i="9"/>
  <c r="T172" i="9"/>
  <c r="T171" i="9"/>
  <c r="T170" i="9"/>
  <c r="T169" i="9"/>
  <c r="T168" i="9"/>
  <c r="T167" i="9"/>
  <c r="T166" i="9"/>
  <c r="T165" i="9"/>
  <c r="T164" i="9"/>
  <c r="T163" i="9"/>
  <c r="T162" i="9"/>
  <c r="T161" i="9"/>
  <c r="T160" i="9"/>
  <c r="T159" i="9"/>
  <c r="T158" i="9"/>
  <c r="T157" i="9"/>
  <c r="T156" i="9"/>
  <c r="T155" i="9"/>
  <c r="T154" i="9"/>
  <c r="T153" i="9"/>
  <c r="T152" i="9"/>
  <c r="T151" i="9"/>
  <c r="T150" i="9"/>
  <c r="T149" i="9"/>
  <c r="T148" i="9"/>
  <c r="T147" i="9"/>
  <c r="T146" i="9"/>
  <c r="T145" i="9"/>
  <c r="T144" i="9"/>
  <c r="T143" i="9"/>
  <c r="T142" i="9"/>
  <c r="T141" i="9"/>
  <c r="T140" i="9"/>
  <c r="T139" i="9"/>
  <c r="T138" i="9"/>
  <c r="T137" i="9"/>
  <c r="T136" i="9"/>
  <c r="T135" i="9"/>
  <c r="T134" i="9"/>
  <c r="T133" i="9"/>
  <c r="T132" i="9"/>
  <c r="T131" i="9"/>
  <c r="T130" i="9"/>
  <c r="T129" i="9"/>
  <c r="T128" i="9"/>
  <c r="T127" i="9"/>
  <c r="T126" i="9"/>
  <c r="T125" i="9"/>
  <c r="T124" i="9"/>
  <c r="T123" i="9"/>
  <c r="T122" i="9"/>
  <c r="T121" i="9"/>
  <c r="T120" i="9"/>
  <c r="T119" i="9"/>
  <c r="T118" i="9"/>
  <c r="T117" i="9"/>
  <c r="T116" i="9"/>
  <c r="T115" i="9"/>
  <c r="T114" i="9"/>
  <c r="T113" i="9"/>
  <c r="T112" i="9"/>
  <c r="T111" i="9"/>
  <c r="T110" i="9"/>
  <c r="T109" i="9"/>
  <c r="T108" i="9"/>
  <c r="T107" i="9"/>
  <c r="T106" i="9"/>
  <c r="T105" i="9"/>
  <c r="T104" i="9"/>
  <c r="T103" i="9"/>
  <c r="T102" i="9"/>
  <c r="T101" i="9"/>
  <c r="T100" i="9"/>
  <c r="T99" i="9"/>
  <c r="T98" i="9"/>
  <c r="T97" i="9"/>
  <c r="T96" i="9"/>
  <c r="T95" i="9"/>
  <c r="T94" i="9"/>
  <c r="T93" i="9"/>
  <c r="T92" i="9"/>
  <c r="T91" i="9"/>
  <c r="T90" i="9"/>
  <c r="T89" i="9"/>
  <c r="T88" i="9"/>
  <c r="T87" i="9"/>
  <c r="T86" i="9"/>
  <c r="T85" i="9"/>
  <c r="T84" i="9"/>
  <c r="T83" i="9"/>
  <c r="T82" i="9"/>
  <c r="T81" i="9"/>
  <c r="T80" i="9"/>
  <c r="T79" i="9"/>
  <c r="T78" i="9"/>
  <c r="T77" i="9"/>
  <c r="T76" i="9"/>
  <c r="T75" i="9"/>
  <c r="T74" i="9"/>
  <c r="T73" i="9"/>
  <c r="T72" i="9"/>
  <c r="T71" i="9"/>
  <c r="T70" i="9"/>
  <c r="T69" i="9"/>
  <c r="T68" i="9"/>
  <c r="T67" i="9"/>
  <c r="T66" i="9"/>
  <c r="T65" i="9"/>
  <c r="T64" i="9"/>
  <c r="T63" i="9"/>
  <c r="T62" i="9"/>
  <c r="T61" i="9"/>
  <c r="T60" i="9"/>
  <c r="T59" i="9"/>
  <c r="T58" i="9"/>
  <c r="T57" i="9"/>
  <c r="T56" i="9"/>
  <c r="T55" i="9"/>
  <c r="T54" i="9"/>
  <c r="T53" i="9"/>
  <c r="T52" i="9"/>
  <c r="T51" i="9"/>
  <c r="T50" i="9"/>
  <c r="T49" i="9"/>
  <c r="T48" i="9"/>
  <c r="T47" i="9"/>
  <c r="T46" i="9"/>
  <c r="T45" i="9"/>
  <c r="T44" i="9"/>
  <c r="T43" i="9"/>
  <c r="T42" i="9"/>
  <c r="T41" i="9"/>
  <c r="T40" i="9"/>
  <c r="T39" i="9"/>
  <c r="T38" i="9"/>
  <c r="T37" i="9"/>
  <c r="T36" i="9"/>
  <c r="T35" i="9"/>
  <c r="T34" i="9"/>
  <c r="T33" i="9"/>
  <c r="T32" i="9"/>
  <c r="T31" i="9"/>
  <c r="T30" i="9"/>
  <c r="T29" i="9"/>
  <c r="T28" i="9"/>
  <c r="T27" i="9"/>
  <c r="T26" i="9"/>
  <c r="T25" i="9"/>
  <c r="T24" i="9"/>
  <c r="T23" i="9"/>
  <c r="T22" i="9"/>
  <c r="T21" i="9"/>
  <c r="T20" i="9"/>
  <c r="T19" i="9"/>
  <c r="T18" i="9"/>
  <c r="T17" i="9"/>
  <c r="T16" i="9"/>
  <c r="T15" i="9"/>
  <c r="T14" i="9"/>
  <c r="T13" i="9"/>
  <c r="T12" i="9"/>
  <c r="T11" i="9"/>
  <c r="T10" i="9"/>
  <c r="T9" i="9"/>
  <c r="T8" i="9"/>
  <c r="T7" i="9"/>
  <c r="T6" i="9"/>
  <c r="T5" i="9"/>
  <c r="T4" i="9"/>
  <c r="T3" i="9"/>
  <c r="T2" i="9"/>
  <c r="W11" i="8"/>
  <c r="W10" i="8"/>
  <c r="W9" i="8"/>
  <c r="W8" i="8"/>
  <c r="W7" i="8"/>
  <c r="W6" i="8"/>
  <c r="W5" i="8"/>
  <c r="W4" i="8"/>
  <c r="W3" i="8"/>
  <c r="W2" i="8"/>
  <c r="AB11" i="7"/>
  <c r="AB10" i="7"/>
  <c r="AB9" i="7"/>
  <c r="AB8" i="7"/>
  <c r="AB7" i="7"/>
  <c r="AB6" i="7"/>
  <c r="AB5" i="7"/>
  <c r="AB4" i="7"/>
  <c r="AB3" i="7"/>
  <c r="AB2" i="7"/>
  <c r="O148" i="6"/>
  <c r="N148" i="6"/>
  <c r="O147" i="6"/>
  <c r="N147" i="6"/>
  <c r="O146" i="6"/>
  <c r="N146" i="6"/>
  <c r="O145" i="6"/>
  <c r="N145" i="6"/>
  <c r="O144" i="6"/>
  <c r="N144" i="6"/>
  <c r="O143" i="6"/>
  <c r="N143" i="6"/>
  <c r="O142" i="6"/>
  <c r="N142" i="6"/>
  <c r="O141" i="6"/>
  <c r="N141" i="6"/>
  <c r="O140" i="6"/>
  <c r="N140" i="6"/>
  <c r="O139" i="6"/>
  <c r="N139" i="6"/>
  <c r="O138" i="6"/>
  <c r="N138" i="6"/>
  <c r="O137" i="6"/>
  <c r="N137" i="6"/>
  <c r="O136" i="6"/>
  <c r="N136" i="6"/>
  <c r="O135" i="6"/>
  <c r="N135" i="6"/>
  <c r="O134" i="6"/>
  <c r="N134" i="6"/>
  <c r="O133" i="6"/>
  <c r="N133" i="6"/>
  <c r="O132" i="6"/>
  <c r="N132" i="6"/>
  <c r="O131" i="6"/>
  <c r="N131" i="6"/>
  <c r="O130" i="6"/>
  <c r="N130" i="6"/>
  <c r="O129" i="6"/>
  <c r="N129" i="6"/>
  <c r="O128" i="6"/>
  <c r="N128" i="6"/>
  <c r="O127" i="6"/>
  <c r="N127" i="6"/>
  <c r="O126" i="6"/>
  <c r="N126" i="6"/>
  <c r="O125" i="6"/>
  <c r="N125" i="6"/>
  <c r="O124" i="6"/>
  <c r="N124" i="6"/>
  <c r="O123" i="6"/>
  <c r="N123" i="6"/>
  <c r="O122" i="6"/>
  <c r="N122" i="6"/>
  <c r="O121" i="6"/>
  <c r="N121" i="6"/>
  <c r="O120" i="6"/>
  <c r="N120" i="6"/>
  <c r="O119" i="6"/>
  <c r="N119" i="6"/>
  <c r="O118" i="6"/>
  <c r="N118" i="6"/>
  <c r="O117" i="6"/>
  <c r="N117" i="6"/>
  <c r="O116" i="6"/>
  <c r="N116" i="6"/>
  <c r="O115" i="6"/>
  <c r="N115" i="6"/>
  <c r="O114" i="6"/>
  <c r="N114" i="6"/>
  <c r="O113" i="6"/>
  <c r="N113" i="6"/>
  <c r="O112" i="6"/>
  <c r="N112" i="6"/>
  <c r="O111" i="6"/>
  <c r="N111" i="6"/>
  <c r="O110" i="6"/>
  <c r="N110" i="6"/>
  <c r="O109" i="6"/>
  <c r="N109" i="6"/>
  <c r="O108" i="6"/>
  <c r="N108" i="6"/>
  <c r="O107" i="6"/>
  <c r="N107" i="6"/>
  <c r="O106" i="6"/>
  <c r="N106" i="6"/>
  <c r="O105" i="6"/>
  <c r="N105" i="6"/>
  <c r="O104" i="6"/>
  <c r="N104" i="6"/>
  <c r="O103" i="6"/>
  <c r="N103" i="6"/>
  <c r="O102" i="6"/>
  <c r="N102" i="6"/>
  <c r="O101" i="6"/>
  <c r="N101" i="6"/>
  <c r="O100" i="6"/>
  <c r="N100" i="6"/>
  <c r="O99" i="6"/>
  <c r="N99" i="6"/>
  <c r="O98" i="6"/>
  <c r="N98" i="6"/>
  <c r="O97" i="6"/>
  <c r="N97" i="6"/>
  <c r="O96" i="6"/>
  <c r="N96" i="6"/>
  <c r="O95" i="6"/>
  <c r="N95" i="6"/>
  <c r="O94" i="6"/>
  <c r="N94" i="6"/>
  <c r="O93" i="6"/>
  <c r="N93" i="6"/>
  <c r="O92" i="6"/>
  <c r="N92" i="6"/>
  <c r="O91" i="6"/>
  <c r="N91" i="6"/>
  <c r="O90" i="6"/>
  <c r="N90" i="6"/>
  <c r="O89" i="6"/>
  <c r="N89" i="6"/>
  <c r="O88" i="6"/>
  <c r="N88" i="6"/>
  <c r="O87" i="6"/>
  <c r="N87" i="6"/>
  <c r="O86" i="6"/>
  <c r="N86" i="6"/>
  <c r="O85" i="6"/>
  <c r="N85" i="6"/>
  <c r="O84" i="6"/>
  <c r="N84" i="6"/>
  <c r="O83" i="6"/>
  <c r="N83" i="6"/>
  <c r="O82" i="6"/>
  <c r="N82" i="6"/>
  <c r="O81" i="6"/>
  <c r="N81" i="6"/>
  <c r="O80" i="6"/>
  <c r="N80" i="6"/>
  <c r="O79" i="6"/>
  <c r="N79" i="6"/>
  <c r="O78" i="6"/>
  <c r="N78" i="6"/>
  <c r="O77" i="6"/>
  <c r="N77" i="6"/>
  <c r="O76" i="6"/>
  <c r="N76" i="6"/>
  <c r="O75" i="6"/>
  <c r="N75" i="6"/>
  <c r="O74" i="6"/>
  <c r="N74" i="6"/>
  <c r="O73" i="6"/>
  <c r="N73" i="6"/>
  <c r="O72" i="6"/>
  <c r="N72" i="6"/>
  <c r="O71" i="6"/>
  <c r="N71" i="6"/>
  <c r="O70" i="6"/>
  <c r="N70" i="6"/>
  <c r="O69" i="6"/>
  <c r="N69" i="6"/>
  <c r="O68" i="6"/>
  <c r="N68" i="6"/>
  <c r="O67" i="6"/>
  <c r="N67" i="6"/>
  <c r="O66" i="6"/>
  <c r="N66" i="6"/>
  <c r="O65" i="6"/>
  <c r="N65" i="6"/>
  <c r="O64" i="6"/>
  <c r="N64" i="6"/>
  <c r="O63" i="6"/>
  <c r="N63" i="6"/>
  <c r="O62" i="6"/>
  <c r="N62" i="6"/>
  <c r="O61" i="6"/>
  <c r="N61" i="6"/>
  <c r="O60" i="6"/>
  <c r="N60" i="6"/>
  <c r="O59" i="6"/>
  <c r="N59" i="6"/>
  <c r="O58" i="6"/>
  <c r="N58" i="6"/>
  <c r="O57" i="6"/>
  <c r="N57" i="6"/>
  <c r="O56" i="6"/>
  <c r="N56" i="6"/>
  <c r="O55" i="6"/>
  <c r="N55" i="6"/>
  <c r="O54" i="6"/>
  <c r="N54" i="6"/>
  <c r="O53" i="6"/>
  <c r="N53" i="6"/>
  <c r="O52" i="6"/>
  <c r="N52" i="6"/>
  <c r="O51" i="6"/>
  <c r="N51" i="6"/>
  <c r="O50" i="6"/>
  <c r="N50" i="6"/>
  <c r="O49" i="6"/>
  <c r="N49" i="6"/>
  <c r="O48" i="6"/>
  <c r="N48" i="6"/>
  <c r="O47" i="6"/>
  <c r="N47" i="6"/>
  <c r="O46" i="6"/>
  <c r="N46" i="6"/>
  <c r="O45" i="6"/>
  <c r="N45" i="6"/>
  <c r="O44" i="6"/>
  <c r="N44" i="6"/>
  <c r="O43" i="6"/>
  <c r="N43" i="6"/>
  <c r="O42" i="6"/>
  <c r="N42" i="6"/>
  <c r="O41" i="6"/>
  <c r="N41" i="6"/>
  <c r="O40" i="6"/>
  <c r="N40" i="6"/>
  <c r="O39" i="6"/>
  <c r="N39" i="6"/>
  <c r="O38" i="6"/>
  <c r="N38" i="6"/>
  <c r="O37" i="6"/>
  <c r="N37" i="6"/>
  <c r="O36" i="6"/>
  <c r="N36" i="6"/>
  <c r="O35" i="6"/>
  <c r="N35" i="6"/>
  <c r="O34" i="6"/>
  <c r="N34" i="6"/>
  <c r="O33" i="6"/>
  <c r="N33" i="6"/>
  <c r="O32" i="6"/>
  <c r="N32" i="6"/>
  <c r="O31" i="6"/>
  <c r="N31" i="6"/>
  <c r="O30" i="6"/>
  <c r="N30" i="6"/>
  <c r="O29" i="6"/>
  <c r="N29" i="6"/>
  <c r="O28" i="6"/>
  <c r="N28" i="6"/>
  <c r="O27" i="6"/>
  <c r="N27" i="6"/>
  <c r="O26" i="6"/>
  <c r="N26" i="6"/>
  <c r="O25" i="6"/>
  <c r="N25" i="6"/>
  <c r="O24" i="6"/>
  <c r="N24" i="6"/>
  <c r="O23" i="6"/>
  <c r="N23" i="6"/>
  <c r="O22" i="6"/>
  <c r="N22" i="6"/>
  <c r="O21" i="6"/>
  <c r="N21" i="6"/>
  <c r="O20" i="6"/>
  <c r="N20" i="6"/>
  <c r="O19" i="6"/>
  <c r="N19" i="6"/>
  <c r="O18" i="6"/>
  <c r="N18" i="6"/>
  <c r="O17" i="6"/>
  <c r="N17" i="6"/>
  <c r="O16" i="6"/>
  <c r="N16" i="6"/>
  <c r="O15" i="6"/>
  <c r="N15" i="6"/>
  <c r="O14" i="6"/>
  <c r="N14" i="6"/>
  <c r="O13" i="6"/>
  <c r="N13" i="6"/>
  <c r="O12" i="6"/>
  <c r="N12" i="6"/>
  <c r="O11" i="6"/>
  <c r="N11" i="6"/>
  <c r="O10" i="6"/>
  <c r="N10" i="6"/>
  <c r="O9" i="6"/>
  <c r="N9" i="6"/>
  <c r="O8" i="6"/>
  <c r="N8" i="6"/>
  <c r="O7" i="6"/>
  <c r="N7" i="6"/>
  <c r="O6" i="6"/>
  <c r="N6" i="6"/>
  <c r="O5" i="6"/>
  <c r="N5" i="6"/>
  <c r="O4" i="6"/>
  <c r="N4" i="6"/>
  <c r="O3" i="6"/>
  <c r="N3" i="6"/>
  <c r="O2" i="6"/>
  <c r="N2" i="6"/>
  <c r="AC12" i="5"/>
  <c r="AB12" i="5"/>
  <c r="AA12" i="5"/>
  <c r="Z12" i="5"/>
  <c r="X12" i="5"/>
  <c r="V12" i="5"/>
  <c r="T12" i="5"/>
  <c r="R12" i="5"/>
  <c r="P12" i="5"/>
  <c r="N12" i="5"/>
  <c r="L12" i="5"/>
  <c r="I12" i="5"/>
  <c r="H12" i="5"/>
  <c r="AD12" i="5" s="1"/>
  <c r="B12" i="5"/>
  <c r="A12" i="5" s="1"/>
  <c r="AC11" i="5"/>
  <c r="AB11" i="5"/>
  <c r="AA11" i="5"/>
  <c r="Z11" i="5"/>
  <c r="X11" i="5"/>
  <c r="V11" i="5"/>
  <c r="T11" i="5"/>
  <c r="R11" i="5"/>
  <c r="P11" i="5"/>
  <c r="N11" i="5"/>
  <c r="L11" i="5"/>
  <c r="B11" i="5" s="1"/>
  <c r="A11" i="5" s="1"/>
  <c r="I11" i="5"/>
  <c r="H11" i="5"/>
  <c r="AD11" i="5" s="1"/>
  <c r="AC10" i="5"/>
  <c r="AB10" i="5"/>
  <c r="AA10" i="5"/>
  <c r="Z10" i="5"/>
  <c r="X10" i="5"/>
  <c r="V10" i="5"/>
  <c r="T10" i="5"/>
  <c r="R10" i="5"/>
  <c r="P10" i="5"/>
  <c r="N10" i="5"/>
  <c r="L10" i="5"/>
  <c r="B10" i="5" s="1"/>
  <c r="A10" i="5" s="1"/>
  <c r="I10" i="5"/>
  <c r="H10" i="5"/>
  <c r="AD10" i="5" s="1"/>
  <c r="AC9" i="5"/>
  <c r="AB9" i="5"/>
  <c r="AA9" i="5"/>
  <c r="Z9" i="5"/>
  <c r="X9" i="5"/>
  <c r="V9" i="5"/>
  <c r="T9" i="5"/>
  <c r="R9" i="5"/>
  <c r="P9" i="5"/>
  <c r="N9" i="5"/>
  <c r="L9" i="5"/>
  <c r="B9" i="5" s="1"/>
  <c r="A9" i="5" s="1"/>
  <c r="I9" i="5"/>
  <c r="H9" i="5"/>
  <c r="AD9" i="5" s="1"/>
  <c r="AC8" i="5"/>
  <c r="AB8" i="5"/>
  <c r="AA8" i="5"/>
  <c r="Z8" i="5"/>
  <c r="X8" i="5"/>
  <c r="V8" i="5"/>
  <c r="T8" i="5"/>
  <c r="R8" i="5"/>
  <c r="P8" i="5"/>
  <c r="N8" i="5"/>
  <c r="L8" i="5"/>
  <c r="B8" i="5" s="1"/>
  <c r="A8" i="5" s="1"/>
  <c r="I8" i="5"/>
  <c r="H8" i="5"/>
  <c r="AD8" i="5" s="1"/>
  <c r="AC7" i="5"/>
  <c r="AB7" i="5"/>
  <c r="AA7" i="5"/>
  <c r="Z7" i="5"/>
  <c r="X7" i="5"/>
  <c r="V7" i="5"/>
  <c r="T7" i="5"/>
  <c r="R7" i="5"/>
  <c r="P7" i="5"/>
  <c r="N7" i="5"/>
  <c r="L7" i="5"/>
  <c r="B7" i="5" s="1"/>
  <c r="A7" i="5" s="1"/>
  <c r="I7" i="5"/>
  <c r="H7" i="5"/>
  <c r="AD7" i="5" s="1"/>
  <c r="AC6" i="5"/>
  <c r="AB6" i="5"/>
  <c r="AA6" i="5"/>
  <c r="Z6" i="5"/>
  <c r="X6" i="5"/>
  <c r="V6" i="5"/>
  <c r="T6" i="5"/>
  <c r="R6" i="5"/>
  <c r="P6" i="5"/>
  <c r="N6" i="5"/>
  <c r="L6" i="5"/>
  <c r="B6" i="5" s="1"/>
  <c r="A6" i="5" s="1"/>
  <c r="I6" i="5"/>
  <c r="H6" i="5"/>
  <c r="AD6" i="5" s="1"/>
  <c r="AC5" i="5"/>
  <c r="AB5" i="5"/>
  <c r="AA5" i="5"/>
  <c r="Z5" i="5"/>
  <c r="X5" i="5"/>
  <c r="V5" i="5"/>
  <c r="T5" i="5"/>
  <c r="R5" i="5"/>
  <c r="P5" i="5"/>
  <c r="N5" i="5"/>
  <c r="L5" i="5"/>
  <c r="I5" i="5"/>
  <c r="H5" i="5"/>
  <c r="AD5" i="5" s="1"/>
  <c r="AC4" i="5"/>
  <c r="AB4" i="5"/>
  <c r="AA4" i="5"/>
  <c r="Z4" i="5"/>
  <c r="X4" i="5"/>
  <c r="V4" i="5"/>
  <c r="T4" i="5"/>
  <c r="R4" i="5"/>
  <c r="P4" i="5"/>
  <c r="B4" i="5" s="1"/>
  <c r="A4" i="5" s="1"/>
  <c r="N4" i="5"/>
  <c r="L4" i="5"/>
  <c r="I4" i="5"/>
  <c r="H4" i="5"/>
  <c r="AD4" i="5" s="1"/>
  <c r="AC3" i="5"/>
  <c r="AB3" i="5"/>
  <c r="AA3" i="5"/>
  <c r="Z3" i="5"/>
  <c r="X3" i="5"/>
  <c r="V3" i="5"/>
  <c r="T3" i="5"/>
  <c r="R3" i="5"/>
  <c r="P3" i="5"/>
  <c r="N3" i="5"/>
  <c r="L3" i="5"/>
  <c r="B3" i="5" s="1"/>
  <c r="A3" i="5" s="1"/>
  <c r="I3" i="5"/>
  <c r="H3" i="5"/>
  <c r="AD3" i="5" s="1"/>
  <c r="S11" i="4"/>
  <c r="R11" i="4"/>
  <c r="S10" i="4"/>
  <c r="R10" i="4"/>
  <c r="S9" i="4"/>
  <c r="R9" i="4"/>
  <c r="S8" i="4"/>
  <c r="R8" i="4"/>
  <c r="S7" i="4"/>
  <c r="R7" i="4"/>
  <c r="S6" i="4"/>
  <c r="R6" i="4"/>
  <c r="S5" i="4"/>
  <c r="R5" i="4"/>
  <c r="S4" i="4"/>
  <c r="R4" i="4"/>
  <c r="S3" i="4"/>
  <c r="R3" i="4"/>
  <c r="S2" i="4"/>
  <c r="R2" i="4"/>
  <c r="Z35" i="3"/>
  <c r="Y35" i="3"/>
  <c r="Z34" i="3"/>
  <c r="Y34" i="3"/>
  <c r="Z33" i="3"/>
  <c r="Y33" i="3"/>
  <c r="Z32" i="3"/>
  <c r="Y32" i="3"/>
  <c r="Z31" i="3"/>
  <c r="Y31" i="3"/>
  <c r="Z30" i="3"/>
  <c r="Y30" i="3"/>
  <c r="Z29" i="3"/>
  <c r="Y29" i="3"/>
  <c r="Z28" i="3"/>
  <c r="Y28" i="3"/>
  <c r="Z27" i="3"/>
  <c r="Y27" i="3"/>
  <c r="Z26" i="3"/>
  <c r="Y26" i="3"/>
  <c r="Z25" i="3"/>
  <c r="Y25" i="3"/>
  <c r="Z24" i="3"/>
  <c r="Y24" i="3"/>
  <c r="Z23" i="3"/>
  <c r="Y23" i="3"/>
  <c r="Z22" i="3"/>
  <c r="Y22" i="3"/>
  <c r="Z21" i="3"/>
  <c r="Y21" i="3"/>
  <c r="Z20" i="3"/>
  <c r="Y20" i="3"/>
  <c r="Z19" i="3"/>
  <c r="Y19" i="3"/>
  <c r="Z18" i="3"/>
  <c r="Y18" i="3"/>
  <c r="Z17" i="3"/>
  <c r="Y17" i="3"/>
  <c r="Z16" i="3"/>
  <c r="Y16" i="3"/>
  <c r="Z15" i="3"/>
  <c r="Y15" i="3"/>
  <c r="Z14" i="3"/>
  <c r="Y14" i="3"/>
  <c r="Z13" i="3"/>
  <c r="Y13" i="3"/>
  <c r="Z12" i="3"/>
  <c r="Y12" i="3"/>
  <c r="Z11" i="3"/>
  <c r="Y11" i="3"/>
  <c r="Z10" i="3"/>
  <c r="Y10" i="3"/>
  <c r="Z9" i="3"/>
  <c r="Y9" i="3"/>
  <c r="Z8" i="3"/>
  <c r="Y8" i="3"/>
  <c r="Z7" i="3"/>
  <c r="Y7" i="3"/>
  <c r="Z6" i="3"/>
  <c r="Y6" i="3"/>
  <c r="Z5" i="3"/>
  <c r="Y5" i="3"/>
  <c r="Z4" i="3"/>
  <c r="Y4" i="3"/>
  <c r="Z3" i="3"/>
  <c r="Y3" i="3"/>
  <c r="Z2" i="3"/>
  <c r="Y2" i="3"/>
  <c r="G26" i="2"/>
  <c r="G25" i="2"/>
  <c r="G24" i="2"/>
  <c r="G19" i="2"/>
  <c r="B19" i="2"/>
  <c r="A19" i="2"/>
  <c r="J18" i="2"/>
  <c r="G18" i="2"/>
  <c r="B18" i="2"/>
  <c r="A18" i="2"/>
  <c r="J17" i="2"/>
  <c r="G17" i="2"/>
  <c r="B17" i="2"/>
  <c r="A17" i="2"/>
  <c r="J16" i="2"/>
  <c r="G16" i="2"/>
  <c r="B16" i="2"/>
  <c r="J15" i="2"/>
  <c r="G15" i="2"/>
  <c r="B15" i="2"/>
  <c r="J14" i="2"/>
  <c r="A14" i="2"/>
  <c r="J13" i="2"/>
  <c r="B13" i="2"/>
  <c r="A13" i="2"/>
  <c r="B12" i="2"/>
  <c r="A12" i="2"/>
  <c r="B11" i="2"/>
  <c r="A11" i="2"/>
  <c r="B10" i="2"/>
  <c r="B14" i="2" s="1"/>
  <c r="A10" i="2"/>
  <c r="B9" i="2"/>
  <c r="A9" i="2"/>
  <c r="B8" i="2"/>
  <c r="A8" i="2"/>
  <c r="B7" i="2"/>
  <c r="A7" i="2"/>
  <c r="B6" i="2"/>
  <c r="A6" i="2"/>
  <c r="A5" i="2"/>
  <c r="B18" i="1"/>
  <c r="A18" i="1"/>
  <c r="B17" i="1"/>
  <c r="A17" i="1"/>
  <c r="B16" i="1"/>
  <c r="A16" i="1"/>
  <c r="B15" i="1"/>
  <c r="A15" i="1"/>
  <c r="B14" i="1"/>
  <c r="A14" i="1"/>
  <c r="B13" i="1"/>
  <c r="A13" i="1"/>
  <c r="B12" i="1"/>
  <c r="A12" i="1"/>
  <c r="B11" i="1"/>
  <c r="A11" i="1"/>
  <c r="B10" i="1"/>
  <c r="A10" i="1"/>
  <c r="B9" i="1"/>
  <c r="A9" i="1"/>
  <c r="B8" i="1"/>
  <c r="A8" i="1"/>
  <c r="B7" i="1"/>
  <c r="A7" i="1"/>
  <c r="B6" i="1"/>
  <c r="A6" i="1"/>
  <c r="B5" i="1"/>
  <c r="A5" i="1"/>
  <c r="B4" i="1"/>
  <c r="A4" i="1"/>
  <c r="B3" i="1"/>
  <c r="A3" i="1"/>
  <c r="B5" i="5" l="1"/>
  <c r="A5"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C5" authorId="0" shapeId="0" xr:uid="{00000000-0006-0000-0100-000001000000}">
      <text>
        <r>
          <rPr>
            <sz val="11"/>
            <color theme="1"/>
            <rFont val="Calibri"/>
            <family val="2"/>
            <scheme val="minor"/>
          </rPr>
          <t>KPI C5
Total URLs crawled in this run. Calculated as the number of audited URL rows.</t>
        </r>
      </text>
    </comment>
    <comment ref="O5" authorId="0" shapeId="0" xr:uid="{00000000-0006-0000-0100-000002000000}">
      <text>
        <r>
          <rPr>
            <sz val="11"/>
            <color theme="1"/>
            <rFont val="Calibri"/>
            <family val="2"/>
            <scheme val="minor"/>
          </rPr>
          <t>KPI O5
Most widespread issue from FixPlan by affected URL count (primary blocker).</t>
        </r>
      </text>
    </comment>
    <comment ref="C6" authorId="0" shapeId="0" xr:uid="{00000000-0006-0000-0100-000003000000}">
      <text>
        <r>
          <rPr>
            <sz val="11"/>
            <color theme="1"/>
            <rFont val="Calibri"/>
            <family val="2"/>
            <scheme val="minor"/>
          </rPr>
          <t>KPI C6
Overall Health Score. Calculated as average SEO Health Score across Technical URLs; fallback to SEO Pass Rate if score data is unavailable.</t>
        </r>
      </text>
    </comment>
    <comment ref="O6" authorId="0" shapeId="0" xr:uid="{00000000-0006-0000-0100-000004000000}">
      <text>
        <r>
          <rPr>
            <sz val="11"/>
            <color theme="1"/>
            <rFont val="Calibri"/>
            <family val="2"/>
            <scheme val="minor"/>
          </rPr>
          <t>KPI O6
Number of URLs impacted by the top blocking issue.</t>
        </r>
      </text>
    </comment>
    <comment ref="C7" authorId="0" shapeId="0" xr:uid="{00000000-0006-0000-0100-000005000000}">
      <text>
        <r>
          <rPr>
            <sz val="11"/>
            <color theme="1"/>
            <rFont val="Calibri"/>
            <family val="2"/>
            <scheme val="minor"/>
          </rPr>
          <t>KPI C7
SEO Pass Rate %. Calculated as Pass URLs divided by Total URLs.</t>
        </r>
      </text>
    </comment>
    <comment ref="O7" authorId="0" shapeId="0" xr:uid="{00000000-0006-0000-0100-000006000000}">
      <text>
        <r>
          <rPr>
            <sz val="11"/>
            <color theme="1"/>
            <rFont val="Calibri"/>
            <family val="2"/>
            <scheme val="minor"/>
          </rPr>
          <t>KPI O7
Total URLs returning client/server errors (4xx + 5xx).</t>
        </r>
      </text>
    </comment>
    <comment ref="C8" authorId="0" shapeId="0" xr:uid="{00000000-0006-0000-0100-000007000000}">
      <text>
        <r>
          <rPr>
            <sz val="11"/>
            <color theme="1"/>
            <rFont val="Calibri"/>
            <family val="2"/>
            <scheme val="minor"/>
          </rPr>
          <t>KPI C8
Pass URL count. URL is pass when it has no Critical and no Warning issues.</t>
        </r>
      </text>
    </comment>
    <comment ref="O8" authorId="0" shapeId="0" xr:uid="{00000000-0006-0000-0100-000008000000}">
      <text>
        <r>
          <rPr>
            <sz val="11"/>
            <color theme="1"/>
            <rFont val="Calibri"/>
            <family val="2"/>
            <scheme val="minor"/>
          </rPr>
          <t>KPI O8
Average Time to First Byte across Technical URLs (ms).</t>
        </r>
      </text>
    </comment>
    <comment ref="C9" authorId="0" shapeId="0" xr:uid="{00000000-0006-0000-0100-000009000000}">
      <text>
        <r>
          <rPr>
            <sz val="11"/>
            <color theme="1"/>
            <rFont val="Calibri"/>
            <family val="2"/>
            <scheme val="minor"/>
          </rPr>
          <t>KPI C9
Critical URL count from Technical severity badge.</t>
        </r>
      </text>
    </comment>
    <comment ref="C10" authorId="0" shapeId="0" xr:uid="{00000000-0006-0000-0100-00000A000000}">
      <text>
        <r>
          <rPr>
            <sz val="11"/>
            <color theme="1"/>
            <rFont val="Calibri"/>
            <family val="2"/>
            <scheme val="minor"/>
          </rPr>
          <t>KPI C10
Warning URL count from Technical severity badge.</t>
        </r>
      </text>
    </comment>
    <comment ref="C11" authorId="0" shapeId="0" xr:uid="{00000000-0006-0000-0100-00000B000000}">
      <text>
        <r>
          <rPr>
            <sz val="11"/>
            <color theme="1"/>
            <rFont val="Calibri"/>
            <family val="2"/>
            <scheme val="minor"/>
          </rPr>
          <t>KPI C11
HTTP Error Rate %. Calculated as (4xx URLs + 5xx URLs) / Total URLs.</t>
        </r>
      </text>
    </comment>
    <comment ref="C12" authorId="0" shapeId="0" xr:uid="{00000000-0006-0000-0100-00000C000000}">
      <text>
        <r>
          <rPr>
            <sz val="11"/>
            <color theme="1"/>
            <rFont val="Calibri"/>
            <family val="2"/>
            <scheme val="minor"/>
          </rPr>
          <t>KPI C12
Crawl Success Rate %. Calculated as 2xx URLs / Total URLs.</t>
        </r>
      </text>
    </comment>
    <comment ref="C13" authorId="0" shapeId="0" xr:uid="{00000000-0006-0000-0100-00000D000000}">
      <text>
        <r>
          <rPr>
            <sz val="11"/>
            <color theme="1"/>
            <rFont val="Calibri"/>
            <family val="2"/>
            <scheme val="minor"/>
          </rPr>
          <t>KPI C13
Critical URL Rate %. Calculated as Critical URLs / Total URLs.</t>
        </r>
      </text>
    </comment>
    <comment ref="C14" authorId="0" shapeId="0" xr:uid="{00000000-0006-0000-0100-00000E000000}">
      <text>
        <r>
          <rPr>
            <sz val="11"/>
            <color theme="1"/>
            <rFont val="Calibri"/>
            <family val="2"/>
            <scheme val="minor"/>
          </rPr>
          <t>KPI C14
Warning URL Rate %. Calculated as Warning URLs / Total URLs.</t>
        </r>
      </text>
    </comment>
    <comment ref="C15" authorId="0" shapeId="0" xr:uid="{00000000-0006-0000-0100-00000F000000}">
      <text>
        <r>
          <rPr>
            <sz val="11"/>
            <color theme="1"/>
            <rFont val="Calibri"/>
            <family val="2"/>
            <scheme val="minor"/>
          </rPr>
          <t>KPI C15
Projected Health Score if all current To Do items are completed in this cycle.</t>
        </r>
      </text>
    </comment>
    <comment ref="H15" authorId="0" shapeId="0" xr:uid="{00000000-0006-0000-0100-000010000000}">
      <text>
        <r>
          <rPr>
            <sz val="11"/>
            <color theme="1"/>
            <rFont val="Calibri"/>
            <family val="2"/>
            <scheme val="minor"/>
          </rPr>
          <t>KPI H15
Affected URL count for the highest-priority issue (linked to FixPlan).</t>
        </r>
      </text>
    </comment>
    <comment ref="C16" authorId="0" shapeId="0" xr:uid="{00000000-0006-0000-0100-000011000000}">
      <text>
        <r>
          <rPr>
            <sz val="11"/>
            <color theme="1"/>
            <rFont val="Calibri"/>
            <family val="2"/>
            <scheme val="minor"/>
          </rPr>
          <t>KPI C16
Projected Pass Rate if all current To Do items are completed in this cycle.</t>
        </r>
      </text>
    </comment>
    <comment ref="H16" authorId="0" shapeId="0" xr:uid="{00000000-0006-0000-0100-000012000000}">
      <text>
        <r>
          <rPr>
            <sz val="11"/>
            <color theme="1"/>
            <rFont val="Calibri"/>
            <family val="2"/>
            <scheme val="minor"/>
          </rPr>
          <t>KPI H16
Affected URL count for the next issue in the priority list.</t>
        </r>
      </text>
    </comment>
    <comment ref="C17" authorId="0" shapeId="0" xr:uid="{00000000-0006-0000-0100-000013000000}">
      <text>
        <r>
          <rPr>
            <sz val="11"/>
            <color theme="1"/>
            <rFont val="Calibri"/>
            <family val="2"/>
            <scheme val="minor"/>
          </rPr>
          <t>KPI C17
Content Hub Readiness %. COUNTIF ``Complete`` in Action Required (col C) over URL rows (col F) minus header.</t>
        </r>
      </text>
    </comment>
    <comment ref="H17" authorId="0" shapeId="0" xr:uid="{00000000-0006-0000-0100-000014000000}">
      <text>
        <r>
          <rPr>
            <sz val="11"/>
            <color theme="1"/>
            <rFont val="Calibri"/>
            <family val="2"/>
            <scheme val="minor"/>
          </rPr>
          <t>KPI H17
Affected URL count for the next issue in the priority list.</t>
        </r>
      </text>
    </comment>
    <comment ref="H18" authorId="0" shapeId="0" xr:uid="{00000000-0006-0000-0100-000015000000}">
      <text>
        <r>
          <rPr>
            <sz val="11"/>
            <color theme="1"/>
            <rFont val="Calibri"/>
            <family val="2"/>
            <scheme val="minor"/>
          </rPr>
          <t>KPI H18
Affected URL count for the next issue in the priority list.</t>
        </r>
      </text>
    </comment>
    <comment ref="H19" authorId="0" shapeId="0" xr:uid="{00000000-0006-0000-0100-000016000000}">
      <text>
        <r>
          <rPr>
            <sz val="11"/>
            <color theme="1"/>
            <rFont val="Calibri"/>
            <family val="2"/>
            <scheme val="minor"/>
          </rPr>
          <t>KPI H19
Affected URL count for the next issue in the priority list.</t>
        </r>
      </text>
    </comment>
    <comment ref="G23" authorId="0" shapeId="0" xr:uid="{00000000-0006-0000-0100-000017000000}">
      <text>
        <r>
          <rPr>
            <sz val="11"/>
            <color theme="1"/>
            <rFont val="Calibri"/>
            <family val="2"/>
            <scheme val="minor"/>
          </rPr>
          <t>KPI G23
Owner responsible for remediation. Click to open FixPlan.</t>
        </r>
      </text>
    </comment>
    <comment ref="H23" authorId="0" shapeId="0" xr:uid="{00000000-0006-0000-0100-000018000000}">
      <text>
        <r>
          <rPr>
            <sz val="11"/>
            <color theme="1"/>
            <rFont val="Calibri"/>
            <family val="2"/>
            <scheme val="minor"/>
          </rPr>
          <t>KPI H23
Number of issue rows assigned to this owner.</t>
        </r>
      </text>
    </comment>
    <comment ref="I23" authorId="0" shapeId="0" xr:uid="{00000000-0006-0000-0100-000019000000}">
      <text>
        <r>
          <rPr>
            <sz val="11"/>
            <color theme="1"/>
            <rFont val="Calibri"/>
            <family val="2"/>
            <scheme val="minor"/>
          </rPr>
          <t>KPI I23
Total affected URLs across this owner's assigned issues.</t>
        </r>
      </text>
    </comment>
    <comment ref="J23" authorId="0" shapeId="0" xr:uid="{00000000-0006-0000-0100-00001A000000}">
      <text>
        <r>
          <rPr>
            <sz val="11"/>
            <color theme="1"/>
            <rFont val="Calibri"/>
            <family val="2"/>
            <scheme val="minor"/>
          </rPr>
          <t>KPI J23
Count of critical issue types assigned to this owner.</t>
        </r>
      </text>
    </comment>
    <comment ref="K23" authorId="0" shapeId="0" xr:uid="{00000000-0006-0000-0100-00001B000000}">
      <text>
        <r>
          <rPr>
            <sz val="11"/>
            <color theme="1"/>
            <rFont val="Calibri"/>
            <family val="2"/>
            <scheme val="minor"/>
          </rPr>
          <t>KPI K23
Count of warning issue types assigned to this owner.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200-000001000000}">
      <text>
        <r>
          <rPr>
            <sz val="11"/>
            <color theme="1"/>
            <rFont val="Calibri"/>
            <family val="2"/>
            <scheme val="minor"/>
          </rPr>
          <t>Issue Type
Issue Type. Review this metric to identify risk, then use linked tabs for details and remediation.</t>
        </r>
      </text>
    </comment>
    <comment ref="B1" authorId="0" shapeId="0" xr:uid="{00000000-0006-0000-0200-000002000000}">
      <text>
        <r>
          <rPr>
            <sz val="11"/>
            <color theme="1"/>
            <rFont val="Calibri"/>
            <family val="2"/>
            <scheme val="minor"/>
          </rPr>
          <t>Severity
Impact level of the issue. Fix: Resolve Critical first, then Warning, then Observation opportunities.</t>
        </r>
      </text>
    </comment>
    <comment ref="C1" authorId="0" shapeId="0" xr:uid="{00000000-0006-0000-0200-000003000000}">
      <text>
        <r>
          <rPr>
            <sz val="11"/>
            <color theme="1"/>
            <rFont val="Calibri"/>
            <family val="2"/>
            <scheme val="minor"/>
          </rPr>
          <t>Priority Score
Issue priority score for execution order. Fix: Start with the highest values to reduce risk fastest.</t>
        </r>
      </text>
    </comment>
    <comment ref="D1" authorId="0" shapeId="0" xr:uid="{00000000-0006-0000-0200-000004000000}">
      <text>
        <r>
          <rPr>
            <sz val="11"/>
            <color theme="1"/>
            <rFont val="Calibri"/>
            <family val="2"/>
            <scheme val="minor"/>
          </rPr>
          <t>Affected Count
How many URLs are impacted by this issue. Larger counts usually indicate template-level or systemic problems.</t>
        </r>
      </text>
    </comment>
    <comment ref="E1" authorId="0" shapeId="0" xr:uid="{00000000-0006-0000-0200-000005000000}">
      <text>
        <r>
          <rPr>
            <sz val="11"/>
            <color theme="1"/>
            <rFont val="Calibri"/>
            <family val="2"/>
            <scheme val="minor"/>
          </rPr>
          <t>Affected URLs
Affected URLs. Use this URL to inspect the page directly or jump to related tabs.</t>
        </r>
      </text>
    </comment>
    <comment ref="F1" authorId="0" shapeId="0" xr:uid="{00000000-0006-0000-0200-000006000000}">
      <text>
        <r>
          <rPr>
            <sz val="11"/>
            <color theme="1"/>
            <rFont val="Calibri"/>
            <family val="2"/>
            <scheme val="minor"/>
          </rPr>
          <t>Detail Reference Tab
Summary grouping/navigation field. Use with hyperlinks to jump into detailed tabs.</t>
        </r>
      </text>
    </comment>
    <comment ref="G1" authorId="0" shapeId="0" xr:uid="{00000000-0006-0000-0200-000007000000}">
      <text>
        <r>
          <rPr>
            <sz val="11"/>
            <color theme="1"/>
            <rFont val="Calibri"/>
            <family val="2"/>
            <scheme val="minor"/>
          </rPr>
          <t>Resolution Type
Resolution Type. Review this metric to identify risk, then use linked tabs for details and remediation.</t>
        </r>
      </text>
    </comment>
    <comment ref="H1" authorId="0" shapeId="0" xr:uid="{00000000-0006-0000-0200-000008000000}">
      <text>
        <r>
          <rPr>
            <sz val="11"/>
            <color theme="1"/>
            <rFont val="Calibri"/>
            <family val="2"/>
            <scheme val="minor"/>
          </rPr>
          <t>URL
URL. Use this URL to inspect the page directly or jump to related tabs.</t>
        </r>
      </text>
    </comment>
    <comment ref="I1" authorId="0" shapeId="0" xr:uid="{00000000-0006-0000-0200-000009000000}">
      <text>
        <r>
          <rPr>
            <sz val="11"/>
            <color theme="1"/>
            <rFont val="Calibri"/>
            <family val="2"/>
            <scheme val="minor"/>
          </rPr>
          <t>Recommended Fix
Recommended Fix. Review this metric to identify risk, then use linked tabs for details and remediation.</t>
        </r>
      </text>
    </comment>
    <comment ref="J1" authorId="0" shapeId="0" xr:uid="{00000000-0006-0000-0200-00000A000000}">
      <text>
        <r>
          <rPr>
            <sz val="11"/>
            <color theme="1"/>
            <rFont val="Calibri"/>
            <family val="2"/>
            <scheme val="minor"/>
          </rPr>
          <t>Likely Root Cause
Likely Root Cause. Review this metric to identify risk, then use linked tabs for details and remediation.</t>
        </r>
      </text>
    </comment>
    <comment ref="K1" authorId="0" shapeId="0" xr:uid="{00000000-0006-0000-0200-00000B000000}">
      <text>
        <r>
          <rPr>
            <sz val="11"/>
            <color theme="1"/>
            <rFont val="Calibri"/>
            <family val="2"/>
            <scheme val="minor"/>
          </rPr>
          <t>Owner
Workflow management field for planning and tracking remediation progress.</t>
        </r>
      </text>
    </comment>
    <comment ref="L1" authorId="0" shapeId="0" xr:uid="{00000000-0006-0000-0200-00000C000000}">
      <text>
        <r>
          <rPr>
            <sz val="11"/>
            <color theme="1"/>
            <rFont val="Calibri"/>
            <family val="2"/>
            <scheme val="minor"/>
          </rPr>
          <t>Agency Owner
Workflow management field for planning and tracking remediation progress.</t>
        </r>
      </text>
    </comment>
    <comment ref="M1" authorId="0" shapeId="0" xr:uid="{00000000-0006-0000-0200-00000D000000}">
      <text>
        <r>
          <rPr>
            <sz val="11"/>
            <color theme="1"/>
            <rFont val="Calibri"/>
            <family val="2"/>
            <scheme val="minor"/>
          </rPr>
          <t>Effort
Effort. Review this metric to identify risk, then use linked tabs for details and remediation.</t>
        </r>
      </text>
    </comment>
    <comment ref="N1" authorId="0" shapeId="0" xr:uid="{00000000-0006-0000-0200-00000E000000}">
      <text>
        <r>
          <rPr>
            <sz val="11"/>
            <color theme="1"/>
            <rFont val="Calibri"/>
            <family val="2"/>
            <scheme val="minor"/>
          </rPr>
          <t>Est. Hours
Est. Hours. Review this metric to identify risk, then use linked tabs for details and remediation.</t>
        </r>
      </text>
    </comment>
    <comment ref="O1" authorId="0" shapeId="0" xr:uid="{00000000-0006-0000-0200-00000F000000}">
      <text>
        <r>
          <rPr>
            <sz val="11"/>
            <color theme="1"/>
            <rFont val="Calibri"/>
            <family val="2"/>
            <scheme val="minor"/>
          </rPr>
          <t>Est. Sprint Points
Workflow management field for planning and tracking remediation progress.</t>
        </r>
      </text>
    </comment>
    <comment ref="P1" authorId="0" shapeId="0" xr:uid="{00000000-0006-0000-0200-000010000000}">
      <text>
        <r>
          <rPr>
            <sz val="11"/>
            <color theme="1"/>
            <rFont val="Calibri"/>
            <family val="2"/>
            <scheme val="minor"/>
          </rPr>
          <t>Aging/Priority
Aging/Priority. Review this metric to identify risk, then use linked tabs for details and remediation.</t>
        </r>
      </text>
    </comment>
    <comment ref="Q1" authorId="0" shapeId="0" xr:uid="{00000000-0006-0000-0200-000011000000}">
      <text>
        <r>
          <rPr>
            <sz val="11"/>
            <color theme="1"/>
            <rFont val="Calibri"/>
            <family val="2"/>
            <scheme val="minor"/>
          </rPr>
          <t>Status
Workflow management field for planning and tracking remediation progress.</t>
        </r>
      </text>
    </comment>
    <comment ref="R1" authorId="0" shapeId="0" xr:uid="{00000000-0006-0000-0200-000012000000}">
      <text>
        <r>
          <rPr>
            <sz val="11"/>
            <color theme="1"/>
            <rFont val="Calibri"/>
            <family val="2"/>
            <scheme val="minor"/>
          </rPr>
          <t>Verified By
Verified By. Review this metric to identify risk, then use linked tabs for details and remediation.</t>
        </r>
      </text>
    </comment>
    <comment ref="S1" authorId="0" shapeId="0" xr:uid="{00000000-0006-0000-0200-000013000000}">
      <text>
        <r>
          <rPr>
            <sz val="11"/>
            <color theme="1"/>
            <rFont val="Calibri"/>
            <family val="2"/>
            <scheme val="minor"/>
          </rPr>
          <t>Date Resolved
Date Resolved. Review this metric to identify risk, then use linked tabs for details and remediation.</t>
        </r>
      </text>
    </comment>
    <comment ref="T1" authorId="0" shapeId="0" xr:uid="{00000000-0006-0000-0200-000014000000}">
      <text>
        <r>
          <rPr>
            <sz val="11"/>
            <color theme="1"/>
            <rFont val="Calibri"/>
            <family val="2"/>
            <scheme val="minor"/>
          </rPr>
          <t>Revenue Risk
Revenue Risk. Review this metric to identify risk, then use linked tabs for details and remediation.</t>
        </r>
      </text>
    </comment>
    <comment ref="U1" authorId="0" shapeId="0" xr:uid="{00000000-0006-0000-0200-000015000000}">
      <text>
        <r>
          <rPr>
            <sz val="11"/>
            <color theme="1"/>
            <rFont val="Calibri"/>
            <family val="2"/>
            <scheme val="minor"/>
          </rPr>
          <t>Action Needed
Action Needed. Review this metric to identify risk, then use linked tabs for details and remediation.</t>
        </r>
      </text>
    </comment>
    <comment ref="V1" authorId="0" shapeId="0" xr:uid="{00000000-0006-0000-0200-000016000000}">
      <text>
        <r>
          <rPr>
            <sz val="11"/>
            <color theme="1"/>
            <rFont val="Calibri"/>
            <family val="2"/>
            <scheme val="minor"/>
          </rPr>
          <t>Jump to Details
Jump to Details. Review this metric to identify risk, then use linked tabs for details and remediation.</t>
        </r>
      </text>
    </comment>
    <comment ref="W1" authorId="0" shapeId="0" xr:uid="{00000000-0006-0000-0200-000017000000}">
      <text>
        <r>
          <rPr>
            <sz val="11"/>
            <color theme="1"/>
            <rFont val="Calibri"/>
            <family val="2"/>
            <scheme val="minor"/>
          </rPr>
          <t>Sprint
Workflow management field for planning and tracking remediation progress.</t>
        </r>
      </text>
    </comment>
    <comment ref="X1" authorId="0" shapeId="0" xr:uid="{00000000-0006-0000-0200-000018000000}">
      <text>
        <r>
          <rPr>
            <sz val="11"/>
            <color theme="1"/>
            <rFont val="Calibri"/>
            <family val="2"/>
            <scheme val="minor"/>
          </rPr>
          <t>Category
Category. Review this metric to identify risk, then use linked tabs for details and remediation.</t>
        </r>
      </text>
    </comment>
    <comment ref="Y1" authorId="0" shapeId="0" xr:uid="{00000000-0006-0000-0200-000019000000}">
      <text>
        <r>
          <rPr>
            <sz val="11"/>
            <color theme="1"/>
            <rFont val="Calibri"/>
            <family val="2"/>
            <scheme val="minor"/>
          </rPr>
          <t>Open in Main
Navigation helper. Click to jump directly to the related record in another tab.</t>
        </r>
      </text>
    </comment>
    <comment ref="Z1" authorId="0" shapeId="0" xr:uid="{00000000-0006-0000-0200-00001A000000}">
      <text>
        <r>
          <rPr>
            <sz val="11"/>
            <color theme="1"/>
            <rFont val="Calibri"/>
            <family val="2"/>
            <scheme val="minor"/>
          </rPr>
          <t>Hub Status (Content Hub)
Hub Status (Content Hub). Review this metric to identify risk, then use linked tabs for details and remediation.</t>
        </r>
      </text>
    </comment>
    <comment ref="AA1" authorId="0" shapeId="0" xr:uid="{00000000-0006-0000-0200-00001B000000}">
      <text>
        <r>
          <rPr>
            <sz val="11"/>
            <color theme="1"/>
            <rFont val="Calibri"/>
            <family val="2"/>
            <scheme val="minor"/>
          </rPr>
          <t>BACK TO DASHBOARD
BACK TO DASHBOARD. Review this metric to identify risk, then use linked tabs for details and remediation.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300-000001000000}">
      <text>
        <r>
          <rPr>
            <sz val="11"/>
            <color theme="1"/>
            <rFont val="Calibri"/>
            <family val="2"/>
            <scheme val="minor"/>
          </rPr>
          <t>URL
URL. Use this URL to inspect the page directly or jump to related tabs.</t>
        </r>
      </text>
    </comment>
    <comment ref="B1" authorId="0" shapeId="0" xr:uid="{00000000-0006-0000-0300-000002000000}">
      <text>
        <r>
          <rPr>
            <sz val="11"/>
            <color theme="1"/>
            <rFont val="Calibri"/>
            <family val="2"/>
            <scheme val="minor"/>
          </rPr>
          <t>Business Risk Score
Business Risk Score. Review this metric to identify risk, then use linked tabs for details and remediation.</t>
        </r>
      </text>
    </comment>
    <comment ref="C1" authorId="0" shapeId="0" xr:uid="{00000000-0006-0000-0300-000003000000}">
      <text>
        <r>
          <rPr>
            <sz val="11"/>
            <color theme="1"/>
            <rFont val="Calibri"/>
            <family val="2"/>
            <scheme val="minor"/>
          </rPr>
          <t>Severity Badge
Issue impact level. Fix: Resolve Critical first, then Warning, then improvement opportunities.</t>
        </r>
      </text>
    </comment>
    <comment ref="D1" authorId="0" shapeId="0" xr:uid="{00000000-0006-0000-0300-000004000000}">
      <text>
        <r>
          <rPr>
            <sz val="11"/>
            <color theme="1"/>
            <rFont val="Calibri"/>
            <family val="2"/>
            <scheme val="minor"/>
          </rPr>
          <t>SEO Health Score
Composite SEO quality score for this URL. Higher is better. Guide: 90+ strong, 70-89 needs tuning, below 70 high priority.</t>
        </r>
      </text>
    </comment>
    <comment ref="E1" authorId="0" shapeId="0" xr:uid="{00000000-0006-0000-0300-000005000000}">
      <text>
        <r>
          <rPr>
            <sz val="11"/>
            <color theme="1"/>
            <rFont val="Calibri"/>
            <family val="2"/>
            <scheme val="minor"/>
          </rPr>
          <t>GSC Impressions
GSC Impressions. Review this metric to identify risk, then use linked tabs for details and remediation.</t>
        </r>
      </text>
    </comment>
    <comment ref="F1" authorId="0" shapeId="0" xr:uid="{00000000-0006-0000-0300-000006000000}">
      <text>
        <r>
          <rPr>
            <sz val="11"/>
            <color theme="1"/>
            <rFont val="Calibri"/>
            <family val="2"/>
            <scheme val="minor"/>
          </rPr>
          <t>GSC CTR
GSC CTR. Review this metric to identify risk, then use linked tabs for details and remediation.</t>
        </r>
      </text>
    </comment>
    <comment ref="G1" authorId="0" shapeId="0" xr:uid="{00000000-0006-0000-0300-000007000000}">
      <text>
        <r>
          <rPr>
            <sz val="11"/>
            <color theme="1"/>
            <rFont val="Calibri"/>
            <family val="2"/>
            <scheme val="minor"/>
          </rPr>
          <t>Revenue Intent
Revenue Intent. Review this metric to identify risk, then use linked tabs for details and remediation.</t>
        </r>
      </text>
    </comment>
    <comment ref="H1" authorId="0" shapeId="0" xr:uid="{00000000-0006-0000-0300-000008000000}">
      <text>
        <r>
          <rPr>
            <sz val="11"/>
            <color theme="1"/>
            <rFont val="Calibri"/>
            <family val="2"/>
            <scheme val="minor"/>
          </rPr>
          <t>Critical Issues Count
Critical Issues Count. Review this metric to identify risk, then use linked tabs for details and remediation.</t>
        </r>
      </text>
    </comment>
    <comment ref="I1" authorId="0" shapeId="0" xr:uid="{00000000-0006-0000-0300-000009000000}">
      <text>
        <r>
          <rPr>
            <sz val="11"/>
            <color theme="1"/>
            <rFont val="Calibri"/>
            <family val="2"/>
            <scheme val="minor"/>
          </rPr>
          <t>Warning Issues Count
Warning Issues Count. Review this metric to identify risk, then use linked tabs for details and remediation.</t>
        </r>
      </text>
    </comment>
    <comment ref="J1" authorId="0" shapeId="0" xr:uid="{00000000-0006-0000-0300-00000A000000}">
      <text>
        <r>
          <rPr>
            <sz val="11"/>
            <color theme="1"/>
            <rFont val="Calibri"/>
            <family val="2"/>
            <scheme val="minor"/>
          </rPr>
          <t>Action Needed
Action Needed. Review this metric to identify risk, then use linked tabs for details and remediation.</t>
        </r>
      </text>
    </comment>
    <comment ref="K1" authorId="0" shapeId="0" xr:uid="{00000000-0006-0000-0300-00000B000000}">
      <text>
        <r>
          <rPr>
            <sz val="11"/>
            <color theme="1"/>
            <rFont val="Calibri"/>
            <family val="2"/>
            <scheme val="minor"/>
          </rPr>
          <t>Why Prioritized
Why Prioritized. Review this metric to identify risk, then use linked tabs for details and remediation.</t>
        </r>
      </text>
    </comment>
    <comment ref="L1" authorId="0" shapeId="0" xr:uid="{00000000-0006-0000-0300-00000C000000}">
      <text>
        <r>
          <rPr>
            <sz val="11"/>
            <color theme="1"/>
            <rFont val="Calibri"/>
            <family val="2"/>
            <scheme val="minor"/>
          </rPr>
          <t>Owner
Workflow management field for planning and tracking remediation progress.</t>
        </r>
      </text>
    </comment>
    <comment ref="M1" authorId="0" shapeId="0" xr:uid="{00000000-0006-0000-0300-00000D000000}">
      <text>
        <r>
          <rPr>
            <sz val="11"/>
            <color theme="1"/>
            <rFont val="Calibri"/>
            <family val="2"/>
            <scheme val="minor"/>
          </rPr>
          <t>Status
Workflow management field for planning and tracking remediation progress.</t>
        </r>
      </text>
    </comment>
    <comment ref="N1" authorId="0" shapeId="0" xr:uid="{00000000-0006-0000-0300-00000E000000}">
      <text>
        <r>
          <rPr>
            <sz val="11"/>
            <color theme="1"/>
            <rFont val="Calibri"/>
            <family val="2"/>
            <scheme val="minor"/>
          </rPr>
          <t>Sprint
Workflow management field for planning and tracking remediation progress.</t>
        </r>
      </text>
    </comment>
    <comment ref="O1" authorId="0" shapeId="0" xr:uid="{00000000-0006-0000-0300-00000F000000}">
      <text>
        <r>
          <rPr>
            <sz val="11"/>
            <color theme="1"/>
            <rFont val="Calibri"/>
            <family val="2"/>
            <scheme val="minor"/>
          </rPr>
          <t>Indexability Reason
Indexing/canonicalization signal. Fix: ensure indexable pages use correct canonicals and non-conflicting directives.</t>
        </r>
      </text>
    </comment>
    <comment ref="P1" authorId="0" shapeId="0" xr:uid="{00000000-0006-0000-0300-000010000000}">
      <text>
        <r>
          <rPr>
            <sz val="11"/>
            <color theme="1"/>
            <rFont val="Calibri"/>
            <family val="2"/>
            <scheme val="minor"/>
          </rPr>
          <t>Broken Internal Links Count
Link quality and crawl-path metric. Fix: repair broken links and improve internal linking relevance.</t>
        </r>
      </text>
    </comment>
    <comment ref="Q1" authorId="0" shapeId="0" xr:uid="{00000000-0006-0000-0300-000011000000}">
      <text>
        <r>
          <rPr>
            <sz val="11"/>
            <color theme="1"/>
            <rFont val="Calibri"/>
            <family val="2"/>
            <scheme val="minor"/>
          </rPr>
          <t>Canonical Type
Indexing/canonicalization signal. Fix: ensure indexable pages use correct canonicals and non-conflicting directives.</t>
        </r>
      </text>
    </comment>
    <comment ref="R1" authorId="0" shapeId="0" xr:uid="{00000000-0006-0000-0300-000012000000}">
      <text>
        <r>
          <rPr>
            <sz val="11"/>
            <color theme="1"/>
            <rFont val="Calibri"/>
            <family val="2"/>
            <scheme val="minor"/>
          </rPr>
          <t>Open in Main
Navigation helper. Click to jump directly to the related record in another tab.</t>
        </r>
      </text>
    </comment>
    <comment ref="S1" authorId="0" shapeId="0" xr:uid="{00000000-0006-0000-0300-000013000000}">
      <text>
        <r>
          <rPr>
            <sz val="11"/>
            <color theme="1"/>
            <rFont val="Calibri"/>
            <family val="2"/>
            <scheme val="minor"/>
          </rPr>
          <t>Open in Technical
Open in Technical. Review this metric to identify risk, then use linked tabs for details and remediation.</t>
        </r>
      </text>
    </comment>
    <comment ref="T1" authorId="0" shapeId="0" xr:uid="{00000000-0006-0000-0300-000014000000}">
      <text>
        <r>
          <rPr>
            <sz val="11"/>
            <color theme="1"/>
            <rFont val="Calibri"/>
            <family val="2"/>
            <scheme val="minor"/>
          </rPr>
          <t>BACK TO DASHBOARD
BACK TO DASHBOARD. Review this metric to identify risk, then use linked tabs for details and remediation.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2" authorId="0" shapeId="0" xr:uid="{00000000-0006-0000-0400-000001000000}">
      <text>
        <r>
          <rPr>
            <sz val="11"/>
            <color theme="1"/>
            <rFont val="Calibri"/>
            <family val="2"/>
            <scheme val="minor"/>
          </rPr>
          <t>Formula-driven: shows Complete when On-Page Optimization Score reaches 85+.</t>
        </r>
      </text>
    </comment>
    <comment ref="B2" authorId="0" shapeId="0" xr:uid="{00000000-0006-0000-0400-000002000000}">
      <text>
        <r>
          <rPr>
            <sz val="11"/>
            <color theme="1"/>
            <rFont val="Calibri"/>
            <family val="2"/>
            <scheme val="minor"/>
          </rPr>
          <t>Live calculation (0-100) of on-page health. Factors: Title/Meta length and H-tag hierarchy. Aim for 90+.</t>
        </r>
      </text>
    </comment>
    <comment ref="C2" authorId="0" shapeId="0" xr:uid="{00000000-0006-0000-0400-000003000000}">
      <text>
        <r>
          <rPr>
            <sz val="11"/>
            <color theme="1"/>
            <rFont val="Calibri"/>
            <family val="2"/>
            <scheme val="minor"/>
          </rPr>
          <t>SEO Score (0–100) is the blended on-page and technical-quality signal from the crawl. It summarises how well this URL satisfied the audit model at export time: headings, metadata coverage, thin-content risk, and issue severity baked into the pipeline score. Use it as a triage anchor, not a live CMS measurement. When you rewrite titles or body copy here, watch Title Health and On-Page Optimization Score for live feedback; expect SEO Score to stay flat until you re-crawl. Interpret bands roughly as: 80+ strong baseline, 60–79 tune content and internal links, below 60 treat as a rewrite or template-level fix candidate.</t>
        </r>
      </text>
    </comment>
    <comment ref="D2" authorId="0" shapeId="0" xr:uid="{00000000-0006-0000-0400-000004000000}">
      <text>
        <r>
          <rPr>
            <sz val="11"/>
            <color theme="1"/>
            <rFont val="Calibri"/>
            <family val="2"/>
            <scheme val="minor"/>
          </rPr>
          <t>Technical Health (0–100) isolates crawl and response hygiene: status class, indexability, redirect behaviour, canonical consistency, and similar hard signals. High values mean fewer blocking technical defects; low values mean the page may be losing equity to errors, chains, or conflicting directives even when copy looks fine. Pair this column with Technical Diagnostics for evidence. It is intentionally decoupled from editorial drafts in this hub so copywriters can see whether engineering work is still a gate before declaring a page production-ready.</t>
        </r>
      </text>
    </comment>
    <comment ref="E2" authorId="0" shapeId="0" xr:uid="{00000000-0006-0000-0400-000005000000}">
      <text>
        <r>
          <rPr>
            <sz val="11"/>
            <color theme="1"/>
            <rFont val="Calibri"/>
            <family val="2"/>
            <scheme val="minor"/>
          </rPr>
          <t>Live copy readiness from proposed title and meta description length checks.</t>
        </r>
      </text>
    </comment>
    <comment ref="F2" authorId="0" shapeId="0" xr:uid="{00000000-0006-0000-0400-000006000000}">
      <text>
        <r>
          <rPr>
            <sz val="11"/>
            <color theme="1"/>
            <rFont val="Calibri"/>
            <family val="2"/>
            <scheme val="minor"/>
          </rPr>
          <t>Workflow state for this URL row. Use the list to move through To Do, In Progress, Review, and Completed.</t>
        </r>
      </text>
    </comment>
    <comment ref="G2" authorId="0" shapeId="0" xr:uid="{00000000-0006-0000-0400-000007000000}">
      <text>
        <r>
          <rPr>
            <sz val="11"/>
            <color theme="1"/>
            <rFont val="Calibri"/>
            <family val="2"/>
            <scheme val="minor"/>
          </rPr>
          <t>Select from dropdown: Copy Writer (Content), Developer (Technical), or Server/Host (Infrastructure).</t>
        </r>
      </text>
    </comment>
    <comment ref="H2" authorId="0" shapeId="0" xr:uid="{00000000-0006-0000-0400-000008000000}">
      <text>
        <r>
          <rPr>
            <sz val="11"/>
            <color theme="1"/>
            <rFont val="Calibri"/>
            <family val="2"/>
            <scheme val="minor"/>
          </rPr>
          <t>Canonical audited URL. Use links to open the live page or related tabs.</t>
        </r>
      </text>
    </comment>
    <comment ref="I2" authorId="0" shapeId="0" xr:uid="{00000000-0006-0000-0400-000009000000}">
      <text>
        <r>
          <rPr>
            <sz val="11"/>
            <color theme="1"/>
            <rFont val="Calibri"/>
            <family val="2"/>
            <scheme val="minor"/>
          </rPr>
          <t>Editorial slug guidance field. Capture normalized slug wording you want reflected in URL, title, and heading language before publishing.</t>
        </r>
      </text>
    </comment>
    <comment ref="K2" authorId="0" shapeId="0" xr:uid="{00000000-0006-0000-0400-00000A000000}">
      <text>
        <r>
          <rPr>
            <sz val="11"/>
            <color theme="1"/>
            <rFont val="Calibri"/>
            <family val="2"/>
            <scheme val="minor"/>
          </rPr>
          <t>Title captured during the crawl. Compare with your proposed title.</t>
        </r>
      </text>
    </comment>
    <comment ref="L2" authorId="0" shapeId="0" xr:uid="{00000000-0006-0000-0400-00000B000000}">
      <text>
        <r>
          <rPr>
            <sz val="11"/>
            <color theme="1"/>
            <rFont val="Calibri"/>
            <family val="2"/>
            <scheme val="minor"/>
          </rPr>
          <t>Live formula: length vs 50–60 character target. Green when OK band; red when missing; orange for short/long.</t>
        </r>
      </text>
    </comment>
    <comment ref="M2" authorId="0" shapeId="0" xr:uid="{00000000-0006-0000-0400-00000C000000}">
      <text>
        <r>
          <rPr>
            <sz val="11"/>
            <color theme="1"/>
            <rFont val="Calibri"/>
            <family val="2"/>
            <scheme val="minor"/>
          </rPr>
          <t>Meta description from the crawl. Compare with your proposed description.</t>
        </r>
      </text>
    </comment>
    <comment ref="N2" authorId="0" shapeId="0" xr:uid="{00000000-0006-0000-0400-00000D000000}">
      <text>
        <r>
          <rPr>
            <sz val="11"/>
            <color theme="1"/>
            <rFont val="Calibri"/>
            <family val="2"/>
            <scheme val="minor"/>
          </rPr>
          <t>Live formula for meta length vs target band (same semantics as Title Health).</t>
        </r>
      </text>
    </comment>
    <comment ref="O2" authorId="0" shapeId="0" xr:uid="{00000000-0006-0000-0400-00000E000000}">
      <text>
        <r>
          <rPr>
            <sz val="11"/>
            <color theme="1"/>
            <rFont val="Calibri"/>
            <family val="2"/>
            <scheme val="minor"/>
          </rPr>
          <t>Primary heading text from crawl (H1 line in Current H-Tag Structure when main H1 is absent).</t>
        </r>
      </text>
    </comment>
    <comment ref="P2" authorId="0" shapeId="0" xr:uid="{00000000-0006-0000-0400-00000F000000}">
      <text>
        <r>
          <rPr>
            <sz val="11"/>
            <color theme="1"/>
            <rFont val="Calibri"/>
            <family val="2"/>
            <scheme val="minor"/>
          </rPr>
          <t>Live formula: missing H1, long block warning, or OK when present.</t>
        </r>
      </text>
    </comment>
    <comment ref="Q2" authorId="0" shapeId="0" xr:uid="{00000000-0006-0000-0400-000010000000}">
      <text>
        <r>
          <rPr>
            <sz val="11"/>
            <color theme="1"/>
            <rFont val="Calibri"/>
            <family val="2"/>
            <scheme val="minor"/>
          </rPr>
          <t>First H2 text from heading outline when not present on Main row.</t>
        </r>
      </text>
    </comment>
    <comment ref="R2" authorId="0" shapeId="0" xr:uid="{00000000-0006-0000-0400-000011000000}">
      <text>
        <r>
          <rPr>
            <sz val="11"/>
            <color theme="1"/>
            <rFont val="Calibri"/>
            <family val="2"/>
            <scheme val="minor"/>
          </rPr>
          <t>Live formula: optional/tip/present states for section headings.</t>
        </r>
      </text>
    </comment>
    <comment ref="S2" authorId="0" shapeId="0" xr:uid="{00000000-0006-0000-0400-000012000000}">
      <text>
        <r>
          <rPr>
            <sz val="11"/>
            <color theme="1"/>
            <rFont val="Calibri"/>
            <family val="2"/>
            <scheme val="minor"/>
          </rPr>
          <t>First H3 from heading outline.</t>
        </r>
      </text>
    </comment>
    <comment ref="T2" authorId="0" shapeId="0" xr:uid="{00000000-0006-0000-0400-000013000000}">
      <text>
        <r>
          <rPr>
            <sz val="11"/>
            <color theme="1"/>
            <rFont val="Calibri"/>
            <family val="2"/>
            <scheme val="minor"/>
          </rPr>
          <t>Optional heading guidance; Present when text exists.</t>
        </r>
      </text>
    </comment>
    <comment ref="U2" authorId="0" shapeId="0" xr:uid="{00000000-0006-0000-0400-000014000000}">
      <text>
        <r>
          <rPr>
            <sz val="11"/>
            <color theme="1"/>
            <rFont val="Calibri"/>
            <family val="2"/>
            <scheme val="minor"/>
          </rPr>
          <t>Parsed when present in heading outline.</t>
        </r>
      </text>
    </comment>
    <comment ref="V2" authorId="0" shapeId="0" xr:uid="{00000000-0006-0000-0400-000015000000}">
      <text>
        <r>
          <rPr>
            <sz val="11"/>
            <color theme="1"/>
            <rFont val="Calibri"/>
            <family val="2"/>
            <scheme val="minor"/>
          </rPr>
          <t>Optional H4 guidance.</t>
        </r>
      </text>
    </comment>
    <comment ref="W2" authorId="0" shapeId="0" xr:uid="{00000000-0006-0000-0400-000016000000}">
      <text>
        <r>
          <rPr>
            <sz val="11"/>
            <color theme="1"/>
            <rFont val="Calibri"/>
            <family val="2"/>
            <scheme val="minor"/>
          </rPr>
          <t>Parsed when present in heading outline.</t>
        </r>
      </text>
    </comment>
    <comment ref="X2" authorId="0" shapeId="0" xr:uid="{00000000-0006-0000-0400-000017000000}">
      <text>
        <r>
          <rPr>
            <sz val="11"/>
            <color theme="1"/>
            <rFont val="Calibri"/>
            <family val="2"/>
            <scheme val="minor"/>
          </rPr>
          <t>Optional H5 guidance.</t>
        </r>
      </text>
    </comment>
    <comment ref="Y2" authorId="0" shapeId="0" xr:uid="{00000000-0006-0000-0400-000018000000}">
      <text>
        <r>
          <rPr>
            <sz val="11"/>
            <color theme="1"/>
            <rFont val="Calibri"/>
            <family val="2"/>
            <scheme val="minor"/>
          </rPr>
          <t>Parsed when present in heading outline.</t>
        </r>
      </text>
    </comment>
    <comment ref="Z2" authorId="0" shapeId="0" xr:uid="{00000000-0006-0000-0400-000019000000}">
      <text>
        <r>
          <rPr>
            <sz val="11"/>
            <color theme="1"/>
            <rFont val="Calibri"/>
            <family val="2"/>
            <scheme val="minor"/>
          </rPr>
          <t>Optional H6 guidance.</t>
        </r>
      </text>
    </comment>
    <comment ref="AA2" authorId="0" shapeId="0" xr:uid="{00000000-0006-0000-0400-00001A000000}">
      <text>
        <r>
          <rPr>
            <sz val="11"/>
            <color theme="1"/>
            <rFont val="Calibri"/>
            <family val="2"/>
            <scheme val="minor"/>
          </rPr>
          <t>One-click access to the page editor. Requires active WP login.</t>
        </r>
      </text>
    </comment>
    <comment ref="AB2" authorId="0" shapeId="0" xr:uid="{00000000-0006-0000-0400-00001B000000}">
      <text>
        <r>
          <rPr>
            <sz val="11"/>
            <color theme="1"/>
            <rFont val="Calibri"/>
            <family val="2"/>
            <scheme val="minor"/>
          </rPr>
          <t>Open Graph image URL detected on the page. Used for preview and sharing QA.</t>
        </r>
      </text>
    </comment>
    <comment ref="AC2" authorId="0" shapeId="0" xr:uid="{00000000-0006-0000-0400-00001C000000}">
      <text>
        <r>
          <rPr>
            <sz val="11"/>
            <color theme="1"/>
            <rFont val="Calibri"/>
            <family val="2"/>
            <scheme val="minor"/>
          </rPr>
          <t>Specs: 1200x630px, &lt;300KB. Content: Use a high-contrast brand image with a centered focal point. Avoid placing text near the edges as it will be cropped on mobile social feeds.</t>
        </r>
      </text>
    </comment>
    <comment ref="AD2" authorId="0" shapeId="0" xr:uid="{00000000-0006-0000-0400-00001D000000}">
      <text>
        <r>
          <rPr>
            <sz val="11"/>
            <color theme="1"/>
            <rFont val="Calibri"/>
            <family val="2"/>
            <scheme val="minor"/>
          </rPr>
          <t>Jumps to the full diagnostic record for this URL on the Main tab.</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500-000001000000}">
      <text>
        <r>
          <rPr>
            <sz val="11"/>
            <color theme="1"/>
            <rFont val="Calibri"/>
            <family val="2"/>
            <scheme val="minor"/>
          </rPr>
          <t>URL
URL. Use this URL to inspect the page directly or jump to related tabs.</t>
        </r>
      </text>
    </comment>
    <comment ref="B1" authorId="0" shapeId="0" xr:uid="{00000000-0006-0000-0500-000002000000}">
      <text>
        <r>
          <rPr>
            <sz val="11"/>
            <color theme="1"/>
            <rFont val="Calibri"/>
            <family val="2"/>
            <scheme val="minor"/>
          </rPr>
          <t>Section
Summary grouping/navigation field. Use with hyperlinks to jump into detailed tabs.</t>
        </r>
      </text>
    </comment>
    <comment ref="C1" authorId="0" shapeId="0" xr:uid="{00000000-0006-0000-0500-000003000000}">
      <text>
        <r>
          <rPr>
            <sz val="11"/>
            <color theme="1"/>
            <rFont val="Calibri"/>
            <family val="2"/>
            <scheme val="minor"/>
          </rPr>
          <t>Issue
Issue. Review this metric to identify risk, then use linked tabs for details and remediation.</t>
        </r>
      </text>
    </comment>
    <comment ref="D1" authorId="0" shapeId="0" xr:uid="{00000000-0006-0000-0500-000004000000}">
      <text>
        <r>
          <rPr>
            <sz val="11"/>
            <color theme="1"/>
            <rFont val="Calibri"/>
            <family val="2"/>
            <scheme val="minor"/>
          </rPr>
          <t>Severity
Issue impact level. Fix: Resolve Critical first, then Warning, then improvement opportunities.</t>
        </r>
      </text>
    </comment>
    <comment ref="E1" authorId="0" shapeId="0" xr:uid="{00000000-0006-0000-0500-000005000000}">
      <text>
        <r>
          <rPr>
            <sz val="11"/>
            <color theme="1"/>
            <rFont val="Calibri"/>
            <family val="2"/>
            <scheme val="minor"/>
          </rPr>
          <t>Affected URL Count
Affected URL Count. Use this URL to inspect the page directly or jump to related tabs.</t>
        </r>
      </text>
    </comment>
    <comment ref="F1" authorId="0" shapeId="0" xr:uid="{00000000-0006-0000-0500-000006000000}">
      <text>
        <r>
          <rPr>
            <sz val="11"/>
            <color theme="1"/>
            <rFont val="Calibri"/>
            <family val="2"/>
            <scheme val="minor"/>
          </rPr>
          <t>Reference Area
Reference Area. Review this metric to identify risk, then use linked tabs for details and remediation.</t>
        </r>
      </text>
    </comment>
    <comment ref="G1" authorId="0" shapeId="0" xr:uid="{00000000-0006-0000-0500-000007000000}">
      <text>
        <r>
          <rPr>
            <sz val="11"/>
            <color theme="1"/>
            <rFont val="Calibri"/>
            <family val="2"/>
            <scheme val="minor"/>
          </rPr>
          <t>Stable Issue ID
Stable Issue ID. Review this metric to identify risk, then use linked tabs for details and remediation.</t>
        </r>
      </text>
    </comment>
    <comment ref="H1" authorId="0" shapeId="0" xr:uid="{00000000-0006-0000-0500-000008000000}">
      <text>
        <r>
          <rPr>
            <sz val="11"/>
            <color theme="1"/>
            <rFont val="Calibri"/>
            <family val="2"/>
            <scheme val="minor"/>
          </rPr>
          <t>Owner
Workflow management field for planning and tracking remediation progress.</t>
        </r>
      </text>
    </comment>
    <comment ref="I1" authorId="0" shapeId="0" xr:uid="{00000000-0006-0000-0500-000009000000}">
      <text>
        <r>
          <rPr>
            <sz val="11"/>
            <color theme="1"/>
            <rFont val="Calibri"/>
            <family val="2"/>
            <scheme val="minor"/>
          </rPr>
          <t>Sprint
Workflow management field for planning and tracking remediation progress.</t>
        </r>
      </text>
    </comment>
    <comment ref="J1" authorId="0" shapeId="0" xr:uid="{00000000-0006-0000-0500-00000A000000}">
      <text>
        <r>
          <rPr>
            <sz val="11"/>
            <color theme="1"/>
            <rFont val="Calibri"/>
            <family val="2"/>
            <scheme val="minor"/>
          </rPr>
          <t>Status
Workflow management field for planning and tracking remediation progress.</t>
        </r>
      </text>
    </comment>
    <comment ref="K1" authorId="0" shapeId="0" xr:uid="{00000000-0006-0000-0500-00000B000000}">
      <text>
        <r>
          <rPr>
            <sz val="11"/>
            <color theme="1"/>
            <rFont val="Calibri"/>
            <family val="2"/>
            <scheme val="minor"/>
          </rPr>
          <t>Affected URLs Sample
Affected URLs Sample. Use this URL to inspect the page directly or jump to related tabs.</t>
        </r>
      </text>
    </comment>
    <comment ref="L1" authorId="0" shapeId="0" xr:uid="{00000000-0006-0000-0500-00000C000000}">
      <text>
        <r>
          <rPr>
            <sz val="11"/>
            <color theme="1"/>
            <rFont val="Calibri"/>
            <family val="2"/>
            <scheme val="minor"/>
          </rPr>
          <t>Source Legacy Tab
Source Legacy Tab. Review this metric to identify risk, then use linked tabs for details and remediation.</t>
        </r>
      </text>
    </comment>
    <comment ref="M1" authorId="0" shapeId="0" xr:uid="{00000000-0006-0000-0500-00000D000000}">
      <text>
        <r>
          <rPr>
            <sz val="11"/>
            <color theme="1"/>
            <rFont val="Calibri"/>
            <family val="2"/>
            <scheme val="minor"/>
          </rPr>
          <t>Source Row ID
Source Row ID. Review this metric to identify risk, then use linked tabs for details and remediation.</t>
        </r>
      </text>
    </comment>
    <comment ref="N1" authorId="0" shapeId="0" xr:uid="{00000000-0006-0000-0500-00000E000000}">
      <text>
        <r>
          <rPr>
            <sz val="11"/>
            <color theme="1"/>
            <rFont val="Calibri"/>
            <family val="2"/>
            <scheme val="minor"/>
          </rPr>
          <t>Open in Main
Navigation helper. Click to jump directly to the related record in another tab.</t>
        </r>
      </text>
    </comment>
    <comment ref="O1" authorId="0" shapeId="0" xr:uid="{00000000-0006-0000-0500-00000F000000}">
      <text>
        <r>
          <rPr>
            <sz val="11"/>
            <color theme="1"/>
            <rFont val="Calibri"/>
            <family val="2"/>
            <scheme val="minor"/>
          </rPr>
          <t>Open in Reference
Open in Reference. Review this metric to identify risk, then use linked tabs for details and remediation.</t>
        </r>
      </text>
    </comment>
    <comment ref="P1" authorId="0" shapeId="0" xr:uid="{00000000-0006-0000-0500-000010000000}">
      <text>
        <r>
          <rPr>
            <sz val="11"/>
            <color theme="1"/>
            <rFont val="Calibri"/>
            <family val="2"/>
            <scheme val="minor"/>
          </rPr>
          <t>BACK TO DASHBOARD
BACK TO DASHBOARD. Review this metric to identify risk, then use linked tabs for details and remediation.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600-000001000000}">
      <text>
        <r>
          <rPr>
            <sz val="11"/>
            <color theme="1"/>
            <rFont val="Calibri"/>
            <family val="2"/>
            <scheme val="minor"/>
          </rPr>
          <t>URL
URL. Use this URL to inspect the page directly or jump to related tabs.</t>
        </r>
      </text>
    </comment>
    <comment ref="B1" authorId="0" shapeId="0" xr:uid="{00000000-0006-0000-0600-000002000000}">
      <text>
        <r>
          <rPr>
            <sz val="11"/>
            <color theme="1"/>
            <rFont val="Calibri"/>
            <family val="2"/>
            <scheme val="minor"/>
          </rPr>
          <t>Diagnostic Category
Diagnostic Category. Review this metric to identify risk, then use linked tabs for details and remediation.</t>
        </r>
      </text>
    </comment>
    <comment ref="C1" authorId="0" shapeId="0" xr:uid="{00000000-0006-0000-0600-000003000000}">
      <text>
        <r>
          <rPr>
            <sz val="11"/>
            <color theme="1"/>
            <rFont val="Calibri"/>
            <family val="2"/>
            <scheme val="minor"/>
          </rPr>
          <t>Status Code
HTTP response code returned for this page/resource. Fix: Resolve 4xx/5xx errors and reduce unnecessary redirects.</t>
        </r>
      </text>
    </comment>
    <comment ref="D1" authorId="0" shapeId="0" xr:uid="{00000000-0006-0000-0600-000004000000}">
      <text>
        <r>
          <rPr>
            <sz val="11"/>
            <color theme="1"/>
            <rFont val="Calibri"/>
            <family val="2"/>
            <scheme val="minor"/>
          </rPr>
          <t>Severity Badge
Issue impact level. Fix: Resolve Critical first, then Warning, then improvement opportunities.</t>
        </r>
      </text>
    </comment>
    <comment ref="E1" authorId="0" shapeId="0" xr:uid="{00000000-0006-0000-0600-000005000000}">
      <text>
        <r>
          <rPr>
            <sz val="11"/>
            <color theme="1"/>
            <rFont val="Calibri"/>
            <family val="2"/>
            <scheme val="minor"/>
          </rPr>
          <t>SEO Health Score
Composite SEO quality score for this URL. Higher is better. Guide: 90+ strong, 70-89 needs tuning, below 70 high priority.</t>
        </r>
      </text>
    </comment>
    <comment ref="F1" authorId="0" shapeId="0" xr:uid="{00000000-0006-0000-0600-000006000000}">
      <text>
        <r>
          <rPr>
            <sz val="11"/>
            <color theme="1"/>
            <rFont val="Calibri"/>
            <family val="2"/>
            <scheme val="minor"/>
          </rPr>
          <t>Pass Flag
Pass Flag. Review this metric to identify risk, then use linked tabs for details and remediation.</t>
        </r>
      </text>
    </comment>
    <comment ref="G1" authorId="0" shapeId="0" xr:uid="{00000000-0006-0000-0600-000007000000}">
      <text>
        <r>
          <rPr>
            <sz val="11"/>
            <color theme="1"/>
            <rFont val="Calibri"/>
            <family val="2"/>
            <scheme val="minor"/>
          </rPr>
          <t>Critical Issues Count
Critical Issues Count. Review this metric to identify risk, then use linked tabs for details and remediation.</t>
        </r>
      </text>
    </comment>
    <comment ref="H1" authorId="0" shapeId="0" xr:uid="{00000000-0006-0000-0600-000008000000}">
      <text>
        <r>
          <rPr>
            <sz val="11"/>
            <color theme="1"/>
            <rFont val="Calibri"/>
            <family val="2"/>
            <scheme val="minor"/>
          </rPr>
          <t>Warning Issues Count
Warning Issues Count. Review this metric to identify risk, then use linked tabs for details and remediation.</t>
        </r>
      </text>
    </comment>
    <comment ref="I1" authorId="0" shapeId="0" xr:uid="{00000000-0006-0000-0600-000009000000}">
      <text>
        <r>
          <rPr>
            <sz val="11"/>
            <color theme="1"/>
            <rFont val="Calibri"/>
            <family val="2"/>
            <scheme val="minor"/>
          </rPr>
          <t>Extraction State
Extraction State. Review this metric to identify risk, then use linked tabs for details and remediation.</t>
        </r>
      </text>
    </comment>
    <comment ref="J1" authorId="0" shapeId="0" xr:uid="{00000000-0006-0000-0600-00000A000000}">
      <text>
        <r>
          <rPr>
            <sz val="11"/>
            <color theme="1"/>
            <rFont val="Calibri"/>
            <family val="2"/>
            <scheme val="minor"/>
          </rPr>
          <t>Extraction Source
Extraction Source. Review this metric to identify risk, then use linked tabs for details and remediation.</t>
        </r>
      </text>
    </comment>
    <comment ref="K1" authorId="0" shapeId="0" xr:uid="{00000000-0006-0000-0600-00000B000000}">
      <text>
        <r>
          <rPr>
            <sz val="11"/>
            <color theme="1"/>
            <rFont val="Calibri"/>
            <family val="2"/>
            <scheme val="minor"/>
          </rPr>
          <t>Indexability Reason
Indexing/canonicalization signal. Fix: ensure indexable pages use correct canonicals and non-conflicting directives.</t>
        </r>
      </text>
    </comment>
    <comment ref="L1" authorId="0" shapeId="0" xr:uid="{00000000-0006-0000-0600-00000C000000}">
      <text>
        <r>
          <rPr>
            <sz val="11"/>
            <color theme="1"/>
            <rFont val="Calibri"/>
            <family val="2"/>
            <scheme val="minor"/>
          </rPr>
          <t>Canonical Type
Indexing/canonicalization signal. Fix: ensure indexable pages use correct canonicals and non-conflicting directives.</t>
        </r>
      </text>
    </comment>
    <comment ref="M1" authorId="0" shapeId="0" xr:uid="{00000000-0006-0000-0600-00000D000000}">
      <text>
        <r>
          <rPr>
            <sz val="11"/>
            <color theme="1"/>
            <rFont val="Calibri"/>
            <family val="2"/>
            <scheme val="minor"/>
          </rPr>
          <t>Redirect Chain Length
Redirect Chain Length. Review this metric to identify risk, then use linked tabs for details and remediation.</t>
        </r>
      </text>
    </comment>
    <comment ref="N1" authorId="0" shapeId="0" xr:uid="{00000000-0006-0000-0600-00000E000000}">
      <text>
        <r>
          <rPr>
            <sz val="11"/>
            <color theme="1"/>
            <rFont val="Calibri"/>
            <family val="2"/>
            <scheme val="minor"/>
          </rPr>
          <t>Redirect Loop Flag
Redirect Loop Flag. Review this metric to identify risk, then use linked tabs for details and remediation.</t>
        </r>
      </text>
    </comment>
    <comment ref="O1" authorId="0" shapeId="0" xr:uid="{00000000-0006-0000-0600-00000F000000}">
      <text>
        <r>
          <rPr>
            <sz val="11"/>
            <color theme="1"/>
            <rFont val="Calibri"/>
            <family val="2"/>
            <scheme val="minor"/>
          </rPr>
          <t>Strict-Transport-Security
Strict-Transport-Security. Review this metric to identify risk, then use linked tabs for details and remediation.</t>
        </r>
      </text>
    </comment>
    <comment ref="P1" authorId="0" shapeId="0" xr:uid="{00000000-0006-0000-0600-000010000000}">
      <text>
        <r>
          <rPr>
            <sz val="11"/>
            <color theme="1"/>
            <rFont val="Calibri"/>
            <family val="2"/>
            <scheme val="minor"/>
          </rPr>
          <t>Content-Security-Policy
Content-Security-Policy. Review this metric to identify risk, then use linked tabs for details and remediation.</t>
        </r>
      </text>
    </comment>
    <comment ref="Q1" authorId="0" shapeId="0" xr:uid="{00000000-0006-0000-0600-000011000000}">
      <text>
        <r>
          <rPr>
            <sz val="11"/>
            <color theme="1"/>
            <rFont val="Calibri"/>
            <family val="2"/>
            <scheme val="minor"/>
          </rPr>
          <t>X-Content-Type-Options
X-Content-Type-Options. Review this metric to identify risk, then use linked tabs for details and remediation.</t>
        </r>
      </text>
    </comment>
    <comment ref="R1" authorId="0" shapeId="0" xr:uid="{00000000-0006-0000-0600-000012000000}">
      <text>
        <r>
          <rPr>
            <sz val="11"/>
            <color theme="1"/>
            <rFont val="Calibri"/>
            <family val="2"/>
            <scheme val="minor"/>
          </rPr>
          <t>Desktop PSI Score
Desktop PSI Score. Review this metric to identify risk, then use linked tabs for details and remediation.</t>
        </r>
      </text>
    </comment>
    <comment ref="S1" authorId="0" shapeId="0" xr:uid="{00000000-0006-0000-0600-000013000000}">
      <text>
        <r>
          <rPr>
            <sz val="11"/>
            <color theme="1"/>
            <rFont val="Calibri"/>
            <family val="2"/>
            <scheme val="minor"/>
          </rPr>
          <t>Mobile PSI Score
Mobile PSI Score. Review this metric to identify risk, then use linked tabs for details and remediation.</t>
        </r>
      </text>
    </comment>
    <comment ref="T1" authorId="0" shapeId="0" xr:uid="{00000000-0006-0000-0600-000014000000}">
      <text>
        <r>
          <rPr>
            <sz val="11"/>
            <color theme="1"/>
            <rFont val="Calibri"/>
            <family val="2"/>
            <scheme val="minor"/>
          </rPr>
          <t>Mobile LCP (s)
Mobile LCP (s). Review this metric to identify risk, then use linked tabs for details and remediation.</t>
        </r>
      </text>
    </comment>
    <comment ref="U1" authorId="0" shapeId="0" xr:uid="{00000000-0006-0000-0600-000015000000}">
      <text>
        <r>
          <rPr>
            <sz val="11"/>
            <color theme="1"/>
            <rFont val="Calibri"/>
            <family val="2"/>
            <scheme val="minor"/>
          </rPr>
          <t>Mobile CLS
Mobile CLS. Review this metric to identify risk, then use linked tabs for details and remediation.</t>
        </r>
      </text>
    </comment>
    <comment ref="V1" authorId="0" shapeId="0" xr:uid="{00000000-0006-0000-0600-000016000000}">
      <text>
        <r>
          <rPr>
            <sz val="11"/>
            <color theme="1"/>
            <rFont val="Calibri"/>
            <family val="2"/>
            <scheme val="minor"/>
          </rPr>
          <t>Mobile TTFB (s)
Time to First Byte: server responsiveness signal. Fix: optimise backend performance, caching, and CDN usage.</t>
        </r>
      </text>
    </comment>
    <comment ref="W1" authorId="0" shapeId="0" xr:uid="{00000000-0006-0000-0600-000017000000}">
      <text>
        <r>
          <rPr>
            <sz val="11"/>
            <color theme="1"/>
            <rFont val="Calibri"/>
            <family val="2"/>
            <scheme val="minor"/>
          </rPr>
          <t>Final URL
Final URL. Use this URL to inspect the page directly or jump to related tabs.</t>
        </r>
      </text>
    </comment>
    <comment ref="X1" authorId="0" shapeId="0" xr:uid="{00000000-0006-0000-0600-000018000000}">
      <text>
        <r>
          <rPr>
            <sz val="11"/>
            <color theme="1"/>
            <rFont val="Calibri"/>
            <family val="2"/>
            <scheme val="minor"/>
          </rPr>
          <t>Canonical URL
Canonical URL. Use this URL to inspect the page directly or jump to related tabs.</t>
        </r>
      </text>
    </comment>
    <comment ref="Y1" authorId="0" shapeId="0" xr:uid="{00000000-0006-0000-0600-000019000000}">
      <text>
        <r>
          <rPr>
            <sz val="11"/>
            <color theme="1"/>
            <rFont val="Calibri"/>
            <family val="2"/>
            <scheme val="minor"/>
          </rPr>
          <t>Meta Robots Raw
Robots directives that influence indexation. Fix: remove unintended noindex/nofollow values on important pages.</t>
        </r>
      </text>
    </comment>
    <comment ref="Z1" authorId="0" shapeId="0" xr:uid="{00000000-0006-0000-0600-00001A000000}">
      <text>
        <r>
          <rPr>
            <sz val="11"/>
            <color theme="1"/>
            <rFont val="Calibri"/>
            <family val="2"/>
            <scheme val="minor"/>
          </rPr>
          <t>X-Robots-Tag
Robots directives that influence indexation. Fix: remove unintended noindex/nofollow values on important pages.</t>
        </r>
      </text>
    </comment>
    <comment ref="AA1" authorId="0" shapeId="0" xr:uid="{00000000-0006-0000-0600-00001B000000}">
      <text>
        <r>
          <rPr>
            <sz val="11"/>
            <color theme="1"/>
            <rFont val="Calibri"/>
            <family val="2"/>
            <scheme val="minor"/>
          </rPr>
          <t>Source Legacy Tab
Source Legacy Tab. Review this metric to identify risk, then use linked tabs for details and remediation.</t>
        </r>
      </text>
    </comment>
    <comment ref="AB1" authorId="0" shapeId="0" xr:uid="{00000000-0006-0000-0600-00001C000000}">
      <text>
        <r>
          <rPr>
            <sz val="11"/>
            <color theme="1"/>
            <rFont val="Calibri"/>
            <family val="2"/>
            <scheme val="minor"/>
          </rPr>
          <t>Open in Main
Navigation helper. Click to jump directly to the related record in another tab.</t>
        </r>
      </text>
    </comment>
    <comment ref="AC1" authorId="0" shapeId="0" xr:uid="{00000000-0006-0000-0600-00001D000000}">
      <text>
        <r>
          <rPr>
            <sz val="11"/>
            <color theme="1"/>
            <rFont val="Calibri"/>
            <family val="2"/>
            <scheme val="minor"/>
          </rPr>
          <t>BACK TO DASHBOARD
BACK TO DASHBOARD. Review this metric to identify risk, then use linked tabs for details and remediation.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700-000001000000}">
      <text>
        <r>
          <rPr>
            <sz val="11"/>
            <color theme="1"/>
            <rFont val="Calibri"/>
            <family val="2"/>
            <scheme val="minor"/>
          </rPr>
          <t>URL
URL. Use this URL to inspect the page directly or jump to related tabs.</t>
        </r>
      </text>
    </comment>
    <comment ref="B1" authorId="0" shapeId="0" xr:uid="{00000000-0006-0000-0700-000002000000}">
      <text>
        <r>
          <rPr>
            <sz val="11"/>
            <color theme="1"/>
            <rFont val="Calibri"/>
            <family val="2"/>
            <scheme val="minor"/>
          </rPr>
          <t>Content Category
Content Category. Review this metric to identify risk, then use linked tabs for details and remediation.</t>
        </r>
      </text>
    </comment>
    <comment ref="C1" authorId="0" shapeId="0" xr:uid="{00000000-0006-0000-0700-000003000000}">
      <text>
        <r>
          <rPr>
            <sz val="11"/>
            <color theme="1"/>
            <rFont val="Calibri"/>
            <family val="2"/>
            <scheme val="minor"/>
          </rPr>
          <t>Word Count
Content quality depth metric. Fix: expand thin content and improve clarity for search intent.</t>
        </r>
      </text>
    </comment>
    <comment ref="D1" authorId="0" shapeId="0" xr:uid="{00000000-0006-0000-0700-000004000000}">
      <text>
        <r>
          <rPr>
            <sz val="11"/>
            <color theme="1"/>
            <rFont val="Calibri"/>
            <family val="2"/>
            <scheme val="minor"/>
          </rPr>
          <t>Readability (Rough Flesch)
Content quality depth metric. Fix: expand thin content and improve clarity for search intent.</t>
        </r>
      </text>
    </comment>
    <comment ref="E1" authorId="0" shapeId="0" xr:uid="{00000000-0006-0000-0700-000005000000}">
      <text>
        <r>
          <rPr>
            <sz val="11"/>
            <color theme="1"/>
            <rFont val="Calibri"/>
            <family val="2"/>
            <scheme val="minor"/>
          </rPr>
          <t>Thin Content Flag
Thin Content Flag. Review this metric to identify risk, then use linked tabs for details and remediation.</t>
        </r>
      </text>
    </comment>
    <comment ref="F1" authorId="0" shapeId="0" xr:uid="{00000000-0006-0000-0700-000006000000}">
      <text>
        <r>
          <rPr>
            <sz val="11"/>
            <color theme="1"/>
            <rFont val="Calibri"/>
            <family val="2"/>
            <scheme val="minor"/>
          </rPr>
          <t>H1 Count
H1 Count. Review this metric to identify risk, then use linked tabs for details and remediation.</t>
        </r>
      </text>
    </comment>
    <comment ref="G1" authorId="0" shapeId="0" xr:uid="{00000000-0006-0000-0700-000007000000}">
      <text>
        <r>
          <rPr>
            <sz val="11"/>
            <color theme="1"/>
            <rFont val="Calibri"/>
            <family val="2"/>
            <scheme val="minor"/>
          </rPr>
          <t>Missing H1 Flag
Missing H1 Flag. Review this metric to identify risk, then use linked tabs for details and remediation.</t>
        </r>
      </text>
    </comment>
    <comment ref="H1" authorId="0" shapeId="0" xr:uid="{00000000-0006-0000-0700-000008000000}">
      <text>
        <r>
          <rPr>
            <sz val="11"/>
            <color theme="1"/>
            <rFont val="Calibri"/>
            <family val="2"/>
            <scheme val="minor"/>
          </rPr>
          <t>Meta Description Missing
Meta Description Missing. Review this metric to identify risk, then use linked tabs for details and remediation.</t>
        </r>
      </text>
    </comment>
    <comment ref="I1" authorId="0" shapeId="0" xr:uid="{00000000-0006-0000-0700-000009000000}">
      <text>
        <r>
          <rPr>
            <sz val="11"/>
            <color theme="1"/>
            <rFont val="Calibri"/>
            <family val="2"/>
            <scheme val="minor"/>
          </rPr>
          <t>AEO Readiness Score
AEO Readiness Score. Review this metric to identify risk, then use linked tabs for details and remediation.</t>
        </r>
      </text>
    </comment>
    <comment ref="J1" authorId="0" shapeId="0" xr:uid="{00000000-0006-0000-0700-00000A000000}">
      <text>
        <r>
          <rPr>
            <sz val="11"/>
            <color theme="1"/>
            <rFont val="Calibri"/>
            <family val="2"/>
            <scheme val="minor"/>
          </rPr>
          <t>AEO Badge
AEO Badge. Review this metric to identify risk, then use linked tabs for details and remediation.</t>
        </r>
      </text>
    </comment>
    <comment ref="K1" authorId="0" shapeId="0" xr:uid="{00000000-0006-0000-0700-00000B000000}">
      <text>
        <r>
          <rPr>
            <sz val="11"/>
            <color theme="1"/>
            <rFont val="Calibri"/>
            <family val="2"/>
            <scheme val="minor"/>
          </rPr>
          <t>Schema Types Count
Structured data signal. Fix: add valid schema types and correct parsing/validation errors.</t>
        </r>
      </text>
    </comment>
    <comment ref="L1" authorId="0" shapeId="0" xr:uid="{00000000-0006-0000-0700-00000C000000}">
      <text>
        <r>
          <rPr>
            <sz val="11"/>
            <color theme="1"/>
            <rFont val="Calibri"/>
            <family val="2"/>
            <scheme val="minor"/>
          </rPr>
          <t>Schema Types Found
Structured data signal. Fix: add valid schema types and correct parsing/validation errors.</t>
        </r>
      </text>
    </comment>
    <comment ref="M1" authorId="0" shapeId="0" xr:uid="{00000000-0006-0000-0700-00000D000000}">
      <text>
        <r>
          <rPr>
            <sz val="11"/>
            <color theme="1"/>
            <rFont val="Calibri"/>
            <family val="2"/>
            <scheme val="minor"/>
          </rPr>
          <t>Schema Parse Errors
Structured data signal. Fix: add valid schema types and correct parsing/validation errors.</t>
        </r>
      </text>
    </comment>
    <comment ref="N1" authorId="0" shapeId="0" xr:uid="{00000000-0006-0000-0700-00000E000000}">
      <text>
        <r>
          <rPr>
            <sz val="11"/>
            <color theme="1"/>
            <rFont val="Calibri"/>
            <family val="2"/>
            <scheme val="minor"/>
          </rPr>
          <t>Question Heading Count
Question Heading Count. Review this metric to identify risk, then use linked tabs for details and remediation.</t>
        </r>
      </text>
    </comment>
    <comment ref="O1" authorId="0" shapeId="0" xr:uid="{00000000-0006-0000-0700-00000F000000}">
      <text>
        <r>
          <rPr>
            <sz val="11"/>
            <color theme="1"/>
            <rFont val="Calibri"/>
            <family val="2"/>
            <scheme val="minor"/>
          </rPr>
          <t>FAQ Section Count
Summary grouping/navigation field. Use with hyperlinks to jump into detailed tabs.</t>
        </r>
      </text>
    </comment>
    <comment ref="P1" authorId="0" shapeId="0" xr:uid="{00000000-0006-0000-0700-000010000000}">
      <text>
        <r>
          <rPr>
            <sz val="11"/>
            <color theme="1"/>
            <rFont val="Calibri"/>
            <family val="2"/>
            <scheme val="minor"/>
          </rPr>
          <t>Image Count
Image Count. Review this metric to identify risk, then use linked tabs for details and remediation.</t>
        </r>
      </text>
    </comment>
    <comment ref="Q1" authorId="0" shapeId="0" xr:uid="{00000000-0006-0000-0700-000011000000}">
      <text>
        <r>
          <rPr>
            <sz val="11"/>
            <color theme="1"/>
            <rFont val="Calibri"/>
            <family val="2"/>
            <scheme val="minor"/>
          </rPr>
          <t>Images Missing Alt
Images Missing Alt. Review this metric to identify risk, then use linked tabs for details and remediation.</t>
        </r>
      </text>
    </comment>
    <comment ref="R1" authorId="0" shapeId="0" xr:uid="{00000000-0006-0000-0700-000012000000}">
      <text>
        <r>
          <rPr>
            <sz val="11"/>
            <color theme="1"/>
            <rFont val="Calibri"/>
            <family val="2"/>
            <scheme val="minor"/>
          </rPr>
          <t>Image Alt Coverage (%)
Image Alt Coverage (%). Review this metric to identify risk, then use linked tabs for details and remediation.</t>
        </r>
      </text>
    </comment>
    <comment ref="S1" authorId="0" shapeId="0" xr:uid="{00000000-0006-0000-0700-000013000000}">
      <text>
        <r>
          <rPr>
            <sz val="11"/>
            <color theme="1"/>
            <rFont val="Calibri"/>
            <family val="2"/>
            <scheme val="minor"/>
          </rPr>
          <t>AEO Extractability Score
AEO Extractability Score. Review this metric to identify risk, then use linked tabs for details and remediation.</t>
        </r>
      </text>
    </comment>
    <comment ref="T1" authorId="0" shapeId="0" xr:uid="{00000000-0006-0000-0700-000014000000}">
      <text>
        <r>
          <rPr>
            <sz val="11"/>
            <color theme="1"/>
            <rFont val="Calibri"/>
            <family val="2"/>
            <scheme val="minor"/>
          </rPr>
          <t>Title Missing
Title Missing. Review this metric to identify risk, then use linked tabs for details and remediation.</t>
        </r>
      </text>
    </comment>
    <comment ref="U1" authorId="0" shapeId="0" xr:uid="{00000000-0006-0000-0700-000015000000}">
      <text>
        <r>
          <rPr>
            <sz val="11"/>
            <color theme="1"/>
            <rFont val="Calibri"/>
            <family val="2"/>
            <scheme val="minor"/>
          </rPr>
          <t>Media Mixed Content Detected
Media Mixed Content Detected. Review this metric to identify risk, then use linked tabs for details and remediation.</t>
        </r>
      </text>
    </comment>
    <comment ref="V1" authorId="0" shapeId="0" xr:uid="{00000000-0006-0000-0700-000016000000}">
      <text>
        <r>
          <rPr>
            <sz val="11"/>
            <color theme="1"/>
            <rFont val="Calibri"/>
            <family val="2"/>
            <scheme val="minor"/>
          </rPr>
          <t>Source Legacy Tab
Source Legacy Tab. Review this metric to identify risk, then use linked tabs for details and remediation.</t>
        </r>
      </text>
    </comment>
    <comment ref="W1" authorId="0" shapeId="0" xr:uid="{00000000-0006-0000-0700-000017000000}">
      <text>
        <r>
          <rPr>
            <sz val="11"/>
            <color theme="1"/>
            <rFont val="Calibri"/>
            <family val="2"/>
            <scheme val="minor"/>
          </rPr>
          <t>Open in Main
Navigation helper. Click to jump directly to the related record in another tab.</t>
        </r>
      </text>
    </comment>
    <comment ref="X1" authorId="0" shapeId="0" xr:uid="{00000000-0006-0000-0700-000018000000}">
      <text>
        <r>
          <rPr>
            <sz val="11"/>
            <color theme="1"/>
            <rFont val="Calibri"/>
            <family val="2"/>
            <scheme val="minor"/>
          </rPr>
          <t>BACK TO DASHBOARD
BACK TO DASHBOARD. Review this metric to identify risk, then use linked tabs for details and remediation.</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800-000001000000}">
      <text>
        <r>
          <rPr>
            <sz val="11"/>
            <color theme="1"/>
            <rFont val="Calibri"/>
            <family val="2"/>
            <scheme val="minor"/>
          </rPr>
          <t>URL
URL. Use this URL to inspect the page directly or jump to related tabs.</t>
        </r>
      </text>
    </comment>
    <comment ref="B1" authorId="0" shapeId="0" xr:uid="{00000000-0006-0000-0800-000002000000}">
      <text>
        <r>
          <rPr>
            <sz val="11"/>
            <color theme="1"/>
            <rFont val="Calibri"/>
            <family val="2"/>
            <scheme val="minor"/>
          </rPr>
          <t>Record Type
Record Type. Review this metric to identify risk, then use linked tabs for details and remediation.</t>
        </r>
      </text>
    </comment>
    <comment ref="C1" authorId="0" shapeId="0" xr:uid="{00000000-0006-0000-0800-000003000000}">
      <text>
        <r>
          <rPr>
            <sz val="11"/>
            <color theme="1"/>
            <rFont val="Calibri"/>
            <family val="2"/>
            <scheme val="minor"/>
          </rPr>
          <t>Target URL
Target URL. Use this URL to inspect the page directly or jump to related tabs.</t>
        </r>
      </text>
    </comment>
    <comment ref="D1" authorId="0" shapeId="0" xr:uid="{00000000-0006-0000-0800-000004000000}">
      <text>
        <r>
          <rPr>
            <sz val="11"/>
            <color theme="1"/>
            <rFont val="Calibri"/>
            <family val="2"/>
            <scheme val="minor"/>
          </rPr>
          <t>Anchor Text
Link quality and crawl-path metric. Fix: repair broken links and improve internal linking relevance.</t>
        </r>
      </text>
    </comment>
    <comment ref="E1" authorId="0" shapeId="0" xr:uid="{00000000-0006-0000-0800-000005000000}">
      <text>
        <r>
          <rPr>
            <sz val="11"/>
            <color theme="1"/>
            <rFont val="Calibri"/>
            <family val="2"/>
            <scheme val="minor"/>
          </rPr>
          <t>Target Status (if crawled)
Target Status (if crawled). Review this metric to identify risk, then use linked tabs for details and remediation.</t>
        </r>
      </text>
    </comment>
    <comment ref="F1" authorId="0" shapeId="0" xr:uid="{00000000-0006-0000-0800-000006000000}">
      <text>
        <r>
          <rPr>
            <sz val="11"/>
            <color theme="1"/>
            <rFont val="Calibri"/>
            <family val="2"/>
            <scheme val="minor"/>
          </rPr>
          <t>Crawlable
Crawlable. Review this metric to identify risk, then use linked tabs for details and remediation.</t>
        </r>
      </text>
    </comment>
    <comment ref="G1" authorId="0" shapeId="0" xr:uid="{00000000-0006-0000-0800-000007000000}">
      <text>
        <r>
          <rPr>
            <sz val="11"/>
            <color theme="1"/>
            <rFont val="Calibri"/>
            <family val="2"/>
            <scheme val="minor"/>
          </rPr>
          <t>Internal Links Count
Link quality and crawl-path metric. Fix: repair broken links and improve internal linking relevance.</t>
        </r>
      </text>
    </comment>
    <comment ref="H1" authorId="0" shapeId="0" xr:uid="{00000000-0006-0000-0800-000008000000}">
      <text>
        <r>
          <rPr>
            <sz val="11"/>
            <color theme="1"/>
            <rFont val="Calibri"/>
            <family val="2"/>
            <scheme val="minor"/>
          </rPr>
          <t>Broken Internal Links Count
Link quality and crawl-path metric. Fix: repair broken links and improve internal linking relevance.</t>
        </r>
      </text>
    </comment>
    <comment ref="I1" authorId="0" shapeId="0" xr:uid="{00000000-0006-0000-0800-000009000000}">
      <text>
        <r>
          <rPr>
            <sz val="11"/>
            <color theme="1"/>
            <rFont val="Calibri"/>
            <family val="2"/>
            <scheme val="minor"/>
          </rPr>
          <t>Unresolved Internal Links Count
Link quality and crawl-path metric. Fix: repair broken links and improve internal linking relevance.</t>
        </r>
      </text>
    </comment>
    <comment ref="J1" authorId="0" shapeId="0" xr:uid="{00000000-0006-0000-0800-00000A000000}">
      <text>
        <r>
          <rPr>
            <sz val="11"/>
            <color theme="1"/>
            <rFont val="Calibri"/>
            <family val="2"/>
            <scheme val="minor"/>
          </rPr>
          <t>External Links Count
Link quality and crawl-path metric. Fix: repair broken links and improve internal linking relevance.</t>
        </r>
      </text>
    </comment>
    <comment ref="K1" authorId="0" shapeId="0" xr:uid="{00000000-0006-0000-0800-00000B000000}">
      <text>
        <r>
          <rPr>
            <sz val="11"/>
            <color theme="1"/>
            <rFont val="Calibri"/>
            <family val="2"/>
            <scheme val="minor"/>
          </rPr>
          <t>Inlinks Count
Link quality and crawl-path metric. Fix: repair broken links and improve internal linking relevance.</t>
        </r>
      </text>
    </comment>
    <comment ref="L1" authorId="0" shapeId="0" xr:uid="{00000000-0006-0000-0800-00000C000000}">
      <text>
        <r>
          <rPr>
            <sz val="11"/>
            <color theme="1"/>
            <rFont val="Calibri"/>
            <family val="2"/>
            <scheme val="minor"/>
          </rPr>
          <t>Orphan Candidate
Orphan Candidate. Review this metric to identify risk, then use linked tabs for details and remediation.</t>
        </r>
      </text>
    </comment>
    <comment ref="M1" authorId="0" shapeId="0" xr:uid="{00000000-0006-0000-0800-00000D000000}">
      <text>
        <r>
          <rPr>
            <sz val="11"/>
            <color theme="1"/>
            <rFont val="Calibri"/>
            <family val="2"/>
            <scheme val="minor"/>
          </rPr>
          <t>Click Depth
Click Depth. Review this metric to identify risk, then use linked tabs for details and remediation.</t>
        </r>
      </text>
    </comment>
    <comment ref="N1" authorId="0" shapeId="0" xr:uid="{00000000-0006-0000-0800-00000E000000}">
      <text>
        <r>
          <rPr>
            <sz val="11"/>
            <color theme="1"/>
            <rFont val="Calibri"/>
            <family val="2"/>
            <scheme val="minor"/>
          </rPr>
          <t>Internal PageRank
Internal PageRank. Review this metric to identify risk, then use linked tabs for details and remediation.</t>
        </r>
      </text>
    </comment>
    <comment ref="O1" authorId="0" shapeId="0" xr:uid="{00000000-0006-0000-0800-00000F000000}">
      <text>
        <r>
          <rPr>
            <sz val="11"/>
            <color theme="1"/>
            <rFont val="Calibri"/>
            <family val="2"/>
            <scheme val="minor"/>
          </rPr>
          <t>Generic Anchor Text Count
Link quality and crawl-path metric. Fix: repair broken links and improve internal linking relevance.</t>
        </r>
      </text>
    </comment>
    <comment ref="P1" authorId="0" shapeId="0" xr:uid="{00000000-0006-0000-0800-000010000000}">
      <text>
        <r>
          <rPr>
            <sz val="11"/>
            <color theme="1"/>
            <rFont val="Calibri"/>
            <family val="2"/>
            <scheme val="minor"/>
          </rPr>
          <t>Nofollow Internal Links Count
Link quality and crawl-path metric. Fix: repair broken links and improve internal linking relevance.</t>
        </r>
      </text>
    </comment>
    <comment ref="Q1" authorId="0" shapeId="0" xr:uid="{00000000-0006-0000-0800-000011000000}">
      <text>
        <r>
          <rPr>
            <sz val="11"/>
            <color theme="1"/>
            <rFont val="Calibri"/>
            <family val="2"/>
            <scheme val="minor"/>
          </rPr>
          <t>Nofollow External Links Count
Link quality and crawl-path metric. Fix: repair broken links and improve internal linking relevance.</t>
        </r>
      </text>
    </comment>
    <comment ref="R1" authorId="0" shapeId="0" xr:uid="{00000000-0006-0000-0800-000012000000}">
      <text>
        <r>
          <rPr>
            <sz val="11"/>
            <color theme="1"/>
            <rFont val="Calibri"/>
            <family val="2"/>
            <scheme val="minor"/>
          </rPr>
          <t>Internal Link Statuses
Link quality and crawl-path metric. Fix: repair broken links and improve internal linking relevance.</t>
        </r>
      </text>
    </comment>
    <comment ref="S1" authorId="0" shapeId="0" xr:uid="{00000000-0006-0000-0800-000013000000}">
      <text>
        <r>
          <rPr>
            <sz val="11"/>
            <color theme="1"/>
            <rFont val="Calibri"/>
            <family val="2"/>
            <scheme val="minor"/>
          </rPr>
          <t>Source Legacy Tab
Source Legacy Tab. Review this metric to identify risk, then use linked tabs for details and remediation.</t>
        </r>
      </text>
    </comment>
    <comment ref="T1" authorId="0" shapeId="0" xr:uid="{00000000-0006-0000-0800-000014000000}">
      <text>
        <r>
          <rPr>
            <sz val="11"/>
            <color theme="1"/>
            <rFont val="Calibri"/>
            <family val="2"/>
            <scheme val="minor"/>
          </rPr>
          <t>Open in Main
Navigation helper. Click to jump directly to the related record in another tab.</t>
        </r>
      </text>
    </comment>
    <comment ref="U1" authorId="0" shapeId="0" xr:uid="{00000000-0006-0000-0800-000015000000}">
      <text>
        <r>
          <rPr>
            <sz val="11"/>
            <color theme="1"/>
            <rFont val="Calibri"/>
            <family val="2"/>
            <scheme val="minor"/>
          </rPr>
          <t>BACK TO DASHBOARD
BACK TO DASHBOARD. Review this metric to identify risk, then use linked tabs for details and remediation.</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900-000001000000}">
      <text>
        <r>
          <rPr>
            <sz val="11"/>
            <color theme="1"/>
            <rFont val="Calibri"/>
            <family val="2"/>
            <scheme val="minor"/>
          </rPr>
          <t>URL
URL. Use this URL to inspect the page directly or jump to related tabs.</t>
        </r>
      </text>
    </comment>
    <comment ref="B1" authorId="0" shapeId="0" xr:uid="{00000000-0006-0000-0900-000002000000}">
      <text>
        <r>
          <rPr>
            <sz val="11"/>
            <color theme="1"/>
            <rFont val="Calibri"/>
            <family val="2"/>
            <scheme val="minor"/>
          </rPr>
          <t>Risk Category
Risk Category. Review this metric to identify risk, then use linked tabs for details and remediation.</t>
        </r>
      </text>
    </comment>
    <comment ref="C1" authorId="0" shapeId="0" xr:uid="{00000000-0006-0000-0900-000003000000}">
      <text>
        <r>
          <rPr>
            <sz val="11"/>
            <color theme="1"/>
            <rFont val="Calibri"/>
            <family val="2"/>
            <scheme val="minor"/>
          </rPr>
          <t>Subfolder / Template Group
Subfolder / Template Group. Review this metric to identify risk, then use linked tabs for details and remediation.</t>
        </r>
      </text>
    </comment>
    <comment ref="D1" authorId="0" shapeId="0" xr:uid="{00000000-0006-0000-0900-000004000000}">
      <text>
        <r>
          <rPr>
            <sz val="11"/>
            <color theme="1"/>
            <rFont val="Calibri"/>
            <family val="2"/>
            <scheme val="minor"/>
          </rPr>
          <t>Issue
Issue. Review this metric to identify risk, then use linked tabs for details and remediation.</t>
        </r>
      </text>
    </comment>
    <comment ref="E1" authorId="0" shapeId="0" xr:uid="{00000000-0006-0000-0900-000005000000}">
      <text>
        <r>
          <rPr>
            <sz val="11"/>
            <color theme="1"/>
            <rFont val="Calibri"/>
            <family val="2"/>
            <scheme val="minor"/>
          </rPr>
          <t>Affected Ratio
Affected Ratio. Review this metric to identify risk, then use linked tabs for details and remediation.</t>
        </r>
      </text>
    </comment>
    <comment ref="F1" authorId="0" shapeId="0" xr:uid="{00000000-0006-0000-0900-000006000000}">
      <text>
        <r>
          <rPr>
            <sz val="11"/>
            <color theme="1"/>
            <rFont val="Calibri"/>
            <family val="2"/>
            <scheme val="minor"/>
          </rPr>
          <t>Affected URL Count
Affected URL Count. Use this URL to inspect the page directly or jump to related tabs.</t>
        </r>
      </text>
    </comment>
    <comment ref="G1" authorId="0" shapeId="0" xr:uid="{00000000-0006-0000-0900-000007000000}">
      <text>
        <r>
          <rPr>
            <sz val="11"/>
            <color theme="1"/>
            <rFont val="Calibri"/>
            <family val="2"/>
            <scheme val="minor"/>
          </rPr>
          <t>Example URLs
Example URLs. Use this URL to inspect the page directly or jump to related tabs.</t>
        </r>
      </text>
    </comment>
    <comment ref="H1" authorId="0" shapeId="0" xr:uid="{00000000-0006-0000-0900-000008000000}">
      <text>
        <r>
          <rPr>
            <sz val="11"/>
            <color theme="1"/>
            <rFont val="Calibri"/>
            <family val="2"/>
            <scheme val="minor"/>
          </rPr>
          <t>Exact Action
Exact Action. Review this metric to identify risk, then use linked tabs for details and remediation.</t>
        </r>
      </text>
    </comment>
    <comment ref="I1" authorId="0" shapeId="0" xr:uid="{00000000-0006-0000-0900-000009000000}">
      <text>
        <r>
          <rPr>
            <sz val="11"/>
            <color theme="1"/>
            <rFont val="Calibri"/>
            <family val="2"/>
            <scheme val="minor"/>
          </rPr>
          <t>Severity
Issue impact level. Fix: Resolve Critical first, then Warning, then improvement opportunities.</t>
        </r>
      </text>
    </comment>
    <comment ref="J1" authorId="0" shapeId="0" xr:uid="{00000000-0006-0000-0900-00000A000000}">
      <text>
        <r>
          <rPr>
            <sz val="11"/>
            <color theme="1"/>
            <rFont val="Calibri"/>
            <family val="2"/>
            <scheme val="minor"/>
          </rPr>
          <t>Source Legacy Tab
Source Legacy Tab. Review this metric to identify risk, then use linked tabs for details and remediation.</t>
        </r>
      </text>
    </comment>
    <comment ref="K1" authorId="0" shapeId="0" xr:uid="{00000000-0006-0000-0900-00000B000000}">
      <text>
        <r>
          <rPr>
            <sz val="11"/>
            <color theme="1"/>
            <rFont val="Calibri"/>
            <family val="2"/>
            <scheme val="minor"/>
          </rPr>
          <t>Open in Main
Navigation helper. Click to jump directly to the related record in another tab.</t>
        </r>
      </text>
    </comment>
    <comment ref="L1" authorId="0" shapeId="0" xr:uid="{00000000-0006-0000-0900-00000C000000}">
      <text>
        <r>
          <rPr>
            <sz val="11"/>
            <color theme="1"/>
            <rFont val="Calibri"/>
            <family val="2"/>
            <scheme val="minor"/>
          </rPr>
          <t>BACK TO DASHBOARD
BACK TO DASHBOARD. Review this metric to identify risk, then use linked tabs for details and remediation.</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A00-000001000000}">
      <text>
        <r>
          <rPr>
            <sz val="11"/>
            <color theme="1"/>
            <rFont val="Calibri"/>
            <family val="2"/>
            <scheme val="minor"/>
          </rPr>
          <t>Section
Summary grouping/navigation field. Use with hyperlinks to jump into detailed tabs.</t>
        </r>
      </text>
    </comment>
    <comment ref="B1" authorId="0" shapeId="0" xr:uid="{00000000-0006-0000-0A00-000002000000}">
      <text>
        <r>
          <rPr>
            <sz val="11"/>
            <color theme="1"/>
            <rFont val="Calibri"/>
            <family val="2"/>
            <scheme val="minor"/>
          </rPr>
          <t>Item
Item. Review this metric to identify risk, then use linked tabs for details and remediation.</t>
        </r>
      </text>
    </comment>
    <comment ref="C1" authorId="0" shapeId="0" xr:uid="{00000000-0006-0000-0A00-000003000000}">
      <text>
        <r>
          <rPr>
            <sz val="11"/>
            <color theme="1"/>
            <rFont val="Calibri"/>
            <family val="2"/>
            <scheme val="minor"/>
          </rPr>
          <t>Guideline
Guideline. Review this metric to identify risk, then use linked tabs for details and remediation.</t>
        </r>
      </text>
    </comment>
    <comment ref="D1" authorId="0" shapeId="0" xr:uid="{00000000-0006-0000-0A00-000004000000}">
      <text>
        <r>
          <rPr>
            <sz val="11"/>
            <color theme="1"/>
            <rFont val="Calibri"/>
            <family val="2"/>
            <scheme val="minor"/>
          </rPr>
          <t>Why It Matters
Why It Matters. Review this metric to identify risk, then use linked tabs for details and remediation.</t>
        </r>
      </text>
    </comment>
    <comment ref="E1" authorId="0" shapeId="0" xr:uid="{00000000-0006-0000-0A00-000005000000}">
      <text>
        <r>
          <rPr>
            <sz val="11"/>
            <color theme="1"/>
            <rFont val="Calibri"/>
            <family val="2"/>
            <scheme val="minor"/>
          </rPr>
          <t>BACK TO DASHBOARD
BACK TO DASHBOARD. Review this metric to identify risk, then use linked tabs for details and remediation.</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B00-000001000000}">
      <text>
        <r>
          <rPr>
            <sz val="11"/>
            <color theme="1"/>
            <rFont val="Calibri"/>
            <family val="2"/>
            <scheme val="minor"/>
          </rPr>
          <t>URL
URL. Use this URL to inspect the page directly or jump to related tabs.</t>
        </r>
      </text>
    </comment>
    <comment ref="B1" authorId="0" shapeId="0" xr:uid="{00000000-0006-0000-0B00-000002000000}">
      <text>
        <r>
          <rPr>
            <sz val="11"/>
            <color theme="1"/>
            <rFont val="Calibri"/>
            <family val="2"/>
            <scheme val="minor"/>
          </rPr>
          <t>WordPress Post ID
WordPress Post ID. Review this metric to identify risk, then use linked tabs for details and remediation.</t>
        </r>
      </text>
    </comment>
    <comment ref="C1" authorId="0" shapeId="0" xr:uid="{00000000-0006-0000-0B00-000003000000}">
      <text>
        <r>
          <rPr>
            <sz val="11"/>
            <color theme="1"/>
            <rFont val="Calibri"/>
            <family val="2"/>
            <scheme val="minor"/>
          </rPr>
          <t>Direct Edit Link
Link quality and crawl-path metric. Fix: repair broken links and improve internal linking relevance.</t>
        </r>
      </text>
    </comment>
    <comment ref="D1" authorId="0" shapeId="0" xr:uid="{00000000-0006-0000-0B00-000004000000}">
      <text>
        <r>
          <rPr>
            <sz val="11"/>
            <color theme="1"/>
            <rFont val="Calibri"/>
            <family val="2"/>
            <scheme val="minor"/>
          </rPr>
          <t>AIOSEO Panel
AIOSEO Panel. Review this metric to identify risk, then use linked tabs for details and remediation.</t>
        </r>
      </text>
    </comment>
    <comment ref="E1" authorId="0" shapeId="0" xr:uid="{00000000-0006-0000-0B00-000005000000}">
      <text>
        <r>
          <rPr>
            <sz val="11"/>
            <color theme="1"/>
            <rFont val="Calibri"/>
            <family val="2"/>
            <scheme val="minor"/>
          </rPr>
          <t>Severity
Impact level of the issue. Fix: Resolve Critical first, then Warning, then Observation opportunities.</t>
        </r>
      </text>
    </comment>
    <comment ref="F1" authorId="0" shapeId="0" xr:uid="{00000000-0006-0000-0B00-000006000000}">
      <text>
        <r>
          <rPr>
            <sz val="11"/>
            <color theme="1"/>
            <rFont val="Calibri"/>
            <family val="2"/>
            <scheme val="minor"/>
          </rPr>
          <t>Issue
Issue. Review this metric to identify risk, then use linked tabs for details and remediation.</t>
        </r>
      </text>
    </comment>
    <comment ref="G1" authorId="0" shapeId="0" xr:uid="{00000000-0006-0000-0B00-000007000000}">
      <text>
        <r>
          <rPr>
            <sz val="11"/>
            <color theme="1"/>
            <rFont val="Calibri"/>
            <family val="2"/>
            <scheme val="minor"/>
          </rPr>
          <t>Priority Score
Issue priority score for execution order. Fix: Start with the highest values to reduce risk fastest.</t>
        </r>
      </text>
    </comment>
    <comment ref="H1" authorId="0" shapeId="0" xr:uid="{00000000-0006-0000-0B00-000008000000}">
      <text>
        <r>
          <rPr>
            <sz val="11"/>
            <color theme="1"/>
            <rFont val="Calibri"/>
            <family val="2"/>
            <scheme val="minor"/>
          </rPr>
          <t>Current Value
Current Value. Review this metric to identify risk, then use linked tabs for details and remediation.</t>
        </r>
      </text>
    </comment>
    <comment ref="I1" authorId="0" shapeId="0" xr:uid="{00000000-0006-0000-0B00-000009000000}">
      <text>
        <r>
          <rPr>
            <sz val="11"/>
            <color theme="1"/>
            <rFont val="Calibri"/>
            <family val="2"/>
            <scheme val="minor"/>
          </rPr>
          <t>Recommended Target
Recommended Target. Review this metric to identify risk, then use linked tabs for details and remediation.</t>
        </r>
      </text>
    </comment>
    <comment ref="J1" authorId="0" shapeId="0" xr:uid="{00000000-0006-0000-0B00-00000A000000}">
      <text>
        <r>
          <rPr>
            <sz val="11"/>
            <color theme="1"/>
            <rFont val="Calibri"/>
            <family val="2"/>
            <scheme val="minor"/>
          </rPr>
          <t>How to Fix in AIOSEO
How to Fix in AIOSEO. Review this metric to identify risk, then use linked tabs for details and remediation.</t>
        </r>
      </text>
    </comment>
    <comment ref="K1" authorId="0" shapeId="0" xr:uid="{00000000-0006-0000-0B00-00000B000000}">
      <text>
        <r>
          <rPr>
            <sz val="11"/>
            <color theme="1"/>
            <rFont val="Calibri"/>
            <family val="2"/>
            <scheme val="minor"/>
          </rPr>
          <t>Reference Tab
Summary grouping/navigation field. Use with hyperlinks to jump into detailed tabs.</t>
        </r>
      </text>
    </comment>
    <comment ref="L1" authorId="0" shapeId="0" xr:uid="{00000000-0006-0000-0B00-00000C000000}">
      <text>
        <r>
          <rPr>
            <sz val="11"/>
            <color theme="1"/>
            <rFont val="Calibri"/>
            <family val="2"/>
            <scheme val="minor"/>
          </rPr>
          <t>Reference Field
Reference Field. Review this metric to identify risk, then use linked tabs for details and remediation.</t>
        </r>
      </text>
    </comment>
    <comment ref="M1" authorId="0" shapeId="0" xr:uid="{00000000-0006-0000-0B00-00000D000000}">
      <text>
        <r>
          <rPr>
            <sz val="11"/>
            <color theme="1"/>
            <rFont val="Calibri"/>
            <family val="2"/>
            <scheme val="minor"/>
          </rPr>
          <t>Action Needed
Action Needed. Review this metric to identify risk, then use linked tabs for details and remediation.</t>
        </r>
      </text>
    </comment>
    <comment ref="N1" authorId="0" shapeId="0" xr:uid="{00000000-0006-0000-0B00-00000E000000}">
      <text>
        <r>
          <rPr>
            <sz val="11"/>
            <color theme="1"/>
            <rFont val="Calibri"/>
            <family val="2"/>
            <scheme val="minor"/>
          </rPr>
          <t>Owner
Workflow management field for planning and tracking remediation progress.</t>
        </r>
      </text>
    </comment>
    <comment ref="O1" authorId="0" shapeId="0" xr:uid="{00000000-0006-0000-0B00-00000F000000}">
      <text>
        <r>
          <rPr>
            <sz val="11"/>
            <color theme="1"/>
            <rFont val="Calibri"/>
            <family val="2"/>
            <scheme val="minor"/>
          </rPr>
          <t>Status
Workflow management field for planning and tracking remediation progress.</t>
        </r>
      </text>
    </comment>
    <comment ref="P1" authorId="0" shapeId="0" xr:uid="{00000000-0006-0000-0B00-000010000000}">
      <text>
        <r>
          <rPr>
            <sz val="11"/>
            <color theme="1"/>
            <rFont val="Calibri"/>
            <family val="2"/>
            <scheme val="minor"/>
          </rPr>
          <t>Est. Hours
Est. Hours. Review this metric to identify risk, then use linked tabs for details and remediation.</t>
        </r>
      </text>
    </comment>
    <comment ref="Q1" authorId="0" shapeId="0" xr:uid="{00000000-0006-0000-0B00-000011000000}">
      <text>
        <r>
          <rPr>
            <sz val="11"/>
            <color theme="1"/>
            <rFont val="Calibri"/>
            <family val="2"/>
            <scheme val="minor"/>
          </rPr>
          <t>Stable Issue ID
Stable Issue ID. Review this metric to identify risk, then use linked tabs for details and remediation.</t>
        </r>
      </text>
    </comment>
    <comment ref="R1" authorId="0" shapeId="0" xr:uid="{00000000-0006-0000-0B00-000012000000}">
      <text>
        <r>
          <rPr>
            <sz val="11"/>
            <color theme="1"/>
            <rFont val="Calibri"/>
            <family val="2"/>
            <scheme val="minor"/>
          </rPr>
          <t>Why It Matters
Why It Matters. Review this metric to identify risk, then use linked tabs for details and remediation.</t>
        </r>
      </text>
    </comment>
    <comment ref="S1" authorId="0" shapeId="0" xr:uid="{00000000-0006-0000-0B00-000013000000}">
      <text>
        <r>
          <rPr>
            <sz val="11"/>
            <color theme="1"/>
            <rFont val="Calibri"/>
            <family val="2"/>
            <scheme val="minor"/>
          </rPr>
          <t>Open in Main
Navigation helper. Click to jump directly to the related record in another tab.</t>
        </r>
      </text>
    </comment>
    <comment ref="T1" authorId="0" shapeId="0" xr:uid="{00000000-0006-0000-0B00-000014000000}">
      <text>
        <r>
          <rPr>
            <sz val="11"/>
            <color theme="1"/>
            <rFont val="Calibri"/>
            <family val="2"/>
            <scheme val="minor"/>
          </rPr>
          <t>Open in Technical
Open in Technical. Review this metric to identify risk, then use linked tabs for details and remediation.</t>
        </r>
      </text>
    </comment>
    <comment ref="U1" authorId="0" shapeId="0" xr:uid="{00000000-0006-0000-0B00-000015000000}">
      <text>
        <r>
          <rPr>
            <sz val="11"/>
            <color theme="1"/>
            <rFont val="Calibri"/>
            <family val="2"/>
            <scheme val="minor"/>
          </rPr>
          <t>BACK TO DASHBOARD
BACK TO DASHBOARD. Review this metric to identify risk, then use linked tabs for details and remediation.</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C00-000001000000}">
      <text>
        <r>
          <rPr>
            <sz val="11"/>
            <color theme="1"/>
            <rFont val="Calibri"/>
            <family val="2"/>
            <scheme val="minor"/>
          </rPr>
          <t>Sitemap URL
Sitemap URL. Use this URL to inspect the page directly or jump to related tabs.</t>
        </r>
      </text>
    </comment>
    <comment ref="B1" authorId="0" shapeId="0" xr:uid="{00000000-0006-0000-0C00-000002000000}">
      <text>
        <r>
          <rPr>
            <sz val="11"/>
            <color theme="1"/>
            <rFont val="Calibri"/>
            <family val="2"/>
            <scheme val="minor"/>
          </rPr>
          <t>Final URL
Final URL. Use this URL to inspect the page directly or jump to related tabs.</t>
        </r>
      </text>
    </comment>
    <comment ref="C1" authorId="0" shapeId="0" xr:uid="{00000000-0006-0000-0C00-000003000000}">
      <text>
        <r>
          <rPr>
            <sz val="11"/>
            <color theme="1"/>
            <rFont val="Calibri"/>
            <family val="2"/>
            <scheme val="minor"/>
          </rPr>
          <t>Status Code
HTTP response code returned for this page/resource. Fix: Resolve 4xx/5xx errors and reduce unnecessary redirects.</t>
        </r>
      </text>
    </comment>
    <comment ref="D1" authorId="0" shapeId="0" xr:uid="{00000000-0006-0000-0C00-000004000000}">
      <text>
        <r>
          <rPr>
            <sz val="11"/>
            <color theme="1"/>
            <rFont val="Calibri"/>
            <family val="2"/>
            <scheme val="minor"/>
          </rPr>
          <t>Found via Crawl
Found via Crawl. Review this metric to identify risk, then use linked tabs for details and remediation.</t>
        </r>
      </text>
    </comment>
    <comment ref="E1" authorId="0" shapeId="0" xr:uid="{00000000-0006-0000-0C00-000005000000}">
      <text>
        <r>
          <rPr>
            <sz val="11"/>
            <color theme="1"/>
            <rFont val="Calibri"/>
            <family val="2"/>
            <scheme val="minor"/>
          </rPr>
          <t>Found via Sitemap
Found via Sitemap. Review this metric to identify risk, then use linked tabs for details and remediation.</t>
        </r>
      </text>
    </comment>
    <comment ref="F1" authorId="0" shapeId="0" xr:uid="{00000000-0006-0000-0C00-000006000000}">
      <text>
        <r>
          <rPr>
            <sz val="11"/>
            <color theme="1"/>
            <rFont val="Calibri"/>
            <family val="2"/>
            <scheme val="minor"/>
          </rPr>
          <t>Discovery Source
Discovery Source. Review this metric to identify risk, then use linked tabs for details and remediation.</t>
        </r>
      </text>
    </comment>
    <comment ref="G1" authorId="0" shapeId="0" xr:uid="{00000000-0006-0000-0C00-000007000000}">
      <text>
        <r>
          <rPr>
            <sz val="11"/>
            <color theme="1"/>
            <rFont val="Calibri"/>
            <family val="2"/>
            <scheme val="minor"/>
          </rPr>
          <t>In Sitemap but Non-200
In Sitemap but Non-200. Review this metric to identify risk, then use linked tabs for details and remediation.</t>
        </r>
      </text>
    </comment>
    <comment ref="H1" authorId="0" shapeId="0" xr:uid="{00000000-0006-0000-0C00-000008000000}">
      <text>
        <r>
          <rPr>
            <sz val="11"/>
            <color theme="1"/>
            <rFont val="Calibri"/>
            <family val="2"/>
            <scheme val="minor"/>
          </rPr>
          <t>Sitemap URL Redirects
Sitemap URL Redirects. Use this URL to inspect the page directly or jump to related tabs.</t>
        </r>
      </text>
    </comment>
    <comment ref="I1" authorId="0" shapeId="0" xr:uid="{00000000-0006-0000-0C00-000009000000}">
      <text>
        <r>
          <rPr>
            <sz val="11"/>
            <color theme="1"/>
            <rFont val="Calibri"/>
            <family val="2"/>
            <scheme val="minor"/>
          </rPr>
          <t>In Sitemap but Canonicalized Els
Indexing/canonicalization signal. Fix: ensure indexable pages use correct canonicals and non-conflicting directives.</t>
        </r>
      </text>
    </comment>
    <comment ref="J1" authorId="0" shapeId="0" xr:uid="{00000000-0006-0000-0C00-00000A000000}">
      <text>
        <r>
          <rPr>
            <sz val="11"/>
            <color theme="1"/>
            <rFont val="Calibri"/>
            <family val="2"/>
            <scheme val="minor"/>
          </rPr>
          <t>Missing &lt;lastmod&gt;
Missing &lt;lastmod&gt;. Review this metric to identify risk, then use linked tabs for details and remediation.</t>
        </r>
      </text>
    </comment>
    <comment ref="K1" authorId="0" shapeId="0" xr:uid="{00000000-0006-0000-0C00-00000B000000}">
      <text>
        <r>
          <rPr>
            <sz val="11"/>
            <color theme="1"/>
            <rFont val="Calibri"/>
            <family val="2"/>
            <scheme val="minor"/>
          </rPr>
          <t>Missing &lt;changefreq&gt;
Missing &lt;changefreq&gt;. Review this metric to identify risk, then use linked tabs for details and remediation.</t>
        </r>
      </text>
    </comment>
    <comment ref="L1" authorId="0" shapeId="0" xr:uid="{00000000-0006-0000-0C00-00000C000000}">
      <text>
        <r>
          <rPr>
            <sz val="11"/>
            <color theme="1"/>
            <rFont val="Calibri"/>
            <family val="2"/>
            <scheme val="minor"/>
          </rPr>
          <t>Missing &lt;priority&gt;
Missing &lt;priority&gt;. Review this metric to identify risk, then use linked tabs for details and remediation.</t>
        </r>
      </text>
    </comment>
    <comment ref="M1" authorId="0" shapeId="0" xr:uid="{00000000-0006-0000-0C00-00000D000000}">
      <text>
        <r>
          <rPr>
            <sz val="11"/>
            <color theme="1"/>
            <rFont val="Calibri"/>
            <family val="2"/>
            <scheme val="minor"/>
          </rPr>
          <t>Sitemap &lt;lastmod&gt;
Sitemap &lt;lastmod&gt;. Review this metric to identify risk, then use linked tabs for details and remediation.</t>
        </r>
      </text>
    </comment>
    <comment ref="N1" authorId="0" shapeId="0" xr:uid="{00000000-0006-0000-0C00-00000E000000}">
      <text>
        <r>
          <rPr>
            <sz val="11"/>
            <color theme="1"/>
            <rFont val="Calibri"/>
            <family val="2"/>
            <scheme val="minor"/>
          </rPr>
          <t>Sitemap &lt;changefreq&gt;
Sitemap &lt;changefreq&gt;. Review this metric to identify risk, then use linked tabs for details and remediation.</t>
        </r>
      </text>
    </comment>
    <comment ref="O1" authorId="0" shapeId="0" xr:uid="{00000000-0006-0000-0C00-00000F000000}">
      <text>
        <r>
          <rPr>
            <sz val="11"/>
            <color theme="1"/>
            <rFont val="Calibri"/>
            <family val="2"/>
            <scheme val="minor"/>
          </rPr>
          <t>Sitemap &lt;priority&gt;
Sitemap &lt;priority&gt;. Review this metric to identify risk, then use linked tabs for details and remediation.</t>
        </r>
      </text>
    </comment>
    <comment ref="P1" authorId="0" shapeId="0" xr:uid="{00000000-0006-0000-0C00-000010000000}">
      <text>
        <r>
          <rPr>
            <sz val="11"/>
            <color theme="1"/>
            <rFont val="Calibri"/>
            <family val="2"/>
            <scheme val="minor"/>
          </rPr>
          <t>Source Sitemap
Source Sitemap. Review this metric to identify risk, then use linked tabs for details and remediation.</t>
        </r>
      </text>
    </comment>
    <comment ref="Q1" authorId="0" shapeId="0" xr:uid="{00000000-0006-0000-0C00-000011000000}">
      <text>
        <r>
          <rPr>
            <sz val="11"/>
            <color theme="1"/>
            <rFont val="Calibri"/>
            <family val="2"/>
            <scheme val="minor"/>
          </rPr>
          <t>BACK TO DASHBOARD
BACK TO DASHBOARD. Review this metric to identify risk, then use linked tabs for details and remediation.</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D00-000001000000}">
      <text>
        <r>
          <rPr>
            <sz val="11"/>
            <color theme="1"/>
            <rFont val="Calibri"/>
            <family val="2"/>
            <scheme val="minor"/>
          </rPr>
          <t>Stable Issue ID
Stable Issue ID. Review this metric to identify risk, then use linked tabs for details and remediation.</t>
        </r>
      </text>
    </comment>
    <comment ref="B1" authorId="0" shapeId="0" xr:uid="{00000000-0006-0000-0D00-000002000000}">
      <text>
        <r>
          <rPr>
            <sz val="11"/>
            <color theme="1"/>
            <rFont val="Calibri"/>
            <family val="2"/>
            <scheme val="minor"/>
          </rPr>
          <t>Issue
Issue. Review this metric to identify risk, then use linked tabs for details and remediation.</t>
        </r>
      </text>
    </comment>
    <comment ref="C1" authorId="0" shapeId="0" xr:uid="{00000000-0006-0000-0D00-000003000000}">
      <text>
        <r>
          <rPr>
            <sz val="11"/>
            <color theme="1"/>
            <rFont val="Calibri"/>
            <family val="2"/>
            <scheme val="minor"/>
          </rPr>
          <t>URL
URL. Use this URL to inspect the page directly or jump to related tabs.</t>
        </r>
      </text>
    </comment>
    <comment ref="D1" authorId="0" shapeId="0" xr:uid="{00000000-0006-0000-0D00-000004000000}">
      <text>
        <r>
          <rPr>
            <sz val="11"/>
            <color theme="1"/>
            <rFont val="Calibri"/>
            <family val="2"/>
            <scheme val="minor"/>
          </rPr>
          <t>Open in Main
Navigation helper. Click to jump directly to the related record in another tab.</t>
        </r>
      </text>
    </comment>
    <comment ref="E1" authorId="0" shapeId="0" xr:uid="{00000000-0006-0000-0D00-000005000000}">
      <text>
        <r>
          <rPr>
            <sz val="11"/>
            <color theme="1"/>
            <rFont val="Calibri"/>
            <family val="2"/>
            <scheme val="minor"/>
          </rPr>
          <t>BACK TO DASHBOARD
BACK TO DASHBOARD. Review this metric to identify risk, then use linked tabs for details and remediation.</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E00-000001000000}">
      <text>
        <r>
          <rPr>
            <sz val="11"/>
            <color theme="1"/>
            <rFont val="Calibri"/>
            <family val="2"/>
            <scheme val="minor"/>
          </rPr>
          <t>Metric
Metric. Review this metric to identify risk, then use linked tabs for details and remediation.</t>
        </r>
      </text>
    </comment>
    <comment ref="B1" authorId="0" shapeId="0" xr:uid="{00000000-0006-0000-0E00-000002000000}">
      <text>
        <r>
          <rPr>
            <sz val="11"/>
            <color theme="1"/>
            <rFont val="Calibri"/>
            <family val="2"/>
            <scheme val="minor"/>
          </rPr>
          <t>Count
Count. Review this metric to identify risk, then use linked tabs for details and remediation.</t>
        </r>
      </text>
    </comment>
    <comment ref="C1" authorId="0" shapeId="0" xr:uid="{00000000-0006-0000-0E00-000003000000}">
      <text>
        <r>
          <rPr>
            <sz val="11"/>
            <color theme="1"/>
            <rFont val="Calibri"/>
            <family val="2"/>
            <scheme val="minor"/>
          </rPr>
          <t>BACK TO DASHBOARD
BACK TO DASHBOARD. Review this metric to identify risk, then use linked tabs for details and remediation.</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F00-000001000000}">
      <text>
        <r>
          <rPr>
            <sz val="11"/>
            <color theme="1"/>
            <rFont val="Calibri"/>
            <family val="2"/>
            <scheme val="minor"/>
          </rPr>
          <t>Key
Key. Review this metric to identify risk, then use linked tabs for details and remediation.</t>
        </r>
      </text>
    </comment>
    <comment ref="B1" authorId="0" shapeId="0" xr:uid="{00000000-0006-0000-0F00-000002000000}">
      <text>
        <r>
          <rPr>
            <sz val="11"/>
            <color theme="1"/>
            <rFont val="Calibri"/>
            <family val="2"/>
            <scheme val="minor"/>
          </rPr>
          <t>Value
Value. Review this metric to identify risk, then use linked tabs for details and remediation.</t>
        </r>
      </text>
    </comment>
    <comment ref="C1" authorId="0" shapeId="0" xr:uid="{00000000-0006-0000-0F00-000003000000}">
      <text>
        <r>
          <rPr>
            <sz val="11"/>
            <color theme="1"/>
            <rFont val="Calibri"/>
            <family val="2"/>
            <scheme val="minor"/>
          </rPr>
          <t>BACK TO DASHBOARD
BACK TO DASHBOARD. Review this metric to identify risk, then use linked tabs for details and remediation.</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1000-000001000000}">
      <text>
        <r>
          <rPr>
            <sz val="11"/>
            <color theme="1"/>
            <rFont val="Calibri"/>
            <family val="2"/>
            <scheme val="minor"/>
          </rPr>
          <t>Health Icon
Health Icon. Review this metric to identify risk, then use linked tabs for details and remediation.</t>
        </r>
      </text>
    </comment>
    <comment ref="B1" authorId="0" shapeId="0" xr:uid="{00000000-0006-0000-1000-000002000000}">
      <text>
        <r>
          <rPr>
            <sz val="11"/>
            <color theme="1"/>
            <rFont val="Calibri"/>
            <family val="2"/>
            <scheme val="minor"/>
          </rPr>
          <t>Canonical audited URL. Use links to open the live page or related tabs.</t>
        </r>
      </text>
    </comment>
    <comment ref="C1" authorId="0" shapeId="0" xr:uid="{00000000-0006-0000-1000-000003000000}">
      <text>
        <r>
          <rPr>
            <sz val="11"/>
            <color theme="1"/>
            <rFont val="Calibri"/>
            <family val="2"/>
            <scheme val="minor"/>
          </rPr>
          <t>Status Code
HTTP status returned for the URL. Fix: Resolve 4xx/5xx errors and remove unnecessary redirect chains.</t>
        </r>
      </text>
    </comment>
    <comment ref="D1" authorId="0" shapeId="0" xr:uid="{00000000-0006-0000-1000-000004000000}">
      <text>
        <r>
          <rPr>
            <sz val="11"/>
            <color theme="1"/>
            <rFont val="Calibri"/>
            <family val="2"/>
            <scheme val="minor"/>
          </rPr>
          <t>Indexability
Indexing/canonicalization signal. Fix: ensure indexable pages use correct canonicals and non-conflicting directives.</t>
        </r>
      </text>
    </comment>
    <comment ref="E1" authorId="0" shapeId="0" xr:uid="{00000000-0006-0000-1000-000005000000}">
      <text>
        <r>
          <rPr>
            <sz val="11"/>
            <color theme="1"/>
            <rFont val="Calibri"/>
            <family val="2"/>
            <scheme val="minor"/>
          </rPr>
          <t>Load Time (s)
Page/request speed metric. Fix: optimise assets, server response time, and blocking resources.</t>
        </r>
      </text>
    </comment>
    <comment ref="F1" authorId="0" shapeId="0" xr:uid="{00000000-0006-0000-1000-000006000000}">
      <text>
        <r>
          <rPr>
            <sz val="11"/>
            <color theme="1"/>
            <rFont val="Calibri"/>
            <family val="2"/>
            <scheme val="minor"/>
          </rPr>
          <t>Title
Title. Review this metric to identify risk, then use linked tabs for details and remediation.</t>
        </r>
      </text>
    </comment>
    <comment ref="G1" authorId="0" shapeId="0" xr:uid="{00000000-0006-0000-1000-000007000000}">
      <text>
        <r>
          <rPr>
            <sz val="11"/>
            <color theme="1"/>
            <rFont val="Calibri"/>
            <family val="2"/>
            <scheme val="minor"/>
          </rPr>
          <t>Meta Description
Meta Description. Review this metric to identify risk, then use linked tabs for details and remediation.</t>
        </r>
      </text>
    </comment>
    <comment ref="H1" authorId="0" shapeId="0" xr:uid="{00000000-0006-0000-1000-000008000000}">
      <text>
        <r>
          <rPr>
            <sz val="11"/>
            <color theme="1"/>
            <rFont val="Calibri"/>
            <family val="2"/>
            <scheme val="minor"/>
          </rPr>
          <t>Word Count (Body)
Content quality depth metric. Fix: expand thin content and improve clarity for search intent.</t>
        </r>
      </text>
    </comment>
    <comment ref="I1" authorId="0" shapeId="0" xr:uid="{00000000-0006-0000-1000-000009000000}">
      <text>
        <r>
          <rPr>
            <sz val="11"/>
            <color theme="1"/>
            <rFont val="Calibri"/>
            <family val="2"/>
            <scheme val="minor"/>
          </rPr>
          <t>SEO Health Score
Weighted technical SEO quality score for this URL. Fix: Prioritize critical issues and improve warnings in FixPlan.</t>
        </r>
      </text>
    </comment>
    <comment ref="J1" authorId="0" shapeId="0" xr:uid="{00000000-0006-0000-1000-00000A000000}">
      <text>
        <r>
          <rPr>
            <sz val="11"/>
            <color theme="1"/>
            <rFont val="Calibri"/>
            <family val="2"/>
            <scheme val="minor"/>
          </rPr>
          <t>Severity Badge
Issue impact level. Fix: Resolve Critical first, then Warning, then improvement opportunities.</t>
        </r>
      </text>
    </comment>
    <comment ref="K1" authorId="0" shapeId="0" xr:uid="{00000000-0006-0000-1000-00000B000000}">
      <text>
        <r>
          <rPr>
            <sz val="11"/>
            <color theme="1"/>
            <rFont val="Calibri"/>
            <family val="2"/>
            <scheme val="minor"/>
          </rPr>
          <t>Action Needed
Action Needed. Review this metric to identify risk, then use linked tabs for details and remediation.</t>
        </r>
      </text>
    </comment>
    <comment ref="L1" authorId="0" shapeId="0" xr:uid="{00000000-0006-0000-1000-00000C000000}">
      <text>
        <r>
          <rPr>
            <sz val="11"/>
            <color theme="1"/>
            <rFont val="Calibri"/>
            <family val="2"/>
            <scheme val="minor"/>
          </rPr>
          <t>Extraction State
Extraction State. Review this metric to identify risk, then use linked tabs for details and remediation.</t>
        </r>
      </text>
    </comment>
    <comment ref="M1" authorId="0" shapeId="0" xr:uid="{00000000-0006-0000-1000-00000D000000}">
      <text>
        <r>
          <rPr>
            <sz val="11"/>
            <color theme="1"/>
            <rFont val="Calibri"/>
            <family val="2"/>
            <scheme val="minor"/>
          </rPr>
          <t>Extraction Source
Extraction Source. Review this metric to identify risk, then use linked tabs for details and remediation.</t>
        </r>
      </text>
    </comment>
    <comment ref="N1" authorId="0" shapeId="0" xr:uid="{00000000-0006-0000-1000-00000E000000}">
      <text>
        <r>
          <rPr>
            <sz val="11"/>
            <color theme="1"/>
            <rFont val="Calibri"/>
            <family val="2"/>
            <scheme val="minor"/>
          </rPr>
          <t>Title Length
Title Length. Review this metric to identify risk, then use linked tabs for details and remediation.</t>
        </r>
      </text>
    </comment>
    <comment ref="O1" authorId="0" shapeId="0" xr:uid="{00000000-0006-0000-1000-00000F000000}">
      <text>
        <r>
          <rPr>
            <sz val="11"/>
            <color theme="1"/>
            <rFont val="Calibri"/>
            <family val="2"/>
            <scheme val="minor"/>
          </rPr>
          <t>Meta Desc Length
Meta Desc Length. Review this metric to identify risk, then use linked tabs for details and remediation.</t>
        </r>
      </text>
    </comment>
    <comment ref="P1" authorId="0" shapeId="0" xr:uid="{00000000-0006-0000-1000-000010000000}">
      <text>
        <r>
          <rPr>
            <sz val="11"/>
            <color theme="1"/>
            <rFont val="Calibri"/>
            <family val="2"/>
            <scheme val="minor"/>
          </rPr>
          <t>OG-Image
OG-Image. Review this metric to identify risk, then use linked tabs for details and remediation.</t>
        </r>
      </text>
    </comment>
    <comment ref="Q1" authorId="0" shapeId="0" xr:uid="{00000000-0006-0000-1000-000011000000}">
      <text>
        <r>
          <rPr>
            <sz val="11"/>
            <color theme="1"/>
            <rFont val="Calibri"/>
            <family val="2"/>
            <scheme val="minor"/>
          </rPr>
          <t>Has Valid JSON-LD
Structured data signal. Fix: add valid schema types and correct parsing/validation errors.</t>
        </r>
      </text>
    </comment>
    <comment ref="R1" authorId="0" shapeId="0" xr:uid="{00000000-0006-0000-1000-000012000000}">
      <text>
        <r>
          <rPr>
            <sz val="11"/>
            <color theme="1"/>
            <rFont val="Calibri"/>
            <family val="2"/>
            <scheme val="minor"/>
          </rPr>
          <t>Meta Keywords
Meta Keywords. Review this metric to identify risk, then use linked tabs for details and remediation.</t>
        </r>
      </text>
    </comment>
    <comment ref="S1" authorId="0" shapeId="0" xr:uid="{00000000-0006-0000-1000-000013000000}">
      <text>
        <r>
          <rPr>
            <sz val="11"/>
            <color theme="1"/>
            <rFont val="Calibri"/>
            <family val="2"/>
            <scheme val="minor"/>
          </rPr>
          <t>H1 Content
H1 Content. Review this metric to identify risk, then use linked tabs for details and remediation.</t>
        </r>
      </text>
    </comment>
    <comment ref="T1" authorId="0" shapeId="0" xr:uid="{00000000-0006-0000-1000-000014000000}">
      <text>
        <r>
          <rPr>
            <sz val="11"/>
            <color theme="1"/>
            <rFont val="Calibri"/>
            <family val="2"/>
            <scheme val="minor"/>
          </rPr>
          <t>H1 Length
H1 Length. Review this metric to identify risk, then use linked tabs for details and remediation.</t>
        </r>
      </text>
    </comment>
    <comment ref="U1" authorId="0" shapeId="0" xr:uid="{00000000-0006-0000-1000-000015000000}">
      <text>
        <r>
          <rPr>
            <sz val="11"/>
            <color theme="1"/>
            <rFont val="Calibri"/>
            <family val="2"/>
            <scheme val="minor"/>
          </rPr>
          <t>H2 Content
H2 Content. Review this metric to identify risk, then use linked tabs for details and remediation.</t>
        </r>
      </text>
    </comment>
    <comment ref="V1" authorId="0" shapeId="0" xr:uid="{00000000-0006-0000-1000-000016000000}">
      <text>
        <r>
          <rPr>
            <sz val="11"/>
            <color theme="1"/>
            <rFont val="Calibri"/>
            <family val="2"/>
            <scheme val="minor"/>
          </rPr>
          <t>H2 Length
H2 Length. Review this metric to identify risk, then use linked tabs for details and remediation.</t>
        </r>
      </text>
    </comment>
    <comment ref="W1" authorId="0" shapeId="0" xr:uid="{00000000-0006-0000-1000-000017000000}">
      <text>
        <r>
          <rPr>
            <sz val="11"/>
            <color theme="1"/>
            <rFont val="Calibri"/>
            <family val="2"/>
            <scheme val="minor"/>
          </rPr>
          <t>H3 Content
H3 Content. Review this metric to identify risk, then use linked tabs for details and remediation.</t>
        </r>
      </text>
    </comment>
    <comment ref="X1" authorId="0" shapeId="0" xr:uid="{00000000-0006-0000-1000-000018000000}">
      <text>
        <r>
          <rPr>
            <sz val="11"/>
            <color theme="1"/>
            <rFont val="Calibri"/>
            <family val="2"/>
            <scheme val="minor"/>
          </rPr>
          <t>H3 Length
H3 Length. Review this metric to identify risk, then use linked tabs for details and remediation.</t>
        </r>
      </text>
    </comment>
    <comment ref="Y1" authorId="0" shapeId="0" xr:uid="{00000000-0006-0000-1000-000019000000}">
      <text>
        <r>
          <rPr>
            <sz val="11"/>
            <color theme="1"/>
            <rFont val="Calibri"/>
            <family val="2"/>
            <scheme val="minor"/>
          </rPr>
          <t>H4 Content
H4 Content. Review this metric to identify risk, then use linked tabs for details and remediation.</t>
        </r>
      </text>
    </comment>
    <comment ref="Z1" authorId="0" shapeId="0" xr:uid="{00000000-0006-0000-1000-00001A000000}">
      <text>
        <r>
          <rPr>
            <sz val="11"/>
            <color theme="1"/>
            <rFont val="Calibri"/>
            <family val="2"/>
            <scheme val="minor"/>
          </rPr>
          <t>H4 Length
H4 Length. Review this metric to identify risk, then use linked tabs for details and remediation.</t>
        </r>
      </text>
    </comment>
    <comment ref="AA1" authorId="0" shapeId="0" xr:uid="{00000000-0006-0000-1000-00001B000000}">
      <text>
        <r>
          <rPr>
            <sz val="11"/>
            <color theme="1"/>
            <rFont val="Calibri"/>
            <family val="2"/>
            <scheme val="minor"/>
          </rPr>
          <t>H5 Content
H5 Content. Review this metric to identify risk, then use linked tabs for details and remediation.</t>
        </r>
      </text>
    </comment>
    <comment ref="AB1" authorId="0" shapeId="0" xr:uid="{00000000-0006-0000-1000-00001C000000}">
      <text>
        <r>
          <rPr>
            <sz val="11"/>
            <color theme="1"/>
            <rFont val="Calibri"/>
            <family val="2"/>
            <scheme val="minor"/>
          </rPr>
          <t>H5 Length
H5 Length. Review this metric to identify risk, then use linked tabs for details and remediation.</t>
        </r>
      </text>
    </comment>
    <comment ref="AC1" authorId="0" shapeId="0" xr:uid="{00000000-0006-0000-1000-00001D000000}">
      <text>
        <r>
          <rPr>
            <sz val="11"/>
            <color theme="1"/>
            <rFont val="Calibri"/>
            <family val="2"/>
            <scheme val="minor"/>
          </rPr>
          <t>H6 Content
H6 Content. Review this metric to identify risk, then use linked tabs for details and remediation.</t>
        </r>
      </text>
    </comment>
    <comment ref="AD1" authorId="0" shapeId="0" xr:uid="{00000000-0006-0000-1000-00001E000000}">
      <text>
        <r>
          <rPr>
            <sz val="11"/>
            <color theme="1"/>
            <rFont val="Calibri"/>
            <family val="2"/>
            <scheme val="minor"/>
          </rPr>
          <t>H6 Length
H6 Length. Review this metric to identify risk, then use linked tabs for details and remediation.</t>
        </r>
      </text>
    </comment>
    <comment ref="AE1" authorId="0" shapeId="0" xr:uid="{00000000-0006-0000-1000-00001F000000}">
      <text>
        <r>
          <rPr>
            <sz val="11"/>
            <color theme="1"/>
            <rFont val="Calibri"/>
            <family val="2"/>
            <scheme val="minor"/>
          </rPr>
          <t>Largest Contentful Paint: Measures perceived load speed.</t>
        </r>
      </text>
    </comment>
    <comment ref="AF1" authorId="0" shapeId="0" xr:uid="{00000000-0006-0000-1000-000020000000}">
      <text>
        <r>
          <rPr>
            <sz val="11"/>
            <color theme="1"/>
            <rFont val="Calibri"/>
            <family val="2"/>
            <scheme val="minor"/>
          </rPr>
          <t>CWV CLS
CWV CLS. Review this metric to identify risk, then use linked tabs for details and remediation.</t>
        </r>
      </text>
    </comment>
    <comment ref="AG1" authorId="0" shapeId="0" xr:uid="{00000000-0006-0000-1000-000021000000}">
      <text>
        <r>
          <rPr>
            <sz val="11"/>
            <color theme="1"/>
            <rFont val="Calibri"/>
            <family val="2"/>
            <scheme val="minor"/>
          </rPr>
          <t>Field vs Lab
Field vs Lab. Review this metric to identify risk, then use linked tabs for details and remediation.</t>
        </r>
      </text>
    </comment>
    <comment ref="AH1" authorId="0" shapeId="0" xr:uid="{00000000-0006-0000-1000-000022000000}">
      <text>
        <r>
          <rPr>
            <sz val="11"/>
            <color theme="1"/>
            <rFont val="Calibri"/>
            <family val="2"/>
            <scheme val="minor"/>
          </rPr>
          <t>Regional Authority Score
Regional Authority Score. Review this metric to identify risk, then use linked tabs for details and remediation.</t>
        </r>
      </text>
    </comment>
    <comment ref="AI1" authorId="0" shapeId="0" xr:uid="{00000000-0006-0000-1000-000023000000}">
      <text>
        <r>
          <rPr>
            <sz val="11"/>
            <color theme="1"/>
            <rFont val="Calibri"/>
            <family val="2"/>
            <scheme val="minor"/>
          </rPr>
          <t>Desktop PSI Score
Desktop PSI Score. Review this metric to identify risk, then use linked tabs for details and remediation.</t>
        </r>
      </text>
    </comment>
    <comment ref="AJ1" authorId="0" shapeId="0" xr:uid="{00000000-0006-0000-1000-000024000000}">
      <text>
        <r>
          <rPr>
            <sz val="11"/>
            <color theme="1"/>
            <rFont val="Calibri"/>
            <family val="2"/>
            <scheme val="minor"/>
          </rPr>
          <t>Mobile PSI Score
Mobile PSI Score. Review this metric to identify risk, then use linked tabs for details and remediation.</t>
        </r>
      </text>
    </comment>
    <comment ref="AK1" authorId="0" shapeId="0" xr:uid="{00000000-0006-0000-1000-000025000000}">
      <text>
        <r>
          <rPr>
            <sz val="11"/>
            <color theme="1"/>
            <rFont val="Calibri"/>
            <family val="2"/>
            <scheme val="minor"/>
          </rPr>
          <t>Largest Contentful Paint: Measures perceived load speed.</t>
        </r>
      </text>
    </comment>
    <comment ref="AL1" authorId="0" shapeId="0" xr:uid="{00000000-0006-0000-1000-000026000000}">
      <text>
        <r>
          <rPr>
            <sz val="11"/>
            <color theme="1"/>
            <rFont val="Calibri"/>
            <family val="2"/>
            <scheme val="minor"/>
          </rPr>
          <t>Mobile CLS
Mobile CLS. Review this metric to identify risk, then use linked tabs for details and remediation.</t>
        </r>
      </text>
    </comment>
    <comment ref="AM1" authorId="0" shapeId="0" xr:uid="{00000000-0006-0000-1000-000027000000}">
      <text>
        <r>
          <rPr>
            <sz val="11"/>
            <color theme="1"/>
            <rFont val="Calibri"/>
            <family val="2"/>
            <scheme val="minor"/>
          </rPr>
          <t>Mobile TTFB (s)
Time to First Byte: server responsiveness signal. Fix: optimise backend performance, caching, and CDN usage.</t>
        </r>
      </text>
    </comment>
    <comment ref="AN1" authorId="0" shapeId="0" xr:uid="{00000000-0006-0000-1000-000028000000}">
      <text>
        <r>
          <rPr>
            <sz val="11"/>
            <color theme="1"/>
            <rFont val="Calibri"/>
            <family val="2"/>
            <scheme val="minor"/>
          </rPr>
          <t>GSC Clicks
GSC Clicks. Review this metric to identify risk, then use linked tabs for details and remediation.</t>
        </r>
      </text>
    </comment>
    <comment ref="AO1" authorId="0" shapeId="0" xr:uid="{00000000-0006-0000-1000-000029000000}">
      <text>
        <r>
          <rPr>
            <sz val="11"/>
            <color theme="1"/>
            <rFont val="Calibri"/>
            <family val="2"/>
            <scheme val="minor"/>
          </rPr>
          <t>GSC Impressions
GSC Impressions. Review this metric to identify risk, then use linked tabs for details and remediation.</t>
        </r>
      </text>
    </comment>
    <comment ref="AP1" authorId="0" shapeId="0" xr:uid="{00000000-0006-0000-1000-00002A000000}">
      <text>
        <r>
          <rPr>
            <sz val="11"/>
            <color theme="1"/>
            <rFont val="Calibri"/>
            <family val="2"/>
            <scheme val="minor"/>
          </rPr>
          <t>GSC CTR
GSC CTR. Review this metric to identify risk, then use linked tabs for details and remediation.</t>
        </r>
      </text>
    </comment>
    <comment ref="AQ1" authorId="0" shapeId="0" xr:uid="{00000000-0006-0000-1000-00002B000000}">
      <text>
        <r>
          <rPr>
            <sz val="11"/>
            <color theme="1"/>
            <rFont val="Calibri"/>
            <family val="2"/>
            <scheme val="minor"/>
          </rPr>
          <t>GSC Avg Position
GSC Avg Position. Review this metric to identify risk, then use linked tabs for details and remediation.</t>
        </r>
      </text>
    </comment>
    <comment ref="AR1" authorId="0" shapeId="0" xr:uid="{00000000-0006-0000-1000-00002C000000}">
      <text>
        <r>
          <rPr>
            <sz val="11"/>
            <color theme="1"/>
            <rFont val="Calibri"/>
            <family val="2"/>
            <scheme val="minor"/>
          </rPr>
          <t>Number of clicks required to reach this URL from the homepage.</t>
        </r>
      </text>
    </comment>
    <comment ref="AS1" authorId="0" shapeId="0" xr:uid="{00000000-0006-0000-1000-00002D000000}">
      <text>
        <r>
          <rPr>
            <sz val="11"/>
            <color theme="1"/>
            <rFont val="Calibri"/>
            <family val="2"/>
            <scheme val="minor"/>
          </rPr>
          <t>Pages with zero internal incoming links; difficult for search engines to discover and value.</t>
        </r>
      </text>
    </comment>
    <comment ref="AT1" authorId="0" shapeId="0" xr:uid="{00000000-0006-0000-1000-00002E000000}">
      <text>
        <r>
          <rPr>
            <sz val="11"/>
            <color theme="1"/>
            <rFont val="Calibri"/>
            <family val="2"/>
            <scheme val="minor"/>
          </rPr>
          <t>Authority score based on internal linking structure.</t>
        </r>
      </text>
    </comment>
    <comment ref="AU1" authorId="0" shapeId="0" xr:uid="{00000000-0006-0000-1000-00002F000000}">
      <text>
        <r>
          <rPr>
            <sz val="11"/>
            <color theme="1"/>
            <rFont val="Calibri"/>
            <family val="2"/>
            <scheme val="minor"/>
          </rPr>
          <t>Found via Sitemap
Found via Sitemap. Review this metric to identify risk, then use linked tabs for details and remediation.</t>
        </r>
      </text>
    </comment>
    <comment ref="AV1" authorId="0" shapeId="0" xr:uid="{00000000-0006-0000-1000-000030000000}">
      <text>
        <r>
          <rPr>
            <sz val="11"/>
            <color theme="1"/>
            <rFont val="Calibri"/>
            <family val="2"/>
            <scheme val="minor"/>
          </rPr>
          <t>Found via Crawl
Found via Crawl. Review this metric to identify risk, then use linked tabs for details and remediation.</t>
        </r>
      </text>
    </comment>
    <comment ref="AW1" authorId="0" shapeId="0" xr:uid="{00000000-0006-0000-1000-000031000000}">
      <text>
        <r>
          <rPr>
            <sz val="11"/>
            <color theme="1"/>
            <rFont val="Calibri"/>
            <family val="2"/>
            <scheme val="minor"/>
          </rPr>
          <t>Discovery Source
Discovery Source. Review this metric to identify risk, then use linked tabs for details and remediation.</t>
        </r>
      </text>
    </comment>
    <comment ref="AX1" authorId="0" shapeId="0" xr:uid="{00000000-0006-0000-1000-000032000000}">
      <text>
        <r>
          <rPr>
            <sz val="11"/>
            <color theme="1"/>
            <rFont val="Calibri"/>
            <family val="2"/>
            <scheme val="minor"/>
          </rPr>
          <t>Technical Health (0–100) isolates crawl and response hygiene: status class, indexability, redirect behaviour, canonical consistency, and similar hard signals. High values mean fewer blocking technical defects; low values mean the page may be losing equity to errors, chains, or conflicting directives even when copy looks fine. Pair this column with Technical Diagnostics for evidence. It is intentionally decoupled from editorial drafts in this hub so copywriters can see whether engineering work is still a gate before declaring a page production-ready.</t>
        </r>
      </text>
    </comment>
    <comment ref="AY1" authorId="0" shapeId="0" xr:uid="{00000000-0006-0000-1000-000033000000}">
      <text>
        <r>
          <rPr>
            <sz val="11"/>
            <color theme="1"/>
            <rFont val="Calibri"/>
            <family val="2"/>
            <scheme val="minor"/>
          </rPr>
          <t>Live copy readiness from proposed title and meta description length checks.</t>
        </r>
      </text>
    </comment>
    <comment ref="AZ1" authorId="0" shapeId="0" xr:uid="{00000000-0006-0000-1000-000034000000}">
      <text>
        <r>
          <rPr>
            <sz val="11"/>
            <color theme="1"/>
            <rFont val="Calibri"/>
            <family val="2"/>
            <scheme val="minor"/>
          </rPr>
          <t>SEO Score (0–100) is the blended on-page and technical-quality signal from the crawl. It summarises how well this URL satisfied the audit model at export time: headings, metadata coverage, thin-content risk, and issue severity baked into the pipeline score. Use it as a triage anchor, not a live CMS measurement. When you rewrite titles or body copy here, watch Title Health and On-Page Optimization Score for live feedback; expect SEO Score to stay flat until you re-crawl. Interpret bands roughly as: 80+ strong baseline, 60–79 tune content and internal links, below 60 treat as a rewrite or template-level fix candidate.</t>
        </r>
      </text>
    </comment>
    <comment ref="BA1" authorId="0" shapeId="0" xr:uid="{00000000-0006-0000-1000-000035000000}">
      <text>
        <r>
          <rPr>
            <sz val="11"/>
            <color theme="1"/>
            <rFont val="Calibri"/>
            <family val="2"/>
            <scheme val="minor"/>
          </rPr>
          <t>Technical View
Navigation helper. Click to jump directly to the related record in another tab.</t>
        </r>
      </text>
    </comment>
    <comment ref="BB1" authorId="0" shapeId="0" xr:uid="{00000000-0006-0000-1000-000036000000}">
      <text>
        <r>
          <rPr>
            <sz val="11"/>
            <color theme="1"/>
            <rFont val="Calibri"/>
            <family val="2"/>
            <scheme val="minor"/>
          </rPr>
          <t>BACK TO DASHBOARD
BACK TO DASHBOARD. Review this metric to identify risk, then use linked tabs for details and remediation.</t>
        </r>
      </text>
    </comment>
    <comment ref="BC1" authorId="0" shapeId="0" xr:uid="{00000000-0006-0000-1000-000037000000}">
      <text>
        <r>
          <rPr>
            <sz val="11"/>
            <color theme="1"/>
            <rFont val="Calibri"/>
            <family val="2"/>
            <scheme val="minor"/>
          </rPr>
          <t>Technical View
Navigation helper. Click to jump directly to the related record in another tab.</t>
        </r>
      </text>
    </comment>
    <comment ref="BD1" authorId="0" shapeId="0" xr:uid="{00000000-0006-0000-1000-000038000000}">
      <text>
        <r>
          <rPr>
            <sz val="11"/>
            <color theme="1"/>
            <rFont val="Calibri"/>
            <family val="2"/>
            <scheme val="minor"/>
          </rPr>
          <t>BACK TO DASHBOARD
BACK TO DASHBOARD. Review this metric to identify risk, then use linked tabs for details and remediation.</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<sst xmlns="http://schemas.openxmlformats.org/spreadsheetml/2006/main" count="6666" uniqueCount="1183">
  <si>
    <t>Table of Contents</t>
  </si>
  <si>
    <t>Section</t>
  </si>
  <si>
    <t>Open</t>
  </si>
  <si>
    <t>Description</t>
  </si>
  <si>
    <t>Executive overview of site-wide SEO performance and critical alerts.</t>
  </si>
  <si>
    <t>Diagnostic command center: live title, meta, and H1–H6 health plus on-page score.</t>
  </si>
  <si>
    <t>Prioritized list of technical and content fixes with estimated effort.</t>
  </si>
  <si>
    <t>Primary URL inventory with titles, meta descriptions, and crawl signals.</t>
  </si>
  <si>
    <t>High-value pages requiring immediate attention based on business risk.</t>
  </si>
  <si>
    <t>Plugin-aligned recommendations and edit links for AIOSEO users.</t>
  </si>
  <si>
    <t>Sitemap coverage, URL membership checks, and sitemap metadata QA.</t>
  </si>
  <si>
    <t>Issues marked resolved when compared to the previous export.</t>
  </si>
  <si>
    <t>New, fixed, and persistent issues compared to a prior audit workbook.</t>
  </si>
  <si>
    <t>Run configuration, timestamps, and environment notes.</t>
  </si>
  <si>
    <t>Diagnostic metrics for Issue Register.</t>
  </si>
  <si>
    <t>Diagnostic metrics for Technical Diagnostics.</t>
  </si>
  <si>
    <t>Diagnostic metrics for Content &amp; AI Readiness.</t>
  </si>
  <si>
    <t>Diagnostic metrics for Link Intelligence.</t>
  </si>
  <si>
    <t>Diagnostic metrics for Template &amp; Duplication Risks.</t>
  </si>
  <si>
    <t>Diagnostic metrics for Playbook.</t>
  </si>
  <si>
    <t>Executive SEO &amp; AEO Performance Report</t>
  </si>
  <si>
    <t>Executive SEO &amp; AEO Dashboard</t>
  </si>
  <si>
    <t>EXECUTIVE METRICS</t>
  </si>
  <si>
    <t>Value</t>
  </si>
  <si>
    <t>Status</t>
  </si>
  <si>
    <t>Count</t>
  </si>
  <si>
    <t>Traditional SEO vs. 2026 AEO Readiness</t>
  </si>
  <si>
    <t>BUSINESS IMPACT SUMMARY</t>
  </si>
  <si>
    <t>PRIORITY SNAPSHOT</t>
  </si>
  <si>
    <t>200 OK</t>
  </si>
  <si>
    <t>Dimension</t>
  </si>
  <si>
    <t>Score</t>
  </si>
  <si>
    <t>0 URLs returned error responses (0 4xx / 0 5xx). Critical issue volume is 0 URLs and warning volume is 0. Primary blocker: No ETag Header affecting 10 URLs.</t>
  </si>
  <si>
    <t>Primary blocking issue</t>
  </si>
  <si>
    <t>No ETag Header</t>
  </si>
  <si>
    <t>3xx Redirects</t>
  </si>
  <si>
    <t>Traditional SEO</t>
  </si>
  <si>
    <t>Top Issue Affected URLs</t>
  </si>
  <si>
    <t>4xx Errors</t>
  </si>
  <si>
    <t>2026 AEO Readiness</t>
  </si>
  <si>
    <t>4xx/5xx URLs</t>
  </si>
  <si>
    <t>5xx Errors</t>
  </si>
  <si>
    <t>Avg TTFB (ms)</t>
  </si>
  <si>
    <t>Other</t>
  </si>
  <si>
    <t>Strategic Narrative</t>
  </si>
  <si>
    <t>SEO and AEO signals are moving together; continue balancing crawl health with answer-first content.</t>
  </si>
  <si>
    <t>Severity</t>
  </si>
  <si>
    <t>Quick Navigation</t>
  </si>
  <si>
    <t>Critical</t>
  </si>
  <si>
    <t>Fix Plan</t>
  </si>
  <si>
    <t>Warning</t>
  </si>
  <si>
    <t>TOP ISSUES TO FIX FIRST</t>
  </si>
  <si>
    <t>Affected URLs</t>
  </si>
  <si>
    <t>Main URL Data</t>
  </si>
  <si>
    <t>Projected Health Score % (if all To Do done)</t>
  </si>
  <si>
    <t>Medium</t>
  </si>
  <si>
    <t>Technical Diagnostics</t>
  </si>
  <si>
    <t>Projected Pass Rate % (if all To Do done)</t>
  </si>
  <si>
    <t>Low</t>
  </si>
  <si>
    <t>Indexability</t>
  </si>
  <si>
    <t>AEO Opportunities</t>
  </si>
  <si>
    <t>AIOSEO Action Queue</t>
  </si>
  <si>
    <t>OWNER ISSUE SUMMARY</t>
  </si>
  <si>
    <t>Owner</t>
  </si>
  <si>
    <t>Issue Rows</t>
  </si>
  <si>
    <t>Issue Type</t>
  </si>
  <si>
    <t>Priority Score</t>
  </si>
  <si>
    <t>Affected Count</t>
  </si>
  <si>
    <t>Detail Reference Tab</t>
  </si>
  <si>
    <t>Resolution Type</t>
  </si>
  <si>
    <t>URL</t>
  </si>
  <si>
    <t>Recommended Fix</t>
  </si>
  <si>
    <t>Likely Root Cause</t>
  </si>
  <si>
    <t>Agency Owner</t>
  </si>
  <si>
    <t>Effort</t>
  </si>
  <si>
    <t>Est. Hours</t>
  </si>
  <si>
    <t>Est. Sprint Points</t>
  </si>
  <si>
    <t>Aging/Priority</t>
  </si>
  <si>
    <t>Verified By</t>
  </si>
  <si>
    <t>Date Resolved</t>
  </si>
  <si>
    <t>Revenue Risk</t>
  </si>
  <si>
    <t>Action Needed</t>
  </si>
  <si>
    <t>Jump to Details</t>
  </si>
  <si>
    <t>Sprint</t>
  </si>
  <si>
    <t>Category</t>
  </si>
  <si>
    <t>Open in Main</t>
  </si>
  <si>
    <t>Hub Status (Content Hub)</t>
  </si>
  <si>
    <t>BACK TO DASHBOARD</t>
  </si>
  <si>
    <t>Non-200 Status</t>
  </si>
  <si>
    <t>Manual Content</t>
  </si>
  <si>
    <t>Fix status code, restore page, or implement correct redirect to canonical destination.</t>
  </si>
  <si>
    <t>URL returns 4xx/5xx or equivalent failure.</t>
  </si>
  <si>
    <t>Server/Host</t>
  </si>
  <si>
    <t>M</t>
  </si>
  <si>
    <t>Immediate (Current Sprint)</t>
  </si>
  <si>
    <t>To Do</t>
  </si>
  <si>
    <t>High Risk</t>
  </si>
  <si>
    <t>Yes</t>
  </si>
  <si>
    <t>Open in Main Tab</t>
  </si>
  <si>
    <t>SEO</t>
  </si>
  <si>
    <t>Missing Title</t>
  </si>
  <si>
    <t>Add unique descriptive title on affected template/page type.</t>
  </si>
  <si>
    <t>Template/page missing title tag.</t>
  </si>
  <si>
    <t>Copy Writer</t>
  </si>
  <si>
    <t>Noindex Directive</t>
  </si>
  <si>
    <t>Remove unintended noindex directives on index-worthy URLs.</t>
  </si>
  <si>
    <t>Meta robots or X-Robots-Tag contains noindex.</t>
  </si>
  <si>
    <t>Dev</t>
  </si>
  <si>
    <t>Canonical Points Elsewhere</t>
  </si>
  <si>
    <t>Global Template</t>
  </si>
  <si>
    <t>Align canonical to preferred final URL and ensure internal links use canonical target.</t>
  </si>
  <si>
    <t>Canonical targets a different URL variant.</t>
  </si>
  <si>
    <t>Robots.txt Disallow Root</t>
  </si>
  <si>
    <t>Apply fix based on issue type and re-run audit.</t>
  </si>
  <si>
    <t>Template/technical implementation quality issue.</t>
  </si>
  <si>
    <t>CWV LCP Above 4.0s</t>
  </si>
  <si>
    <t>Broken Internal Links</t>
  </si>
  <si>
    <t>Link Intelligence</t>
  </si>
  <si>
    <t>Update internal links to valid URLs and remove dead references.</t>
  </si>
  <si>
    <t>Internal links resolve to missing or error pages.</t>
  </si>
  <si>
    <t>Redirect Chains</t>
  </si>
  <si>
    <t>S</t>
  </si>
  <si>
    <t>Next Sprint</t>
  </si>
  <si>
    <t>Medium Risk</t>
  </si>
  <si>
    <t>CWV LCP Needs Improvement (2.5-4.0s)</t>
  </si>
  <si>
    <t>Missing FAQ/QA Schema</t>
  </si>
  <si>
    <t>Content &amp; AI Readiness</t>
  </si>
  <si>
    <t>Add valid FAQPage or QAPage JSON-LD where appropriate and ensure on-page parity.</t>
  </si>
  <si>
    <t>No FAQPage/QAPage schema found for likely Q&amp;A style content.</t>
  </si>
  <si>
    <t>AEO</t>
  </si>
  <si>
    <t>Deep URL (&gt;3 clicks)</t>
  </si>
  <si>
    <t>Mixed Content</t>
  </si>
  <si>
    <t>Serve all assets over HTTPS and update hardcoded URLs.</t>
  </si>
  <si>
    <t>HTTPS page references insecure HTTP assets.</t>
  </si>
  <si>
    <t>Canonical Missing</t>
  </si>
  <si>
    <t>Hreflang Without Reciprocity</t>
  </si>
  <si>
    <t>Low Image Alt Coverage</t>
  </si>
  <si>
    <t>https://africanmarketingconfederation.org/amc-awards-2024
https://africanmarketingconfederation.org/african-marketing-confederation-tourism-chapter
https://africanmarketingconfederation.org/
https://africanmarketingconfederation.org/about-us
https://africanmarketingconfederation.org/amc-conference-2022-prospectus
https://africanmarketingconfederation.org/amc-conference-2022-thank-you
https://africanmarketingconfederation.org/amc-conference-2022
https://africanmarketingconfederation.org/amc-conference-2023
https://africanmarketingconfederation.org/amc-conference-2023/amc-awards-book-now
https://africanmarketingconfederation.org/amc-conference-2023/amc-awards</t>
  </si>
  <si>
    <t>https://africanmarketingconfederation.org/amc-awards-2024</t>
  </si>
  <si>
    <t>Low AEO Readiness Score</t>
  </si>
  <si>
    <t>Add short direct answer blocks, question-led headings, and answer-ready formatting.</t>
  </si>
  <si>
    <t>Page lacks concise answer-oriented signals and structured answer patterns.</t>
  </si>
  <si>
    <t>Multiple H1</t>
  </si>
  <si>
    <t>https://africanmarketingconfederation.org/amc-awards-2024
https://africanmarketingconfederation.org/african-marketing-confederation-tourism-chapter
https://africanmarketingconfederation.org/</t>
  </si>
  <si>
    <t>Missing H1</t>
  </si>
  <si>
    <t>https://africanmarketingconfederation.org/amc-conference-2022-prospectus
https://africanmarketingconfederation.org/amc-conference-2022-thank-you
https://africanmarketingconfederation.org/amc-conference-2022
https://africanmarketingconfederation.org/amc-conference-2023/amc-awards-book-now</t>
  </si>
  <si>
    <t>https://africanmarketingconfederation.org/amc-conference-2022-prospectus</t>
  </si>
  <si>
    <t>Missing Meta Description</t>
  </si>
  <si>
    <t>https://africanmarketingconfederation.org/amc-conference-2023/amc-awards-book-now</t>
  </si>
  <si>
    <t>Add concise unique description aligned with user intent.</t>
  </si>
  <si>
    <t>Meta description missing or empty.</t>
  </si>
  <si>
    <t>Uses URL Parameters</t>
  </si>
  <si>
    <t>Observation</t>
  </si>
  <si>
    <t>Backlog</t>
  </si>
  <si>
    <t>In Review</t>
  </si>
  <si>
    <t>Monitor</t>
  </si>
  <si>
    <t>No</t>
  </si>
  <si>
    <t>Image Filename Quality Issues</t>
  </si>
  <si>
    <t>No Compression Header</t>
  </si>
  <si>
    <t>No Cache-Control Header</t>
  </si>
  <si>
    <t>INP Above 100ms</t>
  </si>
  <si>
    <t>CLS Above 0.1</t>
  </si>
  <si>
    <t>Low Regional Authority</t>
  </si>
  <si>
    <t>llms.txt Missing</t>
  </si>
  <si>
    <t>Thin Content</t>
  </si>
  <si>
    <t>https://africanmarketingconfederation.org/
https://africanmarketingconfederation.org/about-us
https://africanmarketingconfederation.org/amc-conference-2022-prospectus
https://africanmarketingconfederation.org/amc-conference-2022
https://africanmarketingconfederation.org/amc-conference-2023/amc-awards-book-now</t>
  </si>
  <si>
    <t>https://africanmarketingconfederation.org/</t>
  </si>
  <si>
    <t>Expand page with helpful, unique, intent-matching content.</t>
  </si>
  <si>
    <t>Insufficient body content for indexing confidence.</t>
  </si>
  <si>
    <t>Generic Anchor Text Present</t>
  </si>
  <si>
    <t>No Question Headings</t>
  </si>
  <si>
    <t>Add clear question-style headings (especially H2/H3) for key intents.</t>
  </si>
  <si>
    <t>Headings are not phrased as user questions.</t>
  </si>
  <si>
    <t>No Answer-Friendly Structure</t>
  </si>
  <si>
    <t>Introduce structured bullets, ordered steps, or tables for key answers.</t>
  </si>
  <si>
    <t>Page lacks lists/tables that help concise answer extraction.</t>
  </si>
  <si>
    <t>No 40-60 Word Answer Paragraphs</t>
  </si>
  <si>
    <t>Add a direct 30-60 word answer summary near question headings.</t>
  </si>
  <si>
    <t>No concise answer-length paragraph detected.</t>
  </si>
  <si>
    <t>AI Crawlers Not Explicitly Allowed</t>
  </si>
  <si>
    <t>Business Risk Score</t>
  </si>
  <si>
    <t>Severity Badge</t>
  </si>
  <si>
    <t>SEO Health Score</t>
  </si>
  <si>
    <t>GSC Impressions</t>
  </si>
  <si>
    <t>GSC CTR</t>
  </si>
  <si>
    <t>Revenue Intent</t>
  </si>
  <si>
    <t>Critical Issues Count</t>
  </si>
  <si>
    <t>Warning Issues Count</t>
  </si>
  <si>
    <t>Why Prioritized</t>
  </si>
  <si>
    <t>Indexability Reason</t>
  </si>
  <si>
    <t>Broken Internal Links Count</t>
  </si>
  <si>
    <t>Canonical Type</t>
  </si>
  <si>
    <t>Open in Technical</t>
  </si>
  <si>
    <t>Standard</t>
  </si>
  <si>
    <t>Indexable</t>
  </si>
  <si>
    <t>self</t>
  </si>
  <si>
    <t>https://africanmarketingconfederation.org/african-marketing-confederation-tourism-chapter</t>
  </si>
  <si>
    <t>https://africanmarketingconfederation.org/amc-conference-2022-thank-you</t>
  </si>
  <si>
    <t>https://africanmarketingconfederation.org/amc-conference-2022</t>
  </si>
  <si>
    <t>https://africanmarketingconfederation.org/about-us</t>
  </si>
  <si>
    <t>https://africanmarketingconfederation.org/amc-conference-2023</t>
  </si>
  <si>
    <t>https://africanmarketingconfederation.org/amc-conference-2023/amc-awards</t>
  </si>
  <si>
    <t>CONTENT HUB (DIAGNOSTIC): Edit Title, Meta, and H1–H6 in-place; health columns and On-Page score update live. | Use Elementor link for CMS edits. | Set Status to Completed when done. | NOTE: If images show '#BLOCKED!', enable external content in Excel security.</t>
  </si>
  <si>
    <t>Action Required</t>
  </si>
  <si>
    <t>On-Page Optimization Score</t>
  </si>
  <si>
    <t>SEO Score</t>
  </si>
  <si>
    <t>Technical Health</t>
  </si>
  <si>
    <t>Copy Score</t>
  </si>
  <si>
    <t>Assigned Owner</t>
  </si>
  <si>
    <t>URL Slug Normalization</t>
  </si>
  <si>
    <t>Proposed URL Slug</t>
  </si>
  <si>
    <t>Current Title</t>
  </si>
  <si>
    <t>Title Health</t>
  </si>
  <si>
    <t>Current Meta Desc</t>
  </si>
  <si>
    <t>Meta Health</t>
  </si>
  <si>
    <t>H1</t>
  </si>
  <si>
    <t>H1 Health</t>
  </si>
  <si>
    <t>H2</t>
  </si>
  <si>
    <t>H2 Health</t>
  </si>
  <si>
    <t>H3</t>
  </si>
  <si>
    <t>H3 Health</t>
  </si>
  <si>
    <t>H4</t>
  </si>
  <si>
    <t>H4 Health</t>
  </si>
  <si>
    <t>H5</t>
  </si>
  <si>
    <t>H5 Health</t>
  </si>
  <si>
    <t>H6</t>
  </si>
  <si>
    <t>H6 Health</t>
  </si>
  <si>
    <t>Elementor Builder Link</t>
  </si>
  <si>
    <t>Current OG-Image URL</t>
  </si>
  <si>
    <t>OG Image Preview</t>
  </si>
  <si>
    <t>African Marketing Confederation - Uniting Marketers for Excellence</t>
  </si>
  <si>
    <t>The African Marketing Confederation is the ground-breaking Pan-African body driving the development of top marketing standards across Africa and beyond.</t>
  </si>
  <si>
    <t>ABOUT The African Marketing Confederation</t>
  </si>
  <si>
    <t>The 2026 AMC Conference | Meets the Mighty Victoria Falls | 23-25 September | Livingstone, Zambia | Certified Professional Marketer (Africa) - CPM(A) | The designation where global marketing standards meet African realities</t>
  </si>
  <si>
    <t>about-us</t>
  </si>
  <si>
    <t>African Marketing Confederation – The Leading Marketing Professional Body – African Marketing Confederation</t>
  </si>
  <si>
    <t>ABOUT The African Marketing Confederation​ The African Marketing Confederation is the ground-breaking Pan African body of marketing professionals spearheading the ongoing development of the highest possible standards of marketing across Africa. Founded in 2011, the AMC is a collaboration between the African national marketing bodies and associations to exchange expertise and information, and to promote</t>
  </si>
  <si>
    <t>ABOUT The African Marketing Confederation​</t>
  </si>
  <si>
    <t>Helen McIntee | President and  Co-founder | David Balikuddembe | Secretary General</t>
  </si>
  <si>
    <t>African Marketing Confederation ​ PRESIDENT’S COUNCIL</t>
  </si>
  <si>
    <t>african-marketing-confederation-tourism-chapter</t>
  </si>
  <si>
    <t>African Marketing Confederation Tourism Chapter – African Marketing Confederation</t>
  </si>
  <si>
    <t>African Marketing Confederation Tourism Chapter Shaping Africa’s Tourism Narrative Through Strategic Marketing Tourism is one of Africa’s most powerful economic engines - generating jobs, stimulating investment, and fostering cultural exchange.The African Marketing Confederation is proud to launch the Tourism Chapter, a bold initiative to elevate African tourism through the lens of world-class marketing. Launched at the</t>
  </si>
  <si>
    <t>African Marketing Confederation Tourism Chapter</t>
  </si>
  <si>
    <t>Charting the Course: Purpose, Mission &amp; Vision for Africa’s Tourism Future | Our Goals and Objectives:</t>
  </si>
  <si>
    <t>Shaping Africa’s Tourism Narrative Through Strategic Marketing</t>
  </si>
  <si>
    <t>amc-awards-2024</t>
  </si>
  <si>
    <t>AMC Awards 2024 – African Marketing Confederation</t>
  </si>
  <si>
    <t>NOMINATIONS are Open ! AMC Awards The African Marketing Confederation Awards event is held annually as part of the African Marketing Confederation Forum. This distinguished event celebrates and acknowledges outstanding marketing campaigns and the visionary individuals behind them. The awards presented honor not only the groundbreaking strategies and creative brilliance that set these campaigns apart but</t>
  </si>
  <si>
    <t>NOMINATIONS are Open !</t>
  </si>
  <si>
    <t>Awards Categories | Tourism &amp; Destination Marketing Campaign | of the Year | Best Social Media Campaign</t>
  </si>
  <si>
    <t>amc-conference-2022</t>
  </si>
  <si>
    <t>AMC Conference 2022 – African Marketing Confederation</t>
  </si>
  <si>
    <t>corinna kopf onlyfans leaks AMC Conference 2022 Thank you for attending19 - 22 October 2022 The African Marketing Confederation's Annual Conference brought together the best collection of marketing leaders from top companies, marketing bodies and associations to share tactics and best practices on how to build the next generation of marketing. Event Highlights Thank you for Attending!</t>
  </si>
  <si>
    <t>AMC Conference 2022 | Event Highlights</t>
  </si>
  <si>
    <t>AMC officially welcomes new member associations into the fold | Marketers are placing the ads where consumers don’t want to see them | Time for Africa to control its own narrative and image, delegates told | Excitement as Ghana announced as host of 2025 AMC marketing conference</t>
  </si>
  <si>
    <t>amc-conference-2022-prospectus</t>
  </si>
  <si>
    <t>AMC Conference 2022 – Prospectus – African Marketing Confederation</t>
  </si>
  <si>
    <t>AMC Conference 2022 23 - 24 March 2022 Navigating Africa's Unique Marketing Mix BOOK NOW Days Hours Minutes Seconds download prospectus To download the AMC 2022 Conference Prospectus please complete the form below: First Name Last Name Email Mobile Company I've read and agree to the Privacy Policy BOOK NOW FOR THE AMC CONFERENCE 2022</t>
  </si>
  <si>
    <t>AMC Conference 2022 | download prospectus | BOOK NOW FOR THE AMC CONFERENCE 2022</t>
  </si>
  <si>
    <t>amc-conference-2022-thank-you</t>
  </si>
  <si>
    <t>AMC Conference 2022 – Thank You – African Marketing Confederation</t>
  </si>
  <si>
    <t>AMC Conference 2022 23 - 24 March 2022 Navigating Africa's Unique Marketing Mix ENQUIRE NOW Days Hours Minutes Seconds Success! Thank you for completing the enquiry form. Our team will contact you shortly! × Dismiss alert The AMC Conference is the must attend Pan African event for marketing professionals. It will focus on solutions for</t>
  </si>
  <si>
    <t>AMC Conference 2022 | WHO SHOULD ATTEND | Countries Participating</t>
  </si>
  <si>
    <t>South Africa | Nigeria | Morocco</t>
  </si>
  <si>
    <t>amc-conference-2023</t>
  </si>
  <si>
    <t>AMC Conference 2023 – African Marketing Confederation</t>
  </si>
  <si>
    <t>AMC Conference 6 - 9 September 2023 Imperial Botanical Beach Hotel, Entebbe, Uganda Thank you for joining us! View Presentations 2nd Annual African Marketing Confederation Conference Africa's $3.4 trillion Economy: Opportunities for Marketers Welcome to the Recap of the 2nd Annual African Marketing Conference: Unveiling Africa's $3.4 Trillion EconomyOur conference was a remarkable exploration of</t>
  </si>
  <si>
    <t>AMC Conference</t>
  </si>
  <si>
    <t>Africa's $3.4 trillion Economy: Opportunities for Marketers | Thank you for joining us! | Topics covered</t>
  </si>
  <si>
    <t>Africa Free Trade Area | Business Intelligence</t>
  </si>
  <si>
    <t>amc-awards</t>
  </si>
  <si>
    <t>AMC Awards – African Marketing Confederation</t>
  </si>
  <si>
    <t>AMC Awards Welcome to the prestigious African Marketing Confederation Awards, a distinguished event that celebrates and acknowledges the remarkable achievements, cutting-edge innovations, and exceptional leadership demonstrated by outstanding individuals within the dynamic realm of marketing across the expansive African region.During the 2nd Annual African Marketing Confederation Conference, held from 6th to 9th September at the</t>
  </si>
  <si>
    <t>AMC Awards</t>
  </si>
  <si>
    <t>AMC AWARD Winners</t>
  </si>
  <si>
    <t>amc-awards-book-now</t>
  </si>
  <si>
    <t>AMC Awards | Book Now – African Marketing Confederation</t>
  </si>
  <si>
    <t>MISSING DESCRIPTION</t>
  </si>
  <si>
    <t>Issue</t>
  </si>
  <si>
    <t>Affected URL Count</t>
  </si>
  <si>
    <t>Reference Area</t>
  </si>
  <si>
    <t>Stable Issue ID</t>
  </si>
  <si>
    <t>Affected URLs Sample</t>
  </si>
  <si>
    <t>Source Legacy Tab</t>
  </si>
  <si>
    <t>Source Row ID</t>
  </si>
  <si>
    <t>Open in Reference</t>
  </si>
  <si>
    <t>https://africanmarketingconfederation.org/amc-awards-2024 | https://africanmarketingconfederation.org/african-marketing-confederation-tourism-chapter | https://africanmarketingconfederation.org/ | https://africanmarketingconfederation.org/about-us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Full list: see Content &amp; AI Readiness tab</t>
  </si>
  <si>
    <t>Summary</t>
  </si>
  <si>
    <t>|| Full list: see Content &amp; AI Readiness tab</t>
  </si>
  <si>
    <t>Detailed rows: see Content &amp; AI Readiness tab</t>
  </si>
  <si>
    <t>Issue Counts</t>
  </si>
  <si>
    <t>|| Full list: see Technical Diagnostics / Link Intelligence tabs</t>
  </si>
  <si>
    <t>https://africanmarketingconfederation.org/amc-awards-2024 | https://africanmarketingconfederation.org/african-marketing-confederation-tourism-chapter | https://africanmarketingconfederation.org/ | https://africanmarketingconfederation.org/about-us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Full list: see Technical Diagnostics / Link Intelligence tabs</t>
  </si>
  <si>
    <t>https://africanmarketingconfederation.org/amc-conference-2022-prospectus | https://africanmarketingconfederation.org/amc-conference-2022-thank-you | https://africanmarketingconfederation.org/amc-conference-2022 | https://africanmarketingconfederation.org/amc-conference-2023/amc-awards-book-now || Full list: see Technical Diagnostics / Link Intelligence tabs</t>
  </si>
  <si>
    <t>https://africanmarketingconfederation.org/amc-awards-2024 | https://africanmarketingconfederation.org/african-marketing-confederation-tourism-chapter | https://africanmarketingconfederation.org/ || Full list: see Technical Diagnostics / Link Intelligence tabs</t>
  </si>
  <si>
    <t>https://africanmarketingconfederation.org/amc-conference-2023/amc-awards-book-now || Full list: see Technical Diagnostics / Link Intelligence tabs</t>
  </si>
  <si>
    <t>https://africanmarketingconfederation.org/ | https://africanmarketingconfederation.org/about-us | https://africanmarketingconfederation.org/amc-conference-2022-prospectus | https://africanmarketingconfederation.org/amc-conference-2022 | https://africanmarketingconfederation.org/amc-conference-2023/amc-awards-book-now || Full list: see Technical Diagnostics / Link Intelligence tabs</t>
  </si>
  <si>
    <t>https://africanmarketingconfederation.org/ || Full list: see Technical Diagnostics / Link Intelligence tabs</t>
  </si>
  <si>
    <t>Top 10 Critical URLs</t>
  </si>
  <si>
    <t>Top Issues by Template</t>
  </si>
  <si>
    <t>/amc-conference-2023/ -&gt; Low Image Alt Coverage</t>
  </si>
  <si>
    <t>Template &amp; Duplication Risks</t>
  </si>
  <si>
    <t>/amc-conference-2023/ -&gt; Low AEO Readiness Score</t>
  </si>
  <si>
    <t>/amc-conference-2023/ -&gt; No ETag Header</t>
  </si>
  <si>
    <t>/amc-conference-2023/ -&gt; No Question Headings</t>
  </si>
  <si>
    <t>/amc-conference-2023/ -&gt; No Answer-Friendly Structure</t>
  </si>
  <si>
    <t>/amc-conference-2023/ -&gt; No 40-60 Word Answer Paragraphs</t>
  </si>
  <si>
    <t>/amc-conference-2023/ -&gt; AI Crawlers Not Explicitly Allowed</t>
  </si>
  <si>
    <t>/amc-conference-2023/ -&gt; Missing Meta Description</t>
  </si>
  <si>
    <t>/amc-conference-2023/ -&gt; Missing H1</t>
  </si>
  <si>
    <t>/amc-conference-2023/ -&gt; Thin Content</t>
  </si>
  <si>
    <t>/amc-awards-2024/ -&gt; Multiple H1</t>
  </si>
  <si>
    <t>/amc-awards-2024/ -&gt; Low Image Alt Coverage</t>
  </si>
  <si>
    <t>/amc-awards-2024/ -&gt; Low AEO Readiness Score</t>
  </si>
  <si>
    <t>/amc-awards-2024/ -&gt; No ETag Header</t>
  </si>
  <si>
    <t>/amc-awards-2024/ -&gt; No Question Headings</t>
  </si>
  <si>
    <t>/amc-awards-2024/ -&gt; No Answer-Friendly Structure</t>
  </si>
  <si>
    <t>/amc-awards-2024/ -&gt; No 40-60 Word Answer Paragraphs</t>
  </si>
  <si>
    <t>/amc-awards-2024/ -&gt; AI Crawlers Not Explicitly Allowed</t>
  </si>
  <si>
    <t>/african-marketing-confederation-tourism-chapter/ -&gt; Multiple H1</t>
  </si>
  <si>
    <t>/african-marketing-confederation-tourism-chapter/ -&gt; Low Image Alt Coverage</t>
  </si>
  <si>
    <t>Issue Inventory</t>
  </si>
  <si>
    <t>https://africanmarketingconfederation.org/amc-awards-2024::multiple_h1</t>
  </si>
  <si>
    <t>IssueInventory</t>
  </si>
  <si>
    <t>https://africanmarketingconfederation.org/amc-awards-2024::low_image_alt_coverage</t>
  </si>
  <si>
    <t>https://africanmarketingconfederation.org/amc-awards-2024::low_aeo_readiness_score</t>
  </si>
  <si>
    <t>https://africanmarketingconfederation.org/amc-awards-2024::no_etag_header</t>
  </si>
  <si>
    <t>https://africanmarketingconfederation.org/amc-awards-2024::no_question_headings</t>
  </si>
  <si>
    <t>https://africanmarketingconfederation.org/amc-awards-2024::no_answer-friendly_structure</t>
  </si>
  <si>
    <t>https://africanmarketingconfederation.org/amc-awards-2024::no_40-60_word_answer_paragraphs</t>
  </si>
  <si>
    <t>https://africanmarketingconfederation.org/amc-awards-2024::ai_crawlers_not_explicitly_allowed</t>
  </si>
  <si>
    <t>https://africanmarketingconfederation.org/african-marketing-confederation-tourism-chapter::multiple_h1</t>
  </si>
  <si>
    <t>https://africanmarketingconfederation.org/african-marketing-confederation-tourism-chapter::low_image_alt_coverage</t>
  </si>
  <si>
    <t>https://africanmarketingconfederation.org/african-marketing-confederation-tourism-chapter::low_aeo_readiness_score</t>
  </si>
  <si>
    <t>https://africanmarketingconfederation.org/african-marketing-confederation-tourism-chapter::no_etag_header</t>
  </si>
  <si>
    <t>https://africanmarketingconfederation.org/african-marketing-confederation-tourism-chapter::no_question_headings</t>
  </si>
  <si>
    <t>https://africanmarketingconfederation.org/african-marketing-confederation-tourism-chapter::no_answer-friendly_structure</t>
  </si>
  <si>
    <t>https://africanmarketingconfederation.org/african-marketing-confederation-tourism-chapter::no_40-60_word_answer_paragraphs</t>
  </si>
  <si>
    <t>https://africanmarketingconfederation.org/african-marketing-confederation-tourism-chapter::ai_crawlers_not_explicitly_allowed</t>
  </si>
  <si>
    <t>https://africanmarketingconfederation.org/::multiple_h1</t>
  </si>
  <si>
    <t>https://africanmarketingconfederation.org/::low_image_alt_coverage</t>
  </si>
  <si>
    <t>https://africanmarketingconfederation.org/::low_aeo_readiness_score</t>
  </si>
  <si>
    <t>https://africanmarketingconfederation.org/::generic_anchor_text_present</t>
  </si>
  <si>
    <t>https://africanmarketingconfederation.org/::no_etag_header</t>
  </si>
  <si>
    <t>https://africanmarketingconfederation.org/::thin_content</t>
  </si>
  <si>
    <t>https://africanmarketingconfederation.org/::no_question_headings</t>
  </si>
  <si>
    <t>https://africanmarketingconfederation.org/::no_answer-friendly_structure</t>
  </si>
  <si>
    <t>https://africanmarketingconfederation.org/::no_40-60_word_answer_paragraphs</t>
  </si>
  <si>
    <t>https://africanmarketingconfederation.org/::ai_crawlers_not_explicitly_allowed</t>
  </si>
  <si>
    <t>https://africanmarketingconfederation.org/about-us::low_image_alt_coverage</t>
  </si>
  <si>
    <t>https://africanmarketingconfederation.org/about-us::low_aeo_readiness_score</t>
  </si>
  <si>
    <t>https://africanmarketingconfederation.org/about-us::no_etag_header</t>
  </si>
  <si>
    <t>https://africanmarketingconfederation.org/about-us::thin_content</t>
  </si>
  <si>
    <t>https://africanmarketingconfederation.org/about-us::no_question_headings</t>
  </si>
  <si>
    <t>https://africanmarketingconfederation.org/about-us::no_answer-friendly_structure</t>
  </si>
  <si>
    <t>https://africanmarketingconfederation.org/about-us::no_40-60_word_answer_paragraphs</t>
  </si>
  <si>
    <t>https://africanmarketingconfederation.org/about-us::ai_crawlers_not_explicitly_allowed</t>
  </si>
  <si>
    <t>https://africanmarketingconfederation.org/amc-conference-2022-prospectus::missing_h1</t>
  </si>
  <si>
    <t>https://africanmarketingconfederation.org/amc-conference-2022-prospectus::low_image_alt_coverage</t>
  </si>
  <si>
    <t>https://africanmarketingconfederation.org/amc-conference-2022-prospectus::low_aeo_readiness_score</t>
  </si>
  <si>
    <t>https://africanmarketingconfederation.org/amc-conference-2022-prospectus::no_etag_header</t>
  </si>
  <si>
    <t>https://africanmarketingconfederation.org/amc-conference-2022-prospectus::thin_content</t>
  </si>
  <si>
    <t>https://africanmarketingconfederation.org/amc-conference-2022-prospectus::no_question_headings</t>
  </si>
  <si>
    <t>https://africanmarketingconfederation.org/amc-conference-2022-prospectus::no_answer-friendly_structure</t>
  </si>
  <si>
    <t>https://africanmarketingconfederation.org/amc-conference-2022-prospectus::no_40-60_word_answer_paragraphs</t>
  </si>
  <si>
    <t>https://africanmarketingconfederation.org/amc-conference-2022-prospectus::ai_crawlers_not_explicitly_allowed</t>
  </si>
  <si>
    <t>https://africanmarketingconfederation.org/amc-conference-2022-thank-you::missing_h1</t>
  </si>
  <si>
    <t>https://africanmarketingconfederation.org/amc-conference-2022-thank-you::low_image_alt_coverage</t>
  </si>
  <si>
    <t>https://africanmarketingconfederation.org/amc-conference-2022-thank-you::low_aeo_readiness_score</t>
  </si>
  <si>
    <t>https://africanmarketingconfederation.org/amc-conference-2022-thank-you::no_etag_header</t>
  </si>
  <si>
    <t>https://africanmarketingconfederation.org/amc-conference-2022-thank-you::no_question_headings</t>
  </si>
  <si>
    <t>https://africanmarketingconfederation.org/amc-conference-2022-thank-you::no_answer-friendly_structure</t>
  </si>
  <si>
    <t>https://africanmarketingconfederation.org/amc-conference-2022-thank-you::no_40-60_word_answer_paragraphs</t>
  </si>
  <si>
    <t>https://africanmarketingconfederation.org/amc-conference-2022-thank-you::ai_crawlers_not_explicitly_allowed</t>
  </si>
  <si>
    <t>https://africanmarketingconfederation.org/amc-conference-2022::missing_h1</t>
  </si>
  <si>
    <t>https://africanmarketingconfederation.org/amc-conference-2022::low_image_alt_coverage</t>
  </si>
  <si>
    <t>https://africanmarketingconfederation.org/amc-conference-2022::low_aeo_readiness_score</t>
  </si>
  <si>
    <t>https://africanmarketingconfederation.org/amc-conference-2022::no_etag_header</t>
  </si>
  <si>
    <t>https://africanmarketingconfederation.org/amc-conference-2022::thin_content</t>
  </si>
  <si>
    <t>https://africanmarketingconfederation.org/amc-conference-2022::no_question_headings</t>
  </si>
  <si>
    <t>https://africanmarketingconfederation.org/amc-conference-2022::no_answer-friendly_structure</t>
  </si>
  <si>
    <t>https://africanmarketingconfederation.org/amc-conference-2022::no_40-60_word_answer_paragraphs</t>
  </si>
  <si>
    <t>https://africanmarketingconfederation.org/amc-conference-2022::ai_crawlers_not_explicitly_allowed</t>
  </si>
  <si>
    <t>https://africanmarketingconfederation.org/amc-conference-2023::low_image_alt_coverage</t>
  </si>
  <si>
    <t>https://africanmarketingconfederation.org/amc-conference-2023::low_aeo_readiness_score</t>
  </si>
  <si>
    <t>https://africanmarketingconfederation.org/amc-conference-2023::no_etag_header</t>
  </si>
  <si>
    <t>https://africanmarketingconfederation.org/amc-conference-2023::no_question_headings</t>
  </si>
  <si>
    <t>https://africanmarketingconfederation.org/amc-conference-2023::no_answer-friendly_structure</t>
  </si>
  <si>
    <t>https://africanmarketingconfederation.org/amc-conference-2023::no_40-60_word_answer_paragraphs</t>
  </si>
  <si>
    <t>https://africanmarketingconfederation.org/amc-conference-2023::ai_crawlers_not_explicitly_allowed</t>
  </si>
  <si>
    <t>https://africanmarketingconfederation.org/amc-conference-2023/amc-awards-book-now::missing_meta_description</t>
  </si>
  <si>
    <t>https://africanmarketingconfederation.org/amc-conference-2023/amc-awards-book-now::missing_h1</t>
  </si>
  <si>
    <t>https://africanmarketingconfederation.org/amc-conference-2023/amc-awards-book-now::low_image_alt_coverage</t>
  </si>
  <si>
    <t>https://africanmarketingconfederation.org/amc-conference-2023/amc-awards-book-now::low_aeo_readiness_score</t>
  </si>
  <si>
    <t>https://africanmarketingconfederation.org/amc-conference-2023/amc-awards-book-now::no_etag_header</t>
  </si>
  <si>
    <t>https://africanmarketingconfederation.org/amc-conference-2023/amc-awards-book-now::thin_content</t>
  </si>
  <si>
    <t>https://africanmarketingconfederation.org/amc-conference-2023/amc-awards-book-now::no_question_headings</t>
  </si>
  <si>
    <t>https://africanmarketingconfederation.org/amc-conference-2023/amc-awards-book-now::no_answer-friendly_structure</t>
  </si>
  <si>
    <t>https://africanmarketingconfederation.org/amc-conference-2023/amc-awards-book-now::no_40-60_word_answer_paragraphs</t>
  </si>
  <si>
    <t>https://africanmarketingconfederation.org/amc-conference-2023/amc-awards-book-now::ai_crawlers_not_explicitly_allowed</t>
  </si>
  <si>
    <t>https://africanmarketingconfederation.org/amc-conference-2023/amc-awards::low_image_alt_coverage</t>
  </si>
  <si>
    <t>https://africanmarketingconfederation.org/amc-conference-2023/amc-awards::low_aeo_readiness_score</t>
  </si>
  <si>
    <t>https://africanmarketingconfederation.org/amc-conference-2023/amc-awards::no_etag_header</t>
  </si>
  <si>
    <t>https://africanmarketingconfederation.org/amc-conference-2023/amc-awards::no_question_headings</t>
  </si>
  <si>
    <t>https://africanmarketingconfederation.org/amc-conference-2023/amc-awards::no_answer-friendly_structure</t>
  </si>
  <si>
    <t>https://africanmarketingconfederation.org/amc-conference-2023/amc-awards::no_40-60_word_answer_paragraphs</t>
  </si>
  <si>
    <t>https://africanmarketingconfederation.org/amc-conference-2023/amc-awards::ai_crawlers_not_explicitly_allowed</t>
  </si>
  <si>
    <t>Diagnostic Category</t>
  </si>
  <si>
    <t>Status Code</t>
  </si>
  <si>
    <t>Pass Flag</t>
  </si>
  <si>
    <t>Extraction State</t>
  </si>
  <si>
    <t>Extraction Source</t>
  </si>
  <si>
    <t>Redirect Chain Length</t>
  </si>
  <si>
    <t>Redirect Loop Flag</t>
  </si>
  <si>
    <t>Strict-Transport-Security</t>
  </si>
  <si>
    <t>Content-Security-Policy</t>
  </si>
  <si>
    <t>X-Content-Type-Options</t>
  </si>
  <si>
    <t>Desktop PSI Score</t>
  </si>
  <si>
    <t>Mobile PSI Score</t>
  </si>
  <si>
    <t>Mobile LCP (s)</t>
  </si>
  <si>
    <t>Mobile CLS</t>
  </si>
  <si>
    <t>Mobile TTFB (s)</t>
  </si>
  <si>
    <t>Final URL</t>
  </si>
  <si>
    <t>Canonical URL</t>
  </si>
  <si>
    <t>Meta Robots Raw</t>
  </si>
  <si>
    <t>X-Robots-Tag</t>
  </si>
  <si>
    <t>Technical | Indexability</t>
  </si>
  <si>
    <t>Non-Pass</t>
  </si>
  <si>
    <t>partial</t>
  </si>
  <si>
    <t>rendered_browser</t>
  </si>
  <si>
    <t>max-image-preview:large</t>
  </si>
  <si>
    <t>Content Category</t>
  </si>
  <si>
    <t>Word Count</t>
  </si>
  <si>
    <t>Readability (Rough Flesch)</t>
  </si>
  <si>
    <t>Thin Content Flag</t>
  </si>
  <si>
    <t>H1 Count</t>
  </si>
  <si>
    <t>Missing H1 Flag</t>
  </si>
  <si>
    <t>Meta Description Missing</t>
  </si>
  <si>
    <t>AEO Readiness Score</t>
  </si>
  <si>
    <t>AEO Badge</t>
  </si>
  <si>
    <t>Schema Types Count</t>
  </si>
  <si>
    <t>Schema Types Found</t>
  </si>
  <si>
    <t>Schema Parse Errors</t>
  </si>
  <si>
    <t>Question Heading Count</t>
  </si>
  <si>
    <t>FAQ Section Count</t>
  </si>
  <si>
    <t>Image Count</t>
  </si>
  <si>
    <t>Images Missing Alt</t>
  </si>
  <si>
    <t>Image Alt Coverage (%)</t>
  </si>
  <si>
    <t>AEO Extractability Score</t>
  </si>
  <si>
    <t>Title Missing</t>
  </si>
  <si>
    <t>Media Mixed Content Detected</t>
  </si>
  <si>
    <t>Content | AEO | Media</t>
  </si>
  <si>
    <t>Needs Work</t>
  </si>
  <si>
    <t>Record Type</t>
  </si>
  <si>
    <t>Target URL</t>
  </si>
  <si>
    <t>Anchor Text</t>
  </si>
  <si>
    <t>Target Status (if crawled)</t>
  </si>
  <si>
    <t>Crawlable</t>
  </si>
  <si>
    <t>Internal Links Count</t>
  </si>
  <si>
    <t>Unresolved Internal Links Count</t>
  </si>
  <si>
    <t>External Links Count</t>
  </si>
  <si>
    <t>Inlinks Count</t>
  </si>
  <si>
    <t>Orphan Candidate</t>
  </si>
  <si>
    <t>Click Depth</t>
  </si>
  <si>
    <t>Internal PageRank</t>
  </si>
  <si>
    <t>Generic Anchor Text Count</t>
  </si>
  <si>
    <t>Nofollow Internal Links Count</t>
  </si>
  <si>
    <t>Nofollow External Links Count</t>
  </si>
  <si>
    <t>Internal Link Statuses</t>
  </si>
  <si>
    <t>https://africanmarketingconfederation.org/amc-conference-2025 =&gt; 200 | https://africanmarketingconfederation.org/amc-conference-2025-delegate-packages =&gt; 404 | https://africanmarketingconfederation.org/amc-marketing-conference-2024/amc-programme-2025 =&gt; 200 | https://africanmarketingconfederation.org/amc-marketing-conference-2024/awards-2025 =&gt; 200 | https://africanmarketingconfederation.org/amc-sponsors-2025 =&gt; 200 | https://africanmarketingconfederation.org/conference-faq-2025 =&gt; 200 | https://africanmarketingconfederation.org/privacy-policy =&gt; 200 | https://africanmarketingconfederation.org/publications-2 =&gt; 200 | https://africanmarketingconfederation.org/speakers-2025 =&gt; 200</t>
  </si>
  <si>
    <t>Links</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</si>
  <si>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https://africanmarketingconfederation.org/amc-conference-2025-highlights =&gt; 200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</si>
  <si>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https://africanmarketingconfederation.org/amc-conference-2025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https://africanmarketingconfederation.org/cost-of-groceries-the-primary-worry-for-almost-half-of-sa-consumers =&gt; 200 | https://africanmarketingconfederation.org/cracking-the-africa-code-the-functional-path-to-market-leadership =&gt; 200 | https://africanmarketingconfederation.org/education =&gt; 200 | https://africanmarketingconfederation.org/lays-world-cup-marketing-strategy-focuses-on-fan-fun-and-togetherness =&gt; 200 | https://africanmarketingconfederation.org/members =&gt; 200 | https://africanmarketingconfederation.org/national-foods-holdings-expands-food-processing-capacity-in-zimbabwe =&gt; 200 | https://africanmarketingconfederation.org/news-articles =&gt; 200 | https://africanmarketingconfederation.org/privacy-policy =&gt; 200 | https://africanmarketingconfederation.org/publications-2 =&gt; 200 | https://africanmarketingconfederation.org/social-media-overtakes-television-as-main-source-of-news-for-kenyans =&gt; 200 | https://africanmarketingconfederation.org/sub-committees =&gt; 200 | https://africanmarketingconfederation.org/subscribe =&gt; 200 | https://africanmarketingconfederation.org/traceability-giving-africa-a-marketing-edge-the-world-can-audit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</si>
  <si>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</si>
  <si>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 | https://africanmarketingconfederation.org/wp-content/uploads/2021/11/AMC-2022_Prospectus-low-res.pdf =&gt; 404</t>
  </si>
  <si>
    <t>https://africanmarketingconfederation.org/ =&gt; 200 | https://africanmarketingconfederation.org/2024-amc-awards-recognise-marketing-excellence-from-the-continent =&gt; 200 | https://africanmarketingconfederation.org/about-us =&gt; 200 | https://africanmarketingconfederation.org/african-marketing-confederation-tourism-chapter =&gt; 200 | https://africanmarketingconfederation.org/amc-conference-2025 =&gt; 200 | https://africanmarketingconfederation.org/amc-conference-2025-delegate-packages =&gt; 404 | https://africanmarketingconfederation.org/amc-conference-2026 =&gt; 200 | https://africanmarketingconfederation.org/amc-marketing-conference-2024/amc-programme-2025 =&gt; 200 | https://africanmarketingconfederation.org/amc-marketing-conference-2024/awards-2025 =&gt; 200 | https://africanmarketingconfederation.org/amc-officially-welcomes-new-member-associations-into-the-fold =&gt; 200 | https://africanmarketingconfederation.org/amc-sponsors-2025 =&gt; 200 | https://africanmarketingconfederation.org/certified-professional-marketer-africa =&gt; 200 | https://africanmarketingconfederation.org/chartered-marketer-africa =&gt; 200 | https://africanmarketingconfederation.org/conference-faq-2025 =&gt; 200 | https://africanmarketingconfederation.org/contact-us =&gt; 200 | https://africanmarketingconfederation.org/education =&gt; 200 | https://africanmarketingconfederation.org/excitement-as-ghana-announced-as-host-of-2025-amc-marketing-conference =&gt; 200 | https://africanmarketingconfederation.org/how-a-bold-strategy-saved-kiwi-marketing-association-from-extinction =&gt; 200 | https://africanmarketingconfederation.org/marketers-are-placing-the-ads-where-consumers-dont-want-to-see-them =&gt; 200 | https://africanmarketingconfederation.org/members =&gt; 200 | https://africanmarketingconfederation.org/news-articles =&gt; 200 | https://africanmarketingconfederation.org/privacy-policy =&gt; 200 | https://africanmarketingconfederation.org/publications-2 =&gt; 200 | https://africanmarketingconfederation.org/speakers-2025 =&gt; 200 | https://africanmarketingconfederation.org/sub-committees =&gt; 200 | https://africanmarketingconfederation.org/time-for-africa-to-control-its-own-narrative-and-image-delegates-told =&gt; 200 | https://africanmarketingconfederation.org/wp-content/uploads/2022/10/EA2A2394-scaled.jpg =&gt; 200 | https://africanmarketingconfederation.org/wp-content/uploads/2022/10/EA2A2427-scaled.jpg =&gt; 200 | https://africanmarketingconfederation.org/wp-content/uploads/2022/10/EA2A2487-scaled.jpg =&gt; 200 | https://africanmarketingconfederation.org/wp-content/uploads/2022/10/EA2A2512-scaled.jpg =&gt; 200 | https://africanmarketingconfederation.org/wp-content/uploads/2022/10/EA2A2525-scaled.jpg =&gt; 200 | https://africanmarketingconfederation.org/wp-content/uploads/2022/10/EA2A2527-scaled.jpg =&gt; 200 | https://africanmarketingconfederation.org/wp-content/uploads/2022/10/EA2A2536-scaled.jpg =&gt; 200 | https://africanmarketingconfederation.org/wp-content/uploads/2022/10/EA2A2999-scaled.jpg =&gt; 200 | https://africanmarketingconfederation.org/wp-content/uploads/2022/10/EA2A3057-scaled.jpg =&gt; 200 | https://africanmarketingconfederation.org/wp-content/uploads/2022/10/EA2A3111-scaled.jpg =&gt; 200 | https://africanmarketingconfederation.org/wp-content/uploads/2022/10/EA2A3195-scaled.jpg =&gt; 200 | https://africanmarketingconfederation.org/wp-content/uploads/2022/10/EA2A3198-scaled.jpg =&gt; 200 | https://africanmarketingconfederation.org/wp-content/uploads/2022/10/EA2A3217-scaled.jpg =&gt; 200 | https://africanmarketingconfederation.org/wp-content/uploads/2022/10/EA2A3254-scaled.jpg =&gt; 200 | https://africanmarketingconfederation.org/wp-content/uploads/2022/10/EA2A3268-scaled.jpg =&gt; 200 | https://africanmarketingconfederation.org/wp-content/uploads/2022/10/EA2A3293-scaled.jpg =&gt; 200 | https://africanmarketingconfederation.org/wp-content/uploads/2022/10/EA2A3369-scaled.jpg =&gt; 200 | https://africanmarketingconfederation.org/wp-content/uploads/2022/10/EA2A3396-scaled.jpg =&gt; 200 | https://africanmarketingconfederation.org/wp-content/uploads/2022/10/EA2A3485-scaled.jpg =&gt; 200 | https://africanmarketingconfederation.org/wp-content/uploads/2022/10/EA2A3505-scaled.jpg =&gt; 200 | https://africanmarketingconfederation.org/wp-content/uploads/2022/10/EA2A3816-scaled.jpg =&gt; 200 | https://africanmarketingconfederation.org/wp-content/uploads/2022/10/EA2A3869-scaled.jpg =&gt; 200 | https://africanmarketingconfederation.org/wp-content/uploads/2022/10/EA2A3879-scaled.jpg =&gt; 200 | https://africanmarketingconfederation.org/wp-content/uploads/2022/10/EA2A3892-scaled.jpg =&gt; 200 | https://africanmarketingconfederation.org/wp-content/uploads/2022/10/EA2A3922-scaled.jpg =&gt; 200 | https://africanmarketingconfederation.org/wp-content/uploads/2022/10/EA2A3930-scaled.jpg =&gt; 200 | https://africanmarketingconfederation.org/wp-content/uploads/2022/10/EA2A3936-scaled.jpg =&gt; 200 | https://africanmarketingconfederation.org/wp-content/uploads/2022/10/EA2A4027-scaled.jpg =&gt; 200 | https://africanmarketingconfederation.org/wp-content/uploads/2022/10/EA2A4067-scaled.jpg =&gt; 200 | https://africanmarketingconfederation.org/wp-content/uploads/2022/10/EA2A4121-scaled.jpg =&gt; 200 | https://africanmarketingconfederation.org/wp-content/uploads/2022/10/EA2A4137-scaled.jpg =&gt; 200 | https://africanmarketingconfederation.org/wp-content/uploads/2022/10/IMG_0031-scaled.jpg =&gt; 200 | https://africanmarketingconfederation.org/wp-content/uploads/2022/10/IMG_9698-scaled.jpg =&gt; 200 | https://africanmarketingconfederation.org/wp-content/uploads/2022/10/IMG_9719-scaled.jpg =&gt; 200 | https://africanmarketingconfederation.org/wp-content/uploads/2022/10/IMG_9758-scaled.jpg =&gt; 200 | https://africanmarketingconfederation.org/wp-content/uploads/2022/10/IMG_9953-scaled.jpg =&gt; 200 | https://africanmarketingconfederation.org/wp-content/uploads/2022/10/IMG_9964-scaled.jpg =&gt; 200 | https://africanmarketingconfederation.org/wp-content/uploads/2022/10/IMG_9985-scaled.jpg =&gt; 200</t>
  </si>
  <si>
    <t>https://africanmarketingconfederation.org/amc-conference-2023/gallery =&gt; 200 | https://africanmarketingconfederation.org/amc-conference-2023/programme =&gt; 200 | https://africanmarketingconfederation.org/amc-conference-2023/speakers =&gt; 200 | https://africanmarketingconfederation.org/amc-conference-2025 =&gt; 200 | https://africanmarketingconfederation.org/amc-conference-2025-delegate-packages =&gt; 404 | https://africanmarketingconfederation.org/amc-marketing-conference-2024/amc-programme-2025 =&gt; 200 | https://africanmarketingconfederation.org/amc-marketing-conference-2024/awards-2025 =&gt; 200 | https://africanmarketingconfederation.org/amc-sponsors-2025 =&gt; 200 | https://africanmarketingconfederation.org/calendar_events =&gt; 404 | https://africanmarketingconfederation.org/conference-faq-2025 =&gt; 200 | https://africanmarketingconfederation.org/privacy-policy =&gt; 200 | https://africanmarketingconfederation.org/publications-2 =&gt; 200 | https://africanmarketingconfederation.org/speakers-2025 =&gt; 200 | https://africanmarketingconfederation.org/wp-content/uploads/2023/09/AMC-TICON-0164.jpg =&gt; 200 | https://africanmarketingconfederation.org/wp-content/uploads/2023/09/AMC-TICON-1113.jpg =&gt; 200 | https://africanmarketingconfederation.org/wp-content/uploads/2023/09/AMC-TICON-1127.jpg =&gt; 200 | https://africanmarketingconfederation.org/wp-content/uploads/2023/09/AMC-Ticon-00246.jpg =&gt; 200 | https://africanmarketingconfederation.org/wp-content/uploads/2023/09/AMC-Ticon-00449.jpg =&gt; 200 | https://africanmarketingconfederation.org/wp-content/uploads/2023/09/AMC-Ticon-00481.jpg =&gt; 200 | https://africanmarketingconfederation.org/wp-content/uploads/2023/09/AMC-Ticon-00638.jpg =&gt; 200 | https://africanmarketingconfederation.org/wp-content/uploads/2023/09/AMC-Ticon-00682.jpg =&gt; 200 | https://africanmarketingconfederation.org/wp-content/uploads/2023/09/AMC-Ticon-00742.jpg =&gt; 200 | https://africanmarketingconfederation.org/wp-content/uploads/2023/09/AMC-Ticon-01128.jpg =&gt; 200 | https://africanmarketingconfederation.org/wp-content/uploads/2023/09/AMC-Ticon-01363.jpg =&gt; 200 | https://africanmarketingconfederation.org/wp-content/uploads/2023/09/AMC-Ticon-01409.jpg =&gt; 200 | https://africanmarketingconfederation.org/wp-content/uploads/2023/09/AMC-Ticon-01476.jpg =&gt; 200 | https://africanmarketingconfederation.org/wp-content/uploads/2023/09/AMC-Ticon-01530.jpg =&gt; 200 | https://africanmarketingconfederation.org/wp-content/uploads/2023/09/AMC-Ticon-01616.jpg =&gt; 200 | https://africanmarketingconfederation.org/wp-content/uploads/2023/09/AMC-Ticon-02950-1.jpg =&gt; 200 | https://africanmarketingconfederation.org/wp-content/uploads/2023/09/AMC-Ticon-03063.jpg =&gt; 200 | https://africanmarketingconfederation.org/wp-content/uploads/2023/09/AMC-Ticon-09823.jpg =&gt; 200 | https://africanmarketingconfederation.org/wp-content/uploads/2023/09/AMC-Ticon-09825.jpg =&gt; 200 | https://africanmarketingconfederation.org/wp-content/uploads/2023/09/AMC-Ticon-09953.jpg =&gt; 200</t>
  </si>
  <si>
    <t>https://africanmarketingconfederation.org/ =&gt; 200 | https://africanmarketingconfederation.org/amc-conference-2023 =&gt; 200 | https://africanmarketingconfederation.org/amc-conference-2023/amc-awards =&gt; 200 | https://africanmarketingconfederation.org/amc-conference-2023/gallery =&gt; 200 | https://africanmarketingconfederation.org/amc-conference-2023/partners =&gt; 200 | https://africanmarketingconfederation.org/amc-conference-2023/programme =&gt; 200 | https://africanmarketingconfederation.org/amc-conference-2023/speakers =&gt; 200 | https://africanmarketingconfederation.org/amc-conference-2025-delegate-packages =&gt; 404 | https://africanmarketingconfederation.org/privacy-policy =&gt; 200 | https://africanmarketingconfederation.org/publications-2 =&gt; 200</t>
  </si>
  <si>
    <t>Detail</t>
  </si>
  <si>
    <t>http://www.africanmarketingconfederation.org/</t>
  </si>
  <si>
    <t>LinksDetail</t>
  </si>
  <si>
    <t>https://africanmarketingconfederation.org/amc-conference-2025</t>
  </si>
  <si>
    <t>GHANA 2025</t>
  </si>
  <si>
    <t>https://africanmarketingconfederation.org/speakers-2025</t>
  </si>
  <si>
    <t>SPEAKERS 2025</t>
  </si>
  <si>
    <t>https://africanmarketingconfederation.org/amc-marketing-conference-2024/amc-programme-2025</t>
  </si>
  <si>
    <t>AMC PROGRAMME 2025</t>
  </si>
  <si>
    <t>https://africanmarketingconfederation.org/amc-marketing-conference-2024/awards-2025</t>
  </si>
  <si>
    <t>AWARDS 2025</t>
  </si>
  <si>
    <t>https://africanmarketingconfederation.org/amc-sponsors-2025</t>
  </si>
  <si>
    <t>SPONSORS 2025</t>
  </si>
  <si>
    <t>https://africanmarketingconfederation.org/conference-faq-2025</t>
  </si>
  <si>
    <t>FAQ 2025</t>
  </si>
  <si>
    <t>https://africanmarketingconfederation.org/publications-2</t>
  </si>
  <si>
    <t>Strategic Marketing for Africa Magazine</t>
  </si>
  <si>
    <t>https://www.facebook.com/The-African-Marketing-Confederation-108980418182403</t>
  </si>
  <si>
    <t>https://www.linkedin.com/company/african-marketing-confederation</t>
  </si>
  <si>
    <t>https://twitter.com/connect_amc</t>
  </si>
  <si>
    <t>https://africanmarketingconfederation.org/privacy-policy</t>
  </si>
  <si>
    <t>© 2021 by African Marketing Confederation | Privacy Policy</t>
  </si>
  <si>
    <t>https://africanmarketingconfederation.org/amc-conference-2025-delegate-packages</t>
  </si>
  <si>
    <t>Return to Shop</t>
  </si>
  <si>
    <t>Continue Shopping</t>
  </si>
  <si>
    <t>HOME</t>
  </si>
  <si>
    <t>ABOUT US</t>
  </si>
  <si>
    <t>https://africanmarketingconfederation.org/sub-committees</t>
  </si>
  <si>
    <t>AMC COMMITTEES</t>
  </si>
  <si>
    <t>https://africanmarketingconfederation.org/members</t>
  </si>
  <si>
    <t>MEMBERS</t>
  </si>
  <si>
    <t>TOURISM CHAPTER</t>
  </si>
  <si>
    <t>https://africanmarketingconfederation.org/education</t>
  </si>
  <si>
    <t>EDUCATION</t>
  </si>
  <si>
    <t>https://africanmarketingconfederation.org/chartered-marketer-africa</t>
  </si>
  <si>
    <t>CHARTERED MARKETER (AFRICA)</t>
  </si>
  <si>
    <t>https://africanmarketingconfederation.org/certified-professional-marketer-africa</t>
  </si>
  <si>
    <t>CPM(A)</t>
  </si>
  <si>
    <t>https://africanmarketingconfederation.org/news-articles</t>
  </si>
  <si>
    <t>NEWS &amp; PUBLICATIONS</t>
  </si>
  <si>
    <t>NEWS ARTICLES</t>
  </si>
  <si>
    <t>PUBLICATIONS</t>
  </si>
  <si>
    <t>https://africanmarketingconfederation.org/amc-conference-2026</t>
  </si>
  <si>
    <t>https://africanmarketingconfederation.org/contact-us</t>
  </si>
  <si>
    <t>CONTACT US</t>
  </si>
  <si>
    <t>https://africanmarketingconfederation.org/amc-conference-2025-highlights</t>
  </si>
  <si>
    <t>2025 Conference Highlights</t>
  </si>
  <si>
    <t>© 2026 by African Marketing Confederation | Privacy Policy</t>
  </si>
  <si>
    <t>Sign Up for Updates</t>
  </si>
  <si>
    <t>Learn More</t>
  </si>
  <si>
    <t>Read Now</t>
  </si>
  <si>
    <t>Sign Up for Updates Now</t>
  </si>
  <si>
    <t>See all Events</t>
  </si>
  <si>
    <t>See all</t>
  </si>
  <si>
    <t>Read More</t>
  </si>
  <si>
    <t>https://africanmarketingconfederation.org/subscribe</t>
  </si>
  <si>
    <t>Subscribe</t>
  </si>
  <si>
    <t>https://africanmarketingconfederation.org/lays-world-cup-marketing-strategy-focuses-on-fan-fun-and-togetherness</t>
  </si>
  <si>
    <t>Lay’s World Cup marketing strategy focuses on fan fun and togetherness</t>
  </si>
  <si>
    <t>Read More »</t>
  </si>
  <si>
    <t>https://africanmarketingconfederation.org/cost-of-groceries-the-primary-worry-for-almost-half-of-sa-consumers</t>
  </si>
  <si>
    <t>Cost of groceries the primary worry for almost half of SA consumers</t>
  </si>
  <si>
    <t>https://africanmarketingconfederation.org/social-media-overtakes-television-as-main-source-of-news-for-kenyans</t>
  </si>
  <si>
    <t>Social media overtakes television as main source of news for Kenyans</t>
  </si>
  <si>
    <t>https://africanmarketingconfederation.org/national-foods-holdings-expands-food-processing-capacity-in-zimbabwe</t>
  </si>
  <si>
    <t>National Foods Holdings expands food-processing capacity in Zimbabwe</t>
  </si>
  <si>
    <t>https://africanmarketingconfederation.org/cracking-the-africa-code-the-functional-path-to-market-leadership</t>
  </si>
  <si>
    <t>Cracking the Africa Code: The functional path to market leadership</t>
  </si>
  <si>
    <t>https://africanmarketingconfederation.org/traceability-giving-africa-a-marketing-edge-the-world-can-audit</t>
  </si>
  <si>
    <t>Traceability: Giving Africa a marketing edge the world can audit</t>
  </si>
  <si>
    <t>View all articles »</t>
  </si>
  <si>
    <t>https://www.linkedin.com/in/helen-mcintee-780347a</t>
  </si>
  <si>
    <t>Linkedin</t>
  </si>
  <si>
    <t>https://www.linkedin.com/in/david-balikuddembe-chartered-marketer-99899525?originalSubdomain=ug</t>
  </si>
  <si>
    <t>https://www.linkedin.com/in/nigel-tattersall-72a0771a8</t>
  </si>
  <si>
    <t>https://www.linkedin.com/in/irene-gregory-aa058811</t>
  </si>
  <si>
    <t>https://www.linkedin.com/in/kwabena-agyekum-60150832</t>
  </si>
  <si>
    <t>Read More About Our Members</t>
  </si>
  <si>
    <t>https://www.formpl.us/form/2082446005</t>
  </si>
  <si>
    <t>BOOK NOW</t>
  </si>
  <si>
    <t>Privacy Policy</t>
  </si>
  <si>
    <t>https://africanmarketingconfederation.org/wp-content/uploads/2021/11/AMC-2022_Prospectus-low-res.pdf</t>
  </si>
  <si>
    <t>Download the Partnership Prospectus</t>
  </si>
  <si>
    <t>https://africanmarketingconfederation.org/amc-officially-welcomes-new-member-associations-into-the-fold</t>
  </si>
  <si>
    <t>AMC officially welcomes new member associations into the fold</t>
  </si>
  <si>
    <t>https://africanmarketingconfederation.org/marketers-are-placing-the-ads-where-consumers-dont-want-to-see-them</t>
  </si>
  <si>
    <t>Marketers are placing the ads where consumers don’t want to see them</t>
  </si>
  <si>
    <t>https://africanmarketingconfederation.org/time-for-africa-to-control-its-own-narrative-and-image-delegates-told</t>
  </si>
  <si>
    <t>Time for Africa to control its own narrative and image, delegates told</t>
  </si>
  <si>
    <t>https://africanmarketingconfederation.org/excitement-as-ghana-announced-as-host-of-2025-amc-marketing-conference</t>
  </si>
  <si>
    <t>Excitement as Ghana announced as host of 2025 AMC marketing conference</t>
  </si>
  <si>
    <t>https://africanmarketingconfederation.org/2024-amc-awards-recognise-marketing-excellence-from-the-continent</t>
  </si>
  <si>
    <t>2024 AMC Awards recognise marketing excellence from the continent</t>
  </si>
  <si>
    <t>https://africanmarketingconfederation.org/how-a-bold-strategy-saved-kiwi-marketing-association-from-extinction</t>
  </si>
  <si>
    <t>How a bold strategy saved Kiwi marketing association from extinction</t>
  </si>
  <si>
    <t>https://africanmarketingconfederation.org/wp-content/uploads/2022/10/EA2A4027-scaled.jpg</t>
  </si>
  <si>
    <t>https://africanmarketingconfederation.org/wp-content/uploads/2022/10/EA2A4067-scaled.jpg</t>
  </si>
  <si>
    <t>https://africanmarketingconfederation.org/wp-content/uploads/2022/10/EA2A4121-scaled.jpg</t>
  </si>
  <si>
    <t>https://africanmarketingconfederation.org/wp-content/uploads/2022/10/EA2A4137-scaled.jpg</t>
  </si>
  <si>
    <t>https://africanmarketingconfederation.org/wp-content/uploads/2022/10/IMG_0031-scaled.jpg</t>
  </si>
  <si>
    <t>https://africanmarketingconfederation.org/wp-content/uploads/2022/10/IMG_9698-scaled.jpg</t>
  </si>
  <si>
    <t>https://africanmarketingconfederation.org/wp-content/uploads/2022/10/IMG_9719-scaled.jpg</t>
  </si>
  <si>
    <t>https://africanmarketingconfederation.org/wp-content/uploads/2022/10/IMG_9758-scaled.jpg</t>
  </si>
  <si>
    <t>https://africanmarketingconfederation.org/wp-content/uploads/2022/10/IMG_9953-scaled.jpg</t>
  </si>
  <si>
    <t>https://africanmarketingconfederation.org/wp-content/uploads/2022/10/IMG_9964-scaled.jpg</t>
  </si>
  <si>
    <t>https://africanmarketingconfederation.org/wp-content/uploads/2022/10/IMG_9985-scaled.jpg</t>
  </si>
  <si>
    <t>https://africanmarketingconfederation.org/wp-content/uploads/2022/10/EA2A2394-scaled.jpg</t>
  </si>
  <si>
    <t>https://africanmarketingconfederation.org/wp-content/uploads/2022/10/EA2A2427-scaled.jpg</t>
  </si>
  <si>
    <t>https://africanmarketingconfederation.org/wp-content/uploads/2022/10/EA2A2487-scaled.jpg</t>
  </si>
  <si>
    <t>https://africanmarketingconfederation.org/wp-content/uploads/2022/10/EA2A2512-scaled.jpg</t>
  </si>
  <si>
    <t>https://africanmarketingconfederation.org/wp-content/uploads/2022/10/EA2A2525-scaled.jpg</t>
  </si>
  <si>
    <t>https://africanmarketingconfederation.org/wp-content/uploads/2022/10/EA2A2527-scaled.jpg</t>
  </si>
  <si>
    <t>https://africanmarketingconfederation.org/wp-content/uploads/2022/10/EA2A2536-scaled.jpg</t>
  </si>
  <si>
    <t>https://africanmarketingconfederation.org/wp-content/uploads/2022/10/EA2A2999-scaled.jpg</t>
  </si>
  <si>
    <t>https://africanmarketingconfederation.org/wp-content/uploads/2022/10/EA2A3057-scaled.jpg</t>
  </si>
  <si>
    <t>https://africanmarketingconfederation.org/wp-content/uploads/2022/10/EA2A3111-scaled.jpg</t>
  </si>
  <si>
    <t>https://africanmarketingconfederation.org/wp-content/uploads/2022/10/EA2A3195-scaled.jpg</t>
  </si>
  <si>
    <t>https://africanmarketingconfederation.org/wp-content/uploads/2022/10/EA2A3198-scaled.jpg</t>
  </si>
  <si>
    <t>https://africanmarketingconfederation.org/wp-content/uploads/2022/10/EA2A3217-scaled.jpg</t>
  </si>
  <si>
    <t>https://africanmarketingconfederation.org/wp-content/uploads/2022/10/EA2A3254-scaled.jpg</t>
  </si>
  <si>
    <t>https://africanmarketingconfederation.org/wp-content/uploads/2022/10/EA2A3268-scaled.jpg</t>
  </si>
  <si>
    <t>https://africanmarketingconfederation.org/wp-content/uploads/2022/10/EA2A3293-scaled.jpg</t>
  </si>
  <si>
    <t>https://africanmarketingconfederation.org/wp-content/uploads/2022/10/EA2A3369-scaled.jpg</t>
  </si>
  <si>
    <t>https://africanmarketingconfederation.org/wp-content/uploads/2022/10/EA2A3396-scaled.jpg</t>
  </si>
  <si>
    <t>https://africanmarketingconfederation.org/wp-content/uploads/2022/10/EA2A3485-scaled.jpg</t>
  </si>
  <si>
    <t>https://africanmarketingconfederation.org/wp-content/uploads/2022/10/EA2A3505-scaled.jpg</t>
  </si>
  <si>
    <t>https://africanmarketingconfederation.org/wp-content/uploads/2022/10/EA2A3816-scaled.jpg</t>
  </si>
  <si>
    <t>https://africanmarketingconfederation.org/wp-content/uploads/2022/10/EA2A3869-scaled.jpg</t>
  </si>
  <si>
    <t>https://africanmarketingconfederation.org/wp-content/uploads/2022/10/EA2A3879-scaled.jpg</t>
  </si>
  <si>
    <t>https://africanmarketingconfederation.org/wp-content/uploads/2022/10/EA2A3892-scaled.jpg</t>
  </si>
  <si>
    <t>https://africanmarketingconfederation.org/wp-content/uploads/2022/10/EA2A3922-scaled.jpg</t>
  </si>
  <si>
    <t>https://africanmarketingconfederation.org/wp-content/uploads/2022/10/EA2A3930-scaled.jpg</t>
  </si>
  <si>
    <t>https://africanmarketingconfederation.org/wp-content/uploads/2022/10/EA2A3936-scaled.jpg</t>
  </si>
  <si>
    <t>https://africanmarketingconfederation.org/amc-conference-2023/programme</t>
  </si>
  <si>
    <t>View Presentations</t>
  </si>
  <si>
    <t>https://africanmarketingconfederation.org/wp-content/uploads/2023/09/AMC-Ticon-01530.jpg</t>
  </si>
  <si>
    <t>https://africanmarketingconfederation.org/wp-content/uploads/2023/09/AMC-Ticon-01476.jpg</t>
  </si>
  <si>
    <t>https://africanmarketingconfederation.org/wp-content/uploads/2023/09/AMC-Ticon-01409.jpg</t>
  </si>
  <si>
    <t>https://africanmarketingconfederation.org/wp-content/uploads/2023/09/AMC-Ticon-01363.jpg</t>
  </si>
  <si>
    <t>https://africanmarketingconfederation.org/wp-content/uploads/2023/09/AMC-Ticon-00481.jpg</t>
  </si>
  <si>
    <t>https://africanmarketingconfederation.org/wp-content/uploads/2023/09/AMC-Ticon-00449.jpg</t>
  </si>
  <si>
    <t>https://africanmarketingconfederation.org/wp-content/uploads/2023/09/AMC-Ticon-00246.jpg</t>
  </si>
  <si>
    <t>https://africanmarketingconfederation.org/wp-content/uploads/2023/09/AMC-Ticon-09825.jpg</t>
  </si>
  <si>
    <t>https://africanmarketingconfederation.org/wp-content/uploads/2023/09/AMC-Ticon-09823.jpg</t>
  </si>
  <si>
    <t>https://africanmarketingconfederation.org/wp-content/uploads/2023/09/AMC-Ticon-03063.jpg</t>
  </si>
  <si>
    <t>https://africanmarketingconfederation.org/wp-content/uploads/2023/09/AMC-Ticon-02950-1.jpg</t>
  </si>
  <si>
    <t>https://africanmarketingconfederation.org/wp-content/uploads/2023/09/AMC-TICON-1127.jpg</t>
  </si>
  <si>
    <t>https://africanmarketingconfederation.org/wp-content/uploads/2023/09/AMC-Ticon-01128.jpg</t>
  </si>
  <si>
    <t>https://africanmarketingconfederation.org/wp-content/uploads/2023/09/AMC-TICON-1113.jpg</t>
  </si>
  <si>
    <t>https://africanmarketingconfederation.org/wp-content/uploads/2023/09/AMC-Ticon-00742.jpg</t>
  </si>
  <si>
    <t>https://africanmarketingconfederation.org/wp-content/uploads/2023/09/AMC-Ticon-00682.jpg</t>
  </si>
  <si>
    <t>https://africanmarketingconfederation.org/wp-content/uploads/2023/09/AMC-Ticon-00638.jpg</t>
  </si>
  <si>
    <t>https://africanmarketingconfederation.org/wp-content/uploads/2023/09/AMC-Ticon-09953.jpg</t>
  </si>
  <si>
    <t>https://africanmarketingconfederation.org/wp-content/uploads/2023/09/AMC-TICON-0164.jpg</t>
  </si>
  <si>
    <t>https://africanmarketingconfederation.org/wp-content/uploads/2023/09/AMC-Ticon-01616.jpg</t>
  </si>
  <si>
    <t>https://africanmarketingconfederation.org/amc-conference-2023/gallery</t>
  </si>
  <si>
    <t>View Gallery</t>
  </si>
  <si>
    <t>https://africanmarketingconfederation.org/amc-conference-2023/speakers</t>
  </si>
  <si>
    <t>View All Speakers</t>
  </si>
  <si>
    <t>https://imminstitute.co.za/</t>
  </si>
  <si>
    <t>https://www.maz.co.zw/</t>
  </si>
  <si>
    <t>https://www.linkedin.com/company/zambia-institute-of-marketing</t>
  </si>
  <si>
    <t>https://msk.co.ke/</t>
  </si>
  <si>
    <t>https://cimghana.org/</t>
  </si>
  <si>
    <t>https://nimn.com.ng/</t>
  </si>
  <si>
    <t>https://www.facebook.com/people/Institute-of-Marketing-and-Management-Mauritius/100063921338756</t>
  </si>
  <si>
    <t>https://www.facebook.com/instituteofmarketinginmalawi</t>
  </si>
  <si>
    <t>https://www.ammc.co/</t>
  </si>
  <si>
    <t>https://ums.co.ug/</t>
  </si>
  <si>
    <t>https://africanmarketingconfederation.org/calendar_events</t>
  </si>
  <si>
    <t>AMC CONFERENCE</t>
  </si>
  <si>
    <t>Home page of the african marketing confederation</t>
  </si>
  <si>
    <t>AMC Conference 2023</t>
  </si>
  <si>
    <t>Programme</t>
  </si>
  <si>
    <t>Speakers</t>
  </si>
  <si>
    <t>https://africanmarketingconfederation.org/amc-conference-2023/partners</t>
  </si>
  <si>
    <t>Partners</t>
  </si>
  <si>
    <t>Gallery</t>
  </si>
  <si>
    <t>Enquire Now</t>
  </si>
  <si>
    <t>Graph</t>
  </si>
  <si>
    <t>CrawlGraph</t>
  </si>
  <si>
    <t>https://africanmarketingconfederation.org/ | https://africanmarketingconfederation.org/about-us | https://africanmarketingconfederation.org/african-marketing-confederation-tourism-chapter | https://africanmarketingconfederation.org/amc-conference-2022 | https://africanmarketingconfederation.org/amc-conference-2022-prospectus | https://africanmarketingconfederation.org/amc-conference-2022-thank-you</t>
  </si>
  <si>
    <t>https://africanmarketingconfederation.org/ | https://africanmarketingconfederation.org/about-us | https://africanmarketingconfederation.org/african-marketing-confederation-tourism-chapter | https://africanmarketingconfederation.org/amc-conference-2022 | https://africanmarketingconfederation.org/amc-conference-2022-prospectus | https://africanmarketingconfederation.org/amc-conference-2022-thank-you | https://africanmarketingconfederation.org/amc-conference-2023/amc-awards | https://africanmarketingconfederation.org/amc-conference-2023/amc-awards-book-now</t>
  </si>
  <si>
    <t>https://africanmarketingconfederation.org/amc-conference-2023/amc-awards | https://africanmarketingconfederation.org/amc-conference-2023/amc-awards-book-now</t>
  </si>
  <si>
    <t>Risk Category</t>
  </si>
  <si>
    <t>Subfolder / Template Group</t>
  </si>
  <si>
    <t>Affected Ratio</t>
  </si>
  <si>
    <t>Example URLs</t>
  </si>
  <si>
    <t>Exact Action</t>
  </si>
  <si>
    <t>Template Pattern</t>
  </si>
  <si>
    <t>/amc-conference-2022-prospectus/</t>
  </si>
  <si>
    <t>Missing H1 is template-wide</t>
  </si>
  <si>
    <t>Update template to render exactly one descriptive H1 for each page based on page-specific title data.</t>
  </si>
  <si>
    <t>Pattern and Template Issues</t>
  </si>
  <si>
    <t>/amc-conference-2022-thank-you/</t>
  </si>
  <si>
    <t>/amc-conference-2022/</t>
  </si>
  <si>
    <t>Item</t>
  </si>
  <si>
    <t>Guideline</t>
  </si>
  <si>
    <t>Why It Matters</t>
  </si>
  <si>
    <t>[Meta Data Standards]</t>
  </si>
  <si>
    <t>Meta Title</t>
  </si>
  <si>
    <t>50-60 characters. Place primary keyword at the front. Avoid brand repetition unless there is space.</t>
  </si>
  <si>
    <t>Improves clarity and reduces SERP truncation risk.</t>
  </si>
  <si>
    <t>Meta Description</t>
  </si>
  <si>
    <t>120-160 characters. Must contain a clear Call-To-Action (CTA) and active verbs.</t>
  </si>
  <si>
    <t>Supports stronger click-through and intent alignment.</t>
  </si>
  <si>
    <t>Target Keywords</t>
  </si>
  <si>
    <t>1 Primary, 2 Secondary per page. Do not keyword stuff; focus on user intent.</t>
  </si>
  <si>
    <t>Keeps copy focused on topical relevance over keyword density.</t>
  </si>
  <si>
    <t>[On-Page Structure (H-Tags)]</t>
  </si>
  <si>
    <t>H1 Tag</t>
  </si>
  <si>
    <t>Exactly ONE per page. Must contain the primary topic/keyword. Think of it as the 'Book Title'.</t>
  </si>
  <si>
    <t>Provides the clearest top-level topical signal.</t>
  </si>
  <si>
    <t>H2 Tags</t>
  </si>
  <si>
    <t>Main sections. Use question formats (Who, What, How) to trigger Answer Engine extraction.</t>
  </si>
  <si>
    <t>Improves structured scannability for users and LLMs.</t>
  </si>
  <si>
    <t>H3 Tags</t>
  </si>
  <si>
    <t>Sub-sections under H2s. Use for lists, steps, or detailed breakdowns.</t>
  </si>
  <si>
    <t>Strengthens hierarchy and supports extraction-ready formatting.</t>
  </si>
  <si>
    <t>H4-H6 Tags</t>
  </si>
  <si>
    <t>Use sparingly. Only for granular formatting within complex H3 topics.</t>
  </si>
  <si>
    <t>Avoids over-nesting while preserving semantic structure.</t>
  </si>
  <si>
    <t>[AEO (Answer Engine Optimisation) &amp; Content]</t>
  </si>
  <si>
    <t>AEO Answer Blocks</t>
  </si>
  <si>
    <t>40-60 words. Placed directly beneath an H2 question. Must be factual, objective, and devoid of marketing fluff.</t>
  </si>
  <si>
    <t>Optimises direct extraction for answer engines and voice search.</t>
  </si>
  <si>
    <t>FAQ Schema</t>
  </si>
  <si>
    <t>Minimum 2-3 questions per informational page. Answers must be direct and stand alone without needing the rest of the page for context.</t>
  </si>
  <si>
    <t>Improves machine readability and rich-answer eligibility.</t>
  </si>
  <si>
    <t>Content Readability</t>
  </si>
  <si>
    <t>Keep sentences under 20 words. Use bullet points for any list of 3 or more items.</t>
  </si>
  <si>
    <t>Increases comprehension and snippet usability.</t>
  </si>
  <si>
    <t>[Visual &amp; Social Branding]</t>
  </si>
  <si>
    <t>OG Image</t>
  </si>
  <si>
    <t>1200 x 630 pixels. Keep text centered (safe zone) so it isn't cropped by mobile devices on LinkedIn/X.</t>
  </si>
  <si>
    <t>Ensures consistent social card presentation.</t>
  </si>
  <si>
    <t>Social Share Note</t>
  </si>
  <si>
    <t>Customize the message for the platform. LinkedIn = Professional insight. X (Twitter) = Quick hook. Facebook = Conversational.</t>
  </si>
  <si>
    <t>Improves engagement by matching platform context.</t>
  </si>
  <si>
    <t>[Glossary &amp; Legend]</t>
  </si>
  <si>
    <t>How To Use</t>
  </si>
  <si>
    <t>Step 1: Start on Dashboard</t>
  </si>
  <si>
    <t>5-minute executive scan</t>
  </si>
  <si>
    <t>Review pass rate, critical URL count, and Immediate Actions to understand overall risk first.</t>
  </si>
  <si>
    <t>Step 2: Prioritize and Assign</t>
  </si>
  <si>
    <t>Work top-down by Business Risk Score</t>
  </si>
  <si>
    <t>Use Priority URLs and FixPlan to pick highest-impact items, assign owner, and set status/sprint.</t>
  </si>
  <si>
    <t>Step 3: Execute and Validate</t>
  </si>
  <si>
    <t>Close loop every sprint</t>
  </si>
  <si>
    <t>Implement fixes, then verify by checking Technical/Indexability/AEO tabs and rerunning the audit.</t>
  </si>
  <si>
    <t>Orientation</t>
  </si>
  <si>
    <t>Where to Start</t>
  </si>
  <si>
    <t>Critical &gt; Warning &gt; Observation</t>
  </si>
  <si>
    <t>If you're short on time, work only Critical and Warning issues first, then return to Observation items.</t>
  </si>
  <si>
    <t>Color Key</t>
  </si>
  <si>
    <t>Green</t>
  </si>
  <si>
    <t>Good</t>
  </si>
  <si>
    <t>Pass / aligned with best practice or completed workflow item.</t>
  </si>
  <si>
    <t>Orange</t>
  </si>
  <si>
    <t>Medium risk</t>
  </si>
  <si>
    <t>Warning / in progress / medium-priority attention needed.</t>
  </si>
  <si>
    <t>Red</t>
  </si>
  <si>
    <t>High risk</t>
  </si>
  <si>
    <t>Failure / high-priority issue or to-do critical task.</t>
  </si>
  <si>
    <t>WordPress Post ID</t>
  </si>
  <si>
    <t>Direct Edit Link</t>
  </si>
  <si>
    <t>AIOSEO Panel</t>
  </si>
  <si>
    <t>Current Value</t>
  </si>
  <si>
    <t>Recommended Target</t>
  </si>
  <si>
    <t>How to Fix in AIOSEO</t>
  </si>
  <si>
    <t>Reference Tab</t>
  </si>
  <si>
    <t>Reference Field</t>
  </si>
  <si>
    <t>https://africanmarketingconfederation.org/wp-admin/post.php?post=13164&amp;action=edit</t>
  </si>
  <si>
    <t>Basic SEO</t>
  </si>
  <si>
    <t>Missing meta description</t>
  </si>
  <si>
    <t>Missing</t>
  </si>
  <si>
    <t>120-160 characters</t>
  </si>
  <si>
    <t>In AIOSEO snippet settings, add a concise, unique meta description aligned to page intent.</t>
  </si>
  <si>
    <t>Main</t>
  </si>
  <si>
    <t>https://africanmarketingconfederation.org/amc-conference-2023/amc-awards-book-now::aioseo_missing_meta_description</t>
  </si>
  <si>
    <t>Missing descriptions reduce control over search snippet messaging.</t>
  </si>
  <si>
    <t>https://africanmarketingconfederation.org/wp-admin/post.php?post=8&amp;action=edit</t>
  </si>
  <si>
    <t>Content</t>
  </si>
  <si>
    <t>Low AEO readiness score</t>
  </si>
  <si>
    <t>&gt;=60</t>
  </si>
  <si>
    <t>Add concise answer blocks, question-led subheadings, and clear structured sections.</t>
  </si>
  <si>
    <t>https://africanmarketingconfederation.org/::aioseo_low_aeo_readiness_score</t>
  </si>
  <si>
    <t>Weak answer-style structure lowers AI/answer-engine retrieval potential.</t>
  </si>
  <si>
    <t>https://africanmarketingconfederation.org/wp-admin/post.php?post=84&amp;action=edit</t>
  </si>
  <si>
    <t>https://africanmarketingconfederation.org/about-us::aioseo_low_aeo_readiness_score</t>
  </si>
  <si>
    <t>https://africanmarketingconfederation.org/wp-admin/post.php?post=28165&amp;action=edit</t>
  </si>
  <si>
    <t>https://africanmarketingconfederation.org/african-marketing-confederation-tourism-chapter::aioseo_low_aeo_readiness_score</t>
  </si>
  <si>
    <t>https://africanmarketingconfederation.org/wp-admin/post.php?post=16125&amp;action=edit</t>
  </si>
  <si>
    <t>https://africanmarketingconfederation.org/amc-awards-2024::aioseo_low_aeo_readiness_score</t>
  </si>
  <si>
    <t>https://africanmarketingconfederation.org/wp-admin/post.php?post=4494&amp;action=edit</t>
  </si>
  <si>
    <t>https://africanmarketingconfederation.org/amc-conference-2022::aioseo_low_aeo_readiness_score</t>
  </si>
  <si>
    <t>https://africanmarketingconfederation.org/wp-admin/post.php?post=5619&amp;action=edit</t>
  </si>
  <si>
    <t>https://africanmarketingconfederation.org/amc-conference-2022-prospectus::aioseo_low_aeo_readiness_score</t>
  </si>
  <si>
    <t>https://africanmarketingconfederation.org/wp-admin/post.php?post=4941&amp;action=edit</t>
  </si>
  <si>
    <t>https://africanmarketingconfederation.org/amc-conference-2022-thank-you::aioseo_low_aeo_readiness_score</t>
  </si>
  <si>
    <t>https://africanmarketingconfederation.org/wp-admin/post.php?post=12371&amp;action=edit</t>
  </si>
  <si>
    <t>https://africanmarketingconfederation.org/amc-conference-2023::aioseo_low_aeo_readiness_score</t>
  </si>
  <si>
    <t>https://africanmarketingconfederation.org/wp-admin/post.php?post=12954&amp;action=edit</t>
  </si>
  <si>
    <t>https://africanmarketingconfederation.org/amc-conference-2023/amc-awards::aioseo_low_aeo_readiness_score</t>
  </si>
  <si>
    <t>https://africanmarketingconfederation.org/amc-conference-2023/amc-awards-book-now::aioseo_low_aeo_readiness_score</t>
  </si>
  <si>
    <t>Readability</t>
  </si>
  <si>
    <t>Low image alt coverage</t>
  </si>
  <si>
    <t>&gt;=80%</t>
  </si>
  <si>
    <t>Add descriptive alt text to meaningful images in the page editor/media fields.</t>
  </si>
  <si>
    <t>Media</t>
  </si>
  <si>
    <t>https://africanmarketingconfederation.org/::aioseo_low_image_alt_coverage</t>
  </si>
  <si>
    <t>Missing alt text reduces accessibility and weakens image context signals.</t>
  </si>
  <si>
    <t>Thin content</t>
  </si>
  <si>
    <t>&gt;=300 words (quality first)</t>
  </si>
  <si>
    <t>Expand page copy with useful, unique sections that answer key user questions.</t>
  </si>
  <si>
    <t>https://africanmarketingconfederation.org/::aioseo_thin_content</t>
  </si>
  <si>
    <t>Low-content pages can struggle to satisfy intent and rank competitively.</t>
  </si>
  <si>
    <t>https://africanmarketingconfederation.org/about-us::aioseo_low_image_alt_coverage</t>
  </si>
  <si>
    <t>https://africanmarketingconfederation.org/about-us::aioseo_thin_content</t>
  </si>
  <si>
    <t>https://africanmarketingconfederation.org/african-marketing-confederation-tourism-chapter::aioseo_low_image_alt_coverage</t>
  </si>
  <si>
    <t>https://africanmarketingconfederation.org/amc-awards-2024::aioseo_low_image_alt_coverage</t>
  </si>
  <si>
    <t>https://africanmarketingconfederation.org/amc-conference-2022::aioseo_low_image_alt_coverage</t>
  </si>
  <si>
    <t>Missing H1 heading</t>
  </si>
  <si>
    <t>Exactly 1 descriptive H1</t>
  </si>
  <si>
    <t>Update page content to include a single descriptive H1 aligned to primary intent.</t>
  </si>
  <si>
    <t>https://africanmarketingconfederation.org/amc-conference-2022::aioseo_missing_h1_heading</t>
  </si>
  <si>
    <t>A missing H1 weakens topical clarity for users and crawlers.</t>
  </si>
  <si>
    <t>https://africanmarketingconfederation.org/amc-conference-2022::aioseo_thin_content</t>
  </si>
  <si>
    <t>https://africanmarketingconfederation.org/amc-conference-2022-prospectus::aioseo_low_image_alt_coverage</t>
  </si>
  <si>
    <t>https://africanmarketingconfederation.org/amc-conference-2022-prospectus::aioseo_missing_h1_heading</t>
  </si>
  <si>
    <t>https://africanmarketingconfederation.org/amc-conference-2022-prospectus::aioseo_thin_content</t>
  </si>
  <si>
    <t>https://africanmarketingconfederation.org/amc-conference-2022-thank-you::aioseo_low_image_alt_coverage</t>
  </si>
  <si>
    <t>https://africanmarketingconfederation.org/amc-conference-2022-thank-you::aioseo_missing_h1_heading</t>
  </si>
  <si>
    <t>https://africanmarketingconfederation.org/amc-conference-2023::aioseo_low_image_alt_coverage</t>
  </si>
  <si>
    <t>https://africanmarketingconfederation.org/amc-conference-2023/amc-awards::aioseo_low_image_alt_coverage</t>
  </si>
  <si>
    <t>https://africanmarketingconfederation.org/amc-conference-2023/amc-awards-book-now::aioseo_low_image_alt_coverage</t>
  </si>
  <si>
    <t>https://africanmarketingconfederation.org/amc-conference-2023/amc-awards-book-now::aioseo_missing_h1_heading</t>
  </si>
  <si>
    <t>https://africanmarketingconfederation.org/amc-conference-2023/amc-awards-book-now::aioseo_thin_content</t>
  </si>
  <si>
    <t>Schema</t>
  </si>
  <si>
    <t>No schema markup detected</t>
  </si>
  <si>
    <t>At least one relevant schema type</t>
  </si>
  <si>
    <t>In AIOSEO schema settings for the page, add the most relevant type (Article/FAQ/HowTo/Product, etc.).</t>
  </si>
  <si>
    <t>Schema &amp; Metadata</t>
  </si>
  <si>
    <t>https://africanmarketingconfederation.org/::aioseo_no_schema_markup_detected</t>
  </si>
  <si>
    <t>Schema improves understanding and rich result eligibility.</t>
  </si>
  <si>
    <t>https://africanmarketingconfederation.org/about-us::aioseo_no_schema_markup_detected</t>
  </si>
  <si>
    <t>https://africanmarketingconfederation.org/african-marketing-confederation-tourism-chapter::aioseo_no_schema_markup_detected</t>
  </si>
  <si>
    <t>https://africanmarketingconfederation.org/amc-awards-2024::aioseo_no_schema_markup_detected</t>
  </si>
  <si>
    <t>https://africanmarketingconfederation.org/amc-conference-2022::aioseo_no_schema_markup_detected</t>
  </si>
  <si>
    <t>https://africanmarketingconfederation.org/amc-conference-2022-prospectus::aioseo_no_schema_markup_detected</t>
  </si>
  <si>
    <t>https://africanmarketingconfederation.org/amc-conference-2022-thank-you::aioseo_no_schema_markup_detected</t>
  </si>
  <si>
    <t>https://africanmarketingconfederation.org/amc-conference-2023::aioseo_no_schema_markup_detected</t>
  </si>
  <si>
    <t>https://africanmarketingconfederation.org/amc-conference-2023/amc-awards::aioseo_no_schema_markup_detected</t>
  </si>
  <si>
    <t>https://africanmarketingconfederation.org/amc-conference-2023/amc-awards-book-now::aioseo_no_schema_markup_detected</t>
  </si>
  <si>
    <t>Meta description too long</t>
  </si>
  <si>
    <t>Trim meta description in AIOSEO and front-load essential context.</t>
  </si>
  <si>
    <t>https://africanmarketingconfederation.org/about-us::aioseo_meta_description_too_long</t>
  </si>
  <si>
    <t>Long descriptions are often truncated and lose message clarity.</t>
  </si>
  <si>
    <t>https://africanmarketingconfederation.org/african-marketing-confederation-tourism-chapter::aioseo_meta_description_too_long</t>
  </si>
  <si>
    <t>https://africanmarketingconfederation.org/amc-awards-2024::aioseo_meta_description_too_long</t>
  </si>
  <si>
    <t>https://africanmarketingconfederation.org/amc-conference-2022::aioseo_meta_description_too_long</t>
  </si>
  <si>
    <t>https://africanmarketingconfederation.org/amc-conference-2022-prospectus::aioseo_meta_description_too_long</t>
  </si>
  <si>
    <t>https://africanmarketingconfederation.org/amc-conference-2022-thank-you::aioseo_meta_description_too_long</t>
  </si>
  <si>
    <t>https://africanmarketingconfederation.org/amc-conference-2023::aioseo_meta_description_too_long</t>
  </si>
  <si>
    <t>https://africanmarketingconfederation.org/amc-conference-2023/amc-awards::aioseo_meta_description_too_long</t>
  </si>
  <si>
    <t>No concise answer paragraph (40-60 words)</t>
  </si>
  <si>
    <t>&gt;=1 concise answer block</t>
  </si>
  <si>
    <t>Add a direct 40-60 word answer immediately below key question headings.</t>
  </si>
  <si>
    <t>Paragraphs 40-60 Words Count</t>
  </si>
  <si>
    <t>https://africanmarketingconfederation.org/::aioseo_no_concise_answer_paragraph_40-60_words_</t>
  </si>
  <si>
    <t>Compact answer blocks improve direct-answer extraction chances.</t>
  </si>
  <si>
    <t>https://africanmarketingconfederation.org/about-us::aioseo_no_concise_answer_paragraph_40-60_words_</t>
  </si>
  <si>
    <t>https://africanmarketingconfederation.org/african-marketing-confederation-tourism-chapter::aioseo_no_concise_answer_paragraph_40-60_words_</t>
  </si>
  <si>
    <t>https://africanmarketingconfederation.org/amc-awards-2024::aioseo_no_concise_answer_paragraph_40-60_words_</t>
  </si>
  <si>
    <t>https://africanmarketingconfederation.org/amc-conference-2022::aioseo_no_concise_answer_paragraph_40-60_words_</t>
  </si>
  <si>
    <t>https://africanmarketingconfederation.org/amc-conference-2022-prospectus::aioseo_no_concise_answer_paragraph_40-60_words_</t>
  </si>
  <si>
    <t>https://africanmarketingconfederation.org/amc-conference-2022-thank-you::aioseo_no_concise_answer_paragraph_40-60_words_</t>
  </si>
  <si>
    <t>https://africanmarketingconfederation.org/amc-conference-2023::aioseo_no_concise_answer_paragraph_40-60_words_</t>
  </si>
  <si>
    <t>https://africanmarketingconfederation.org/amc-conference-2023/amc-awards::aioseo_no_concise_answer_paragraph_40-60_words_</t>
  </si>
  <si>
    <t>https://africanmarketingconfederation.org/amc-conference-2023/amc-awards-book-now::aioseo_no_concise_answer_paragraph_40-60_words_</t>
  </si>
  <si>
    <t>Multiple H1 headings</t>
  </si>
  <si>
    <t>Exactly 1 H1</t>
  </si>
  <si>
    <t>Keep one primary H1, convert remaining top-level headings to H2/H3 where appropriate.</t>
  </si>
  <si>
    <t>Multiple H1 Flag</t>
  </si>
  <si>
    <t>https://africanmarketingconfederation.org/::aioseo_multiple_h1_headings</t>
  </si>
  <si>
    <t>Multiple H1s can reduce heading hierarchy clarity.</t>
  </si>
  <si>
    <t>No question-style headings</t>
  </si>
  <si>
    <t>&gt;=1 where intent is informational</t>
  </si>
  <si>
    <t>Add at least one natural question heading (H2/H3) matching user intent.</t>
  </si>
  <si>
    <t>https://africanmarketingconfederation.org/::aioseo_no_question-style_headings</t>
  </si>
  <si>
    <t>Question headings better align with query phrasing and snippet extraction.</t>
  </si>
  <si>
    <t>https://africanmarketingconfederation.org/about-us::aioseo_no_question-style_headings</t>
  </si>
  <si>
    <t>https://africanmarketingconfederation.org/african-marketing-confederation-tourism-chapter::aioseo_multiple_h1_headings</t>
  </si>
  <si>
    <t>https://africanmarketingconfederation.org/african-marketing-confederation-tourism-chapter::aioseo_no_question-style_headings</t>
  </si>
  <si>
    <t>https://africanmarketingconfederation.org/amc-awards-2024::aioseo_multiple_h1_headings</t>
  </si>
  <si>
    <t>https://africanmarketingconfederation.org/amc-awards-2024::aioseo_no_question-style_headings</t>
  </si>
  <si>
    <t>https://africanmarketingconfederation.org/amc-conference-2022::aioseo_no_question-style_headings</t>
  </si>
  <si>
    <t>https://africanmarketingconfederation.org/amc-conference-2022-prospectus::aioseo_no_question-style_headings</t>
  </si>
  <si>
    <t>https://africanmarketingconfederation.org/amc-conference-2022-thank-you::aioseo_no_question-style_headings</t>
  </si>
  <si>
    <t>https://africanmarketingconfederation.org/amc-conference-2023::aioseo_no_question-style_headings</t>
  </si>
  <si>
    <t>https://africanmarketingconfederation.org/amc-conference-2023/amc-awards::aioseo_no_question-style_headings</t>
  </si>
  <si>
    <t>https://africanmarketingconfederation.org/amc-conference-2023/amc-awards-book-now::aioseo_no_question-style_headings</t>
  </si>
  <si>
    <t>No FAQ/QA schema</t>
  </si>
  <si>
    <t>True when page has Q&amp;A intent</t>
  </si>
  <si>
    <t>If content is Q&amp;A style, add FAQPage/QAPage schema in AIOSEO and keep markup aligned with on-page content.</t>
  </si>
  <si>
    <t>QAPage/FAQ Schema Present</t>
  </si>
  <si>
    <t>https://africanmarketingconfederation.org/::aioseo_no_faq_qa_schema</t>
  </si>
  <si>
    <t>Q&amp;A schema can improve eligibility for answer-rich results.</t>
  </si>
  <si>
    <t>https://africanmarketingconfederation.org/about-us::aioseo_no_faq_qa_schema</t>
  </si>
  <si>
    <t>https://africanmarketingconfederation.org/african-marketing-confederation-tourism-chapter::aioseo_no_faq_qa_schema</t>
  </si>
  <si>
    <t>https://africanmarketingconfederation.org/amc-awards-2024::aioseo_no_faq_qa_schema</t>
  </si>
  <si>
    <t>https://africanmarketingconfederation.org/amc-conference-2022::aioseo_no_faq_qa_schema</t>
  </si>
  <si>
    <t>https://africanmarketingconfederation.org/amc-conference-2022-prospectus::aioseo_no_faq_qa_schema</t>
  </si>
  <si>
    <t>https://africanmarketingconfederation.org/amc-conference-2022-thank-you::aioseo_no_faq_qa_schema</t>
  </si>
  <si>
    <t>https://africanmarketingconfederation.org/amc-conference-2023::aioseo_no_faq_qa_schema</t>
  </si>
  <si>
    <t>https://africanmarketingconfederation.org/amc-conference-2023/amc-awards::aioseo_no_faq_qa_schema</t>
  </si>
  <si>
    <t>https://africanmarketingconfederation.org/amc-conference-2023/amc-awards-book-now::aioseo_no_faq_qa_schema</t>
  </si>
  <si>
    <t>Title</t>
  </si>
  <si>
    <t>SEO title too long</t>
  </si>
  <si>
    <t>40-60 characters</t>
  </si>
  <si>
    <t>Shorten title in AIOSEO snippet editor and keep key terms in the first 55-60 characters.</t>
  </si>
  <si>
    <t>https://africanmarketingconfederation.org/::aioseo_seo_title_too_long</t>
  </si>
  <si>
    <t>Long titles are more likely to truncate in SERPs.</t>
  </si>
  <si>
    <t>https://africanmarketingconfederation.org/about-us::aioseo_seo_title_too_long</t>
  </si>
  <si>
    <t>https://africanmarketingconfederation.org/african-marketing-confederation-tourism-chapter::aioseo_seo_title_too_long</t>
  </si>
  <si>
    <t>https://africanmarketingconfederation.org/amc-conference-2022-prospectus::aioseo_seo_title_too_long</t>
  </si>
  <si>
    <t>https://africanmarketingconfederation.org/amc-conference-2022-thank-you::aioseo_seo_title_too_long</t>
  </si>
  <si>
    <t>Sitemap URL</t>
  </si>
  <si>
    <t>Found via Crawl</t>
  </si>
  <si>
    <t>Found via Sitemap</t>
  </si>
  <si>
    <t>Discovery Source</t>
  </si>
  <si>
    <t>In Sitemap but Non-200</t>
  </si>
  <si>
    <t>Sitemap URL Redirects</t>
  </si>
  <si>
    <t>In Sitemap but Canonicalized Elsewhere</t>
  </si>
  <si>
    <t>Missing &lt;lastmod&gt;</t>
  </si>
  <si>
    <t>Missing &lt;changefreq&gt;</t>
  </si>
  <si>
    <t>Missing &lt;priority&gt;</t>
  </si>
  <si>
    <t>Sitemap &lt;lastmod&gt;</t>
  </si>
  <si>
    <t>Sitemap &lt;changefreq&gt;</t>
  </si>
  <si>
    <t>Sitemap &lt;priority&gt;</t>
  </si>
  <si>
    <t>Source Sitemap</t>
  </si>
  <si>
    <t>Both</t>
  </si>
  <si>
    <t>2026-05-08 08:43:52</t>
  </si>
  <si>
    <t>always</t>
  </si>
  <si>
    <t>1</t>
  </si>
  <si>
    <t>https://africanmarketingconfederation.org/page-sitemap.xml</t>
  </si>
  <si>
    <t>https://africanmarketingconfederation.org/publication-download-list/</t>
  </si>
  <si>
    <t>Sitemap</t>
  </si>
  <si>
    <t>2026-05-04 07:32:36</t>
  </si>
  <si>
    <t>weekly</t>
  </si>
  <si>
    <t>0.7</t>
  </si>
  <si>
    <t>https://africanmarketingconfederation.org/publications-2/</t>
  </si>
  <si>
    <t>2026-04-29 07:05:09</t>
  </si>
  <si>
    <t>https://africanmarketingconfederation.org/launch-event-2026-amc-conference/</t>
  </si>
  <si>
    <t>2026-04-24 07:07:22</t>
  </si>
  <si>
    <t>https://africanmarketingconfederation.org/amc-conference-2026/</t>
  </si>
  <si>
    <t>2026-04-24 06:54:40</t>
  </si>
  <si>
    <t>https://africanmarketingconfederation.org/certified-professional-marketer-africa/</t>
  </si>
  <si>
    <t>2026-04-20 08:17:50</t>
  </si>
  <si>
    <t>https://africanmarketingconfederation.org/chartered-marketer-africa/</t>
  </si>
  <si>
    <t>2026-04-20 07:58:07</t>
  </si>
  <si>
    <t>https://africanmarketingconfederation.org/education/</t>
  </si>
  <si>
    <t>2026-04-20 06:32:38</t>
  </si>
  <si>
    <t>https://africanmarketingconfederation.org/awards-2026/</t>
  </si>
  <si>
    <t>2026-04-17 09:26:48</t>
  </si>
  <si>
    <t>https://africanmarketingconfederation.org/contact-us/</t>
  </si>
  <si>
    <t>2026-04-17 08:58:32</t>
  </si>
  <si>
    <t>https://africanmarketingconfederation.org/news-articles/</t>
  </si>
  <si>
    <t>2026-04-17 08:58:00</t>
  </si>
  <si>
    <t>https://africanmarketingconfederation.org/african-marketing-confederation-tourism-chapter/</t>
  </si>
  <si>
    <t>2026-04-17 08:55:48</t>
  </si>
  <si>
    <t>https://africanmarketingconfederation.org/members/</t>
  </si>
  <si>
    <t>2026-04-17 08:55:31</t>
  </si>
  <si>
    <t>https://africanmarketingconfederation.org/sub-committees/</t>
  </si>
  <si>
    <t>2026-04-17 08:53:47</t>
  </si>
  <si>
    <t>https://africanmarketingconfederation.org/about-us/</t>
  </si>
  <si>
    <t>2026-04-17 08:53:24</t>
  </si>
  <si>
    <t>https://africanmarketingconfederation.org/awards-2026-1/</t>
  </si>
  <si>
    <t>2026-04-08 11:43:29</t>
  </si>
  <si>
    <t>https://africanmarketingconfederation.org/awards-2026-test/</t>
  </si>
  <si>
    <t>2026-04-08 09:47:58</t>
  </si>
  <si>
    <t>https://africanmarketingconfederation.org/speakers-2025/</t>
  </si>
  <si>
    <t>2026-03-26 12:27:48</t>
  </si>
  <si>
    <t>https://africanmarketingconfederation.org/amc-conference-2026-awards-nominations-thank-you/</t>
  </si>
  <si>
    <t>2026-03-04 07:14:00</t>
  </si>
  <si>
    <t>https://africanmarketingconfederation.org/amc-conference-2026-zambia-thank-you/</t>
  </si>
  <si>
    <t>2026-03-04 06:43:52</t>
  </si>
  <si>
    <t>https://africanmarketingconfederation.org/amc-launch-event-zambia-thank-you-2026/</t>
  </si>
  <si>
    <t>2026-03-04 06:43:51</t>
  </si>
  <si>
    <t>https://africanmarketingconfederation.org/amc-marketing-conference-2024/awards-2025/</t>
  </si>
  <si>
    <t>2026-02-05 07:09:45</t>
  </si>
  <si>
    <t>https://africanmarketingconfederation.org/amc-conference-2025-highlights/</t>
  </si>
  <si>
    <t>2026-01-28 11:37:11</t>
  </si>
  <si>
    <t>https://africanmarketingconfederation.org/amc-conference-2022/</t>
  </si>
  <si>
    <t>2026-01-21 00:07:32</t>
  </si>
  <si>
    <t>https://africanmarketingconfederation.org/amc-conference-2023/gallery/</t>
  </si>
  <si>
    <t>2026-01-09 00:06:37</t>
  </si>
  <si>
    <t>https://africanmarketingconfederation.org/conference-registrations-2024/</t>
  </si>
  <si>
    <t>2026-01-06 00:02:42</t>
  </si>
  <si>
    <t>https://africanmarketingconfederation.org/elementor-31820/</t>
  </si>
  <si>
    <t>2025-12-10 08:14:03</t>
  </si>
  <si>
    <t>https://africanmarketingconfederation.org/amc-conference-2024-recap/</t>
  </si>
  <si>
    <t>2025-09-04 11:53:34</t>
  </si>
  <si>
    <t>https://africanmarketingconfederation.org/amc-marketing-conference-2024/amc-programme-2025/</t>
  </si>
  <si>
    <t>2025-08-22 08:14:01</t>
  </si>
  <si>
    <t>https://africanmarketingconfederation.org/amc-conference-2025/</t>
  </si>
  <si>
    <t>2025-08-19 11:23:21</t>
  </si>
  <si>
    <t>https://africanmarketingconfederation.org/amc-sponsors-2025/</t>
  </si>
  <si>
    <t>2025-08-18 11:53:25</t>
  </si>
  <si>
    <t>https://africanmarketingconfederation.org/amc-conference-2022-prospectus/</t>
  </si>
  <si>
    <t>2025-07-14 07:22:03</t>
  </si>
  <si>
    <t>https://africanmarketingconfederation.org/checkout/</t>
  </si>
  <si>
    <t>2025-06-25 06:43:08</t>
  </si>
  <si>
    <t>https://africanmarketingconfederation.org/test-payment-gate/</t>
  </si>
  <si>
    <t>2025-06-24 13:09:52</t>
  </si>
  <si>
    <t>https://africanmarketingconfederation.org/amc-marketing-conference-2024/amc-preregister-2025/</t>
  </si>
  <si>
    <t>2025-05-21 07:15:39</t>
  </si>
  <si>
    <t>https://africanmarketingconfederation.org/conference-faq-2025/</t>
  </si>
  <si>
    <t>2025-05-16 09:55:10</t>
  </si>
  <si>
    <t>https://africanmarketingconfederation.org/amc-marketing-conference-2024/amc-conference-2025-ghana-sponsors/</t>
  </si>
  <si>
    <t>2025-05-15 13:46:52</t>
  </si>
  <si>
    <t>https://africanmarketingconfederation.org/amc-forum-payments/</t>
  </si>
  <si>
    <t>2025-05-14 06:45:46</t>
  </si>
  <si>
    <t>https://africanmarketingconfederation.org/amc-marketing-conference-2024/amc-launch-event-2025/</t>
  </si>
  <si>
    <t>2025-05-06 09:54:46</t>
  </si>
  <si>
    <t>https://africanmarketingconfederation.org/amc-awards-2024/</t>
  </si>
  <si>
    <t>2025-04-24 13:54:46</t>
  </si>
  <si>
    <t>https://africanmarketingconfederation.org/amc-conference-2023/</t>
  </si>
  <si>
    <t>2025-03-03 07:59:34</t>
  </si>
  <si>
    <t>https://africanmarketingconfederation.org/amc-forum-mombasa/</t>
  </si>
  <si>
    <t>2025-02-18 07:06:42</t>
  </si>
  <si>
    <t>https://africanmarketingconfederation.org/amc-marketing-conference-2024/</t>
  </si>
  <si>
    <t>2025-02-10 13:53:27</t>
  </si>
  <si>
    <t>https://africanmarketingconfederation.org/amc-marketing-conference-2024/amc-speakers-presentations-2024/</t>
  </si>
  <si>
    <t>2024-11-15 12:51:27</t>
  </si>
  <si>
    <t>https://africanmarketingconfederation.org/amc-marketing-conference-2024/testimony-thank-you-page/</t>
  </si>
  <si>
    <t>2024-11-07 06:26:44</t>
  </si>
  <si>
    <t>https://africanmarketingconfederation.org/amc-sign-up-now-form-2025/</t>
  </si>
  <si>
    <t>2024-11-05 13:50:35</t>
  </si>
  <si>
    <t>https://africanmarketingconfederation.org/amc-testimony-page-2024/</t>
  </si>
  <si>
    <t>2024-11-04 11:11:25</t>
  </si>
  <si>
    <t>https://africanmarketingconfederation.org/amc-conference-sponsors/</t>
  </si>
  <si>
    <t>2024-09-18 12:27:33</t>
  </si>
  <si>
    <t>https://africanmarketingconfederation.org/amc-marketing-conference-2024/speakers-2024/</t>
  </si>
  <si>
    <t>2024-09-18 12:11:23</t>
  </si>
  <si>
    <t>https://africanmarketingconfederation.org/thank-you-for-registering-2024-registrations/</t>
  </si>
  <si>
    <t>2024-09-18 09:45:04</t>
  </si>
  <si>
    <t>https://africanmarketingconfederation.org/download-prospectus-2024/</t>
  </si>
  <si>
    <t>2024-09-18 09:39:20</t>
  </si>
  <si>
    <t>https://africanmarketingconfederation.org/thank-you-for-registering-2024-registrations-kenya/</t>
  </si>
  <si>
    <t>2024-09-12 07:26:50</t>
  </si>
  <si>
    <t>https://africanmarketingconfederation.org/subscribe/</t>
  </si>
  <si>
    <t>2024-08-28 07:27:46</t>
  </si>
  <si>
    <t>https://africanmarketingconfederation.org/elementor-20341/</t>
  </si>
  <si>
    <t>2024-08-02 13:04:38</t>
  </si>
  <si>
    <t>https://africanmarketingconfederation.org/chartered-marketer-africa-programme-fee/</t>
  </si>
  <si>
    <t>2024-07-19 08:44:04</t>
  </si>
  <si>
    <t>https://africanmarketingconfederation.org/chartered-marketer-africa-final-submission-fee/</t>
  </si>
  <si>
    <t>2024-07-19 08:34:52</t>
  </si>
  <si>
    <t>https://africanmarketingconfederation.org/download-brochure/</t>
  </si>
  <si>
    <t>2024-07-09 14:28:38</t>
  </si>
  <si>
    <t>https://africanmarketingconfederation.org/thank-you-for-the-nomination-2024/</t>
  </si>
  <si>
    <t>2024-06-27 12:24:46</t>
  </si>
  <si>
    <t>https://africanmarketingconfederation.org/amc-conference-2024-sponsors-packages/</t>
  </si>
  <si>
    <t>2024-06-10 14:12:23</t>
  </si>
  <si>
    <t>https://africanmarketingconfederation.org/thank-you-for-the-submission-2024/</t>
  </si>
  <si>
    <t>2024-04-11 06:14:27</t>
  </si>
  <si>
    <t>https://africanmarketingconfederation.org/elementor-16548/</t>
  </si>
  <si>
    <t>2024-03-13 12:47:07</t>
  </si>
  <si>
    <t>https://africanmarketingconfederation.org/amc-marketing-conference-2024/programme-2024/</t>
  </si>
  <si>
    <t>2024-02-28 14:18:29</t>
  </si>
  <si>
    <t>https://africanmarketingconfederation.org/amc-conference-2023/amc-awards/</t>
  </si>
  <si>
    <t>2023-11-23 11:51:22</t>
  </si>
  <si>
    <t>https://africanmarketingconfederation.org/amc-conference-2023/programme/</t>
  </si>
  <si>
    <t>2023-11-23 11:27:20</t>
  </si>
  <si>
    <t>https://africanmarketingconfederation.org/amc-conference-2023/partners/</t>
  </si>
  <si>
    <t>2023-08-24 11:13:02</t>
  </si>
  <si>
    <t>https://africanmarketingconfederation.org/amc-conference-2023/speakers/</t>
  </si>
  <si>
    <t>2023-08-24 10:11:48</t>
  </si>
  <si>
    <t>https://africanmarketingconfederation.org/chartered-marketer-africa-thank-you/</t>
  </si>
  <si>
    <t>2023-08-24 09:37:32</t>
  </si>
  <si>
    <t>https://africanmarketingconfederation.org/amc-conference-2023/amc-awards-book-now/</t>
  </si>
  <si>
    <t>2023-08-22 14:14:41</t>
  </si>
  <si>
    <t>https://africanmarketingconfederation.org/amc-conference-2023/book-now/</t>
  </si>
  <si>
    <t>2023-08-21 11:57:28</t>
  </si>
  <si>
    <t>https://africanmarketingconfederation.org/amc-conference-2023/download-prospectus/</t>
  </si>
  <si>
    <t>2023-08-21 10:54:35</t>
  </si>
  <si>
    <t>https://africanmarketingconfederation.org/amc-conference-2023/book-now-thank-you/</t>
  </si>
  <si>
    <t>2023-07-03 10:10:31</t>
  </si>
  <si>
    <t>https://africanmarketingconfederation.org/amc-conference-thank-you/</t>
  </si>
  <si>
    <t>2023-07-03 08:39:05</t>
  </si>
  <si>
    <t>https://africanmarketingconfederation.org/upcoming-events/</t>
  </si>
  <si>
    <t>2023-01-18 11:02:32</t>
  </si>
  <si>
    <t>https://africanmarketingconfederation.org/thank-you-for-subscribing/</t>
  </si>
  <si>
    <t>2022-07-20 13:41:07</t>
  </si>
  <si>
    <t>https://africanmarketingconfederation.org/amc-relaunch-programme/</t>
  </si>
  <si>
    <t>2022-06-03 08:52:21</t>
  </si>
  <si>
    <t>https://africanmarketingconfederation.org/amc-masterclass/</t>
  </si>
  <si>
    <t>2022-06-02 12:03:41</t>
  </si>
  <si>
    <t>https://africanmarketingconfederation.org/amc-masterclass-thank-you/</t>
  </si>
  <si>
    <t>2022-04-22 11:41:56</t>
  </si>
  <si>
    <t>https://africanmarketingconfederation.org/amc-masterclass-bookings/</t>
  </si>
  <si>
    <t>2022-04-22 10:58:21</t>
  </si>
  <si>
    <t>https://africanmarketingconfederation.org/amc-conference-programme/</t>
  </si>
  <si>
    <t>2022-01-17 12:56:25</t>
  </si>
  <si>
    <t>https://africanmarketingconfederation.org/virtual-programme/</t>
  </si>
  <si>
    <t>2022-01-17 12:56:22</t>
  </si>
  <si>
    <t>https://africanmarketingconfederation.org/test-homeslider/</t>
  </si>
  <si>
    <t>2022-01-14 11:59:51</t>
  </si>
  <si>
    <t>https://africanmarketingconfederation.org/general-enquiry-form-thank-you/</t>
  </si>
  <si>
    <t>2022-01-14 08:35:45</t>
  </si>
  <si>
    <t>https://africanmarketingconfederation.org/amc-conference-2022-thank-you/</t>
  </si>
  <si>
    <t>2021-11-26 08:41:00</t>
  </si>
  <si>
    <t>https://africanmarketingconfederation.org/speakers/</t>
  </si>
  <si>
    <t>2021-10-12 12:43:05</t>
  </si>
  <si>
    <t>https://africanmarketingconfederation.org/privacy-policy/</t>
  </si>
  <si>
    <t>2021-08-31 10:56:05</t>
  </si>
  <si>
    <t>No resolved issues identified for this comparison run.</t>
  </si>
  <si>
    <t>Metric</t>
  </si>
  <si>
    <t>New Issues</t>
  </si>
  <si>
    <t>Resolved Issues</t>
  </si>
  <si>
    <t>Unchanged Issues</t>
  </si>
  <si>
    <t>Previously Fixed But Reopened</t>
  </si>
  <si>
    <t>Issue Delta: Non-200 Status</t>
  </si>
  <si>
    <t>Issue Delta: Missing Title</t>
  </si>
  <si>
    <t>Issue Delta: Noindex Directive</t>
  </si>
  <si>
    <t>Issue Delta: Canonical Points Elsewhere</t>
  </si>
  <si>
    <t>Issue Delta: Robots.txt Disallow Root</t>
  </si>
  <si>
    <t>Issue Delta: CWV LCP Above 4.0s</t>
  </si>
  <si>
    <t>Issue Delta: Broken Internal Links</t>
  </si>
  <si>
    <t>Issue Delta: Redirect Chains</t>
  </si>
  <si>
    <t>Issue Delta: Missing Meta Description</t>
  </si>
  <si>
    <t>Issue Delta: Missing H1</t>
  </si>
  <si>
    <t>Issue Delta: Multiple H1</t>
  </si>
  <si>
    <t>Issue Delta: CWV LCP Needs Improvement (2.5-4.0s)</t>
  </si>
  <si>
    <t>Issue Delta: Missing FAQ/QA Schema</t>
  </si>
  <si>
    <t>Issue Delta: Deep URL (&gt;3 clicks)</t>
  </si>
  <si>
    <t>Issue Delta: Low Image Alt Coverage</t>
  </si>
  <si>
    <t>Issue Delta: Mixed Content</t>
  </si>
  <si>
    <t>Issue Delta: Canonical Missing</t>
  </si>
  <si>
    <t>Issue Delta: Hreflang Without Reciprocity</t>
  </si>
  <si>
    <t>Issue Delta: Uses URL Parameters</t>
  </si>
  <si>
    <t>Issue Delta: Generic Anchor Text Present</t>
  </si>
  <si>
    <t>Issue Delta: Image Filename Quality Issues</t>
  </si>
  <si>
    <t>Issue Delta: No Compression Header</t>
  </si>
  <si>
    <t>Issue Delta: No Cache-Control Header</t>
  </si>
  <si>
    <t>Issue Delta: No ETag Header</t>
  </si>
  <si>
    <t>Issue Delta: Thin Content</t>
  </si>
  <si>
    <t>Issue Delta: Low AEO Readiness Score</t>
  </si>
  <si>
    <t>Issue Delta: No Question Headings</t>
  </si>
  <si>
    <t>Issue Delta: No Answer-Friendly Structure</t>
  </si>
  <si>
    <t>Issue Delta: No 40-60 Word Answer Paragraphs</t>
  </si>
  <si>
    <t>Issue Delta: INP Above 100ms</t>
  </si>
  <si>
    <t>Issue Delta: CLS Above 0.1</t>
  </si>
  <si>
    <t>Issue Delta: Low Regional Authority</t>
  </si>
  <si>
    <t>Issue Delta: llms.txt Missing</t>
  </si>
  <si>
    <t>Issue Delta: AI Crawlers Not Explicitly Allowed</t>
  </si>
  <si>
    <t>Key</t>
  </si>
  <si>
    <t>Run Timestamp</t>
  </si>
  <si>
    <t>2026-05-09 10:11:46</t>
  </si>
  <si>
    <t>Total URLs</t>
  </si>
  <si>
    <t>Mode</t>
  </si>
  <si>
    <t>Full Suite</t>
  </si>
  <si>
    <t>Workers</t>
  </si>
  <si>
    <t>Delay Seconds</t>
  </si>
  <si>
    <t>Retries</t>
  </si>
  <si>
    <t>Timeout Seconds</t>
  </si>
  <si>
    <t>Checkpoint Every</t>
  </si>
  <si>
    <t>Previous Audit Path</t>
  </si>
  <si>
    <t>Not supplied</t>
  </si>
  <si>
    <t>Health Icon</t>
  </si>
  <si>
    <t>Load Time (s)</t>
  </si>
  <si>
    <t>Word Count (Body)</t>
  </si>
  <si>
    <t>Title Length</t>
  </si>
  <si>
    <t>Meta Desc Length</t>
  </si>
  <si>
    <t>OG-Image</t>
  </si>
  <si>
    <t>Has Valid JSON-LD</t>
  </si>
  <si>
    <t>Meta Keywords</t>
  </si>
  <si>
    <t>H1 Content</t>
  </si>
  <si>
    <t>H1 Length</t>
  </si>
  <si>
    <t>H2 Content</t>
  </si>
  <si>
    <t>H2 Length</t>
  </si>
  <si>
    <t>H3 Content</t>
  </si>
  <si>
    <t>H3 Length</t>
  </si>
  <si>
    <t>H4 Content</t>
  </si>
  <si>
    <t>H4 Length</t>
  </si>
  <si>
    <t>H5 Content</t>
  </si>
  <si>
    <t>H5 Length</t>
  </si>
  <si>
    <t>H6 Content</t>
  </si>
  <si>
    <t>H6 Length</t>
  </si>
  <si>
    <t>CWV LCP (s)</t>
  </si>
  <si>
    <t>CWV CLS</t>
  </si>
  <si>
    <t>Field vs Lab</t>
  </si>
  <si>
    <t>Regional Authority Score</t>
  </si>
  <si>
    <t>GSC Clicks</t>
  </si>
  <si>
    <t>GSC Avg Position</t>
  </si>
  <si>
    <t>Orphan Pages</t>
  </si>
  <si>
    <t>Technical View</t>
  </si>
  <si>
    <t>Technical View_1</t>
  </si>
  <si>
    <t>BACK TO DASHBOARD_1</t>
  </si>
  <si>
    <t>WARN 🟡</t>
  </si>
  <si>
    <t>https://africanmarketingconfederation.org/wp-content/uploads/2026/03/og-image.png</t>
  </si>
  <si>
    <t>Lab</t>
  </si>
  <si>
    <t>https://africanmarketingconfederation.org/wp-content/uploads/2021/08/amc_faw.png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</si>
</sst>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1C09]#,##0.00"/>
    <numFmt numFmtId="165" formatCode="[$-1C09]#,##0"/>
    <numFmt numFmtId="166" formatCode="[$-1C09]dd/mm/yyyy\ hh:mm:ss"/>
    <numFmt numFmtId="167" formatCode="[$-1C09]0.00%"/>
  </numFmts>
  <fonts count="17" x14ac:knownFonts="1">
    <font>
      <sz val="11"/>
      <color theme="1"/>
      <name val="Calibri"/>
      <family val="2"/>
      <scheme val="minor"/>
    </font>
    <font>
      <sz val="12"/>
      <color theme="10"/>
      <name val="Calibri"/>
      <family val="2"/>
      <scheme val="minor"/>
    </font>
    <font>
      <b/>
      <u/>
      <sz val="11"/>
      <color rgb="FF2F6FA3"/>
      <name val="Calibri"/>
    </font>
    <font>
      <b/>
      <sz val="11"/>
      <color rgb="FFFFFFFF"/>
      <name val="Calibri"/>
    </font>
    <font>
      <b/>
      <sz val="14"/>
      <color rgb="FF2F3A4A"/>
      <name val="Calibri"/>
    </font>
    <font>
      <b/>
      <sz val="12"/>
      <color rgb="FF2F3A4A"/>
      <name val="Calibri"/>
    </font>
    <font>
      <b/>
      <sz val="16"/>
      <color rgb="FF2F3A4A"/>
      <name val="Calibri"/>
    </font>
    <font>
      <b/>
      <sz val="12"/>
      <color rgb="FF000000"/>
      <name val="Calibri"/>
    </font>
    <font>
      <b/>
      <sz val="12"/>
      <color rgb="FF1F2937"/>
      <name val="Calibri"/>
    </font>
    <font>
      <b/>
      <sz val="14"/>
      <color rgb="FF1F2937"/>
      <name val="Calibri"/>
    </font>
    <font>
      <b/>
      <u/>
      <sz val="12"/>
      <color rgb="FF2F6FA3"/>
      <name val="Calibri"/>
    </font>
    <font>
      <b/>
      <sz val="11"/>
      <color rgb="FF000000"/>
      <name val="Calibri"/>
    </font>
    <font>
      <sz val="11"/>
      <color rgb="FF000000"/>
      <name val="Calibri"/>
    </font>
    <font>
      <b/>
      <sz val="10"/>
      <color rgb="FF000000"/>
      <name val="Calibri"/>
    </font>
    <font>
      <b/>
      <u/>
      <sz val="11"/>
      <color rgb="FF0563C1"/>
      <name val="Calibri"/>
    </font>
    <font>
      <b/>
      <sz val="11"/>
      <color rgb="FF2F3A4A"/>
      <name val="Calibri"/>
    </font>
    <font>
      <u/>
      <sz val="11"/>
      <color rgb="FF0563C1"/>
      <name val="Calibri"/>
    </font>
  </fonts>
  <fills count="20">
    <fill>
      <patternFill patternType="none"/>
    </fill>
    <fill>
      <patternFill patternType="gray125"/>
    </fill>
    <fill>
      <patternFill patternType="solid">
        <fgColor rgb="FFD9EAD3"/>
        <bgColor rgb="FFD9EAD3"/>
      </patternFill>
    </fill>
    <fill>
      <patternFill patternType="solid">
        <fgColor rgb="FFF4B183"/>
        <bgColor rgb="FFF4B183"/>
      </patternFill>
    </fill>
    <fill>
      <patternFill patternType="solid">
        <fgColor rgb="FFF4CCCC"/>
        <bgColor rgb="FFF4CCCC"/>
      </patternFill>
    </fill>
    <fill>
      <patternFill patternType="solid">
        <fgColor rgb="FFF7F7F7"/>
        <bgColor rgb="FFF7F7F7"/>
      </patternFill>
    </fill>
    <fill>
      <patternFill patternType="solid">
        <fgColor rgb="FF2F3A4A"/>
        <bgColor rgb="FF2F3A4A"/>
      </patternFill>
    </fill>
    <fill>
      <patternFill patternType="solid">
        <fgColor rgb="FF2F3A4A"/>
      </patternFill>
    </fill>
    <fill>
      <patternFill patternType="solid">
        <fgColor rgb="FFADD8E6"/>
      </patternFill>
    </fill>
    <fill>
      <patternFill patternType="solid">
        <fgColor rgb="FFDCE3EA"/>
      </patternFill>
    </fill>
    <fill>
      <patternFill patternType="solid">
        <fgColor rgb="FFC6EFCE"/>
      </patternFill>
    </fill>
    <fill>
      <patternFill patternType="solid">
        <fgColor rgb="FFFFCC99"/>
      </patternFill>
    </fill>
    <fill>
      <patternFill patternType="solid">
        <fgColor rgb="FFFFC1C1"/>
      </patternFill>
    </fill>
    <fill>
      <patternFill patternType="solid">
        <fgColor rgb="FFF5F7FA"/>
      </patternFill>
    </fill>
    <fill>
      <patternFill patternType="solid">
        <fgColor rgb="FFE5E7EB"/>
      </patternFill>
    </fill>
    <fill>
      <patternFill patternType="solid">
        <fgColor rgb="FFFFEB9C"/>
      </patternFill>
    </fill>
    <fill>
      <patternFill patternType="solid">
        <fgColor rgb="FFFFC7CE"/>
      </patternFill>
    </fill>
    <fill>
      <patternFill patternType="solid">
        <fgColor rgb="FFD9D2E9"/>
        <bgColor rgb="FFD9D2E9"/>
      </patternFill>
    </fill>
    <fill>
      <patternFill patternType="solid">
        <fgColor rgb="FFFFF2CC"/>
        <bgColor rgb="FFFFF2CC"/>
      </patternFill>
    </fill>
    <fill>
      <patternFill patternType="solid">
        <fgColor rgb="FFBFE9E4"/>
        <bgColor rgb="FFBFE9E4"/>
      </patternFill>
    </fill>
  </fills>
  <borders count="1">
    <border>
      <left/>
      <right/>
      <top/>
      <bottom/>
      <diagonal/>
    </border>
  </borders>
  <cellStyleXfs count="2">
    <xf numFmtId="0" fontId="0" fillId="0" borderId="0"/>
    <xf numFmtId="0" fontId="1" fillId="0" borderId="0"/>
  </cellStyleXfs>
  <cellXfs count="67">
    <xf numFmtId="0" fontId="0" fillId="0" borderId="0" xfId="0"/>
    <xf numFmtId="0" fontId="4" fillId="0" borderId="0" xfId="0" applyFont="1"/>
    <xf numFmtId="0" fontId="3" fillId="7" borderId="0" xfId="0" applyFont="1" applyFill="1"/>
    <xf numFmtId="0" fontId="2" fillId="0" borderId="0" xfId="0" applyFont="1"/>
    <xf numFmtId="0" fontId="6" fillId="0" borderId="0" xfId="0" applyFont="1" applyAlignment="1">
      <alignment horizontal="left" vertical="center" wrapText="1"/>
    </xf>
    <xf numFmtId="0" fontId="5" fillId="0" borderId="0" xfId="0" applyFont="1" applyAlignment="1">
      <alignment wrapText="1"/>
    </xf>
    <xf numFmtId="0" fontId="7" fillId="8" borderId="0" xfId="0" applyFont="1" applyFill="1" applyAlignment="1">
      <alignment horizontal="center" vertical="center" wrapText="1"/>
    </xf>
    <xf numFmtId="0" fontId="11" fillId="8" borderId="0" xfId="0" applyFont="1" applyFill="1" applyAlignment="1">
      <alignment horizontal="center" vertical="center" wrapText="1"/>
    </xf>
    <xf numFmtId="0" fontId="11" fillId="8" borderId="0" xfId="0" applyFont="1" applyFill="1" applyAlignment="1">
      <alignment horizontal="center" vertical="center"/>
    </xf>
    <xf numFmtId="0" fontId="10" fillId="9" borderId="0" xfId="0" applyFont="1" applyFill="1" applyAlignment="1">
      <alignment horizontal="left" vertical="center" wrapText="1"/>
    </xf>
    <xf numFmtId="0" fontId="9" fillId="9" borderId="0" xfId="0" applyFont="1" applyFill="1" applyAlignment="1">
      <alignment horizontal="center" vertical="center" wrapText="1"/>
    </xf>
    <xf numFmtId="0" fontId="0" fillId="10" borderId="0" xfId="0" applyFill="1" applyAlignment="1">
      <alignment horizontal="center" vertical="center"/>
    </xf>
    <xf numFmtId="0" fontId="0" fillId="13" borderId="0" xfId="0" applyFill="1"/>
    <xf numFmtId="10" fontId="9" fillId="15" borderId="0" xfId="0" applyNumberFormat="1" applyFont="1" applyFill="1" applyAlignment="1">
      <alignment horizontal="center" vertical="center" wrapText="1"/>
    </xf>
    <xf numFmtId="0" fontId="0" fillId="11" borderId="0" xfId="0" applyFill="1" applyAlignment="1">
      <alignment horizontal="center" vertical="center"/>
    </xf>
    <xf numFmtId="0" fontId="0" fillId="13" borderId="0" xfId="0" applyFill="1" applyAlignment="1">
      <alignment horizontal="center" vertical="center"/>
    </xf>
    <xf numFmtId="10" fontId="0" fillId="13" borderId="0" xfId="0" applyNumberFormat="1" applyFill="1" applyAlignment="1">
      <alignment horizontal="center" vertical="center"/>
    </xf>
    <xf numFmtId="10" fontId="9" fillId="16" borderId="0" xfId="0" applyNumberFormat="1" applyFont="1" applyFill="1" applyAlignment="1">
      <alignment horizontal="center" vertical="center" wrapText="1"/>
    </xf>
    <xf numFmtId="0" fontId="0" fillId="12" borderId="0" xfId="0" applyFill="1" applyAlignment="1">
      <alignment horizontal="center" vertical="center"/>
    </xf>
    <xf numFmtId="0" fontId="0" fillId="0" borderId="0" xfId="0" applyAlignment="1">
      <alignment horizontal="center" vertical="center"/>
    </xf>
    <xf numFmtId="10" fontId="9" fillId="10" borderId="0" xfId="0" applyNumberFormat="1" applyFont="1" applyFill="1" applyAlignment="1">
      <alignment horizontal="center" vertical="center" wrapText="1"/>
    </xf>
    <xf numFmtId="0" fontId="11" fillId="7" borderId="0" xfId="0" applyFont="1" applyFill="1" applyAlignment="1">
      <alignment horizontal="center" vertical="center" wrapText="1"/>
    </xf>
    <xf numFmtId="0" fontId="0" fillId="13" borderId="0" xfId="0" applyFill="1" applyAlignment="1">
      <alignment horizontal="left" vertical="center" wrapText="1"/>
    </xf>
    <xf numFmtId="0" fontId="2" fillId="13" borderId="0" xfId="0" applyFont="1" applyFill="1" applyAlignment="1">
      <alignment wrapText="1"/>
    </xf>
    <xf numFmtId="0" fontId="8" fillId="9" borderId="0" xfId="0" applyFont="1" applyFill="1" applyAlignment="1">
      <alignment horizontal="left" vertical="center" wrapText="1"/>
    </xf>
    <xf numFmtId="0" fontId="0" fillId="10" borderId="0" xfId="0" applyFill="1"/>
    <xf numFmtId="0" fontId="3" fillId="6" borderId="0" xfId="0" applyFont="1" applyFill="1" applyAlignment="1">
      <alignment horizontal="center" vertical="center" wrapText="1"/>
    </xf>
    <xf numFmtId="0" fontId="3" fillId="6" borderId="0" xfId="1" applyFont="1" applyFill="1" applyAlignment="1">
      <alignment horizontal="center" vertical="center" wrapText="1"/>
    </xf>
    <xf numFmtId="0" fontId="0" fillId="5" borderId="0" xfId="0" applyFill="1" applyAlignment="1">
      <alignment vertical="top"/>
    </xf>
    <xf numFmtId="0" fontId="0" fillId="4" borderId="0" xfId="0" applyFill="1" applyAlignment="1">
      <alignment vertical="top"/>
    </xf>
    <xf numFmtId="165" fontId="0" fillId="4" borderId="0" xfId="0" applyNumberFormat="1" applyFill="1" applyAlignment="1">
      <alignment vertical="top"/>
    </xf>
    <xf numFmtId="165" fontId="0" fillId="5" borderId="0" xfId="0" applyNumberFormat="1" applyFill="1" applyAlignment="1">
      <alignment vertical="top"/>
    </xf>
    <xf numFmtId="0" fontId="0" fillId="5" borderId="0" xfId="0" applyFill="1" applyAlignment="1">
      <alignment vertical="top" wrapText="1"/>
    </xf>
    <xf numFmtId="0" fontId="1" fillId="5" borderId="0" xfId="1" applyFill="1" applyAlignment="1">
      <alignment vertical="top"/>
    </xf>
    <xf numFmtId="165" fontId="0" fillId="18" borderId="0" xfId="0" applyNumberFormat="1" applyFill="1" applyAlignment="1">
      <alignment vertical="top"/>
    </xf>
    <xf numFmtId="166" fontId="0" fillId="5" borderId="0" xfId="0" applyNumberFormat="1" applyFill="1" applyAlignment="1">
      <alignment vertical="top"/>
    </xf>
    <xf numFmtId="0" fontId="0" fillId="5" borderId="0" xfId="0" applyFill="1"/>
    <xf numFmtId="0" fontId="0" fillId="0" borderId="0" xfId="0" applyAlignment="1">
      <alignment vertical="top"/>
    </xf>
    <xf numFmtId="165" fontId="0" fillId="0" borderId="0" xfId="0" applyNumberFormat="1" applyAlignment="1">
      <alignment vertical="top"/>
    </xf>
    <xf numFmtId="0" fontId="0" fillId="0" borderId="0" xfId="0" applyAlignment="1">
      <alignment vertical="top" wrapText="1"/>
    </xf>
    <xf numFmtId="0" fontId="1" fillId="0" borderId="0" xfId="1" applyAlignment="1">
      <alignment vertical="top"/>
    </xf>
    <xf numFmtId="166" fontId="0" fillId="0" borderId="0" xfId="0" applyNumberFormat="1" applyAlignment="1">
      <alignment vertical="top"/>
    </xf>
    <xf numFmtId="0" fontId="0" fillId="3" borderId="0" xfId="0" applyFill="1" applyAlignment="1">
      <alignment vertical="top"/>
    </xf>
    <xf numFmtId="165" fontId="0" fillId="2" borderId="0" xfId="0" applyNumberFormat="1" applyFill="1" applyAlignment="1">
      <alignment vertical="top"/>
    </xf>
    <xf numFmtId="0" fontId="0" fillId="18" borderId="0" xfId="0" applyFill="1" applyAlignment="1">
      <alignment vertical="top"/>
    </xf>
    <xf numFmtId="0" fontId="1" fillId="5" borderId="0" xfId="1" applyFill="1" applyAlignment="1">
      <alignment vertical="top" wrapText="1"/>
    </xf>
    <xf numFmtId="0" fontId="1" fillId="0" borderId="0" xfId="1" applyAlignment="1">
      <alignment vertical="top" wrapText="1"/>
    </xf>
    <xf numFmtId="0" fontId="0" fillId="2" borderId="0" xfId="0" applyFill="1" applyAlignment="1">
      <alignment vertical="top"/>
    </xf>
    <xf numFmtId="0" fontId="0" fillId="17" borderId="0" xfId="0" applyFill="1" applyAlignment="1">
      <alignment vertical="top"/>
    </xf>
    <xf numFmtId="165" fontId="0" fillId="17" borderId="0" xfId="0" applyNumberFormat="1" applyFill="1" applyAlignment="1">
      <alignment vertical="top"/>
    </xf>
    <xf numFmtId="164" fontId="0" fillId="5" borderId="0" xfId="0" applyNumberFormat="1" applyFill="1" applyAlignment="1">
      <alignment vertical="top"/>
    </xf>
    <xf numFmtId="164" fontId="0" fillId="0" borderId="0" xfId="0" applyNumberFormat="1" applyAlignment="1">
      <alignment vertical="top"/>
    </xf>
    <xf numFmtId="0" fontId="14" fillId="0" borderId="0" xfId="1" applyFont="1" applyAlignment="1">
      <alignment horizontal="center" vertical="center"/>
    </xf>
    <xf numFmtId="0" fontId="16" fillId="5" borderId="0" xfId="0" applyFont="1" applyFill="1" applyAlignment="1">
      <alignment vertical="top"/>
    </xf>
    <xf numFmtId="0" fontId="1" fillId="5" borderId="0" xfId="1" applyFill="1"/>
    <xf numFmtId="0" fontId="1" fillId="0" borderId="0" xfId="1"/>
    <xf numFmtId="167" fontId="0" fillId="4" borderId="0" xfId="0" applyNumberFormat="1" applyFill="1" applyAlignment="1">
      <alignment vertical="top"/>
    </xf>
    <xf numFmtId="0" fontId="16" fillId="5" borderId="0" xfId="1" applyFont="1" applyFill="1" applyAlignment="1">
      <alignment vertical="top" wrapText="1"/>
    </xf>
    <xf numFmtId="0" fontId="16" fillId="0" borderId="0" xfId="1" applyFont="1" applyAlignment="1">
      <alignment vertical="top" wrapText="1"/>
    </xf>
    <xf numFmtId="0" fontId="0" fillId="2" borderId="0" xfId="0" applyFill="1" applyAlignment="1">
      <alignment vertical="top" wrapText="1"/>
    </xf>
    <xf numFmtId="166" fontId="0" fillId="2" borderId="0" xfId="0" applyNumberFormat="1" applyFill="1" applyAlignment="1">
      <alignment vertical="top"/>
    </xf>
    <xf numFmtId="0" fontId="13" fillId="8" borderId="0" xfId="0" applyFont="1" applyFill="1" applyAlignment="1">
      <alignment horizontal="center" vertical="center" wrapText="1"/>
    </xf>
    <xf numFmtId="0" fontId="0" fillId="0" borderId="0" xfId="0"/>
    <xf numFmtId="0" fontId="12" fillId="13" borderId="0" xfId="0" applyFont="1" applyFill="1" applyAlignment="1">
      <alignment horizontal="left" vertical="top" wrapText="1"/>
    </xf>
    <xf numFmtId="0" fontId="11" fillId="8" borderId="0" xfId="0" applyFont="1" applyFill="1" applyAlignment="1">
      <alignment horizontal="center" vertical="center" wrapText="1"/>
    </xf>
    <xf numFmtId="0" fontId="7" fillId="14" borderId="0" xfId="0" applyFont="1" applyFill="1" applyAlignment="1">
      <alignment horizontal="center" vertical="center" wrapText="1"/>
    </xf>
    <xf numFmtId="0" fontId="15" fillId="19" borderId="0" xfId="0" applyFont="1" applyFill="1" applyAlignment="1">
      <alignment horizontal="left" vertical="center"/>
    </xf>
  </cellXfs>
  <cellStyles count="2">
    <cellStyle name="Hyperlink" xfId="1" builtinId="8"/>
    <cellStyle name="Normal" xfId="0" builtinId="0"/>
  </cellStyles>
  <dxfs count="112">
    <dxf>
      <font>
        <color rgb="FF9C0006"/>
      </font>
      <fill>
        <patternFill patternType="solid">
          <fgColor rgb="FFFFC7CE"/>
          <b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F2CC"/>
        </patternFill>
      </fill>
    </dxf>
    <dxf>
      <fill>
        <patternFill patternType="solid">
          <fgColor rgb="FFD9EAD3"/>
        </patternFill>
      </fill>
    </dxf>
    <dxf>
      <fill>
        <patternFill patternType="solid">
          <fgColor rgb="FFC6EFCE"/>
        </patternFill>
      </fill>
    </dxf>
    <dxf>
      <fill>
        <patternFill patternType="solid">
          <fgColor rgb="FFFFC7CE"/>
        </patternFill>
      </fill>
    </dxf>
    <dxf>
      <font>
        <b/>
        <color rgb="FF9C5700"/>
      </font>
      <fill>
        <patternFill patternType="solid">
          <fgColor rgb="FFFFEB9C"/>
        </patternFill>
      </fill>
    </dxf>
    <dxf>
      <font>
        <b/>
        <color rgb="FF9C0006"/>
      </font>
      <fill>
        <patternFill patternType="solid">
          <fgColor rgb="FFFFC7CE"/>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F2CC"/>
          <bgColor rgb="FFFFF2CC"/>
        </patternFill>
      </fill>
    </dxf>
    <dxf>
      <fill>
        <patternFill patternType="solid">
          <fgColor rgb="FFF4CCCC"/>
          <bgColor rgb="FFF4CCCC"/>
        </patternFill>
      </fill>
    </dxf>
    <dxf>
      <fill>
        <patternFill patternType="solid">
          <fgColor rgb="FFFFF2CC"/>
        </patternFill>
      </fill>
    </dxf>
    <dxf>
      <fill>
        <patternFill patternType="solid">
          <fgColor rgb="FFD9EAD3"/>
        </patternFill>
      </fill>
    </dxf>
    <dxf>
      <fill>
        <patternFill patternType="solid">
          <fgColor rgb="FFFFF2CC"/>
          <bgColor rgb="FFFFF2CC"/>
        </patternFill>
      </fill>
    </dxf>
    <dxf>
      <fill>
        <patternFill patternType="solid">
          <fgColor rgb="FFF4CCCC"/>
          <bgColor rgb="FFF4CCCC"/>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FFFFFF"/>
      </font>
      <fill>
        <patternFill patternType="solid">
          <fgColor rgb="FFED7D31"/>
          <bgColor rgb="FFED7D31"/>
        </patternFill>
      </fill>
    </dxf>
    <dxf>
      <font>
        <b/>
        <color rgb="FFFFFFFF"/>
      </font>
      <fill>
        <patternFill patternType="solid">
          <fgColor rgb="FF5B9BD5"/>
          <bgColor rgb="FF5B9BD5"/>
        </patternFill>
      </fill>
    </dxf>
    <dxf>
      <font>
        <b/>
        <color rgb="FFFFFFFF"/>
      </font>
      <fill>
        <patternFill patternType="solid">
          <fgColor rgb="FF92D050"/>
          <bgColor rgb="FF92D050"/>
        </patternFill>
      </fill>
    </dxf>
    <dxf>
      <font>
        <b/>
        <color rgb="FF000000"/>
      </font>
      <fill>
        <patternFill patternType="solid">
          <fgColor rgb="FFD9D9D9"/>
          <bgColor rgb="FFD9D9D9"/>
        </patternFill>
      </fill>
    </dxf>
    <dxf>
      <font>
        <b/>
        <color rgb="FF000000"/>
      </font>
      <fill>
        <patternFill patternType="solid">
          <fgColor rgb="FFD9D9D9"/>
          <bgColor rgb="FFD9D9D9"/>
        </patternFill>
      </fill>
    </dxf>
    <dxf>
      <font>
        <b/>
        <color rgb="FF000000"/>
      </font>
      <fill>
        <patternFill patternType="solid">
          <fgColor rgb="FFFFC000"/>
          <bgColor rgb="FFFFC000"/>
        </patternFill>
      </fill>
    </dxf>
    <dxf>
      <font>
        <b/>
        <color rgb="FF000000"/>
      </font>
      <fill>
        <patternFill patternType="solid">
          <fgColor rgb="FFFFC000"/>
          <bgColor rgb="FFFFC000"/>
        </patternFill>
      </fill>
    </dxf>
    <dxf>
      <font>
        <b/>
        <color rgb="FFFFFFFF"/>
      </font>
      <fill>
        <patternFill patternType="solid">
          <fgColor rgb="FF1F7A1F"/>
          <bgColor rgb="FF1F7A1F"/>
        </patternFill>
      </fill>
    </dxf>
    <dxf>
      <fill>
        <patternFill patternType="solid">
          <fgColor rgb="FFD9EAD3"/>
        </patternFill>
      </fill>
    </dxf>
    <dxf>
      <fill>
        <patternFill patternType="solid">
          <fgColor rgb="FFFFF2CC"/>
        </patternFill>
      </fill>
    </dxf>
    <dxf>
      <font>
        <b/>
        <color rgb="FF000000"/>
      </font>
      <fill>
        <patternFill patternType="solid">
          <fgColor rgb="FF00FF00"/>
          <bgColor rgb="FF00FF00"/>
        </patternFill>
      </fill>
    </dxf>
    <dxf>
      <font>
        <b/>
        <color rgb="FF000000"/>
      </font>
      <fill>
        <patternFill patternType="solid">
          <fgColor rgb="FF00FF00"/>
          <bgColor rgb="FF00FF00"/>
        </patternFill>
      </fill>
    </dxf>
    <dxf>
      <font>
        <b/>
        <color rgb="FF000000"/>
      </font>
      <fill>
        <patternFill patternType="solid">
          <fgColor rgb="FFFFC000"/>
          <bgColor rgb="FFFFC000"/>
        </patternFill>
      </fill>
    </dxf>
    <dxf>
      <font>
        <b/>
        <color rgb="FF000000"/>
      </font>
      <fill>
        <patternFill patternType="solid">
          <fgColor rgb="FFFFC000"/>
          <bgColor rgb="FFFFC000"/>
        </patternFill>
      </fill>
    </dxf>
    <dxf>
      <font>
        <b/>
        <color rgb="FFFFFFFF"/>
      </font>
      <fill>
        <patternFill patternType="solid">
          <fgColor rgb="FFFF0000"/>
          <bgColor rgb="FFFF0000"/>
        </patternFill>
      </fill>
    </dxf>
    <dxf>
      <fill>
        <patternFill patternType="solid">
          <fgColor rgb="FFFFF2CC"/>
        </patternFill>
      </fill>
    </dxf>
    <dxf>
      <fill>
        <patternFill patternType="solid">
          <fgColor rgb="FFD9EAD3"/>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FFF2CC"/>
        </patternFill>
      </fill>
    </dxf>
    <dxf>
      <fill>
        <patternFill patternType="solid">
          <fgColor rgb="FFD9EAD3"/>
        </patternFill>
      </fill>
    </dxf>
    <dxf>
      <font>
        <b/>
        <color rgb="FF9C5700"/>
      </font>
      <fill>
        <patternFill patternType="solid">
          <fgColor rgb="FFFFEB9C"/>
        </patternFill>
      </fill>
    </dxf>
    <dxf>
      <font>
        <b/>
        <color rgb="FF9C0006"/>
      </font>
      <fill>
        <patternFill patternType="solid">
          <f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20/07/relationships/rdRichValueWebImage" Target="richData/rdRichValueWebImage.xml"/></Relationships>
</file>

<file path=xl/richData/_rels/rdRichValueWebImage.xml.rels><?xml version="1.0" encoding="UTF-8" standalone="yes"?>
<Relationships xmlns="http://schemas.openxmlformats.org/package/2006/relationships"><Relationship Id="rId3" Type="http://schemas.openxmlformats.org/officeDocument/2006/relationships/hyperlink" Target="https://africanmarketingconfederation.org/wp-content/uploads/2021/08/amc_faw.png" TargetMode="External"/><Relationship Id="rId2" Type="http://schemas.openxmlformats.org/officeDocument/2006/relationships/image" Target="../media/image1.png"/><Relationship Id="rId1" Type="http://schemas.openxmlformats.org/officeDocument/2006/relationships/hyperlink" Target="https://africanmarketingconfederation.org/wp-content/uploads/2026/03/og-image.png" TargetMode="External"/><Relationship Id="rId4" Type="http://schemas.openxmlformats.org/officeDocument/2006/relationships/image" Target="../media/image2.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blip r:id="rId2"/>
  </webImageSrd>
  <webImageSrd>
    <address r:id="rId3"/>
    <blip r:id="rId4"/>
  </webImageSrd>
</webImagesSrd>
</file>

<file path=xl/richData/rdrichvalue.xml><?xml version="1.0" encoding="utf-8"?>
<rvData xmlns="http://schemas.microsoft.com/office/spreadsheetml/2017/richdata" count="2">
  <rv s="0">
    <v>0</v>
    <v>1</v>
    <v>0</v>
    <v>0</v>
  </rv>
  <rv s="0">
    <v>1</v>
    <v>1</v>
    <v>0</v>
    <v>0</v>
  </rv>
</rvData>
</file>

<file path=xl/richData/rdrichvaluestructure.xml><?xml version="1.0" encoding="utf-8"?>
<rvStructures xmlns="http://schemas.microsoft.com/office/spreadsheetml/2017/richdata" count="1">
  <s t="_webimage">
    <k n="WebImageIdentifier" t="i"/>
    <k n="CalcOrigin" t="i"/>
    <k n="ComputedImage" t="b"/>
    <k n="ImageSizing"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8" Type="http://schemas.openxmlformats.org/officeDocument/2006/relationships/hyperlink" Target="https://africanmarketingconfederation.org/amc-awards-2024" TargetMode="External"/><Relationship Id="rId13" Type="http://schemas.openxmlformats.org/officeDocument/2006/relationships/vmlDrawing" Target="../drawings/vmlDrawing2.vml"/><Relationship Id="rId3" Type="http://schemas.openxmlformats.org/officeDocument/2006/relationships/hyperlink" Target="https://africanmarketingconfederation.org/amc-awards-2024" TargetMode="External"/><Relationship Id="rId7" Type="http://schemas.openxmlformats.org/officeDocument/2006/relationships/hyperlink" Target="https://africanmarketingconfederation.org/" TargetMode="External"/><Relationship Id="rId12" Type="http://schemas.openxmlformats.org/officeDocument/2006/relationships/hyperlink" Target="https://africanmarketingconfederation.org/amc-awards-2024" TargetMode="External"/><Relationship Id="rId2" Type="http://schemas.openxmlformats.org/officeDocument/2006/relationships/hyperlink" Target="https://africanmarketingconfederation.org/amc-awards-2024" TargetMode="External"/><Relationship Id="rId1" Type="http://schemas.openxmlformats.org/officeDocument/2006/relationships/hyperlink" Target="https://africanmarketingconfederation.org/amc-awards-2024" TargetMode="External"/><Relationship Id="rId6" Type="http://schemas.openxmlformats.org/officeDocument/2006/relationships/hyperlink" Target="https://africanmarketingconfederation.org/" TargetMode="External"/><Relationship Id="rId11" Type="http://schemas.openxmlformats.org/officeDocument/2006/relationships/hyperlink" Target="https://africanmarketingconfederation.org/amc-awards-2024" TargetMode="External"/><Relationship Id="rId5" Type="http://schemas.openxmlformats.org/officeDocument/2006/relationships/hyperlink" Target="https://africanmarketingconfederation.org/amc-conference-2023/amc-awards-book-now" TargetMode="External"/><Relationship Id="rId10" Type="http://schemas.openxmlformats.org/officeDocument/2006/relationships/hyperlink" Target="https://africanmarketingconfederation.org/amc-awards-2024" TargetMode="External"/><Relationship Id="rId4" Type="http://schemas.openxmlformats.org/officeDocument/2006/relationships/hyperlink" Target="https://africanmarketingconfederation.org/amc-conference-2022-prospectus" TargetMode="External"/><Relationship Id="rId9" Type="http://schemas.openxmlformats.org/officeDocument/2006/relationships/hyperlink" Target="https://africanmarketingconfederation.org/amc-awards-2024" TargetMode="External"/><Relationship Id="rId1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8" Type="http://schemas.openxmlformats.org/officeDocument/2006/relationships/hyperlink" Target="https://africanmarketingconfederation.org/about-us" TargetMode="External"/><Relationship Id="rId3" Type="http://schemas.openxmlformats.org/officeDocument/2006/relationships/hyperlink" Target="https://africanmarketingconfederation.org/african-marketing-confederation-tourism-chapter" TargetMode="External"/><Relationship Id="rId7" Type="http://schemas.openxmlformats.org/officeDocument/2006/relationships/hyperlink" Target="https://africanmarketingconfederation.org/amc-conference-2022" TargetMode="External"/><Relationship Id="rId12" Type="http://schemas.openxmlformats.org/officeDocument/2006/relationships/comments" Target="../comments3.xml"/><Relationship Id="rId2" Type="http://schemas.openxmlformats.org/officeDocument/2006/relationships/hyperlink" Target="https://africanmarketingconfederation.org/amc-awards-2024" TargetMode="External"/><Relationship Id="rId1" Type="http://schemas.openxmlformats.org/officeDocument/2006/relationships/hyperlink" Target="https://africanmarketingconfederation.org/amc-conference-2023/amc-awards-book-now" TargetMode="External"/><Relationship Id="rId6" Type="http://schemas.openxmlformats.org/officeDocument/2006/relationships/hyperlink" Target="https://africanmarketingconfederation.org/amc-conference-2022-thank-you" TargetMode="External"/><Relationship Id="rId11" Type="http://schemas.openxmlformats.org/officeDocument/2006/relationships/vmlDrawing" Target="../drawings/vmlDrawing3.vm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 TargetMode="External"/><Relationship Id="rId9" Type="http://schemas.openxmlformats.org/officeDocument/2006/relationships/hyperlink" Target="https://africanmarketingconfederation.org/amc-conference-2023" TargetMode="Externa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6" Type="http://schemas.openxmlformats.org/officeDocument/2006/relationships/hyperlink" Target="https://africanmarketingconfederation.org/" TargetMode="External"/><Relationship Id="rId21" Type="http://schemas.openxmlformats.org/officeDocument/2006/relationships/hyperlink" Target="https://africanmarketingconfederation.org/" TargetMode="External"/><Relationship Id="rId42" Type="http://schemas.openxmlformats.org/officeDocument/2006/relationships/hyperlink" Target="https://africanmarketingconfederation.org/amc-conference-2022-prospectus" TargetMode="External"/><Relationship Id="rId47" Type="http://schemas.openxmlformats.org/officeDocument/2006/relationships/hyperlink" Target="https://africanmarketingconfederation.org/amc-conference-2022-thank-you" TargetMode="External"/><Relationship Id="rId63" Type="http://schemas.openxmlformats.org/officeDocument/2006/relationships/hyperlink" Target="https://africanmarketingconfederation.org/amc-conference-2023" TargetMode="External"/><Relationship Id="rId68" Type="http://schemas.openxmlformats.org/officeDocument/2006/relationships/hyperlink" Target="https://africanmarketingconfederation.org/amc-conference-2023/amc-awards-book-now" TargetMode="External"/><Relationship Id="rId84" Type="http://schemas.openxmlformats.org/officeDocument/2006/relationships/hyperlink" Target="https://africanmarketingconfederation.org/amc-conference-2023/amc-awards" TargetMode="External"/><Relationship Id="rId16" Type="http://schemas.openxmlformats.org/officeDocument/2006/relationships/hyperlink" Target="https://africanmarketingconfederation.org/african-marketing-confederation-tourism-chapter" TargetMode="External"/><Relationship Id="rId11" Type="http://schemas.openxmlformats.org/officeDocument/2006/relationships/hyperlink" Target="https://africanmarketingconfederation.org/african-marketing-confederation-tourism-chapter" TargetMode="External"/><Relationship Id="rId32" Type="http://schemas.openxmlformats.org/officeDocument/2006/relationships/hyperlink" Target="https://africanmarketingconfederation.org/about-us" TargetMode="External"/><Relationship Id="rId37" Type="http://schemas.openxmlformats.org/officeDocument/2006/relationships/hyperlink" Target="https://africanmarketingconfederation.org/amc-conference-2022-prospectus" TargetMode="External"/><Relationship Id="rId53" Type="http://schemas.openxmlformats.org/officeDocument/2006/relationships/hyperlink" Target="https://africanmarketingconfederation.org/amc-conference-2022" TargetMode="External"/><Relationship Id="rId58" Type="http://schemas.openxmlformats.org/officeDocument/2006/relationships/hyperlink" Target="https://africanmarketingconfederation.org/amc-conference-2022" TargetMode="External"/><Relationship Id="rId74" Type="http://schemas.openxmlformats.org/officeDocument/2006/relationships/hyperlink" Target="https://africanmarketingconfederation.org/amc-conference-2023/amc-awards-book-now" TargetMode="External"/><Relationship Id="rId79" Type="http://schemas.openxmlformats.org/officeDocument/2006/relationships/hyperlink" Target="https://africanmarketingconfederation.org/amc-conference-2023/amc-awards" TargetMode="External"/><Relationship Id="rId5" Type="http://schemas.openxmlformats.org/officeDocument/2006/relationships/hyperlink" Target="https://africanmarketingconfederation.org/amc-awards-2024" TargetMode="External"/><Relationship Id="rId19" Type="http://schemas.openxmlformats.org/officeDocument/2006/relationships/hyperlink" Target="https://africanmarketingconfederation.org/" TargetMode="External"/><Relationship Id="rId14" Type="http://schemas.openxmlformats.org/officeDocument/2006/relationships/hyperlink" Target="https://africanmarketingconfederation.org/african-marketing-confederation-tourism-chapter" TargetMode="External"/><Relationship Id="rId22" Type="http://schemas.openxmlformats.org/officeDocument/2006/relationships/hyperlink" Target="https://africanmarketingconfederation.org/" TargetMode="External"/><Relationship Id="rId27" Type="http://schemas.openxmlformats.org/officeDocument/2006/relationships/hyperlink" Target="https://africanmarketingconfederation.org/about-us" TargetMode="External"/><Relationship Id="rId30" Type="http://schemas.openxmlformats.org/officeDocument/2006/relationships/hyperlink" Target="https://africanmarketingconfederation.org/about-us" TargetMode="External"/><Relationship Id="rId35" Type="http://schemas.openxmlformats.org/officeDocument/2006/relationships/hyperlink" Target="https://africanmarketingconfederation.org/amc-conference-2022-prospectus" TargetMode="External"/><Relationship Id="rId43" Type="http://schemas.openxmlformats.org/officeDocument/2006/relationships/hyperlink" Target="https://africanmarketingconfederation.org/amc-conference-2022-prospectus" TargetMode="External"/><Relationship Id="rId48" Type="http://schemas.openxmlformats.org/officeDocument/2006/relationships/hyperlink" Target="https://africanmarketingconfederation.org/amc-conference-2022-thank-you" TargetMode="External"/><Relationship Id="rId56" Type="http://schemas.openxmlformats.org/officeDocument/2006/relationships/hyperlink" Target="https://africanmarketingconfederation.org/amc-conference-2022" TargetMode="External"/><Relationship Id="rId64" Type="http://schemas.openxmlformats.org/officeDocument/2006/relationships/hyperlink" Target="https://africanmarketingconfederation.org/amc-conference-2023" TargetMode="External"/><Relationship Id="rId69" Type="http://schemas.openxmlformats.org/officeDocument/2006/relationships/hyperlink" Target="https://africanmarketingconfederation.org/amc-conference-2023/amc-awards-book-now" TargetMode="External"/><Relationship Id="rId77" Type="http://schemas.openxmlformats.org/officeDocument/2006/relationships/hyperlink" Target="https://africanmarketingconfederation.org/amc-conference-2023/amc-awards-book-now" TargetMode="External"/><Relationship Id="rId8" Type="http://schemas.openxmlformats.org/officeDocument/2006/relationships/hyperlink" Target="https://africanmarketingconfederation.org/amc-awards-2024" TargetMode="External"/><Relationship Id="rId51" Type="http://schemas.openxmlformats.org/officeDocument/2006/relationships/hyperlink" Target="https://africanmarketingconfederation.org/amc-conference-2022-thank-you" TargetMode="External"/><Relationship Id="rId72" Type="http://schemas.openxmlformats.org/officeDocument/2006/relationships/hyperlink" Target="https://africanmarketingconfederation.org/amc-conference-2023/amc-awards-book-now" TargetMode="External"/><Relationship Id="rId80" Type="http://schemas.openxmlformats.org/officeDocument/2006/relationships/hyperlink" Target="https://africanmarketingconfederation.org/amc-conference-2023/amc-awards" TargetMode="External"/><Relationship Id="rId85" Type="http://schemas.openxmlformats.org/officeDocument/2006/relationships/vmlDrawing" Target="../drawings/vmlDrawing5.vml"/><Relationship Id="rId3" Type="http://schemas.openxmlformats.org/officeDocument/2006/relationships/hyperlink" Target="https://africanmarketingconfederation.org/amc-awards-2024" TargetMode="External"/><Relationship Id="rId12" Type="http://schemas.openxmlformats.org/officeDocument/2006/relationships/hyperlink" Target="https://africanmarketingconfederation.org/african-marketing-confederation-tourism-chapter" TargetMode="External"/><Relationship Id="rId17" Type="http://schemas.openxmlformats.org/officeDocument/2006/relationships/hyperlink" Target="https://africanmarketingconfederation.org/" TargetMode="External"/><Relationship Id="rId25" Type="http://schemas.openxmlformats.org/officeDocument/2006/relationships/hyperlink" Target="https://africanmarketingconfederation.org/" TargetMode="External"/><Relationship Id="rId33" Type="http://schemas.openxmlformats.org/officeDocument/2006/relationships/hyperlink" Target="https://africanmarketingconfederation.org/about-us" TargetMode="External"/><Relationship Id="rId38" Type="http://schemas.openxmlformats.org/officeDocument/2006/relationships/hyperlink" Target="https://africanmarketingconfederation.org/amc-conference-2022-prospectus" TargetMode="External"/><Relationship Id="rId46" Type="http://schemas.openxmlformats.org/officeDocument/2006/relationships/hyperlink" Target="https://africanmarketingconfederation.org/amc-conference-2022-thank-you" TargetMode="External"/><Relationship Id="rId59" Type="http://schemas.openxmlformats.org/officeDocument/2006/relationships/hyperlink" Target="https://africanmarketingconfederation.org/amc-conference-2022" TargetMode="External"/><Relationship Id="rId67" Type="http://schemas.openxmlformats.org/officeDocument/2006/relationships/hyperlink" Target="https://africanmarketingconfederation.org/amc-conference-2023" TargetMode="External"/><Relationship Id="rId20" Type="http://schemas.openxmlformats.org/officeDocument/2006/relationships/hyperlink" Target="https://africanmarketingconfederation.org/" TargetMode="External"/><Relationship Id="rId41" Type="http://schemas.openxmlformats.org/officeDocument/2006/relationships/hyperlink" Target="https://africanmarketingconfederation.org/amc-conference-2022-prospectus" TargetMode="External"/><Relationship Id="rId54" Type="http://schemas.openxmlformats.org/officeDocument/2006/relationships/hyperlink" Target="https://africanmarketingconfederation.org/amc-conference-2022" TargetMode="External"/><Relationship Id="rId62" Type="http://schemas.openxmlformats.org/officeDocument/2006/relationships/hyperlink" Target="https://africanmarketingconfederation.org/amc-conference-2023" TargetMode="External"/><Relationship Id="rId70" Type="http://schemas.openxmlformats.org/officeDocument/2006/relationships/hyperlink" Target="https://africanmarketingconfederation.org/amc-conference-2023/amc-awards-book-now" TargetMode="External"/><Relationship Id="rId75" Type="http://schemas.openxmlformats.org/officeDocument/2006/relationships/hyperlink" Target="https://africanmarketingconfederation.org/amc-conference-2023/amc-awards-book-now" TargetMode="External"/><Relationship Id="rId83" Type="http://schemas.openxmlformats.org/officeDocument/2006/relationships/hyperlink" Target="https://africanmarketingconfederation.org/amc-conference-2023/amc-awards" TargetMode="External"/><Relationship Id="rId1" Type="http://schemas.openxmlformats.org/officeDocument/2006/relationships/hyperlink" Target="https://africanmarketingconfederation.org/amc-awards-2024" TargetMode="External"/><Relationship Id="rId6" Type="http://schemas.openxmlformats.org/officeDocument/2006/relationships/hyperlink" Target="https://africanmarketingconfederation.org/amc-awards-2024" TargetMode="External"/><Relationship Id="rId15" Type="http://schemas.openxmlformats.org/officeDocument/2006/relationships/hyperlink" Target="https://africanmarketingconfederation.org/african-marketing-confederation-tourism-chapter" TargetMode="External"/><Relationship Id="rId23" Type="http://schemas.openxmlformats.org/officeDocument/2006/relationships/hyperlink" Target="https://africanmarketingconfederation.org/" TargetMode="External"/><Relationship Id="rId28" Type="http://schemas.openxmlformats.org/officeDocument/2006/relationships/hyperlink" Target="https://africanmarketingconfederation.org/about-us" TargetMode="External"/><Relationship Id="rId36" Type="http://schemas.openxmlformats.org/officeDocument/2006/relationships/hyperlink" Target="https://africanmarketingconfederation.org/amc-conference-2022-prospectus" TargetMode="External"/><Relationship Id="rId49" Type="http://schemas.openxmlformats.org/officeDocument/2006/relationships/hyperlink" Target="https://africanmarketingconfederation.org/amc-conference-2022-thank-you" TargetMode="External"/><Relationship Id="rId57" Type="http://schemas.openxmlformats.org/officeDocument/2006/relationships/hyperlink" Target="https://africanmarketingconfederation.org/amc-conference-2022" TargetMode="External"/><Relationship Id="rId10" Type="http://schemas.openxmlformats.org/officeDocument/2006/relationships/hyperlink" Target="https://africanmarketingconfederation.org/african-marketing-confederation-tourism-chapter" TargetMode="External"/><Relationship Id="rId31" Type="http://schemas.openxmlformats.org/officeDocument/2006/relationships/hyperlink" Target="https://africanmarketingconfederation.org/about-us" TargetMode="External"/><Relationship Id="rId44" Type="http://schemas.openxmlformats.org/officeDocument/2006/relationships/hyperlink" Target="https://africanmarketingconfederation.org/amc-conference-2022-thank-you" TargetMode="External"/><Relationship Id="rId52" Type="http://schemas.openxmlformats.org/officeDocument/2006/relationships/hyperlink" Target="https://africanmarketingconfederation.org/amc-conference-2022" TargetMode="External"/><Relationship Id="rId60" Type="http://schemas.openxmlformats.org/officeDocument/2006/relationships/hyperlink" Target="https://africanmarketingconfederation.org/amc-conference-2022" TargetMode="External"/><Relationship Id="rId65" Type="http://schemas.openxmlformats.org/officeDocument/2006/relationships/hyperlink" Target="https://africanmarketingconfederation.org/amc-conference-2023" TargetMode="External"/><Relationship Id="rId73" Type="http://schemas.openxmlformats.org/officeDocument/2006/relationships/hyperlink" Target="https://africanmarketingconfederation.org/amc-conference-2023/amc-awards-book-now" TargetMode="External"/><Relationship Id="rId78" Type="http://schemas.openxmlformats.org/officeDocument/2006/relationships/hyperlink" Target="https://africanmarketingconfederation.org/amc-conference-2023/amc-awards" TargetMode="External"/><Relationship Id="rId81" Type="http://schemas.openxmlformats.org/officeDocument/2006/relationships/hyperlink" Target="https://africanmarketingconfederation.org/amc-conference-2023/amc-awards" TargetMode="External"/><Relationship Id="rId86" Type="http://schemas.openxmlformats.org/officeDocument/2006/relationships/comments" Target="../comments5.xm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frican-marketing-confederation-tourism-chapter" TargetMode="External"/><Relationship Id="rId13" Type="http://schemas.openxmlformats.org/officeDocument/2006/relationships/hyperlink" Target="https://africanmarketingconfederation.org/african-marketing-confederation-tourism-chapter" TargetMode="External"/><Relationship Id="rId18" Type="http://schemas.openxmlformats.org/officeDocument/2006/relationships/hyperlink" Target="https://africanmarketingconfederation.org/" TargetMode="External"/><Relationship Id="rId39" Type="http://schemas.openxmlformats.org/officeDocument/2006/relationships/hyperlink" Target="https://africanmarketingconfederation.org/amc-conference-2022-prospectus" TargetMode="External"/><Relationship Id="rId34" Type="http://schemas.openxmlformats.org/officeDocument/2006/relationships/hyperlink" Target="https://africanmarketingconfederation.org/about-us" TargetMode="External"/><Relationship Id="rId50" Type="http://schemas.openxmlformats.org/officeDocument/2006/relationships/hyperlink" Target="https://africanmarketingconfederation.org/amc-conference-2022-thank-you" TargetMode="External"/><Relationship Id="rId55" Type="http://schemas.openxmlformats.org/officeDocument/2006/relationships/hyperlink" Target="https://africanmarketingconfederation.org/amc-conference-2022" TargetMode="External"/><Relationship Id="rId76" Type="http://schemas.openxmlformats.org/officeDocument/2006/relationships/hyperlink" Target="https://africanmarketingconfederation.org/amc-conference-2023/amc-awards-book-now" TargetMode="External"/><Relationship Id="rId7" Type="http://schemas.openxmlformats.org/officeDocument/2006/relationships/hyperlink" Target="https://africanmarketingconfederation.org/amc-awards-2024" TargetMode="External"/><Relationship Id="rId71" Type="http://schemas.openxmlformats.org/officeDocument/2006/relationships/hyperlink" Target="https://africanmarketingconfederation.org/amc-conference-2023/amc-awards-book-now" TargetMode="External"/><Relationship Id="rId2" Type="http://schemas.openxmlformats.org/officeDocument/2006/relationships/hyperlink" Target="https://africanmarketingconfederation.org/amc-awards-2024" TargetMode="External"/><Relationship Id="rId29" Type="http://schemas.openxmlformats.org/officeDocument/2006/relationships/hyperlink" Target="https://africanmarketingconfederation.org/about-us" TargetMode="External"/><Relationship Id="rId24" Type="http://schemas.openxmlformats.org/officeDocument/2006/relationships/hyperlink" Target="https://africanmarketingconfederation.org/" TargetMode="External"/><Relationship Id="rId40" Type="http://schemas.openxmlformats.org/officeDocument/2006/relationships/hyperlink" Target="https://africanmarketingconfederation.org/amc-conference-2022-prospectus" TargetMode="External"/><Relationship Id="rId45" Type="http://schemas.openxmlformats.org/officeDocument/2006/relationships/hyperlink" Target="https://africanmarketingconfederation.org/amc-conference-2022-thank-you" TargetMode="External"/><Relationship Id="rId66" Type="http://schemas.openxmlformats.org/officeDocument/2006/relationships/hyperlink" Target="https://africanmarketingconfederation.org/amc-conference-2023" TargetMode="External"/><Relationship Id="rId61" Type="http://schemas.openxmlformats.org/officeDocument/2006/relationships/hyperlink" Target="https://africanmarketingconfederation.org/amc-conference-2023" TargetMode="External"/><Relationship Id="rId82" Type="http://schemas.openxmlformats.org/officeDocument/2006/relationships/hyperlink" Target="https://africanmarketingconfederation.org/amc-conference-2023/amc-awards"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 TargetMode="External"/><Relationship Id="rId7" Type="http://schemas.openxmlformats.org/officeDocument/2006/relationships/hyperlink" Target="https://africanmarketingconfederation.org/amc-conference-2022" TargetMode="External"/><Relationship Id="rId12" Type="http://schemas.openxmlformats.org/officeDocument/2006/relationships/comments" Target="../comments6.xml"/><Relationship Id="rId2" Type="http://schemas.openxmlformats.org/officeDocument/2006/relationships/hyperlink" Target="https://africanmarketingconfederation.org/african-marketing-confederation-tourism-chapter" TargetMode="External"/><Relationship Id="rId1" Type="http://schemas.openxmlformats.org/officeDocument/2006/relationships/hyperlink" Target="https://africanmarketingconfederation.org/amc-awards-2024" TargetMode="External"/><Relationship Id="rId6" Type="http://schemas.openxmlformats.org/officeDocument/2006/relationships/hyperlink" Target="https://africanmarketingconfederation.org/amc-conference-2022-thank-you" TargetMode="External"/><Relationship Id="rId11" Type="http://schemas.openxmlformats.org/officeDocument/2006/relationships/vmlDrawing" Target="../drawings/vmlDrawing6.vm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about-us" TargetMode="External"/><Relationship Id="rId9" Type="http://schemas.openxmlformats.org/officeDocument/2006/relationships/hyperlink" Target="https://africanmarketingconfederation.org/amc-conference-2023/amc-awards-book-now"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 TargetMode="External"/><Relationship Id="rId7" Type="http://schemas.openxmlformats.org/officeDocument/2006/relationships/hyperlink" Target="https://africanmarketingconfederation.org/amc-conference-2022" TargetMode="External"/><Relationship Id="rId12" Type="http://schemas.openxmlformats.org/officeDocument/2006/relationships/comments" Target="../comments7.xml"/><Relationship Id="rId2" Type="http://schemas.openxmlformats.org/officeDocument/2006/relationships/hyperlink" Target="https://africanmarketingconfederation.org/african-marketing-confederation-tourism-chapter" TargetMode="External"/><Relationship Id="rId1" Type="http://schemas.openxmlformats.org/officeDocument/2006/relationships/hyperlink" Target="https://africanmarketingconfederation.org/amc-awards-2024" TargetMode="External"/><Relationship Id="rId6" Type="http://schemas.openxmlformats.org/officeDocument/2006/relationships/hyperlink" Target="https://africanmarketingconfederation.org/amc-conference-2022-thank-you" TargetMode="External"/><Relationship Id="rId11" Type="http://schemas.openxmlformats.org/officeDocument/2006/relationships/vmlDrawing" Target="../drawings/vmlDrawing7.vm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about-us" TargetMode="External"/><Relationship Id="rId9" Type="http://schemas.openxmlformats.org/officeDocument/2006/relationships/hyperlink" Target="https://africanmarketingconfederation.org/amc-conference-2023/amc-awards-book-now"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https://africanmarketingconfederation.org/" TargetMode="External"/><Relationship Id="rId299" Type="http://schemas.openxmlformats.org/officeDocument/2006/relationships/hyperlink" Target="https://africanmarketingconfederation.org/amc-conference-2022" TargetMode="External"/><Relationship Id="rId21" Type="http://schemas.openxmlformats.org/officeDocument/2006/relationships/hyperlink" Target="https://africanmarketingconfederation.org/amc-awards-2024" TargetMode="External"/><Relationship Id="rId63" Type="http://schemas.openxmlformats.org/officeDocument/2006/relationships/hyperlink" Target="https://africanmarketingconfederation.org/african-marketing-confederation-tourism-chapter" TargetMode="External"/><Relationship Id="rId159" Type="http://schemas.openxmlformats.org/officeDocument/2006/relationships/hyperlink" Target="https://africanmarketingconfederation.org/about-us" TargetMode="External"/><Relationship Id="rId324" Type="http://schemas.openxmlformats.org/officeDocument/2006/relationships/hyperlink" Target="https://africanmarketingconfederation.org/amc-conference-2022" TargetMode="External"/><Relationship Id="rId366" Type="http://schemas.openxmlformats.org/officeDocument/2006/relationships/hyperlink" Target="https://africanmarketingconfederation.org/amc-conference-2022" TargetMode="External"/><Relationship Id="rId170" Type="http://schemas.openxmlformats.org/officeDocument/2006/relationships/hyperlink" Target="https://africanmarketingconfederation.org/about-us" TargetMode="External"/><Relationship Id="rId226" Type="http://schemas.openxmlformats.org/officeDocument/2006/relationships/hyperlink" Target="https://africanmarketingconfederation.org/amc-conference-2022-prospectus" TargetMode="External"/><Relationship Id="rId433" Type="http://schemas.openxmlformats.org/officeDocument/2006/relationships/hyperlink" Target="https://africanmarketingconfederation.org/amc-conference-2023/amc-awards-book-now" TargetMode="External"/><Relationship Id="rId268" Type="http://schemas.openxmlformats.org/officeDocument/2006/relationships/hyperlink" Target="https://africanmarketingconfederation.org/amc-conference-2022" TargetMode="External"/><Relationship Id="rId32" Type="http://schemas.openxmlformats.org/officeDocument/2006/relationships/hyperlink" Target="https://africanmarketingconfederation.org/african-marketing-confederation-tourism-chapter" TargetMode="External"/><Relationship Id="rId74" Type="http://schemas.openxmlformats.org/officeDocument/2006/relationships/hyperlink" Target="https://africanmarketingconfederation.org/african-marketing-confederation-tourism-chapter" TargetMode="External"/><Relationship Id="rId128" Type="http://schemas.openxmlformats.org/officeDocument/2006/relationships/hyperlink" Target="https://africanmarketingconfederation.org/" TargetMode="External"/><Relationship Id="rId335" Type="http://schemas.openxmlformats.org/officeDocument/2006/relationships/hyperlink" Target="https://africanmarketingconfederation.org/amc-conference-2022" TargetMode="External"/><Relationship Id="rId377" Type="http://schemas.openxmlformats.org/officeDocument/2006/relationships/hyperlink" Target="https://africanmarketingconfederation.org/amc-conference-2023" TargetMode="External"/><Relationship Id="rId5" Type="http://schemas.openxmlformats.org/officeDocument/2006/relationships/hyperlink" Target="https://africanmarketingconfederation.org/amc-conference-2022-prospectus" TargetMode="External"/><Relationship Id="rId181" Type="http://schemas.openxmlformats.org/officeDocument/2006/relationships/hyperlink" Target="https://africanmarketingconfederation.org/about-us" TargetMode="External"/><Relationship Id="rId237" Type="http://schemas.openxmlformats.org/officeDocument/2006/relationships/hyperlink" Target="https://africanmarketingconfederation.org/amc-conference-2022-thank-you" TargetMode="External"/><Relationship Id="rId402" Type="http://schemas.openxmlformats.org/officeDocument/2006/relationships/hyperlink" Target="https://africanmarketingconfederation.org/amc-conference-2023" TargetMode="External"/><Relationship Id="rId279" Type="http://schemas.openxmlformats.org/officeDocument/2006/relationships/hyperlink" Target="https://africanmarketingconfederation.org/amc-conference-2022" TargetMode="External"/><Relationship Id="rId444" Type="http://schemas.openxmlformats.org/officeDocument/2006/relationships/hyperlink" Target="https://africanmarketingconfederation.org/amc-conference-2023/amc-awards" TargetMode="External"/><Relationship Id="rId43" Type="http://schemas.openxmlformats.org/officeDocument/2006/relationships/hyperlink" Target="https://africanmarketingconfederation.org/african-marketing-confederation-tourism-chapter" TargetMode="External"/><Relationship Id="rId139" Type="http://schemas.openxmlformats.org/officeDocument/2006/relationships/hyperlink" Target="https://africanmarketingconfederation.org/" TargetMode="External"/><Relationship Id="rId290" Type="http://schemas.openxmlformats.org/officeDocument/2006/relationships/hyperlink" Target="https://africanmarketingconfederation.org/amc-conference-2022" TargetMode="External"/><Relationship Id="rId304" Type="http://schemas.openxmlformats.org/officeDocument/2006/relationships/hyperlink" Target="https://africanmarketingconfederation.org/amc-conference-2022" TargetMode="External"/><Relationship Id="rId346" Type="http://schemas.openxmlformats.org/officeDocument/2006/relationships/hyperlink" Target="https://africanmarketingconfederation.org/amc-conference-2022" TargetMode="External"/><Relationship Id="rId388" Type="http://schemas.openxmlformats.org/officeDocument/2006/relationships/hyperlink" Target="https://africanmarketingconfederation.org/amc-conference-2023" TargetMode="External"/><Relationship Id="rId85" Type="http://schemas.openxmlformats.org/officeDocument/2006/relationships/hyperlink" Target="https://africanmarketingconfederation.org/african-marketing-confederation-tourism-chapter" TargetMode="External"/><Relationship Id="rId150" Type="http://schemas.openxmlformats.org/officeDocument/2006/relationships/hyperlink" Target="https://africanmarketingconfederation.org/" TargetMode="External"/><Relationship Id="rId192" Type="http://schemas.openxmlformats.org/officeDocument/2006/relationships/hyperlink" Target="https://africanmarketingconfederation.org/about-us" TargetMode="External"/><Relationship Id="rId206" Type="http://schemas.openxmlformats.org/officeDocument/2006/relationships/hyperlink" Target="https://africanmarketingconfederation.org/amc-conference-2022-prospectus" TargetMode="External"/><Relationship Id="rId413" Type="http://schemas.openxmlformats.org/officeDocument/2006/relationships/hyperlink" Target="https://africanmarketingconfederation.org/amc-conference-2023" TargetMode="External"/><Relationship Id="rId248" Type="http://schemas.openxmlformats.org/officeDocument/2006/relationships/hyperlink" Target="https://africanmarketingconfederation.org/amc-conference-2022-thank-you" TargetMode="External"/><Relationship Id="rId455" Type="http://schemas.openxmlformats.org/officeDocument/2006/relationships/hyperlink" Target="https://africanmarketingconfederation.org/amc-conference-2023/amc-awards" TargetMode="External"/><Relationship Id="rId12" Type="http://schemas.openxmlformats.org/officeDocument/2006/relationships/hyperlink" Target="https://africanmarketingconfederation.org/amc-awards-2024" TargetMode="External"/><Relationship Id="rId108" Type="http://schemas.openxmlformats.org/officeDocument/2006/relationships/hyperlink" Target="https://africanmarketingconfederation.org/" TargetMode="External"/><Relationship Id="rId315" Type="http://schemas.openxmlformats.org/officeDocument/2006/relationships/hyperlink" Target="https://africanmarketingconfederation.org/amc-conference-2022" TargetMode="External"/><Relationship Id="rId357" Type="http://schemas.openxmlformats.org/officeDocument/2006/relationships/hyperlink" Target="https://africanmarketingconfederation.org/amc-conference-2022" TargetMode="External"/><Relationship Id="rId54" Type="http://schemas.openxmlformats.org/officeDocument/2006/relationships/hyperlink" Target="https://africanmarketingconfederation.org/african-marketing-confederation-tourism-chapter" TargetMode="External"/><Relationship Id="rId96" Type="http://schemas.openxmlformats.org/officeDocument/2006/relationships/hyperlink" Target="https://africanmarketingconfederation.org/" TargetMode="External"/><Relationship Id="rId161" Type="http://schemas.openxmlformats.org/officeDocument/2006/relationships/hyperlink" Target="https://africanmarketingconfederation.org/about-us" TargetMode="External"/><Relationship Id="rId217" Type="http://schemas.openxmlformats.org/officeDocument/2006/relationships/hyperlink" Target="https://africanmarketingconfederation.org/amc-conference-2022-prospectus" TargetMode="External"/><Relationship Id="rId399" Type="http://schemas.openxmlformats.org/officeDocument/2006/relationships/hyperlink" Target="https://africanmarketingconfederation.org/amc-conference-2023" TargetMode="External"/><Relationship Id="rId259" Type="http://schemas.openxmlformats.org/officeDocument/2006/relationships/hyperlink" Target="https://africanmarketingconfederation.org/amc-conference-2022-thank-you" TargetMode="External"/><Relationship Id="rId424" Type="http://schemas.openxmlformats.org/officeDocument/2006/relationships/hyperlink" Target="https://africanmarketingconfederation.org/amc-conference-2023/amc-awards-book-now" TargetMode="External"/><Relationship Id="rId466" Type="http://schemas.openxmlformats.org/officeDocument/2006/relationships/hyperlink" Target="https://africanmarketingconfederation.org/about-us" TargetMode="External"/><Relationship Id="rId23" Type="http://schemas.openxmlformats.org/officeDocument/2006/relationships/hyperlink" Target="https://africanmarketingconfederation.org/amc-awards-2024" TargetMode="External"/><Relationship Id="rId119" Type="http://schemas.openxmlformats.org/officeDocument/2006/relationships/hyperlink" Target="https://africanmarketingconfederation.org/" TargetMode="External"/><Relationship Id="rId270" Type="http://schemas.openxmlformats.org/officeDocument/2006/relationships/hyperlink" Target="https://africanmarketingconfederation.org/amc-conference-2022" TargetMode="External"/><Relationship Id="rId326" Type="http://schemas.openxmlformats.org/officeDocument/2006/relationships/hyperlink" Target="https://africanmarketingconfederation.org/amc-conference-2022" TargetMode="External"/><Relationship Id="rId65" Type="http://schemas.openxmlformats.org/officeDocument/2006/relationships/hyperlink" Target="https://africanmarketingconfederation.org/african-marketing-confederation-tourism-chapter" TargetMode="External"/><Relationship Id="rId130" Type="http://schemas.openxmlformats.org/officeDocument/2006/relationships/hyperlink" Target="https://africanmarketingconfederation.org/" TargetMode="External"/><Relationship Id="rId368" Type="http://schemas.openxmlformats.org/officeDocument/2006/relationships/hyperlink" Target="https://africanmarketingconfederation.org/amc-conference-2023" TargetMode="External"/><Relationship Id="rId172" Type="http://schemas.openxmlformats.org/officeDocument/2006/relationships/hyperlink" Target="https://africanmarketingconfederation.org/about-us" TargetMode="External"/><Relationship Id="rId228" Type="http://schemas.openxmlformats.org/officeDocument/2006/relationships/hyperlink" Target="https://africanmarketingconfederation.org/amc-conference-2022-prospectus" TargetMode="External"/><Relationship Id="rId435" Type="http://schemas.openxmlformats.org/officeDocument/2006/relationships/hyperlink" Target="https://africanmarketingconfederation.org/amc-conference-2023/amc-awards-book-now" TargetMode="External"/><Relationship Id="rId281" Type="http://schemas.openxmlformats.org/officeDocument/2006/relationships/hyperlink" Target="https://africanmarketingconfederation.org/amc-conference-2022" TargetMode="External"/><Relationship Id="rId337" Type="http://schemas.openxmlformats.org/officeDocument/2006/relationships/hyperlink" Target="https://africanmarketingconfederation.org/amc-conference-2022" TargetMode="External"/><Relationship Id="rId34" Type="http://schemas.openxmlformats.org/officeDocument/2006/relationships/hyperlink" Target="https://africanmarketingconfederation.org/african-marketing-confederation-tourism-chapter" TargetMode="External"/><Relationship Id="rId76" Type="http://schemas.openxmlformats.org/officeDocument/2006/relationships/hyperlink" Target="https://africanmarketingconfederation.org/african-marketing-confederation-tourism-chapter" TargetMode="External"/><Relationship Id="rId141" Type="http://schemas.openxmlformats.org/officeDocument/2006/relationships/hyperlink" Target="https://africanmarketingconfederation.org/" TargetMode="External"/><Relationship Id="rId379" Type="http://schemas.openxmlformats.org/officeDocument/2006/relationships/hyperlink" Target="https://africanmarketingconfederation.org/amc-conference-2023" TargetMode="External"/><Relationship Id="rId7" Type="http://schemas.openxmlformats.org/officeDocument/2006/relationships/hyperlink" Target="https://africanmarketingconfederation.org/amc-conference-2022" TargetMode="External"/><Relationship Id="rId183" Type="http://schemas.openxmlformats.org/officeDocument/2006/relationships/hyperlink" Target="https://africanmarketingconfederation.org/about-us" TargetMode="External"/><Relationship Id="rId239" Type="http://schemas.openxmlformats.org/officeDocument/2006/relationships/hyperlink" Target="https://africanmarketingconfederation.org/amc-conference-2022-thank-you" TargetMode="External"/><Relationship Id="rId390" Type="http://schemas.openxmlformats.org/officeDocument/2006/relationships/hyperlink" Target="https://africanmarketingconfederation.org/amc-conference-2023" TargetMode="External"/><Relationship Id="rId404" Type="http://schemas.openxmlformats.org/officeDocument/2006/relationships/hyperlink" Target="https://africanmarketingconfederation.org/amc-conference-2023" TargetMode="External"/><Relationship Id="rId446" Type="http://schemas.openxmlformats.org/officeDocument/2006/relationships/hyperlink" Target="https://africanmarketingconfederation.org/amc-conference-2023/amc-awards" TargetMode="External"/><Relationship Id="rId250" Type="http://schemas.openxmlformats.org/officeDocument/2006/relationships/hyperlink" Target="https://africanmarketingconfederation.org/amc-conference-2022-thank-you" TargetMode="External"/><Relationship Id="rId292" Type="http://schemas.openxmlformats.org/officeDocument/2006/relationships/hyperlink" Target="https://africanmarketingconfederation.org/amc-conference-2022" TargetMode="External"/><Relationship Id="rId306" Type="http://schemas.openxmlformats.org/officeDocument/2006/relationships/hyperlink" Target="https://africanmarketingconfederation.org/amc-conference-2022" TargetMode="External"/><Relationship Id="rId45" Type="http://schemas.openxmlformats.org/officeDocument/2006/relationships/hyperlink" Target="https://africanmarketingconfederation.org/african-marketing-confederation-tourism-chapter" TargetMode="External"/><Relationship Id="rId87" Type="http://schemas.openxmlformats.org/officeDocument/2006/relationships/hyperlink" Target="https://africanmarketingconfederation.org/african-marketing-confederation-tourism-chapter" TargetMode="External"/><Relationship Id="rId110" Type="http://schemas.openxmlformats.org/officeDocument/2006/relationships/hyperlink" Target="https://africanmarketingconfederation.org/" TargetMode="External"/><Relationship Id="rId348" Type="http://schemas.openxmlformats.org/officeDocument/2006/relationships/hyperlink" Target="https://africanmarketingconfederation.org/amc-conference-2022" TargetMode="External"/><Relationship Id="rId152" Type="http://schemas.openxmlformats.org/officeDocument/2006/relationships/hyperlink" Target="https://africanmarketingconfederation.org/" TargetMode="External"/><Relationship Id="rId194" Type="http://schemas.openxmlformats.org/officeDocument/2006/relationships/hyperlink" Target="https://africanmarketingconfederation.org/about-us" TargetMode="External"/><Relationship Id="rId208" Type="http://schemas.openxmlformats.org/officeDocument/2006/relationships/hyperlink" Target="https://africanmarketingconfederation.org/amc-conference-2022-prospectus" TargetMode="External"/><Relationship Id="rId415" Type="http://schemas.openxmlformats.org/officeDocument/2006/relationships/hyperlink" Target="https://africanmarketingconfederation.org/amc-conference-2023" TargetMode="External"/><Relationship Id="rId457" Type="http://schemas.openxmlformats.org/officeDocument/2006/relationships/hyperlink" Target="https://africanmarketingconfederation.org/amc-conference-2023/amc-awards" TargetMode="External"/><Relationship Id="rId261" Type="http://schemas.openxmlformats.org/officeDocument/2006/relationships/hyperlink" Target="https://africanmarketingconfederation.org/amc-conference-2022-thank-you" TargetMode="External"/><Relationship Id="rId14" Type="http://schemas.openxmlformats.org/officeDocument/2006/relationships/hyperlink" Target="https://africanmarketingconfederation.org/amc-awards-2024" TargetMode="External"/><Relationship Id="rId56" Type="http://schemas.openxmlformats.org/officeDocument/2006/relationships/hyperlink" Target="https://africanmarketingconfederation.org/african-marketing-confederation-tourism-chapter" TargetMode="External"/><Relationship Id="rId317" Type="http://schemas.openxmlformats.org/officeDocument/2006/relationships/hyperlink" Target="https://africanmarketingconfederation.org/amc-conference-2022" TargetMode="External"/><Relationship Id="rId359" Type="http://schemas.openxmlformats.org/officeDocument/2006/relationships/hyperlink" Target="https://africanmarketingconfederation.org/amc-conference-2022" TargetMode="External"/><Relationship Id="rId98" Type="http://schemas.openxmlformats.org/officeDocument/2006/relationships/hyperlink" Target="https://africanmarketingconfederation.org/" TargetMode="External"/><Relationship Id="rId121" Type="http://schemas.openxmlformats.org/officeDocument/2006/relationships/hyperlink" Target="https://africanmarketingconfederation.org/" TargetMode="External"/><Relationship Id="rId163" Type="http://schemas.openxmlformats.org/officeDocument/2006/relationships/hyperlink" Target="https://africanmarketingconfederation.org/about-us" TargetMode="External"/><Relationship Id="rId219" Type="http://schemas.openxmlformats.org/officeDocument/2006/relationships/hyperlink" Target="https://africanmarketingconfederation.org/amc-conference-2022-prospectus" TargetMode="External"/><Relationship Id="rId370" Type="http://schemas.openxmlformats.org/officeDocument/2006/relationships/hyperlink" Target="https://africanmarketingconfederation.org/amc-conference-2023" TargetMode="External"/><Relationship Id="rId426" Type="http://schemas.openxmlformats.org/officeDocument/2006/relationships/hyperlink" Target="https://africanmarketingconfederation.org/amc-conference-2023/amc-awards-book-now" TargetMode="External"/><Relationship Id="rId230" Type="http://schemas.openxmlformats.org/officeDocument/2006/relationships/hyperlink" Target="https://africanmarketingconfederation.org/amc-conference-2022-prospectus" TargetMode="External"/><Relationship Id="rId468" Type="http://schemas.openxmlformats.org/officeDocument/2006/relationships/hyperlink" Target="https://africanmarketingconfederation.org/amc-conference-2022-thank-you" TargetMode="External"/><Relationship Id="rId25" Type="http://schemas.openxmlformats.org/officeDocument/2006/relationships/hyperlink" Target="https://africanmarketingconfederation.org/amc-awards-2024" TargetMode="External"/><Relationship Id="rId67" Type="http://schemas.openxmlformats.org/officeDocument/2006/relationships/hyperlink" Target="https://africanmarketingconfederation.org/african-marketing-confederation-tourism-chapter" TargetMode="External"/><Relationship Id="rId272" Type="http://schemas.openxmlformats.org/officeDocument/2006/relationships/hyperlink" Target="https://africanmarketingconfederation.org/amc-conference-2022" TargetMode="External"/><Relationship Id="rId328" Type="http://schemas.openxmlformats.org/officeDocument/2006/relationships/hyperlink" Target="https://africanmarketingconfederation.org/amc-conference-2022" TargetMode="External"/><Relationship Id="rId132" Type="http://schemas.openxmlformats.org/officeDocument/2006/relationships/hyperlink" Target="https://africanmarketingconfederation.org/" TargetMode="External"/><Relationship Id="rId174" Type="http://schemas.openxmlformats.org/officeDocument/2006/relationships/hyperlink" Target="https://africanmarketingconfederation.org/about-us" TargetMode="External"/><Relationship Id="rId381" Type="http://schemas.openxmlformats.org/officeDocument/2006/relationships/hyperlink" Target="https://africanmarketingconfederation.org/amc-conference-2023" TargetMode="External"/><Relationship Id="rId241" Type="http://schemas.openxmlformats.org/officeDocument/2006/relationships/hyperlink" Target="https://africanmarketingconfederation.org/amc-conference-2022-thank-you" TargetMode="External"/><Relationship Id="rId437" Type="http://schemas.openxmlformats.org/officeDocument/2006/relationships/hyperlink" Target="https://africanmarketingconfederation.org/amc-conference-2023/amc-awards-book-now" TargetMode="External"/><Relationship Id="rId36" Type="http://schemas.openxmlformats.org/officeDocument/2006/relationships/hyperlink" Target="https://africanmarketingconfederation.org/african-marketing-confederation-tourism-chapter" TargetMode="External"/><Relationship Id="rId283" Type="http://schemas.openxmlformats.org/officeDocument/2006/relationships/hyperlink" Target="https://africanmarketingconfederation.org/amc-conference-2022" TargetMode="External"/><Relationship Id="rId339" Type="http://schemas.openxmlformats.org/officeDocument/2006/relationships/hyperlink" Target="https://africanmarketingconfederation.org/amc-conference-2022" TargetMode="External"/><Relationship Id="rId78" Type="http://schemas.openxmlformats.org/officeDocument/2006/relationships/hyperlink" Target="https://africanmarketingconfederation.org/african-marketing-confederation-tourism-chapter" TargetMode="External"/><Relationship Id="rId101" Type="http://schemas.openxmlformats.org/officeDocument/2006/relationships/hyperlink" Target="https://africanmarketingconfederation.org/" TargetMode="External"/><Relationship Id="rId143" Type="http://schemas.openxmlformats.org/officeDocument/2006/relationships/hyperlink" Target="https://africanmarketingconfederation.org/" TargetMode="External"/><Relationship Id="rId185" Type="http://schemas.openxmlformats.org/officeDocument/2006/relationships/hyperlink" Target="https://africanmarketingconfederation.org/about-us" TargetMode="External"/><Relationship Id="rId350" Type="http://schemas.openxmlformats.org/officeDocument/2006/relationships/hyperlink" Target="https://africanmarketingconfederation.org/amc-conference-2022" TargetMode="External"/><Relationship Id="rId406" Type="http://schemas.openxmlformats.org/officeDocument/2006/relationships/hyperlink" Target="https://africanmarketingconfederation.org/amc-conference-2023" TargetMode="External"/><Relationship Id="rId9" Type="http://schemas.openxmlformats.org/officeDocument/2006/relationships/hyperlink" Target="https://africanmarketingconfederation.org/amc-conference-2023/amc-awards-book-now" TargetMode="External"/><Relationship Id="rId210" Type="http://schemas.openxmlformats.org/officeDocument/2006/relationships/hyperlink" Target="https://africanmarketingconfederation.org/amc-conference-2022-prospectus" TargetMode="External"/><Relationship Id="rId392" Type="http://schemas.openxmlformats.org/officeDocument/2006/relationships/hyperlink" Target="https://africanmarketingconfederation.org/amc-conference-2023" TargetMode="External"/><Relationship Id="rId448" Type="http://schemas.openxmlformats.org/officeDocument/2006/relationships/hyperlink" Target="https://africanmarketingconfederation.org/amc-conference-2023/amc-awards" TargetMode="External"/><Relationship Id="rId252" Type="http://schemas.openxmlformats.org/officeDocument/2006/relationships/hyperlink" Target="https://africanmarketingconfederation.org/amc-conference-2022-thank-you" TargetMode="External"/><Relationship Id="rId294" Type="http://schemas.openxmlformats.org/officeDocument/2006/relationships/hyperlink" Target="https://africanmarketingconfederation.org/amc-conference-2022" TargetMode="External"/><Relationship Id="rId308" Type="http://schemas.openxmlformats.org/officeDocument/2006/relationships/hyperlink" Target="https://africanmarketingconfederation.org/amc-conference-2022" TargetMode="External"/><Relationship Id="rId47" Type="http://schemas.openxmlformats.org/officeDocument/2006/relationships/hyperlink" Target="https://africanmarketingconfederation.org/african-marketing-confederation-tourism-chapter" TargetMode="External"/><Relationship Id="rId89" Type="http://schemas.openxmlformats.org/officeDocument/2006/relationships/hyperlink" Target="https://africanmarketingconfederation.org/african-marketing-confederation-tourism-chapter" TargetMode="External"/><Relationship Id="rId112" Type="http://schemas.openxmlformats.org/officeDocument/2006/relationships/hyperlink" Target="https://africanmarketingconfederation.org/" TargetMode="External"/><Relationship Id="rId154" Type="http://schemas.openxmlformats.org/officeDocument/2006/relationships/hyperlink" Target="https://africanmarketingconfederation.org/" TargetMode="External"/><Relationship Id="rId361" Type="http://schemas.openxmlformats.org/officeDocument/2006/relationships/hyperlink" Target="https://africanmarketingconfederation.org/amc-conference-2022" TargetMode="External"/><Relationship Id="rId196" Type="http://schemas.openxmlformats.org/officeDocument/2006/relationships/hyperlink" Target="https://africanmarketingconfederation.org/amc-conference-2022-prospectus" TargetMode="External"/><Relationship Id="rId417" Type="http://schemas.openxmlformats.org/officeDocument/2006/relationships/hyperlink" Target="https://africanmarketingconfederation.org/amc-conference-2023" TargetMode="External"/><Relationship Id="rId459" Type="http://schemas.openxmlformats.org/officeDocument/2006/relationships/hyperlink" Target="https://africanmarketingconfederation.org/amc-conference-2023/amc-awards" TargetMode="External"/><Relationship Id="rId16" Type="http://schemas.openxmlformats.org/officeDocument/2006/relationships/hyperlink" Target="https://africanmarketingconfederation.org/amc-awards-2024" TargetMode="External"/><Relationship Id="rId221" Type="http://schemas.openxmlformats.org/officeDocument/2006/relationships/hyperlink" Target="https://africanmarketingconfederation.org/amc-conference-2022-prospectus" TargetMode="External"/><Relationship Id="rId263" Type="http://schemas.openxmlformats.org/officeDocument/2006/relationships/hyperlink" Target="https://africanmarketingconfederation.org/amc-conference-2022-thank-you" TargetMode="External"/><Relationship Id="rId319" Type="http://schemas.openxmlformats.org/officeDocument/2006/relationships/hyperlink" Target="https://africanmarketingconfederation.org/amc-conference-2022" TargetMode="External"/><Relationship Id="rId470" Type="http://schemas.openxmlformats.org/officeDocument/2006/relationships/hyperlink" Target="https://africanmarketingconfederation.org/amc-conference-2023" TargetMode="External"/><Relationship Id="rId58" Type="http://schemas.openxmlformats.org/officeDocument/2006/relationships/hyperlink" Target="https://africanmarketingconfederation.org/african-marketing-confederation-tourism-chapter" TargetMode="External"/><Relationship Id="rId123" Type="http://schemas.openxmlformats.org/officeDocument/2006/relationships/hyperlink" Target="https://africanmarketingconfederation.org/" TargetMode="External"/><Relationship Id="rId330" Type="http://schemas.openxmlformats.org/officeDocument/2006/relationships/hyperlink" Target="https://africanmarketingconfederation.org/amc-conference-2022" TargetMode="External"/><Relationship Id="rId165" Type="http://schemas.openxmlformats.org/officeDocument/2006/relationships/hyperlink" Target="https://africanmarketingconfederation.org/about-us" TargetMode="External"/><Relationship Id="rId372" Type="http://schemas.openxmlformats.org/officeDocument/2006/relationships/hyperlink" Target="https://africanmarketingconfederation.org/amc-conference-2023" TargetMode="External"/><Relationship Id="rId428" Type="http://schemas.openxmlformats.org/officeDocument/2006/relationships/hyperlink" Target="https://africanmarketingconfederation.org/amc-conference-2023/amc-awards-book-now" TargetMode="External"/><Relationship Id="rId232" Type="http://schemas.openxmlformats.org/officeDocument/2006/relationships/hyperlink" Target="https://africanmarketingconfederation.org/amc-conference-2022-thank-you" TargetMode="External"/><Relationship Id="rId274" Type="http://schemas.openxmlformats.org/officeDocument/2006/relationships/hyperlink" Target="https://africanmarketingconfederation.org/amc-conference-2022" TargetMode="External"/><Relationship Id="rId27" Type="http://schemas.openxmlformats.org/officeDocument/2006/relationships/hyperlink" Target="https://africanmarketingconfederation.org/amc-awards-2024" TargetMode="External"/><Relationship Id="rId69" Type="http://schemas.openxmlformats.org/officeDocument/2006/relationships/hyperlink" Target="https://africanmarketingconfederation.org/african-marketing-confederation-tourism-chapter" TargetMode="External"/><Relationship Id="rId134" Type="http://schemas.openxmlformats.org/officeDocument/2006/relationships/hyperlink" Target="https://africanmarketingconfederation.org/" TargetMode="External"/><Relationship Id="rId80" Type="http://schemas.openxmlformats.org/officeDocument/2006/relationships/hyperlink" Target="https://africanmarketingconfederation.org/african-marketing-confederation-tourism-chapter" TargetMode="External"/><Relationship Id="rId176" Type="http://schemas.openxmlformats.org/officeDocument/2006/relationships/hyperlink" Target="https://africanmarketingconfederation.org/about-us" TargetMode="External"/><Relationship Id="rId341" Type="http://schemas.openxmlformats.org/officeDocument/2006/relationships/hyperlink" Target="https://africanmarketingconfederation.org/amc-conference-2022" TargetMode="External"/><Relationship Id="rId383" Type="http://schemas.openxmlformats.org/officeDocument/2006/relationships/hyperlink" Target="https://africanmarketingconfederation.org/amc-conference-2023" TargetMode="External"/><Relationship Id="rId439" Type="http://schemas.openxmlformats.org/officeDocument/2006/relationships/hyperlink" Target="https://africanmarketingconfederation.org/amc-conference-2023/amc-awards-book-now" TargetMode="External"/><Relationship Id="rId201" Type="http://schemas.openxmlformats.org/officeDocument/2006/relationships/hyperlink" Target="https://africanmarketingconfederation.org/amc-conference-2022-prospectus" TargetMode="External"/><Relationship Id="rId243" Type="http://schemas.openxmlformats.org/officeDocument/2006/relationships/hyperlink" Target="https://africanmarketingconfederation.org/amc-conference-2022-thank-you" TargetMode="External"/><Relationship Id="rId285" Type="http://schemas.openxmlformats.org/officeDocument/2006/relationships/hyperlink" Target="https://africanmarketingconfederation.org/amc-conference-2022" TargetMode="External"/><Relationship Id="rId450" Type="http://schemas.openxmlformats.org/officeDocument/2006/relationships/hyperlink" Target="https://africanmarketingconfederation.org/amc-conference-2023/amc-awards" TargetMode="External"/><Relationship Id="rId38" Type="http://schemas.openxmlformats.org/officeDocument/2006/relationships/hyperlink" Target="https://africanmarketingconfederation.org/african-marketing-confederation-tourism-chapter" TargetMode="External"/><Relationship Id="rId103" Type="http://schemas.openxmlformats.org/officeDocument/2006/relationships/hyperlink" Target="https://africanmarketingconfederation.org/" TargetMode="External"/><Relationship Id="rId310" Type="http://schemas.openxmlformats.org/officeDocument/2006/relationships/hyperlink" Target="https://africanmarketingconfederation.org/amc-conference-2022" TargetMode="External"/><Relationship Id="rId91" Type="http://schemas.openxmlformats.org/officeDocument/2006/relationships/hyperlink" Target="https://africanmarketingconfederation.org/african-marketing-confederation-tourism-chapter" TargetMode="External"/><Relationship Id="rId145" Type="http://schemas.openxmlformats.org/officeDocument/2006/relationships/hyperlink" Target="https://africanmarketingconfederation.org/" TargetMode="External"/><Relationship Id="rId187" Type="http://schemas.openxmlformats.org/officeDocument/2006/relationships/hyperlink" Target="https://africanmarketingconfederation.org/about-us" TargetMode="External"/><Relationship Id="rId352" Type="http://schemas.openxmlformats.org/officeDocument/2006/relationships/hyperlink" Target="https://africanmarketingconfederation.org/amc-conference-2022" TargetMode="External"/><Relationship Id="rId394" Type="http://schemas.openxmlformats.org/officeDocument/2006/relationships/hyperlink" Target="https://africanmarketingconfederation.org/amc-conference-2023" TargetMode="External"/><Relationship Id="rId408" Type="http://schemas.openxmlformats.org/officeDocument/2006/relationships/hyperlink" Target="https://africanmarketingconfederation.org/amc-conference-2023" TargetMode="External"/><Relationship Id="rId212" Type="http://schemas.openxmlformats.org/officeDocument/2006/relationships/hyperlink" Target="https://africanmarketingconfederation.org/amc-conference-2022-prospectus" TargetMode="External"/><Relationship Id="rId254" Type="http://schemas.openxmlformats.org/officeDocument/2006/relationships/hyperlink" Target="https://africanmarketingconfederation.org/amc-conference-2022-thank-you" TargetMode="External"/><Relationship Id="rId49" Type="http://schemas.openxmlformats.org/officeDocument/2006/relationships/hyperlink" Target="https://africanmarketingconfederation.org/african-marketing-confederation-tourism-chapter" TargetMode="External"/><Relationship Id="rId114" Type="http://schemas.openxmlformats.org/officeDocument/2006/relationships/hyperlink" Target="https://africanmarketingconfederation.org/" TargetMode="External"/><Relationship Id="rId296" Type="http://schemas.openxmlformats.org/officeDocument/2006/relationships/hyperlink" Target="https://africanmarketingconfederation.org/amc-conference-2022" TargetMode="External"/><Relationship Id="rId461" Type="http://schemas.openxmlformats.org/officeDocument/2006/relationships/hyperlink" Target="https://africanmarketingconfederation.org/amc-conference-2023/amc-awards" TargetMode="External"/><Relationship Id="rId60" Type="http://schemas.openxmlformats.org/officeDocument/2006/relationships/hyperlink" Target="https://africanmarketingconfederation.org/african-marketing-confederation-tourism-chapter" TargetMode="External"/><Relationship Id="rId156" Type="http://schemas.openxmlformats.org/officeDocument/2006/relationships/hyperlink" Target="https://africanmarketingconfederation.org/about-us" TargetMode="External"/><Relationship Id="rId198" Type="http://schemas.openxmlformats.org/officeDocument/2006/relationships/hyperlink" Target="https://africanmarketingconfederation.org/amc-conference-2022-prospectus" TargetMode="External"/><Relationship Id="rId321" Type="http://schemas.openxmlformats.org/officeDocument/2006/relationships/hyperlink" Target="https://africanmarketingconfederation.org/amc-conference-2022" TargetMode="External"/><Relationship Id="rId363" Type="http://schemas.openxmlformats.org/officeDocument/2006/relationships/hyperlink" Target="https://africanmarketingconfederation.org/amc-conference-2022" TargetMode="External"/><Relationship Id="rId419" Type="http://schemas.openxmlformats.org/officeDocument/2006/relationships/hyperlink" Target="https://africanmarketingconfederation.org/amc-conference-2023" TargetMode="External"/><Relationship Id="rId223" Type="http://schemas.openxmlformats.org/officeDocument/2006/relationships/hyperlink" Target="https://africanmarketingconfederation.org/amc-conference-2022-prospectus" TargetMode="External"/><Relationship Id="rId430" Type="http://schemas.openxmlformats.org/officeDocument/2006/relationships/hyperlink" Target="https://africanmarketingconfederation.org/amc-conference-2023/amc-awards-book-now" TargetMode="External"/><Relationship Id="rId18" Type="http://schemas.openxmlformats.org/officeDocument/2006/relationships/hyperlink" Target="https://africanmarketingconfederation.org/amc-awards-2024" TargetMode="External"/><Relationship Id="rId265" Type="http://schemas.openxmlformats.org/officeDocument/2006/relationships/hyperlink" Target="https://africanmarketingconfederation.org/amc-conference-2022" TargetMode="External"/><Relationship Id="rId472" Type="http://schemas.openxmlformats.org/officeDocument/2006/relationships/hyperlink" Target="https://africanmarketingconfederation.org/amc-conference-2023/amc-awards" TargetMode="External"/><Relationship Id="rId125" Type="http://schemas.openxmlformats.org/officeDocument/2006/relationships/hyperlink" Target="https://africanmarketingconfederation.org/" TargetMode="External"/><Relationship Id="rId167" Type="http://schemas.openxmlformats.org/officeDocument/2006/relationships/hyperlink" Target="https://africanmarketingconfederation.org/about-us" TargetMode="External"/><Relationship Id="rId332" Type="http://schemas.openxmlformats.org/officeDocument/2006/relationships/hyperlink" Target="https://africanmarketingconfederation.org/amc-conference-2022" TargetMode="External"/><Relationship Id="rId374" Type="http://schemas.openxmlformats.org/officeDocument/2006/relationships/hyperlink" Target="https://africanmarketingconfederation.org/amc-conference-2023" TargetMode="External"/><Relationship Id="rId71" Type="http://schemas.openxmlformats.org/officeDocument/2006/relationships/hyperlink" Target="https://africanmarketingconfederation.org/african-marketing-confederation-tourism-chapter" TargetMode="External"/><Relationship Id="rId234" Type="http://schemas.openxmlformats.org/officeDocument/2006/relationships/hyperlink" Target="https://africanmarketingconfederation.org/amc-conference-2022-thank-you" TargetMode="External"/><Relationship Id="rId2" Type="http://schemas.openxmlformats.org/officeDocument/2006/relationships/hyperlink" Target="https://africanmarketingconfederation.org/african-marketing-confederation-tourism-chapter" TargetMode="External"/><Relationship Id="rId29" Type="http://schemas.openxmlformats.org/officeDocument/2006/relationships/hyperlink" Target="https://africanmarketingconfederation.org/amc-awards-2024" TargetMode="External"/><Relationship Id="rId276" Type="http://schemas.openxmlformats.org/officeDocument/2006/relationships/hyperlink" Target="https://africanmarketingconfederation.org/amc-conference-2022" TargetMode="External"/><Relationship Id="rId441" Type="http://schemas.openxmlformats.org/officeDocument/2006/relationships/hyperlink" Target="https://africanmarketingconfederation.org/amc-conference-2023/amc-awards-book-now" TargetMode="External"/><Relationship Id="rId40" Type="http://schemas.openxmlformats.org/officeDocument/2006/relationships/hyperlink" Target="https://africanmarketingconfederation.org/african-marketing-confederation-tourism-chapter" TargetMode="External"/><Relationship Id="rId136" Type="http://schemas.openxmlformats.org/officeDocument/2006/relationships/hyperlink" Target="https://africanmarketingconfederation.org/" TargetMode="External"/><Relationship Id="rId178" Type="http://schemas.openxmlformats.org/officeDocument/2006/relationships/hyperlink" Target="https://africanmarketingconfederation.org/about-us" TargetMode="External"/><Relationship Id="rId301" Type="http://schemas.openxmlformats.org/officeDocument/2006/relationships/hyperlink" Target="https://africanmarketingconfederation.org/amc-conference-2022" TargetMode="External"/><Relationship Id="rId343" Type="http://schemas.openxmlformats.org/officeDocument/2006/relationships/hyperlink" Target="https://africanmarketingconfederation.org/amc-conference-2022" TargetMode="External"/><Relationship Id="rId82" Type="http://schemas.openxmlformats.org/officeDocument/2006/relationships/hyperlink" Target="https://africanmarketingconfederation.org/african-marketing-confederation-tourism-chapter" TargetMode="External"/><Relationship Id="rId203" Type="http://schemas.openxmlformats.org/officeDocument/2006/relationships/hyperlink" Target="https://africanmarketingconfederation.org/amc-conference-2022-prospectus" TargetMode="External"/><Relationship Id="rId385" Type="http://schemas.openxmlformats.org/officeDocument/2006/relationships/hyperlink" Target="https://africanmarketingconfederation.org/amc-conference-2023" TargetMode="External"/><Relationship Id="rId245" Type="http://schemas.openxmlformats.org/officeDocument/2006/relationships/hyperlink" Target="https://africanmarketingconfederation.org/amc-conference-2022-thank-you" TargetMode="External"/><Relationship Id="rId287" Type="http://schemas.openxmlformats.org/officeDocument/2006/relationships/hyperlink" Target="https://africanmarketingconfederation.org/amc-conference-2022" TargetMode="External"/><Relationship Id="rId410" Type="http://schemas.openxmlformats.org/officeDocument/2006/relationships/hyperlink" Target="https://africanmarketingconfederation.org/amc-conference-2023" TargetMode="External"/><Relationship Id="rId452" Type="http://schemas.openxmlformats.org/officeDocument/2006/relationships/hyperlink" Target="https://africanmarketingconfederation.org/amc-conference-2023/amc-awards" TargetMode="External"/><Relationship Id="rId30" Type="http://schemas.openxmlformats.org/officeDocument/2006/relationships/hyperlink" Target="https://africanmarketingconfederation.org/amc-awards-2024" TargetMode="External"/><Relationship Id="rId105" Type="http://schemas.openxmlformats.org/officeDocument/2006/relationships/hyperlink" Target="https://africanmarketingconfederation.org/" TargetMode="External"/><Relationship Id="rId126" Type="http://schemas.openxmlformats.org/officeDocument/2006/relationships/hyperlink" Target="https://africanmarketingconfederation.org/" TargetMode="External"/><Relationship Id="rId147" Type="http://schemas.openxmlformats.org/officeDocument/2006/relationships/hyperlink" Target="https://africanmarketingconfederation.org/" TargetMode="External"/><Relationship Id="rId168" Type="http://schemas.openxmlformats.org/officeDocument/2006/relationships/hyperlink" Target="https://africanmarketingconfederation.org/about-us" TargetMode="External"/><Relationship Id="rId312" Type="http://schemas.openxmlformats.org/officeDocument/2006/relationships/hyperlink" Target="https://africanmarketingconfederation.org/amc-conference-2022" TargetMode="External"/><Relationship Id="rId333" Type="http://schemas.openxmlformats.org/officeDocument/2006/relationships/hyperlink" Target="https://africanmarketingconfederation.org/amc-conference-2022" TargetMode="External"/><Relationship Id="rId354" Type="http://schemas.openxmlformats.org/officeDocument/2006/relationships/hyperlink" Target="https://africanmarketingconfederation.org/amc-conference-2022" TargetMode="External"/><Relationship Id="rId51" Type="http://schemas.openxmlformats.org/officeDocument/2006/relationships/hyperlink" Target="https://africanmarketingconfederation.org/african-marketing-confederation-tourism-chapter" TargetMode="External"/><Relationship Id="rId72" Type="http://schemas.openxmlformats.org/officeDocument/2006/relationships/hyperlink" Target="https://africanmarketingconfederation.org/african-marketing-confederation-tourism-chapter" TargetMode="External"/><Relationship Id="rId93" Type="http://schemas.openxmlformats.org/officeDocument/2006/relationships/hyperlink" Target="https://africanmarketingconfederation.org/" TargetMode="External"/><Relationship Id="rId189" Type="http://schemas.openxmlformats.org/officeDocument/2006/relationships/hyperlink" Target="https://africanmarketingconfederation.org/about-us" TargetMode="External"/><Relationship Id="rId375" Type="http://schemas.openxmlformats.org/officeDocument/2006/relationships/hyperlink" Target="https://africanmarketingconfederation.org/amc-conference-2023" TargetMode="External"/><Relationship Id="rId396"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 TargetMode="External"/><Relationship Id="rId214" Type="http://schemas.openxmlformats.org/officeDocument/2006/relationships/hyperlink" Target="https://africanmarketingconfederation.org/amc-conference-2022-prospectus" TargetMode="External"/><Relationship Id="rId235" Type="http://schemas.openxmlformats.org/officeDocument/2006/relationships/hyperlink" Target="https://africanmarketingconfederation.org/amc-conference-2022-thank-you" TargetMode="External"/><Relationship Id="rId256" Type="http://schemas.openxmlformats.org/officeDocument/2006/relationships/hyperlink" Target="https://africanmarketingconfederation.org/amc-conference-2022-thank-you" TargetMode="External"/><Relationship Id="rId277" Type="http://schemas.openxmlformats.org/officeDocument/2006/relationships/hyperlink" Target="https://africanmarketingconfederation.org/amc-conference-2022" TargetMode="External"/><Relationship Id="rId298" Type="http://schemas.openxmlformats.org/officeDocument/2006/relationships/hyperlink" Target="https://africanmarketingconfederation.org/amc-conference-2022" TargetMode="External"/><Relationship Id="rId400" Type="http://schemas.openxmlformats.org/officeDocument/2006/relationships/hyperlink" Target="https://africanmarketingconfederation.org/amc-conference-2023" TargetMode="External"/><Relationship Id="rId421" Type="http://schemas.openxmlformats.org/officeDocument/2006/relationships/hyperlink" Target="https://africanmarketingconfederation.org/amc-conference-2023/amc-awards-book-now" TargetMode="External"/><Relationship Id="rId442" Type="http://schemas.openxmlformats.org/officeDocument/2006/relationships/hyperlink" Target="https://africanmarketingconfederation.org/amc-conference-2023/amc-awards" TargetMode="External"/><Relationship Id="rId463" Type="http://schemas.openxmlformats.org/officeDocument/2006/relationships/hyperlink" Target="https://africanmarketingconfederation.org/amc-awards-2024" TargetMode="External"/><Relationship Id="rId116" Type="http://schemas.openxmlformats.org/officeDocument/2006/relationships/hyperlink" Target="https://africanmarketingconfederation.org/" TargetMode="External"/><Relationship Id="rId137" Type="http://schemas.openxmlformats.org/officeDocument/2006/relationships/hyperlink" Target="https://africanmarketingconfederation.org/" TargetMode="External"/><Relationship Id="rId158" Type="http://schemas.openxmlformats.org/officeDocument/2006/relationships/hyperlink" Target="https://africanmarketingconfederation.org/about-us" TargetMode="External"/><Relationship Id="rId302" Type="http://schemas.openxmlformats.org/officeDocument/2006/relationships/hyperlink" Target="https://africanmarketingconfederation.org/amc-conference-2022" TargetMode="External"/><Relationship Id="rId323" Type="http://schemas.openxmlformats.org/officeDocument/2006/relationships/hyperlink" Target="https://africanmarketingconfederation.org/amc-conference-2022" TargetMode="External"/><Relationship Id="rId344" Type="http://schemas.openxmlformats.org/officeDocument/2006/relationships/hyperlink" Target="https://africanmarketingconfederation.org/amc-conference-2022" TargetMode="External"/><Relationship Id="rId20" Type="http://schemas.openxmlformats.org/officeDocument/2006/relationships/hyperlink" Target="https://africanmarketingconfederation.org/amc-awards-2024" TargetMode="External"/><Relationship Id="rId41" Type="http://schemas.openxmlformats.org/officeDocument/2006/relationships/hyperlink" Target="https://africanmarketingconfederation.org/african-marketing-confederation-tourism-chapter" TargetMode="External"/><Relationship Id="rId62" Type="http://schemas.openxmlformats.org/officeDocument/2006/relationships/hyperlink" Target="https://africanmarketingconfederation.org/african-marketing-confederation-tourism-chapter" TargetMode="External"/><Relationship Id="rId83" Type="http://schemas.openxmlformats.org/officeDocument/2006/relationships/hyperlink" Target="https://africanmarketingconfederation.org/african-marketing-confederation-tourism-chapter" TargetMode="External"/><Relationship Id="rId179" Type="http://schemas.openxmlformats.org/officeDocument/2006/relationships/hyperlink" Target="https://africanmarketingconfederation.org/about-us" TargetMode="External"/><Relationship Id="rId365" Type="http://schemas.openxmlformats.org/officeDocument/2006/relationships/hyperlink" Target="https://africanmarketingconfederation.org/amc-conference-2022" TargetMode="External"/><Relationship Id="rId386" Type="http://schemas.openxmlformats.org/officeDocument/2006/relationships/hyperlink" Target="https://africanmarketingconfederation.org/amc-conference-2023" TargetMode="External"/><Relationship Id="rId190" Type="http://schemas.openxmlformats.org/officeDocument/2006/relationships/hyperlink" Target="https://africanmarketingconfederation.org/about-us" TargetMode="External"/><Relationship Id="rId204" Type="http://schemas.openxmlformats.org/officeDocument/2006/relationships/hyperlink" Target="https://africanmarketingconfederation.org/amc-conference-2022-prospectus" TargetMode="External"/><Relationship Id="rId225" Type="http://schemas.openxmlformats.org/officeDocument/2006/relationships/hyperlink" Target="https://africanmarketingconfederation.org/amc-conference-2022-prospectus" TargetMode="External"/><Relationship Id="rId246" Type="http://schemas.openxmlformats.org/officeDocument/2006/relationships/hyperlink" Target="https://africanmarketingconfederation.org/amc-conference-2022-thank-you" TargetMode="External"/><Relationship Id="rId267" Type="http://schemas.openxmlformats.org/officeDocument/2006/relationships/hyperlink" Target="https://africanmarketingconfederation.org/amc-conference-2022" TargetMode="External"/><Relationship Id="rId288" Type="http://schemas.openxmlformats.org/officeDocument/2006/relationships/hyperlink" Target="https://africanmarketingconfederation.org/amc-conference-2022" TargetMode="External"/><Relationship Id="rId411" Type="http://schemas.openxmlformats.org/officeDocument/2006/relationships/hyperlink" Target="https://africanmarketingconfederation.org/amc-conference-2023" TargetMode="External"/><Relationship Id="rId432" Type="http://schemas.openxmlformats.org/officeDocument/2006/relationships/hyperlink" Target="https://africanmarketingconfederation.org/amc-conference-2023/amc-awards-book-now" TargetMode="External"/><Relationship Id="rId453" Type="http://schemas.openxmlformats.org/officeDocument/2006/relationships/hyperlink" Target="https://africanmarketingconfederation.org/amc-conference-2023/amc-awards" TargetMode="External"/><Relationship Id="rId474" Type="http://schemas.openxmlformats.org/officeDocument/2006/relationships/comments" Target="../comments8.xml"/><Relationship Id="rId106" Type="http://schemas.openxmlformats.org/officeDocument/2006/relationships/hyperlink" Target="https://africanmarketingconfederation.org/" TargetMode="External"/><Relationship Id="rId127" Type="http://schemas.openxmlformats.org/officeDocument/2006/relationships/hyperlink" Target="https://africanmarketingconfederation.org/" TargetMode="External"/><Relationship Id="rId313" Type="http://schemas.openxmlformats.org/officeDocument/2006/relationships/hyperlink" Target="https://africanmarketingconfederation.org/amc-conference-2022" TargetMode="External"/><Relationship Id="rId10" Type="http://schemas.openxmlformats.org/officeDocument/2006/relationships/hyperlink" Target="https://africanmarketingconfederation.org/amc-conference-2023/amc-awards" TargetMode="External"/><Relationship Id="rId31" Type="http://schemas.openxmlformats.org/officeDocument/2006/relationships/hyperlink" Target="https://africanmarketingconfederation.org/african-marketing-confederation-tourism-chapter" TargetMode="External"/><Relationship Id="rId52" Type="http://schemas.openxmlformats.org/officeDocument/2006/relationships/hyperlink" Target="https://africanmarketingconfederation.org/african-marketing-confederation-tourism-chapter" TargetMode="External"/><Relationship Id="rId73" Type="http://schemas.openxmlformats.org/officeDocument/2006/relationships/hyperlink" Target="https://africanmarketingconfederation.org/african-marketing-confederation-tourism-chapter" TargetMode="External"/><Relationship Id="rId94" Type="http://schemas.openxmlformats.org/officeDocument/2006/relationships/hyperlink" Target="https://africanmarketingconfederation.org/" TargetMode="External"/><Relationship Id="rId148" Type="http://schemas.openxmlformats.org/officeDocument/2006/relationships/hyperlink" Target="https://africanmarketingconfederation.org/" TargetMode="External"/><Relationship Id="rId169" Type="http://schemas.openxmlformats.org/officeDocument/2006/relationships/hyperlink" Target="https://africanmarketingconfederation.org/about-us" TargetMode="External"/><Relationship Id="rId334" Type="http://schemas.openxmlformats.org/officeDocument/2006/relationships/hyperlink" Target="https://africanmarketingconfederation.org/amc-conference-2022" TargetMode="External"/><Relationship Id="rId355" Type="http://schemas.openxmlformats.org/officeDocument/2006/relationships/hyperlink" Target="https://africanmarketingconfederation.org/amc-conference-2022" TargetMode="External"/><Relationship Id="rId376" Type="http://schemas.openxmlformats.org/officeDocument/2006/relationships/hyperlink" Target="https://africanmarketingconfederation.org/amc-conference-2023" TargetMode="External"/><Relationship Id="rId397" Type="http://schemas.openxmlformats.org/officeDocument/2006/relationships/hyperlink" Target="https://africanmarketingconfederation.org/amc-conference-2023" TargetMode="External"/><Relationship Id="rId4" Type="http://schemas.openxmlformats.org/officeDocument/2006/relationships/hyperlink" Target="https://africanmarketingconfederation.org/about-us" TargetMode="External"/><Relationship Id="rId180" Type="http://schemas.openxmlformats.org/officeDocument/2006/relationships/hyperlink" Target="https://africanmarketingconfederation.org/about-us" TargetMode="External"/><Relationship Id="rId215" Type="http://schemas.openxmlformats.org/officeDocument/2006/relationships/hyperlink" Target="https://africanmarketingconfederation.org/amc-conference-2022-prospectus" TargetMode="External"/><Relationship Id="rId236" Type="http://schemas.openxmlformats.org/officeDocument/2006/relationships/hyperlink" Target="https://africanmarketingconfederation.org/amc-conference-2022-thank-you" TargetMode="External"/><Relationship Id="rId257" Type="http://schemas.openxmlformats.org/officeDocument/2006/relationships/hyperlink" Target="https://africanmarketingconfederation.org/amc-conference-2022-thank-you" TargetMode="External"/><Relationship Id="rId278" Type="http://schemas.openxmlformats.org/officeDocument/2006/relationships/hyperlink" Target="https://africanmarketingconfederation.org/amc-conference-2022" TargetMode="External"/><Relationship Id="rId401" Type="http://schemas.openxmlformats.org/officeDocument/2006/relationships/hyperlink" Target="https://africanmarketingconfederation.org/amc-conference-2023" TargetMode="External"/><Relationship Id="rId422" Type="http://schemas.openxmlformats.org/officeDocument/2006/relationships/hyperlink" Target="https://africanmarketingconfederation.org/amc-conference-2023/amc-awards-book-now" TargetMode="External"/><Relationship Id="rId443" Type="http://schemas.openxmlformats.org/officeDocument/2006/relationships/hyperlink" Target="https://africanmarketingconfederation.org/amc-conference-2023/amc-awards" TargetMode="External"/><Relationship Id="rId464" Type="http://schemas.openxmlformats.org/officeDocument/2006/relationships/hyperlink" Target="https://africanmarketingconfederation.org/african-marketing-confederation-tourism-chapter" TargetMode="External"/><Relationship Id="rId303" Type="http://schemas.openxmlformats.org/officeDocument/2006/relationships/hyperlink" Target="https://africanmarketingconfederation.org/amc-conference-2022" TargetMode="External"/><Relationship Id="rId42" Type="http://schemas.openxmlformats.org/officeDocument/2006/relationships/hyperlink" Target="https://africanmarketingconfederation.org/african-marketing-confederation-tourism-chapter" TargetMode="External"/><Relationship Id="rId84" Type="http://schemas.openxmlformats.org/officeDocument/2006/relationships/hyperlink" Target="https://africanmarketingconfederation.org/african-marketing-confederation-tourism-chapter" TargetMode="External"/><Relationship Id="rId138" Type="http://schemas.openxmlformats.org/officeDocument/2006/relationships/hyperlink" Target="https://africanmarketingconfederation.org/" TargetMode="External"/><Relationship Id="rId345" Type="http://schemas.openxmlformats.org/officeDocument/2006/relationships/hyperlink" Target="https://africanmarketingconfederation.org/amc-conference-2022" TargetMode="External"/><Relationship Id="rId387" Type="http://schemas.openxmlformats.org/officeDocument/2006/relationships/hyperlink" Target="https://africanmarketingconfederation.org/amc-conference-2023" TargetMode="External"/><Relationship Id="rId191" Type="http://schemas.openxmlformats.org/officeDocument/2006/relationships/hyperlink" Target="https://africanmarketingconfederation.org/about-us" TargetMode="External"/><Relationship Id="rId205" Type="http://schemas.openxmlformats.org/officeDocument/2006/relationships/hyperlink" Target="https://africanmarketingconfederation.org/amc-conference-2022-prospectus" TargetMode="External"/><Relationship Id="rId247" Type="http://schemas.openxmlformats.org/officeDocument/2006/relationships/hyperlink" Target="https://africanmarketingconfederation.org/amc-conference-2022-thank-you" TargetMode="External"/><Relationship Id="rId412" Type="http://schemas.openxmlformats.org/officeDocument/2006/relationships/hyperlink" Target="https://africanmarketingconfederation.org/amc-conference-2023" TargetMode="External"/><Relationship Id="rId107" Type="http://schemas.openxmlformats.org/officeDocument/2006/relationships/hyperlink" Target="https://africanmarketingconfederation.org/" TargetMode="External"/><Relationship Id="rId289" Type="http://schemas.openxmlformats.org/officeDocument/2006/relationships/hyperlink" Target="https://africanmarketingconfederation.org/amc-conference-2022" TargetMode="External"/><Relationship Id="rId454" Type="http://schemas.openxmlformats.org/officeDocument/2006/relationships/hyperlink" Target="https://africanmarketingconfederation.org/amc-conference-2023/amc-awards" TargetMode="External"/><Relationship Id="rId11" Type="http://schemas.openxmlformats.org/officeDocument/2006/relationships/hyperlink" Target="https://africanmarketingconfederation.org/amc-awards-2024" TargetMode="External"/><Relationship Id="rId53" Type="http://schemas.openxmlformats.org/officeDocument/2006/relationships/hyperlink" Target="https://africanmarketingconfederation.org/african-marketing-confederation-tourism-chapter" TargetMode="External"/><Relationship Id="rId149" Type="http://schemas.openxmlformats.org/officeDocument/2006/relationships/hyperlink" Target="https://africanmarketingconfederation.org/" TargetMode="External"/><Relationship Id="rId314" Type="http://schemas.openxmlformats.org/officeDocument/2006/relationships/hyperlink" Target="https://africanmarketingconfederation.org/amc-conference-2022" TargetMode="External"/><Relationship Id="rId356" Type="http://schemas.openxmlformats.org/officeDocument/2006/relationships/hyperlink" Target="https://africanmarketingconfederation.org/amc-conference-2022" TargetMode="External"/><Relationship Id="rId398" Type="http://schemas.openxmlformats.org/officeDocument/2006/relationships/hyperlink" Target="https://africanmarketingconfederation.org/amc-conference-2023" TargetMode="External"/><Relationship Id="rId95" Type="http://schemas.openxmlformats.org/officeDocument/2006/relationships/hyperlink" Target="https://africanmarketingconfederation.org/" TargetMode="External"/><Relationship Id="rId160" Type="http://schemas.openxmlformats.org/officeDocument/2006/relationships/hyperlink" Target="https://africanmarketingconfederation.org/about-us" TargetMode="External"/><Relationship Id="rId216" Type="http://schemas.openxmlformats.org/officeDocument/2006/relationships/hyperlink" Target="https://africanmarketingconfederation.org/amc-conference-2022-prospectus" TargetMode="External"/><Relationship Id="rId423" Type="http://schemas.openxmlformats.org/officeDocument/2006/relationships/hyperlink" Target="https://africanmarketingconfederation.org/amc-conference-2023/amc-awards-book-now" TargetMode="External"/><Relationship Id="rId258" Type="http://schemas.openxmlformats.org/officeDocument/2006/relationships/hyperlink" Target="https://africanmarketingconfederation.org/amc-conference-2022-thank-you" TargetMode="External"/><Relationship Id="rId465" Type="http://schemas.openxmlformats.org/officeDocument/2006/relationships/hyperlink" Target="https://africanmarketingconfederation.org/" TargetMode="External"/><Relationship Id="rId22" Type="http://schemas.openxmlformats.org/officeDocument/2006/relationships/hyperlink" Target="https://africanmarketingconfederation.org/amc-awards-2024" TargetMode="External"/><Relationship Id="rId64" Type="http://schemas.openxmlformats.org/officeDocument/2006/relationships/hyperlink" Target="https://africanmarketingconfederation.org/african-marketing-confederation-tourism-chapter" TargetMode="External"/><Relationship Id="rId118" Type="http://schemas.openxmlformats.org/officeDocument/2006/relationships/hyperlink" Target="https://africanmarketingconfederation.org/" TargetMode="External"/><Relationship Id="rId325" Type="http://schemas.openxmlformats.org/officeDocument/2006/relationships/hyperlink" Target="https://africanmarketingconfederation.org/amc-conference-2022" TargetMode="External"/><Relationship Id="rId367" Type="http://schemas.openxmlformats.org/officeDocument/2006/relationships/hyperlink" Target="https://africanmarketingconfederation.org/amc-conference-2023" TargetMode="External"/><Relationship Id="rId171" Type="http://schemas.openxmlformats.org/officeDocument/2006/relationships/hyperlink" Target="https://africanmarketingconfederation.org/about-us" TargetMode="External"/><Relationship Id="rId227" Type="http://schemas.openxmlformats.org/officeDocument/2006/relationships/hyperlink" Target="https://africanmarketingconfederation.org/amc-conference-2022-prospectus" TargetMode="External"/><Relationship Id="rId269" Type="http://schemas.openxmlformats.org/officeDocument/2006/relationships/hyperlink" Target="https://africanmarketingconfederation.org/amc-conference-2022" TargetMode="External"/><Relationship Id="rId434" Type="http://schemas.openxmlformats.org/officeDocument/2006/relationships/hyperlink" Target="https://africanmarketingconfederation.org/amc-conference-2023/amc-awards-book-now" TargetMode="External"/><Relationship Id="rId33" Type="http://schemas.openxmlformats.org/officeDocument/2006/relationships/hyperlink" Target="https://africanmarketingconfederation.org/african-marketing-confederation-tourism-chapter" TargetMode="External"/><Relationship Id="rId129" Type="http://schemas.openxmlformats.org/officeDocument/2006/relationships/hyperlink" Target="https://africanmarketingconfederation.org/" TargetMode="External"/><Relationship Id="rId280" Type="http://schemas.openxmlformats.org/officeDocument/2006/relationships/hyperlink" Target="https://africanmarketingconfederation.org/amc-conference-2022" TargetMode="External"/><Relationship Id="rId336" Type="http://schemas.openxmlformats.org/officeDocument/2006/relationships/hyperlink" Target="https://africanmarketingconfederation.org/amc-conference-2022" TargetMode="External"/><Relationship Id="rId75" Type="http://schemas.openxmlformats.org/officeDocument/2006/relationships/hyperlink" Target="https://africanmarketingconfederation.org/african-marketing-confederation-tourism-chapter" TargetMode="External"/><Relationship Id="rId140" Type="http://schemas.openxmlformats.org/officeDocument/2006/relationships/hyperlink" Target="https://africanmarketingconfederation.org/" TargetMode="External"/><Relationship Id="rId182" Type="http://schemas.openxmlformats.org/officeDocument/2006/relationships/hyperlink" Target="https://africanmarketingconfederation.org/about-us" TargetMode="External"/><Relationship Id="rId378" Type="http://schemas.openxmlformats.org/officeDocument/2006/relationships/hyperlink" Target="https://africanmarketingconfederation.org/amc-conference-2023" TargetMode="External"/><Relationship Id="rId403" Type="http://schemas.openxmlformats.org/officeDocument/2006/relationships/hyperlink" Target="https://africanmarketingconfederation.org/amc-conference-2023" TargetMode="External"/><Relationship Id="rId6" Type="http://schemas.openxmlformats.org/officeDocument/2006/relationships/hyperlink" Target="https://africanmarketingconfederation.org/amc-conference-2022-thank-you" TargetMode="External"/><Relationship Id="rId238" Type="http://schemas.openxmlformats.org/officeDocument/2006/relationships/hyperlink" Target="https://africanmarketingconfederation.org/amc-conference-2022-thank-you" TargetMode="External"/><Relationship Id="rId445" Type="http://schemas.openxmlformats.org/officeDocument/2006/relationships/hyperlink" Target="https://africanmarketingconfederation.org/amc-conference-2023/amc-awards" TargetMode="External"/><Relationship Id="rId291" Type="http://schemas.openxmlformats.org/officeDocument/2006/relationships/hyperlink" Target="https://africanmarketingconfederation.org/amc-conference-2022" TargetMode="External"/><Relationship Id="rId305" Type="http://schemas.openxmlformats.org/officeDocument/2006/relationships/hyperlink" Target="https://africanmarketingconfederation.org/amc-conference-2022" TargetMode="External"/><Relationship Id="rId347" Type="http://schemas.openxmlformats.org/officeDocument/2006/relationships/hyperlink" Target="https://africanmarketingconfederation.org/amc-conference-2022" TargetMode="External"/><Relationship Id="rId44" Type="http://schemas.openxmlformats.org/officeDocument/2006/relationships/hyperlink" Target="https://africanmarketingconfederation.org/african-marketing-confederation-tourism-chapter" TargetMode="External"/><Relationship Id="rId86" Type="http://schemas.openxmlformats.org/officeDocument/2006/relationships/hyperlink" Target="https://africanmarketingconfederation.org/african-marketing-confederation-tourism-chapter" TargetMode="External"/><Relationship Id="rId151" Type="http://schemas.openxmlformats.org/officeDocument/2006/relationships/hyperlink" Target="https://africanmarketingconfederation.org/" TargetMode="External"/><Relationship Id="rId389" Type="http://schemas.openxmlformats.org/officeDocument/2006/relationships/hyperlink" Target="https://africanmarketingconfederation.org/amc-conference-2023" TargetMode="External"/><Relationship Id="rId193" Type="http://schemas.openxmlformats.org/officeDocument/2006/relationships/hyperlink" Target="https://africanmarketingconfederation.org/about-us" TargetMode="External"/><Relationship Id="rId207" Type="http://schemas.openxmlformats.org/officeDocument/2006/relationships/hyperlink" Target="https://africanmarketingconfederation.org/amc-conference-2022-prospectus" TargetMode="External"/><Relationship Id="rId249" Type="http://schemas.openxmlformats.org/officeDocument/2006/relationships/hyperlink" Target="https://africanmarketingconfederation.org/amc-conference-2022-thank-you" TargetMode="External"/><Relationship Id="rId414" Type="http://schemas.openxmlformats.org/officeDocument/2006/relationships/hyperlink" Target="https://africanmarketingconfederation.org/amc-conference-2023" TargetMode="External"/><Relationship Id="rId456" Type="http://schemas.openxmlformats.org/officeDocument/2006/relationships/hyperlink" Target="https://africanmarketingconfederation.org/amc-conference-2023/amc-awards" TargetMode="External"/><Relationship Id="rId13" Type="http://schemas.openxmlformats.org/officeDocument/2006/relationships/hyperlink" Target="https://africanmarketingconfederation.org/amc-awards-2024" TargetMode="External"/><Relationship Id="rId109" Type="http://schemas.openxmlformats.org/officeDocument/2006/relationships/hyperlink" Target="https://africanmarketingconfederation.org/" TargetMode="External"/><Relationship Id="rId260" Type="http://schemas.openxmlformats.org/officeDocument/2006/relationships/hyperlink" Target="https://africanmarketingconfederation.org/amc-conference-2022-thank-you" TargetMode="External"/><Relationship Id="rId316" Type="http://schemas.openxmlformats.org/officeDocument/2006/relationships/hyperlink" Target="https://africanmarketingconfederation.org/amc-conference-2022" TargetMode="External"/><Relationship Id="rId55" Type="http://schemas.openxmlformats.org/officeDocument/2006/relationships/hyperlink" Target="https://africanmarketingconfederation.org/african-marketing-confederation-tourism-chapter" TargetMode="External"/><Relationship Id="rId97" Type="http://schemas.openxmlformats.org/officeDocument/2006/relationships/hyperlink" Target="https://africanmarketingconfederation.org/" TargetMode="External"/><Relationship Id="rId120" Type="http://schemas.openxmlformats.org/officeDocument/2006/relationships/hyperlink" Target="https://africanmarketingconfederation.org/" TargetMode="External"/><Relationship Id="rId358" Type="http://schemas.openxmlformats.org/officeDocument/2006/relationships/hyperlink" Target="https://africanmarketingconfederation.org/amc-conference-2022" TargetMode="External"/><Relationship Id="rId162" Type="http://schemas.openxmlformats.org/officeDocument/2006/relationships/hyperlink" Target="https://africanmarketingconfederation.org/about-us" TargetMode="External"/><Relationship Id="rId218" Type="http://schemas.openxmlformats.org/officeDocument/2006/relationships/hyperlink" Target="https://africanmarketingconfederation.org/amc-conference-2022-prospectus" TargetMode="External"/><Relationship Id="rId425" Type="http://schemas.openxmlformats.org/officeDocument/2006/relationships/hyperlink" Target="https://africanmarketingconfederation.org/amc-conference-2023/amc-awards-book-now" TargetMode="External"/><Relationship Id="rId467" Type="http://schemas.openxmlformats.org/officeDocument/2006/relationships/hyperlink" Target="https://africanmarketingconfederation.org/amc-conference-2022-prospectus" TargetMode="External"/><Relationship Id="rId271" Type="http://schemas.openxmlformats.org/officeDocument/2006/relationships/hyperlink" Target="https://africanmarketingconfederation.org/amc-conference-2022" TargetMode="External"/><Relationship Id="rId24" Type="http://schemas.openxmlformats.org/officeDocument/2006/relationships/hyperlink" Target="https://africanmarketingconfederation.org/amc-awards-2024" TargetMode="External"/><Relationship Id="rId66" Type="http://schemas.openxmlformats.org/officeDocument/2006/relationships/hyperlink" Target="https://africanmarketingconfederation.org/african-marketing-confederation-tourism-chapter" TargetMode="External"/><Relationship Id="rId131" Type="http://schemas.openxmlformats.org/officeDocument/2006/relationships/hyperlink" Target="https://africanmarketingconfederation.org/" TargetMode="External"/><Relationship Id="rId327" Type="http://schemas.openxmlformats.org/officeDocument/2006/relationships/hyperlink" Target="https://africanmarketingconfederation.org/amc-conference-2022" TargetMode="External"/><Relationship Id="rId369" Type="http://schemas.openxmlformats.org/officeDocument/2006/relationships/hyperlink" Target="https://africanmarketingconfederation.org/amc-conference-2023" TargetMode="External"/><Relationship Id="rId173" Type="http://schemas.openxmlformats.org/officeDocument/2006/relationships/hyperlink" Target="https://africanmarketingconfederation.org/about-us" TargetMode="External"/><Relationship Id="rId229" Type="http://schemas.openxmlformats.org/officeDocument/2006/relationships/hyperlink" Target="https://africanmarketingconfederation.org/amc-conference-2022-prospectus" TargetMode="External"/><Relationship Id="rId380" Type="http://schemas.openxmlformats.org/officeDocument/2006/relationships/hyperlink" Target="https://africanmarketingconfederation.org/amc-conference-2023" TargetMode="External"/><Relationship Id="rId436" Type="http://schemas.openxmlformats.org/officeDocument/2006/relationships/hyperlink" Target="https://africanmarketingconfederation.org/amc-conference-2023/amc-awards-book-now" TargetMode="External"/><Relationship Id="rId240" Type="http://schemas.openxmlformats.org/officeDocument/2006/relationships/hyperlink" Target="https://africanmarketingconfederation.org/amc-conference-2022-thank-you" TargetMode="External"/><Relationship Id="rId35" Type="http://schemas.openxmlformats.org/officeDocument/2006/relationships/hyperlink" Target="https://africanmarketingconfederation.org/african-marketing-confederation-tourism-chapter" TargetMode="External"/><Relationship Id="rId77" Type="http://schemas.openxmlformats.org/officeDocument/2006/relationships/hyperlink" Target="https://africanmarketingconfederation.org/african-marketing-confederation-tourism-chapter" TargetMode="External"/><Relationship Id="rId100" Type="http://schemas.openxmlformats.org/officeDocument/2006/relationships/hyperlink" Target="https://africanmarketingconfederation.org/" TargetMode="External"/><Relationship Id="rId282" Type="http://schemas.openxmlformats.org/officeDocument/2006/relationships/hyperlink" Target="https://africanmarketingconfederation.org/amc-conference-2022" TargetMode="External"/><Relationship Id="rId338" Type="http://schemas.openxmlformats.org/officeDocument/2006/relationships/hyperlink" Target="https://africanmarketingconfederation.org/amc-conference-2022" TargetMode="External"/><Relationship Id="rId8" Type="http://schemas.openxmlformats.org/officeDocument/2006/relationships/hyperlink" Target="https://africanmarketingconfederation.org/amc-conference-2023" TargetMode="External"/><Relationship Id="rId142" Type="http://schemas.openxmlformats.org/officeDocument/2006/relationships/hyperlink" Target="https://africanmarketingconfederation.org/" TargetMode="External"/><Relationship Id="rId184" Type="http://schemas.openxmlformats.org/officeDocument/2006/relationships/hyperlink" Target="https://africanmarketingconfederation.org/about-us" TargetMode="External"/><Relationship Id="rId391" Type="http://schemas.openxmlformats.org/officeDocument/2006/relationships/hyperlink" Target="https://africanmarketingconfederation.org/amc-conference-2023" TargetMode="External"/><Relationship Id="rId405" Type="http://schemas.openxmlformats.org/officeDocument/2006/relationships/hyperlink" Target="https://africanmarketingconfederation.org/amc-conference-2023" TargetMode="External"/><Relationship Id="rId447" Type="http://schemas.openxmlformats.org/officeDocument/2006/relationships/hyperlink" Target="https://africanmarketingconfederation.org/amc-conference-2023/amc-awards" TargetMode="External"/><Relationship Id="rId251" Type="http://schemas.openxmlformats.org/officeDocument/2006/relationships/hyperlink" Target="https://africanmarketingconfederation.org/amc-conference-2022-thank-you" TargetMode="External"/><Relationship Id="rId46" Type="http://schemas.openxmlformats.org/officeDocument/2006/relationships/hyperlink" Target="https://africanmarketingconfederation.org/african-marketing-confederation-tourism-chapter" TargetMode="External"/><Relationship Id="rId293" Type="http://schemas.openxmlformats.org/officeDocument/2006/relationships/hyperlink" Target="https://africanmarketingconfederation.org/amc-conference-2022" TargetMode="External"/><Relationship Id="rId307" Type="http://schemas.openxmlformats.org/officeDocument/2006/relationships/hyperlink" Target="https://africanmarketingconfederation.org/amc-conference-2022" TargetMode="External"/><Relationship Id="rId349" Type="http://schemas.openxmlformats.org/officeDocument/2006/relationships/hyperlink" Target="https://africanmarketingconfederation.org/amc-conference-2022" TargetMode="External"/><Relationship Id="rId88" Type="http://schemas.openxmlformats.org/officeDocument/2006/relationships/hyperlink" Target="https://africanmarketingconfederation.org/african-marketing-confederation-tourism-chapter" TargetMode="External"/><Relationship Id="rId111" Type="http://schemas.openxmlformats.org/officeDocument/2006/relationships/hyperlink" Target="https://africanmarketingconfederation.org/" TargetMode="External"/><Relationship Id="rId153" Type="http://schemas.openxmlformats.org/officeDocument/2006/relationships/hyperlink" Target="https://africanmarketingconfederation.org/" TargetMode="External"/><Relationship Id="rId195" Type="http://schemas.openxmlformats.org/officeDocument/2006/relationships/hyperlink" Target="https://africanmarketingconfederation.org/amc-conference-2022-prospectus" TargetMode="External"/><Relationship Id="rId209" Type="http://schemas.openxmlformats.org/officeDocument/2006/relationships/hyperlink" Target="https://africanmarketingconfederation.org/amc-conference-2022-prospectus" TargetMode="External"/><Relationship Id="rId360" Type="http://schemas.openxmlformats.org/officeDocument/2006/relationships/hyperlink" Target="https://africanmarketingconfederation.org/amc-conference-2022" TargetMode="External"/><Relationship Id="rId416" Type="http://schemas.openxmlformats.org/officeDocument/2006/relationships/hyperlink" Target="https://africanmarketingconfederation.org/amc-conference-2023" TargetMode="External"/><Relationship Id="rId220" Type="http://schemas.openxmlformats.org/officeDocument/2006/relationships/hyperlink" Target="https://africanmarketingconfederation.org/amc-conference-2022-prospectus" TargetMode="External"/><Relationship Id="rId458" Type="http://schemas.openxmlformats.org/officeDocument/2006/relationships/hyperlink" Target="https://africanmarketingconfederation.org/amc-conference-2023/amc-awards" TargetMode="External"/><Relationship Id="rId15" Type="http://schemas.openxmlformats.org/officeDocument/2006/relationships/hyperlink" Target="https://africanmarketingconfederation.org/amc-awards-2024" TargetMode="External"/><Relationship Id="rId57" Type="http://schemas.openxmlformats.org/officeDocument/2006/relationships/hyperlink" Target="https://africanmarketingconfederation.org/african-marketing-confederation-tourism-chapter" TargetMode="External"/><Relationship Id="rId262" Type="http://schemas.openxmlformats.org/officeDocument/2006/relationships/hyperlink" Target="https://africanmarketingconfederation.org/amc-conference-2022-thank-you" TargetMode="External"/><Relationship Id="rId318" Type="http://schemas.openxmlformats.org/officeDocument/2006/relationships/hyperlink" Target="https://africanmarketingconfederation.org/amc-conference-2022" TargetMode="External"/><Relationship Id="rId99" Type="http://schemas.openxmlformats.org/officeDocument/2006/relationships/hyperlink" Target="https://africanmarketingconfederation.org/" TargetMode="External"/><Relationship Id="rId122" Type="http://schemas.openxmlformats.org/officeDocument/2006/relationships/hyperlink" Target="https://africanmarketingconfederation.org/" TargetMode="External"/><Relationship Id="rId164" Type="http://schemas.openxmlformats.org/officeDocument/2006/relationships/hyperlink" Target="https://africanmarketingconfederation.org/about-us" TargetMode="External"/><Relationship Id="rId371" Type="http://schemas.openxmlformats.org/officeDocument/2006/relationships/hyperlink" Target="https://africanmarketingconfederation.org/amc-conference-2023" TargetMode="External"/><Relationship Id="rId427" Type="http://schemas.openxmlformats.org/officeDocument/2006/relationships/hyperlink" Target="https://africanmarketingconfederation.org/amc-conference-2023/amc-awards-book-now" TargetMode="External"/><Relationship Id="rId469" Type="http://schemas.openxmlformats.org/officeDocument/2006/relationships/hyperlink" Target="https://africanmarketingconfederation.org/amc-conference-2022" TargetMode="External"/><Relationship Id="rId26" Type="http://schemas.openxmlformats.org/officeDocument/2006/relationships/hyperlink" Target="https://africanmarketingconfederation.org/amc-awards-2024" TargetMode="External"/><Relationship Id="rId231" Type="http://schemas.openxmlformats.org/officeDocument/2006/relationships/hyperlink" Target="https://africanmarketingconfederation.org/amc-conference-2022-thank-you" TargetMode="External"/><Relationship Id="rId273" Type="http://schemas.openxmlformats.org/officeDocument/2006/relationships/hyperlink" Target="https://africanmarketingconfederation.org/amc-conference-2022" TargetMode="External"/><Relationship Id="rId329" Type="http://schemas.openxmlformats.org/officeDocument/2006/relationships/hyperlink" Target="https://africanmarketingconfederation.org/amc-conference-2022" TargetMode="External"/><Relationship Id="rId68" Type="http://schemas.openxmlformats.org/officeDocument/2006/relationships/hyperlink" Target="https://africanmarketingconfederation.org/african-marketing-confederation-tourism-chapter" TargetMode="External"/><Relationship Id="rId133" Type="http://schemas.openxmlformats.org/officeDocument/2006/relationships/hyperlink" Target="https://africanmarketingconfederation.org/" TargetMode="External"/><Relationship Id="rId175" Type="http://schemas.openxmlformats.org/officeDocument/2006/relationships/hyperlink" Target="https://africanmarketingconfederation.org/about-us" TargetMode="External"/><Relationship Id="rId340" Type="http://schemas.openxmlformats.org/officeDocument/2006/relationships/hyperlink" Target="https://africanmarketingconfederation.org/amc-conference-2022" TargetMode="External"/><Relationship Id="rId200" Type="http://schemas.openxmlformats.org/officeDocument/2006/relationships/hyperlink" Target="https://africanmarketingconfederation.org/amc-conference-2022-prospectus" TargetMode="External"/><Relationship Id="rId382" Type="http://schemas.openxmlformats.org/officeDocument/2006/relationships/hyperlink" Target="https://africanmarketingconfederation.org/amc-conference-2023" TargetMode="External"/><Relationship Id="rId438" Type="http://schemas.openxmlformats.org/officeDocument/2006/relationships/hyperlink" Target="https://africanmarketingconfederation.org/amc-conference-2023/amc-awards-book-now" TargetMode="External"/><Relationship Id="rId242" Type="http://schemas.openxmlformats.org/officeDocument/2006/relationships/hyperlink" Target="https://africanmarketingconfederation.org/amc-conference-2022-thank-you" TargetMode="External"/><Relationship Id="rId284" Type="http://schemas.openxmlformats.org/officeDocument/2006/relationships/hyperlink" Target="https://africanmarketingconfederation.org/amc-conference-2022" TargetMode="External"/><Relationship Id="rId37" Type="http://schemas.openxmlformats.org/officeDocument/2006/relationships/hyperlink" Target="https://africanmarketingconfederation.org/african-marketing-confederation-tourism-chapter" TargetMode="External"/><Relationship Id="rId79" Type="http://schemas.openxmlformats.org/officeDocument/2006/relationships/hyperlink" Target="https://africanmarketingconfederation.org/african-marketing-confederation-tourism-chapter" TargetMode="External"/><Relationship Id="rId102" Type="http://schemas.openxmlformats.org/officeDocument/2006/relationships/hyperlink" Target="https://africanmarketingconfederation.org/" TargetMode="External"/><Relationship Id="rId144" Type="http://schemas.openxmlformats.org/officeDocument/2006/relationships/hyperlink" Target="https://africanmarketingconfederation.org/" TargetMode="External"/><Relationship Id="rId90" Type="http://schemas.openxmlformats.org/officeDocument/2006/relationships/hyperlink" Target="https://africanmarketingconfederation.org/african-marketing-confederation-tourism-chapter" TargetMode="External"/><Relationship Id="rId186" Type="http://schemas.openxmlformats.org/officeDocument/2006/relationships/hyperlink" Target="https://africanmarketingconfederation.org/about-us" TargetMode="External"/><Relationship Id="rId351" Type="http://schemas.openxmlformats.org/officeDocument/2006/relationships/hyperlink" Target="https://africanmarketingconfederation.org/amc-conference-2022" TargetMode="External"/><Relationship Id="rId393" Type="http://schemas.openxmlformats.org/officeDocument/2006/relationships/hyperlink" Target="https://africanmarketingconfederation.org/amc-conference-2023" TargetMode="External"/><Relationship Id="rId407" Type="http://schemas.openxmlformats.org/officeDocument/2006/relationships/hyperlink" Target="https://africanmarketingconfederation.org/amc-conference-2023" TargetMode="External"/><Relationship Id="rId449" Type="http://schemas.openxmlformats.org/officeDocument/2006/relationships/hyperlink" Target="https://africanmarketingconfederation.org/amc-conference-2023/amc-awards" TargetMode="External"/><Relationship Id="rId211" Type="http://schemas.openxmlformats.org/officeDocument/2006/relationships/hyperlink" Target="https://africanmarketingconfederation.org/amc-conference-2022-prospectus" TargetMode="External"/><Relationship Id="rId253" Type="http://schemas.openxmlformats.org/officeDocument/2006/relationships/hyperlink" Target="https://africanmarketingconfederation.org/amc-conference-2022-thank-you" TargetMode="External"/><Relationship Id="rId295" Type="http://schemas.openxmlformats.org/officeDocument/2006/relationships/hyperlink" Target="https://africanmarketingconfederation.org/amc-conference-2022" TargetMode="External"/><Relationship Id="rId309" Type="http://schemas.openxmlformats.org/officeDocument/2006/relationships/hyperlink" Target="https://africanmarketingconfederation.org/amc-conference-2022" TargetMode="External"/><Relationship Id="rId460" Type="http://schemas.openxmlformats.org/officeDocument/2006/relationships/hyperlink" Target="https://africanmarketingconfederation.org/amc-conference-2023/amc-awards" TargetMode="External"/><Relationship Id="rId48" Type="http://schemas.openxmlformats.org/officeDocument/2006/relationships/hyperlink" Target="https://africanmarketingconfederation.org/african-marketing-confederation-tourism-chapter" TargetMode="External"/><Relationship Id="rId113" Type="http://schemas.openxmlformats.org/officeDocument/2006/relationships/hyperlink" Target="https://africanmarketingconfederation.org/" TargetMode="External"/><Relationship Id="rId320" Type="http://schemas.openxmlformats.org/officeDocument/2006/relationships/hyperlink" Target="https://africanmarketingconfederation.org/amc-conference-2022" TargetMode="External"/><Relationship Id="rId155" Type="http://schemas.openxmlformats.org/officeDocument/2006/relationships/hyperlink" Target="https://africanmarketingconfederation.org/" TargetMode="External"/><Relationship Id="rId197" Type="http://schemas.openxmlformats.org/officeDocument/2006/relationships/hyperlink" Target="https://africanmarketingconfederation.org/amc-conference-2022-prospectus" TargetMode="External"/><Relationship Id="rId362" Type="http://schemas.openxmlformats.org/officeDocument/2006/relationships/hyperlink" Target="https://africanmarketingconfederation.org/amc-conference-2022" TargetMode="External"/><Relationship Id="rId418" Type="http://schemas.openxmlformats.org/officeDocument/2006/relationships/hyperlink" Target="https://africanmarketingconfederation.org/amc-conference-2023" TargetMode="External"/><Relationship Id="rId222" Type="http://schemas.openxmlformats.org/officeDocument/2006/relationships/hyperlink" Target="https://africanmarketingconfederation.org/amc-conference-2022-prospectus" TargetMode="External"/><Relationship Id="rId264" Type="http://schemas.openxmlformats.org/officeDocument/2006/relationships/hyperlink" Target="https://africanmarketingconfederation.org/amc-conference-2022-thank-you" TargetMode="External"/><Relationship Id="rId471" Type="http://schemas.openxmlformats.org/officeDocument/2006/relationships/hyperlink" Target="https://africanmarketingconfederation.org/amc-conference-2023/amc-awards-book-now" TargetMode="External"/><Relationship Id="rId17" Type="http://schemas.openxmlformats.org/officeDocument/2006/relationships/hyperlink" Target="https://africanmarketingconfederation.org/amc-awards-2024" TargetMode="External"/><Relationship Id="rId59" Type="http://schemas.openxmlformats.org/officeDocument/2006/relationships/hyperlink" Target="https://africanmarketingconfederation.org/african-marketing-confederation-tourism-chapter" TargetMode="External"/><Relationship Id="rId124" Type="http://schemas.openxmlformats.org/officeDocument/2006/relationships/hyperlink" Target="https://africanmarketingconfederation.org/" TargetMode="External"/><Relationship Id="rId70" Type="http://schemas.openxmlformats.org/officeDocument/2006/relationships/hyperlink" Target="https://africanmarketingconfederation.org/african-marketing-confederation-tourism-chapter" TargetMode="External"/><Relationship Id="rId166" Type="http://schemas.openxmlformats.org/officeDocument/2006/relationships/hyperlink" Target="https://africanmarketingconfederation.org/about-us" TargetMode="External"/><Relationship Id="rId331" Type="http://schemas.openxmlformats.org/officeDocument/2006/relationships/hyperlink" Target="https://africanmarketingconfederation.org/amc-conference-2022" TargetMode="External"/><Relationship Id="rId373" Type="http://schemas.openxmlformats.org/officeDocument/2006/relationships/hyperlink" Target="https://africanmarketingconfederation.org/amc-conference-2023" TargetMode="External"/><Relationship Id="rId429" Type="http://schemas.openxmlformats.org/officeDocument/2006/relationships/hyperlink" Target="https://africanmarketingconfederation.org/amc-conference-2023/amc-awards-book-now" TargetMode="External"/><Relationship Id="rId1" Type="http://schemas.openxmlformats.org/officeDocument/2006/relationships/hyperlink" Target="https://africanmarketingconfederation.org/amc-awards-2024" TargetMode="External"/><Relationship Id="rId233" Type="http://schemas.openxmlformats.org/officeDocument/2006/relationships/hyperlink" Target="https://africanmarketingconfederation.org/amc-conference-2022-thank-you" TargetMode="External"/><Relationship Id="rId440" Type="http://schemas.openxmlformats.org/officeDocument/2006/relationships/hyperlink" Target="https://africanmarketingconfederation.org/amc-conference-2023/amc-awards-book-now" TargetMode="External"/><Relationship Id="rId28" Type="http://schemas.openxmlformats.org/officeDocument/2006/relationships/hyperlink" Target="https://africanmarketingconfederation.org/amc-awards-2024" TargetMode="External"/><Relationship Id="rId275" Type="http://schemas.openxmlformats.org/officeDocument/2006/relationships/hyperlink" Target="https://africanmarketingconfederation.org/amc-conference-2022" TargetMode="External"/><Relationship Id="rId300" Type="http://schemas.openxmlformats.org/officeDocument/2006/relationships/hyperlink" Target="https://africanmarketingconfederation.org/amc-conference-2022" TargetMode="External"/><Relationship Id="rId81" Type="http://schemas.openxmlformats.org/officeDocument/2006/relationships/hyperlink" Target="https://africanmarketingconfederation.org/african-marketing-confederation-tourism-chapter" TargetMode="External"/><Relationship Id="rId135" Type="http://schemas.openxmlformats.org/officeDocument/2006/relationships/hyperlink" Target="https://africanmarketingconfederation.org/" TargetMode="External"/><Relationship Id="rId177" Type="http://schemas.openxmlformats.org/officeDocument/2006/relationships/hyperlink" Target="https://africanmarketingconfederation.org/about-us" TargetMode="External"/><Relationship Id="rId342" Type="http://schemas.openxmlformats.org/officeDocument/2006/relationships/hyperlink" Target="https://africanmarketingconfederation.org/amc-conference-2022" TargetMode="External"/><Relationship Id="rId384" Type="http://schemas.openxmlformats.org/officeDocument/2006/relationships/hyperlink" Target="https://africanmarketingconfederation.org/amc-conference-2023" TargetMode="External"/><Relationship Id="rId202" Type="http://schemas.openxmlformats.org/officeDocument/2006/relationships/hyperlink" Target="https://africanmarketingconfederation.org/amc-conference-2022-prospectus" TargetMode="External"/><Relationship Id="rId244" Type="http://schemas.openxmlformats.org/officeDocument/2006/relationships/hyperlink" Target="https://africanmarketingconfederation.org/amc-conference-2022-thank-you" TargetMode="External"/><Relationship Id="rId39" Type="http://schemas.openxmlformats.org/officeDocument/2006/relationships/hyperlink" Target="https://africanmarketingconfederation.org/african-marketing-confederation-tourism-chapter" TargetMode="External"/><Relationship Id="rId286" Type="http://schemas.openxmlformats.org/officeDocument/2006/relationships/hyperlink" Target="https://africanmarketingconfederation.org/amc-conference-2022" TargetMode="External"/><Relationship Id="rId451" Type="http://schemas.openxmlformats.org/officeDocument/2006/relationships/hyperlink" Target="https://africanmarketingconfederation.org/amc-conference-2023/amc-awards" TargetMode="External"/><Relationship Id="rId50" Type="http://schemas.openxmlformats.org/officeDocument/2006/relationships/hyperlink" Target="https://africanmarketingconfederation.org/african-marketing-confederation-tourism-chapter" TargetMode="External"/><Relationship Id="rId104" Type="http://schemas.openxmlformats.org/officeDocument/2006/relationships/hyperlink" Target="https://africanmarketingconfederation.org/" TargetMode="External"/><Relationship Id="rId146" Type="http://schemas.openxmlformats.org/officeDocument/2006/relationships/hyperlink" Target="https://africanmarketingconfederation.org/" TargetMode="External"/><Relationship Id="rId188" Type="http://schemas.openxmlformats.org/officeDocument/2006/relationships/hyperlink" Target="https://africanmarketingconfederation.org/about-us" TargetMode="External"/><Relationship Id="rId311" Type="http://schemas.openxmlformats.org/officeDocument/2006/relationships/hyperlink" Target="https://africanmarketingconfederation.org/amc-conference-2022" TargetMode="External"/><Relationship Id="rId353" Type="http://schemas.openxmlformats.org/officeDocument/2006/relationships/hyperlink" Target="https://africanmarketingconfederation.org/amc-conference-2022" TargetMode="External"/><Relationship Id="rId395" Type="http://schemas.openxmlformats.org/officeDocument/2006/relationships/hyperlink" Target="https://africanmarketingconfederation.org/amc-conference-2023" TargetMode="External"/><Relationship Id="rId409" Type="http://schemas.openxmlformats.org/officeDocument/2006/relationships/hyperlink" Target="https://africanmarketingconfederation.org/amc-conference-2023" TargetMode="External"/><Relationship Id="rId92" Type="http://schemas.openxmlformats.org/officeDocument/2006/relationships/hyperlink" Target="https://africanmarketingconfederation.org/" TargetMode="External"/><Relationship Id="rId213" Type="http://schemas.openxmlformats.org/officeDocument/2006/relationships/hyperlink" Target="https://africanmarketingconfederation.org/amc-conference-2022-prospectus" TargetMode="External"/><Relationship Id="rId420" Type="http://schemas.openxmlformats.org/officeDocument/2006/relationships/hyperlink" Target="https://africanmarketingconfederation.org/amc-conference-2023" TargetMode="External"/><Relationship Id="rId255" Type="http://schemas.openxmlformats.org/officeDocument/2006/relationships/hyperlink" Target="https://africanmarketingconfederation.org/amc-conference-2022-thank-you" TargetMode="External"/><Relationship Id="rId297" Type="http://schemas.openxmlformats.org/officeDocument/2006/relationships/hyperlink" Target="https://africanmarketingconfederation.org/amc-conference-2022" TargetMode="External"/><Relationship Id="rId462" Type="http://schemas.openxmlformats.org/officeDocument/2006/relationships/hyperlink" Target="https://africanmarketingconfederation.org/amc-conference-2023/amc-awards" TargetMode="External"/><Relationship Id="rId115" Type="http://schemas.openxmlformats.org/officeDocument/2006/relationships/hyperlink" Target="https://africanmarketingconfederation.org/" TargetMode="External"/><Relationship Id="rId157" Type="http://schemas.openxmlformats.org/officeDocument/2006/relationships/hyperlink" Target="https://africanmarketingconfederation.org/about-us" TargetMode="External"/><Relationship Id="rId322" Type="http://schemas.openxmlformats.org/officeDocument/2006/relationships/hyperlink" Target="https://africanmarketingconfederation.org/amc-conference-2022" TargetMode="External"/><Relationship Id="rId364" Type="http://schemas.openxmlformats.org/officeDocument/2006/relationships/hyperlink" Target="https://africanmarketingconfederation.org/amc-conference-2022" TargetMode="External"/><Relationship Id="rId61" Type="http://schemas.openxmlformats.org/officeDocument/2006/relationships/hyperlink" Target="https://africanmarketingconfederation.org/african-marketing-confederation-tourism-chapter" TargetMode="External"/><Relationship Id="rId199" Type="http://schemas.openxmlformats.org/officeDocument/2006/relationships/hyperlink" Target="https://africanmarketingconfederation.org/amc-conference-2022-prospectus" TargetMode="External"/><Relationship Id="rId19" Type="http://schemas.openxmlformats.org/officeDocument/2006/relationships/hyperlink" Target="https://africanmarketingconfederation.org/amc-awards-2024" TargetMode="External"/><Relationship Id="rId224" Type="http://schemas.openxmlformats.org/officeDocument/2006/relationships/hyperlink" Target="https://africanmarketingconfederation.org/amc-conference-2022-prospectus" TargetMode="External"/><Relationship Id="rId266" Type="http://schemas.openxmlformats.org/officeDocument/2006/relationships/hyperlink" Target="https://africanmarketingconfederation.org/amc-conference-2022" TargetMode="External"/><Relationship Id="rId431" Type="http://schemas.openxmlformats.org/officeDocument/2006/relationships/hyperlink" Target="https://africanmarketingconfederation.org/amc-conference-2023/amc-awards-book-now" TargetMode="External"/><Relationship Id="rId47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117" Type="http://schemas.openxmlformats.org/officeDocument/2006/relationships/hyperlink" Target="https://africanmarketingconfederation.org/" TargetMode="External"/><Relationship Id="rId21" Type="http://schemas.openxmlformats.org/officeDocument/2006/relationships/hyperlink" Target="https://africanmarketingconfederation.org/amc-conference-2023/amc-awards-book-now" TargetMode="External"/><Relationship Id="rId42" Type="http://schemas.openxmlformats.org/officeDocument/2006/relationships/hyperlink" Target="https://africanmarketingconfederation.org/wp-admin/post.php?post=5619&amp;action=edit" TargetMode="External"/><Relationship Id="rId63" Type="http://schemas.openxmlformats.org/officeDocument/2006/relationships/hyperlink" Target="https://africanmarketingconfederation.org/about-us" TargetMode="External"/><Relationship Id="rId84" Type="http://schemas.openxmlformats.org/officeDocument/2006/relationships/hyperlink" Target="https://africanmarketingconfederation.org/wp-admin/post.php?post=28165&amp;action=edit" TargetMode="External"/><Relationship Id="rId138" Type="http://schemas.openxmlformats.org/officeDocument/2006/relationships/hyperlink" Target="https://africanmarketingconfederation.org/wp-admin/post.php?post=12371&amp;action=edit" TargetMode="External"/><Relationship Id="rId159" Type="http://schemas.openxmlformats.org/officeDocument/2006/relationships/hyperlink" Target="https://africanmarketingconfederation.org/amc-conference-2023/amc-awards" TargetMode="External"/><Relationship Id="rId170" Type="http://schemas.openxmlformats.org/officeDocument/2006/relationships/hyperlink" Target="https://africanmarketingconfederation.org/wp-admin/post.php?post=5619&amp;action=edit" TargetMode="External"/><Relationship Id="rId107" Type="http://schemas.openxmlformats.org/officeDocument/2006/relationships/hyperlink" Target="https://africanmarketingconfederation.org/amc-conference-2022-prospectus" TargetMode="External"/><Relationship Id="rId11" Type="http://schemas.openxmlformats.org/officeDocument/2006/relationships/hyperlink" Target="https://africanmarketingconfederation.org/amc-conference-2022" TargetMode="External"/><Relationship Id="rId32" Type="http://schemas.openxmlformats.org/officeDocument/2006/relationships/hyperlink" Target="https://africanmarketingconfederation.org/wp-admin/post.php?post=28165&amp;action=edit" TargetMode="External"/><Relationship Id="rId53" Type="http://schemas.openxmlformats.org/officeDocument/2006/relationships/hyperlink" Target="https://africanmarketingconfederation.org/amc-conference-2023/amc-awards" TargetMode="External"/><Relationship Id="rId74" Type="http://schemas.openxmlformats.org/officeDocument/2006/relationships/hyperlink" Target="https://africanmarketingconfederation.org/wp-admin/post.php?post=4941&amp;action=edit" TargetMode="External"/><Relationship Id="rId128" Type="http://schemas.openxmlformats.org/officeDocument/2006/relationships/hyperlink" Target="https://africanmarketingconfederation.org/wp-admin/post.php?post=16125&amp;action=edit" TargetMode="External"/><Relationship Id="rId149" Type="http://schemas.openxmlformats.org/officeDocument/2006/relationships/hyperlink" Target="https://africanmarketingconfederation.org/amc-awards-2024" TargetMode="External"/><Relationship Id="rId5" Type="http://schemas.openxmlformats.org/officeDocument/2006/relationships/hyperlink" Target="https://africanmarketingconfederation.org/about-us" TargetMode="External"/><Relationship Id="rId95" Type="http://schemas.openxmlformats.org/officeDocument/2006/relationships/hyperlink" Target="https://africanmarketingconfederation.org/amc-conference-2023/amc-awards" TargetMode="External"/><Relationship Id="rId160" Type="http://schemas.openxmlformats.org/officeDocument/2006/relationships/hyperlink" Target="https://africanmarketingconfederation.org/wp-admin/post.php?post=12954&amp;action=edit" TargetMode="External"/><Relationship Id="rId22" Type="http://schemas.openxmlformats.org/officeDocument/2006/relationships/hyperlink" Target="https://africanmarketingconfederation.org/wp-admin/post.php?post=13164&amp;action=edit" TargetMode="External"/><Relationship Id="rId43" Type="http://schemas.openxmlformats.org/officeDocument/2006/relationships/hyperlink" Target="https://africanmarketingconfederation.org/amc-conference-2022-prospectus" TargetMode="External"/><Relationship Id="rId64" Type="http://schemas.openxmlformats.org/officeDocument/2006/relationships/hyperlink" Target="https://africanmarketingconfederation.org/wp-admin/post.php?post=84&amp;action=edit" TargetMode="External"/><Relationship Id="rId118" Type="http://schemas.openxmlformats.org/officeDocument/2006/relationships/hyperlink" Target="https://africanmarketingconfederation.org/wp-admin/post.php?post=8&amp;action=edit" TargetMode="External"/><Relationship Id="rId139" Type="http://schemas.openxmlformats.org/officeDocument/2006/relationships/hyperlink" Target="https://africanmarketingconfederation.org/amc-conference-2023/amc-awards" TargetMode="External"/><Relationship Id="rId85" Type="http://schemas.openxmlformats.org/officeDocument/2006/relationships/hyperlink" Target="https://africanmarketingconfederation.org/amc-awards-2024" TargetMode="External"/><Relationship Id="rId150" Type="http://schemas.openxmlformats.org/officeDocument/2006/relationships/hyperlink" Target="https://africanmarketingconfederation.org/wp-admin/post.php?post=16125&amp;action=edit" TargetMode="External"/><Relationship Id="rId171" Type="http://schemas.openxmlformats.org/officeDocument/2006/relationships/hyperlink" Target="https://africanmarketingconfederation.org/amc-conference-2022-thank-you" TargetMode="External"/><Relationship Id="rId12" Type="http://schemas.openxmlformats.org/officeDocument/2006/relationships/hyperlink" Target="https://africanmarketingconfederation.org/wp-admin/post.php?post=4494&amp;action=edit" TargetMode="External"/><Relationship Id="rId33" Type="http://schemas.openxmlformats.org/officeDocument/2006/relationships/hyperlink" Target="https://africanmarketingconfederation.org/amc-awards-2024" TargetMode="External"/><Relationship Id="rId108" Type="http://schemas.openxmlformats.org/officeDocument/2006/relationships/hyperlink" Target="https://africanmarketingconfederation.org/wp-admin/post.php?post=5619&amp;action=edit" TargetMode="External"/><Relationship Id="rId129" Type="http://schemas.openxmlformats.org/officeDocument/2006/relationships/hyperlink" Target="https://africanmarketingconfederation.org/amc-awards-2024" TargetMode="External"/><Relationship Id="rId54" Type="http://schemas.openxmlformats.org/officeDocument/2006/relationships/hyperlink" Target="https://africanmarketingconfederation.org/wp-admin/post.php?post=12954&amp;action=edit" TargetMode="External"/><Relationship Id="rId75" Type="http://schemas.openxmlformats.org/officeDocument/2006/relationships/hyperlink" Target="https://africanmarketingconfederation.org/amc-conference-2023" TargetMode="External"/><Relationship Id="rId96" Type="http://schemas.openxmlformats.org/officeDocument/2006/relationships/hyperlink" Target="https://africanmarketingconfederation.org/wp-admin/post.php?post=12954&amp;action=edit" TargetMode="External"/><Relationship Id="rId140" Type="http://schemas.openxmlformats.org/officeDocument/2006/relationships/hyperlink" Target="https://africanmarketingconfederation.org/wp-admin/post.php?post=12954&amp;action=edit" TargetMode="External"/><Relationship Id="rId161" Type="http://schemas.openxmlformats.org/officeDocument/2006/relationships/hyperlink" Target="https://africanmarketingconfederation.org/amc-conference-2023/amc-awards-book-now" TargetMode="External"/><Relationship Id="rId1" Type="http://schemas.openxmlformats.org/officeDocument/2006/relationships/hyperlink" Target="https://africanmarketingconfederation.org/amc-conference-2023/amc-awards-book-now" TargetMode="External"/><Relationship Id="rId6" Type="http://schemas.openxmlformats.org/officeDocument/2006/relationships/hyperlink" Target="https://africanmarketingconfederation.org/wp-admin/post.php?post=84&amp;action=edit" TargetMode="External"/><Relationship Id="rId23" Type="http://schemas.openxmlformats.org/officeDocument/2006/relationships/hyperlink" Target="https://africanmarketingconfederation.org/" TargetMode="External"/><Relationship Id="rId28" Type="http://schemas.openxmlformats.org/officeDocument/2006/relationships/hyperlink" Target="https://africanmarketingconfederation.org/wp-admin/post.php?post=84&amp;action=edit" TargetMode="External"/><Relationship Id="rId49" Type="http://schemas.openxmlformats.org/officeDocument/2006/relationships/hyperlink" Target="https://africanmarketingconfederation.org/amc-conference-2022-thank-you" TargetMode="External"/><Relationship Id="rId114" Type="http://schemas.openxmlformats.org/officeDocument/2006/relationships/hyperlink" Target="https://africanmarketingconfederation.org/wp-admin/post.php?post=12954&amp;action=edit" TargetMode="External"/><Relationship Id="rId119" Type="http://schemas.openxmlformats.org/officeDocument/2006/relationships/hyperlink" Target="https://africanmarketingconfederation.org/" TargetMode="External"/><Relationship Id="rId44" Type="http://schemas.openxmlformats.org/officeDocument/2006/relationships/hyperlink" Target="https://africanmarketingconfederation.org/wp-admin/post.php?post=5619&amp;action=edit" TargetMode="External"/><Relationship Id="rId60" Type="http://schemas.openxmlformats.org/officeDocument/2006/relationships/hyperlink" Target="https://africanmarketingconfederation.org/wp-admin/post.php?post=13164&amp;action=edit" TargetMode="External"/><Relationship Id="rId65" Type="http://schemas.openxmlformats.org/officeDocument/2006/relationships/hyperlink" Target="https://africanmarketingconfederation.org/african-marketing-confederation-tourism-chapter" TargetMode="External"/><Relationship Id="rId81" Type="http://schemas.openxmlformats.org/officeDocument/2006/relationships/hyperlink" Target="https://africanmarketingconfederation.org/about-us" TargetMode="External"/><Relationship Id="rId86" Type="http://schemas.openxmlformats.org/officeDocument/2006/relationships/hyperlink" Target="https://africanmarketingconfederation.org/wp-admin/post.php?post=16125&amp;action=edit" TargetMode="External"/><Relationship Id="rId130" Type="http://schemas.openxmlformats.org/officeDocument/2006/relationships/hyperlink" Target="https://africanmarketingconfederation.org/wp-admin/post.php?post=16125&amp;action=edit" TargetMode="External"/><Relationship Id="rId135" Type="http://schemas.openxmlformats.org/officeDocument/2006/relationships/hyperlink" Target="https://africanmarketingconfederation.org/amc-conference-2022-thank-you" TargetMode="External"/><Relationship Id="rId151" Type="http://schemas.openxmlformats.org/officeDocument/2006/relationships/hyperlink" Target="https://africanmarketingconfederation.org/amc-conference-2022" TargetMode="External"/><Relationship Id="rId156" Type="http://schemas.openxmlformats.org/officeDocument/2006/relationships/hyperlink" Target="https://africanmarketingconfederation.org/wp-admin/post.php?post=4941&amp;action=edit" TargetMode="External"/><Relationship Id="rId172" Type="http://schemas.openxmlformats.org/officeDocument/2006/relationships/hyperlink" Target="https://africanmarketingconfederation.org/wp-admin/post.php?post=4941&amp;action=edit" TargetMode="External"/><Relationship Id="rId13" Type="http://schemas.openxmlformats.org/officeDocument/2006/relationships/hyperlink" Target="https://africanmarketingconfederation.org/amc-conference-2022-prospectus" TargetMode="External"/><Relationship Id="rId18" Type="http://schemas.openxmlformats.org/officeDocument/2006/relationships/hyperlink" Target="https://africanmarketingconfederation.org/wp-admin/post.php?post=12371&amp;action=edit" TargetMode="External"/><Relationship Id="rId39" Type="http://schemas.openxmlformats.org/officeDocument/2006/relationships/hyperlink" Target="https://africanmarketingconfederation.org/amc-conference-2022" TargetMode="External"/><Relationship Id="rId109" Type="http://schemas.openxmlformats.org/officeDocument/2006/relationships/hyperlink" Target="https://africanmarketingconfederation.org/amc-conference-2022-thank-you" TargetMode="External"/><Relationship Id="rId34" Type="http://schemas.openxmlformats.org/officeDocument/2006/relationships/hyperlink" Target="https://africanmarketingconfederation.org/wp-admin/post.php?post=16125&amp;action=edit" TargetMode="External"/><Relationship Id="rId50" Type="http://schemas.openxmlformats.org/officeDocument/2006/relationships/hyperlink" Target="https://africanmarketingconfederation.org/wp-admin/post.php?post=4941&amp;action=edit" TargetMode="External"/><Relationship Id="rId55" Type="http://schemas.openxmlformats.org/officeDocument/2006/relationships/hyperlink" Target="https://africanmarketingconfederation.org/amc-conference-2023/amc-awards-book-now" TargetMode="External"/><Relationship Id="rId76" Type="http://schemas.openxmlformats.org/officeDocument/2006/relationships/hyperlink" Target="https://africanmarketingconfederation.org/wp-admin/post.php?post=12371&amp;action=edit" TargetMode="External"/><Relationship Id="rId97" Type="http://schemas.openxmlformats.org/officeDocument/2006/relationships/hyperlink" Target="https://africanmarketingconfederation.org/" TargetMode="External"/><Relationship Id="rId104" Type="http://schemas.openxmlformats.org/officeDocument/2006/relationships/hyperlink" Target="https://africanmarketingconfederation.org/wp-admin/post.php?post=16125&amp;action=edit" TargetMode="External"/><Relationship Id="rId120" Type="http://schemas.openxmlformats.org/officeDocument/2006/relationships/hyperlink" Target="https://africanmarketingconfederation.org/wp-admin/post.php?post=8&amp;action=edit" TargetMode="External"/><Relationship Id="rId125" Type="http://schemas.openxmlformats.org/officeDocument/2006/relationships/hyperlink" Target="https://africanmarketingconfederation.org/african-marketing-confederation-tourism-chapter" TargetMode="External"/><Relationship Id="rId141" Type="http://schemas.openxmlformats.org/officeDocument/2006/relationships/hyperlink" Target="https://africanmarketingconfederation.org/amc-conference-2023/amc-awards-book-now" TargetMode="External"/><Relationship Id="rId146" Type="http://schemas.openxmlformats.org/officeDocument/2006/relationships/hyperlink" Target="https://africanmarketingconfederation.org/wp-admin/post.php?post=84&amp;action=edit" TargetMode="External"/><Relationship Id="rId167" Type="http://schemas.openxmlformats.org/officeDocument/2006/relationships/hyperlink" Target="https://africanmarketingconfederation.org/african-marketing-confederation-tourism-chapter" TargetMode="External"/><Relationship Id="rId7" Type="http://schemas.openxmlformats.org/officeDocument/2006/relationships/hyperlink" Target="https://africanmarketingconfederation.org/african-marketing-confederation-tourism-chapter" TargetMode="External"/><Relationship Id="rId71" Type="http://schemas.openxmlformats.org/officeDocument/2006/relationships/hyperlink" Target="https://africanmarketingconfederation.org/amc-conference-2022-prospectus" TargetMode="External"/><Relationship Id="rId92" Type="http://schemas.openxmlformats.org/officeDocument/2006/relationships/hyperlink" Target="https://africanmarketingconfederation.org/wp-admin/post.php?post=4941&amp;action=edit" TargetMode="External"/><Relationship Id="rId162" Type="http://schemas.openxmlformats.org/officeDocument/2006/relationships/hyperlink" Target="https://africanmarketingconfederation.org/wp-admin/post.php?post=13164&amp;action=edit" TargetMode="External"/><Relationship Id="rId2" Type="http://schemas.openxmlformats.org/officeDocument/2006/relationships/hyperlink" Target="https://africanmarketingconfederation.org/wp-admin/post.php?post=13164&amp;action=edit" TargetMode="External"/><Relationship Id="rId29" Type="http://schemas.openxmlformats.org/officeDocument/2006/relationships/hyperlink" Target="https://africanmarketingconfederation.org/about-us" TargetMode="External"/><Relationship Id="rId24" Type="http://schemas.openxmlformats.org/officeDocument/2006/relationships/hyperlink" Target="https://africanmarketingconfederation.org/wp-admin/post.php?post=8&amp;action=edit" TargetMode="External"/><Relationship Id="rId40" Type="http://schemas.openxmlformats.org/officeDocument/2006/relationships/hyperlink" Target="https://africanmarketingconfederation.org/wp-admin/post.php?post=4494&amp;action=edit" TargetMode="External"/><Relationship Id="rId45" Type="http://schemas.openxmlformats.org/officeDocument/2006/relationships/hyperlink" Target="https://africanmarketingconfederation.org/amc-conference-2022-prospectus" TargetMode="External"/><Relationship Id="rId66" Type="http://schemas.openxmlformats.org/officeDocument/2006/relationships/hyperlink" Target="https://africanmarketingconfederation.org/wp-admin/post.php?post=28165&amp;action=edit" TargetMode="External"/><Relationship Id="rId87" Type="http://schemas.openxmlformats.org/officeDocument/2006/relationships/hyperlink" Target="https://africanmarketingconfederation.org/amc-conference-2022" TargetMode="External"/><Relationship Id="rId110" Type="http://schemas.openxmlformats.org/officeDocument/2006/relationships/hyperlink" Target="https://africanmarketingconfederation.org/wp-admin/post.php?post=4941&amp;action=edit" TargetMode="External"/><Relationship Id="rId115" Type="http://schemas.openxmlformats.org/officeDocument/2006/relationships/hyperlink" Target="https://africanmarketingconfederation.org/amc-conference-2023/amc-awards-book-now" TargetMode="External"/><Relationship Id="rId131" Type="http://schemas.openxmlformats.org/officeDocument/2006/relationships/hyperlink" Target="https://africanmarketingconfederation.org/amc-conference-2022" TargetMode="External"/><Relationship Id="rId136" Type="http://schemas.openxmlformats.org/officeDocument/2006/relationships/hyperlink" Target="https://africanmarketingconfederation.org/wp-admin/post.php?post=4941&amp;action=edit" TargetMode="External"/><Relationship Id="rId157" Type="http://schemas.openxmlformats.org/officeDocument/2006/relationships/hyperlink" Target="https://africanmarketingconfederation.org/amc-conference-2023" TargetMode="External"/><Relationship Id="rId61" Type="http://schemas.openxmlformats.org/officeDocument/2006/relationships/hyperlink" Target="https://africanmarketingconfederation.org/" TargetMode="External"/><Relationship Id="rId82" Type="http://schemas.openxmlformats.org/officeDocument/2006/relationships/hyperlink" Target="https://africanmarketingconfederation.org/wp-admin/post.php?post=84&amp;action=edit" TargetMode="External"/><Relationship Id="rId152" Type="http://schemas.openxmlformats.org/officeDocument/2006/relationships/hyperlink" Target="https://africanmarketingconfederation.org/wp-admin/post.php?post=4494&amp;action=edit" TargetMode="External"/><Relationship Id="rId173" Type="http://schemas.openxmlformats.org/officeDocument/2006/relationships/vmlDrawing" Target="../drawings/vmlDrawing11.vml"/><Relationship Id="rId19" Type="http://schemas.openxmlformats.org/officeDocument/2006/relationships/hyperlink" Target="https://africanmarketingconfederation.org/amc-conference-2023/amc-awards" TargetMode="External"/><Relationship Id="rId14" Type="http://schemas.openxmlformats.org/officeDocument/2006/relationships/hyperlink" Target="https://africanmarketingconfederation.org/wp-admin/post.php?post=5619&amp;action=edit" TargetMode="External"/><Relationship Id="rId30" Type="http://schemas.openxmlformats.org/officeDocument/2006/relationships/hyperlink" Target="https://africanmarketingconfederation.org/wp-admin/post.php?post=84&amp;action=edit" TargetMode="External"/><Relationship Id="rId35" Type="http://schemas.openxmlformats.org/officeDocument/2006/relationships/hyperlink" Target="https://africanmarketingconfederation.org/amc-conference-2022" TargetMode="External"/><Relationship Id="rId56" Type="http://schemas.openxmlformats.org/officeDocument/2006/relationships/hyperlink" Target="https://africanmarketingconfederation.org/wp-admin/post.php?post=13164&amp;action=edit" TargetMode="External"/><Relationship Id="rId77" Type="http://schemas.openxmlformats.org/officeDocument/2006/relationships/hyperlink" Target="https://africanmarketingconfederation.org/amc-conference-2023/amc-awards" TargetMode="External"/><Relationship Id="rId100" Type="http://schemas.openxmlformats.org/officeDocument/2006/relationships/hyperlink" Target="https://africanmarketingconfederation.org/wp-admin/post.php?post=84&amp;action=edit" TargetMode="External"/><Relationship Id="rId105" Type="http://schemas.openxmlformats.org/officeDocument/2006/relationships/hyperlink" Target="https://africanmarketingconfederation.org/amc-conference-2022" TargetMode="External"/><Relationship Id="rId126" Type="http://schemas.openxmlformats.org/officeDocument/2006/relationships/hyperlink" Target="https://africanmarketingconfederation.org/wp-admin/post.php?post=28165&amp;action=edit" TargetMode="External"/><Relationship Id="rId147" Type="http://schemas.openxmlformats.org/officeDocument/2006/relationships/hyperlink" Target="https://africanmarketingconfederation.org/african-marketing-confederation-tourism-chapter" TargetMode="External"/><Relationship Id="rId168" Type="http://schemas.openxmlformats.org/officeDocument/2006/relationships/hyperlink" Target="https://africanmarketingconfederation.org/wp-admin/post.php?post=28165&amp;action=edit" TargetMode="External"/><Relationship Id="rId8" Type="http://schemas.openxmlformats.org/officeDocument/2006/relationships/hyperlink" Target="https://africanmarketingconfederation.org/wp-admin/post.php?post=28165&amp;action=edit" TargetMode="External"/><Relationship Id="rId51" Type="http://schemas.openxmlformats.org/officeDocument/2006/relationships/hyperlink" Target="https://africanmarketingconfederation.org/amc-conference-2023" TargetMode="External"/><Relationship Id="rId72" Type="http://schemas.openxmlformats.org/officeDocument/2006/relationships/hyperlink" Target="https://africanmarketingconfederation.org/wp-admin/post.php?post=5619&amp;action=edit" TargetMode="External"/><Relationship Id="rId93" Type="http://schemas.openxmlformats.org/officeDocument/2006/relationships/hyperlink" Target="https://africanmarketingconfederation.org/amc-conference-2023" TargetMode="External"/><Relationship Id="rId98" Type="http://schemas.openxmlformats.org/officeDocument/2006/relationships/hyperlink" Target="https://africanmarketingconfederation.org/wp-admin/post.php?post=8&amp;action=edit" TargetMode="External"/><Relationship Id="rId121" Type="http://schemas.openxmlformats.org/officeDocument/2006/relationships/hyperlink" Target="https://africanmarketingconfederation.org/about-us" TargetMode="External"/><Relationship Id="rId142" Type="http://schemas.openxmlformats.org/officeDocument/2006/relationships/hyperlink" Target="https://africanmarketingconfederation.org/wp-admin/post.php?post=13164&amp;action=edit" TargetMode="External"/><Relationship Id="rId163" Type="http://schemas.openxmlformats.org/officeDocument/2006/relationships/hyperlink" Target="https://africanmarketingconfederation.org/" TargetMode="External"/><Relationship Id="rId3" Type="http://schemas.openxmlformats.org/officeDocument/2006/relationships/hyperlink" Target="https://africanmarketingconfederation.org/" TargetMode="External"/><Relationship Id="rId25" Type="http://schemas.openxmlformats.org/officeDocument/2006/relationships/hyperlink" Target="https://africanmarketingconfederation.org/" TargetMode="External"/><Relationship Id="rId46" Type="http://schemas.openxmlformats.org/officeDocument/2006/relationships/hyperlink" Target="https://africanmarketingconfederation.org/wp-admin/post.php?post=5619&amp;action=edit" TargetMode="External"/><Relationship Id="rId67" Type="http://schemas.openxmlformats.org/officeDocument/2006/relationships/hyperlink" Target="https://africanmarketingconfederation.org/amc-awards-2024" TargetMode="External"/><Relationship Id="rId116" Type="http://schemas.openxmlformats.org/officeDocument/2006/relationships/hyperlink" Target="https://africanmarketingconfederation.org/wp-admin/post.php?post=13164&amp;action=edit" TargetMode="External"/><Relationship Id="rId137" Type="http://schemas.openxmlformats.org/officeDocument/2006/relationships/hyperlink" Target="https://africanmarketingconfederation.org/amc-conference-2023" TargetMode="External"/><Relationship Id="rId158" Type="http://schemas.openxmlformats.org/officeDocument/2006/relationships/hyperlink" Target="https://africanmarketingconfederation.org/wp-admin/post.php?post=12371&amp;action=edit" TargetMode="External"/><Relationship Id="rId20" Type="http://schemas.openxmlformats.org/officeDocument/2006/relationships/hyperlink" Target="https://africanmarketingconfederation.org/wp-admin/post.php?post=12954&amp;action=edit" TargetMode="External"/><Relationship Id="rId41" Type="http://schemas.openxmlformats.org/officeDocument/2006/relationships/hyperlink" Target="https://africanmarketingconfederation.org/amc-conference-2022-prospectus" TargetMode="External"/><Relationship Id="rId62" Type="http://schemas.openxmlformats.org/officeDocument/2006/relationships/hyperlink" Target="https://africanmarketingconfederation.org/wp-admin/post.php?post=8&amp;action=edit" TargetMode="External"/><Relationship Id="rId83" Type="http://schemas.openxmlformats.org/officeDocument/2006/relationships/hyperlink" Target="https://africanmarketingconfederation.org/african-marketing-confederation-tourism-chapter" TargetMode="External"/><Relationship Id="rId88" Type="http://schemas.openxmlformats.org/officeDocument/2006/relationships/hyperlink" Target="https://africanmarketingconfederation.org/wp-admin/post.php?post=4494&amp;action=edit" TargetMode="External"/><Relationship Id="rId111" Type="http://schemas.openxmlformats.org/officeDocument/2006/relationships/hyperlink" Target="https://africanmarketingconfederation.org/amc-conference-2023" TargetMode="External"/><Relationship Id="rId132" Type="http://schemas.openxmlformats.org/officeDocument/2006/relationships/hyperlink" Target="https://africanmarketingconfederation.org/wp-admin/post.php?post=4494&amp;action=edit" TargetMode="External"/><Relationship Id="rId153" Type="http://schemas.openxmlformats.org/officeDocument/2006/relationships/hyperlink" Target="https://africanmarketingconfederation.org/amc-conference-2022-prospectus" TargetMode="External"/><Relationship Id="rId174" Type="http://schemas.openxmlformats.org/officeDocument/2006/relationships/comments" Target="../comments11.xml"/><Relationship Id="rId15" Type="http://schemas.openxmlformats.org/officeDocument/2006/relationships/hyperlink" Target="https://africanmarketingconfederation.org/amc-conference-2022-thank-you" TargetMode="External"/><Relationship Id="rId36" Type="http://schemas.openxmlformats.org/officeDocument/2006/relationships/hyperlink" Target="https://africanmarketingconfederation.org/wp-admin/post.php?post=4494&amp;action=edit" TargetMode="External"/><Relationship Id="rId57" Type="http://schemas.openxmlformats.org/officeDocument/2006/relationships/hyperlink" Target="https://africanmarketingconfederation.org/amc-conference-2023/amc-awards-book-now" TargetMode="External"/><Relationship Id="rId106" Type="http://schemas.openxmlformats.org/officeDocument/2006/relationships/hyperlink" Target="https://africanmarketingconfederation.org/wp-admin/post.php?post=4494&amp;action=edit" TargetMode="External"/><Relationship Id="rId127" Type="http://schemas.openxmlformats.org/officeDocument/2006/relationships/hyperlink" Target="https://africanmarketingconfederation.org/amc-awards-2024" TargetMode="External"/><Relationship Id="rId10" Type="http://schemas.openxmlformats.org/officeDocument/2006/relationships/hyperlink" Target="https://africanmarketingconfederation.org/wp-admin/post.php?post=16125&amp;action=edit" TargetMode="External"/><Relationship Id="rId31" Type="http://schemas.openxmlformats.org/officeDocument/2006/relationships/hyperlink" Target="https://africanmarketingconfederation.org/african-marketing-confederation-tourism-chapter" TargetMode="External"/><Relationship Id="rId52" Type="http://schemas.openxmlformats.org/officeDocument/2006/relationships/hyperlink" Target="https://africanmarketingconfederation.org/wp-admin/post.php?post=12371&amp;action=edit" TargetMode="External"/><Relationship Id="rId73" Type="http://schemas.openxmlformats.org/officeDocument/2006/relationships/hyperlink" Target="https://africanmarketingconfederation.org/amc-conference-2022-thank-you" TargetMode="External"/><Relationship Id="rId78" Type="http://schemas.openxmlformats.org/officeDocument/2006/relationships/hyperlink" Target="https://africanmarketingconfederation.org/wp-admin/post.php?post=12954&amp;action=edit" TargetMode="External"/><Relationship Id="rId94" Type="http://schemas.openxmlformats.org/officeDocument/2006/relationships/hyperlink" Target="https://africanmarketingconfederation.org/wp-admin/post.php?post=12371&amp;action=edit" TargetMode="External"/><Relationship Id="rId99" Type="http://schemas.openxmlformats.org/officeDocument/2006/relationships/hyperlink" Target="https://africanmarketingconfederation.org/about-us" TargetMode="External"/><Relationship Id="rId101" Type="http://schemas.openxmlformats.org/officeDocument/2006/relationships/hyperlink" Target="https://africanmarketingconfederation.org/african-marketing-confederation-tourism-chapter" TargetMode="External"/><Relationship Id="rId122" Type="http://schemas.openxmlformats.org/officeDocument/2006/relationships/hyperlink" Target="https://africanmarketingconfederation.org/wp-admin/post.php?post=84&amp;action=edit" TargetMode="External"/><Relationship Id="rId143" Type="http://schemas.openxmlformats.org/officeDocument/2006/relationships/hyperlink" Target="https://africanmarketingconfederation.org/" TargetMode="External"/><Relationship Id="rId148" Type="http://schemas.openxmlformats.org/officeDocument/2006/relationships/hyperlink" Target="https://africanmarketingconfederation.org/wp-admin/post.php?post=28165&amp;action=edit" TargetMode="External"/><Relationship Id="rId164" Type="http://schemas.openxmlformats.org/officeDocument/2006/relationships/hyperlink" Target="https://africanmarketingconfederation.org/wp-admin/post.php?post=8&amp;action=edit" TargetMode="External"/><Relationship Id="rId169" Type="http://schemas.openxmlformats.org/officeDocument/2006/relationships/hyperlink" Target="https://africanmarketingconfederation.org/amc-conference-2022-prospectus" TargetMode="External"/><Relationship Id="rId4" Type="http://schemas.openxmlformats.org/officeDocument/2006/relationships/hyperlink" Target="https://africanmarketingconfederation.org/wp-admin/post.php?post=8&amp;action=edit" TargetMode="External"/><Relationship Id="rId9" Type="http://schemas.openxmlformats.org/officeDocument/2006/relationships/hyperlink" Target="https://africanmarketingconfederation.org/amc-awards-2024" TargetMode="External"/><Relationship Id="rId26" Type="http://schemas.openxmlformats.org/officeDocument/2006/relationships/hyperlink" Target="https://africanmarketingconfederation.org/wp-admin/post.php?post=8&amp;action=edit" TargetMode="External"/><Relationship Id="rId47" Type="http://schemas.openxmlformats.org/officeDocument/2006/relationships/hyperlink" Target="https://africanmarketingconfederation.org/amc-conference-2022-thank-you" TargetMode="External"/><Relationship Id="rId68" Type="http://schemas.openxmlformats.org/officeDocument/2006/relationships/hyperlink" Target="https://africanmarketingconfederation.org/wp-admin/post.php?post=16125&amp;action=edit" TargetMode="External"/><Relationship Id="rId89" Type="http://schemas.openxmlformats.org/officeDocument/2006/relationships/hyperlink" Target="https://africanmarketingconfederation.org/amc-conference-2022-prospectus" TargetMode="External"/><Relationship Id="rId112" Type="http://schemas.openxmlformats.org/officeDocument/2006/relationships/hyperlink" Target="https://africanmarketingconfederation.org/wp-admin/post.php?post=12371&amp;action=edit" TargetMode="External"/><Relationship Id="rId133" Type="http://schemas.openxmlformats.org/officeDocument/2006/relationships/hyperlink" Target="https://africanmarketingconfederation.org/amc-conference-2022-prospectus" TargetMode="External"/><Relationship Id="rId154" Type="http://schemas.openxmlformats.org/officeDocument/2006/relationships/hyperlink" Target="https://africanmarketingconfederation.org/wp-admin/post.php?post=5619&amp;action=edit" TargetMode="External"/><Relationship Id="rId16" Type="http://schemas.openxmlformats.org/officeDocument/2006/relationships/hyperlink" Target="https://africanmarketingconfederation.org/wp-admin/post.php?post=4941&amp;action=edit" TargetMode="External"/><Relationship Id="rId37" Type="http://schemas.openxmlformats.org/officeDocument/2006/relationships/hyperlink" Target="https://africanmarketingconfederation.org/amc-conference-2022" TargetMode="External"/><Relationship Id="rId58" Type="http://schemas.openxmlformats.org/officeDocument/2006/relationships/hyperlink" Target="https://africanmarketingconfederation.org/wp-admin/post.php?post=13164&amp;action=edit" TargetMode="External"/><Relationship Id="rId79" Type="http://schemas.openxmlformats.org/officeDocument/2006/relationships/hyperlink" Target="https://africanmarketingconfederation.org/amc-conference-2023/amc-awards-book-now" TargetMode="External"/><Relationship Id="rId102" Type="http://schemas.openxmlformats.org/officeDocument/2006/relationships/hyperlink" Target="https://africanmarketingconfederation.org/wp-admin/post.php?post=28165&amp;action=edit" TargetMode="External"/><Relationship Id="rId123" Type="http://schemas.openxmlformats.org/officeDocument/2006/relationships/hyperlink" Target="https://africanmarketingconfederation.org/african-marketing-confederation-tourism-chapter" TargetMode="External"/><Relationship Id="rId144" Type="http://schemas.openxmlformats.org/officeDocument/2006/relationships/hyperlink" Target="https://africanmarketingconfederation.org/wp-admin/post.php?post=8&amp;action=edit" TargetMode="External"/><Relationship Id="rId90" Type="http://schemas.openxmlformats.org/officeDocument/2006/relationships/hyperlink" Target="https://africanmarketingconfederation.org/wp-admin/post.php?post=5619&amp;action=edit" TargetMode="External"/><Relationship Id="rId165" Type="http://schemas.openxmlformats.org/officeDocument/2006/relationships/hyperlink" Target="https://africanmarketingconfederation.org/about-us" TargetMode="External"/><Relationship Id="rId27" Type="http://schemas.openxmlformats.org/officeDocument/2006/relationships/hyperlink" Target="https://africanmarketingconfederation.org/about-us" TargetMode="External"/><Relationship Id="rId48" Type="http://schemas.openxmlformats.org/officeDocument/2006/relationships/hyperlink" Target="https://africanmarketingconfederation.org/wp-admin/post.php?post=4941&amp;action=edit" TargetMode="External"/><Relationship Id="rId69" Type="http://schemas.openxmlformats.org/officeDocument/2006/relationships/hyperlink" Target="https://africanmarketingconfederation.org/amc-conference-2022" TargetMode="External"/><Relationship Id="rId113" Type="http://schemas.openxmlformats.org/officeDocument/2006/relationships/hyperlink" Target="https://africanmarketingconfederation.org/amc-conference-2023/amc-awards" TargetMode="External"/><Relationship Id="rId134" Type="http://schemas.openxmlformats.org/officeDocument/2006/relationships/hyperlink" Target="https://africanmarketingconfederation.org/wp-admin/post.php?post=5619&amp;action=edit" TargetMode="External"/><Relationship Id="rId80" Type="http://schemas.openxmlformats.org/officeDocument/2006/relationships/hyperlink" Target="https://africanmarketingconfederation.org/wp-admin/post.php?post=13164&amp;action=edit" TargetMode="External"/><Relationship Id="rId155" Type="http://schemas.openxmlformats.org/officeDocument/2006/relationships/hyperlink" Target="https://africanmarketingconfederation.org/amc-conference-2022-thank-you" TargetMode="External"/><Relationship Id="rId17" Type="http://schemas.openxmlformats.org/officeDocument/2006/relationships/hyperlink" Target="https://africanmarketingconfederation.org/amc-conference-2023" TargetMode="External"/><Relationship Id="rId38" Type="http://schemas.openxmlformats.org/officeDocument/2006/relationships/hyperlink" Target="https://africanmarketingconfederation.org/wp-admin/post.php?post=4494&amp;action=edit" TargetMode="External"/><Relationship Id="rId59" Type="http://schemas.openxmlformats.org/officeDocument/2006/relationships/hyperlink" Target="https://africanmarketingconfederation.org/amc-conference-2023/amc-awards-book-now" TargetMode="External"/><Relationship Id="rId103" Type="http://schemas.openxmlformats.org/officeDocument/2006/relationships/hyperlink" Target="https://africanmarketingconfederation.org/amc-awards-2024" TargetMode="External"/><Relationship Id="rId124" Type="http://schemas.openxmlformats.org/officeDocument/2006/relationships/hyperlink" Target="https://africanmarketingconfederation.org/wp-admin/post.php?post=28165&amp;action=edit" TargetMode="External"/><Relationship Id="rId70" Type="http://schemas.openxmlformats.org/officeDocument/2006/relationships/hyperlink" Target="https://africanmarketingconfederation.org/wp-admin/post.php?post=4494&amp;action=edit" TargetMode="External"/><Relationship Id="rId91" Type="http://schemas.openxmlformats.org/officeDocument/2006/relationships/hyperlink" Target="https://africanmarketingconfederation.org/amc-conference-2022-thank-you" TargetMode="External"/><Relationship Id="rId145" Type="http://schemas.openxmlformats.org/officeDocument/2006/relationships/hyperlink" Target="https://africanmarketingconfederation.org/about-us" TargetMode="External"/><Relationship Id="rId166" Type="http://schemas.openxmlformats.org/officeDocument/2006/relationships/hyperlink" Target="https://africanmarketingconfederation.org/wp-admin/post.php?post=84&amp;action=edit" TargetMode="External"/></Relationships>
</file>

<file path=xl/worksheets/_rels/sheet13.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17.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frican-marketing-confederation-tourism-chapter" TargetMode="External"/><Relationship Id="rId7" Type="http://schemas.openxmlformats.org/officeDocument/2006/relationships/hyperlink" Target="https://africanmarketingconfederation.org/amc-conference-2022-thank-you" TargetMode="External"/><Relationship Id="rId12" Type="http://schemas.openxmlformats.org/officeDocument/2006/relationships/comments" Target="../comments16.xml"/><Relationship Id="rId2" Type="http://schemas.openxmlformats.org/officeDocument/2006/relationships/hyperlink" Target="https://africanmarketingconfederation.org/about-us" TargetMode="External"/><Relationship Id="rId1" Type="http://schemas.openxmlformats.org/officeDocument/2006/relationships/hyperlink" Target="https://africanmarketingconfederation.org/" TargetMode="External"/><Relationship Id="rId6" Type="http://schemas.openxmlformats.org/officeDocument/2006/relationships/hyperlink" Target="https://africanmarketingconfederation.org/amc-conference-2022-prospectus" TargetMode="External"/><Relationship Id="rId11" Type="http://schemas.openxmlformats.org/officeDocument/2006/relationships/vmlDrawing" Target="../drawings/vmlDrawing16.vml"/><Relationship Id="rId5" Type="http://schemas.openxmlformats.org/officeDocument/2006/relationships/hyperlink" Target="https://africanmarketingconfederation.org/amc-conference-2022" TargetMode="External"/><Relationship Id="rId10" Type="http://schemas.openxmlformats.org/officeDocument/2006/relationships/hyperlink" Target="https://africanmarketingconfederation.org/amc-conference-2023/amc-awards-book-now"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
  <sheetViews>
    <sheetView workbookViewId="0">
      <selection activeCell="B4" sqref="B4"/>
    </sheetView>
  </sheetViews>
  <sheetFormatPr defaultRowHeight="15" x14ac:dyDescent="0.25"/>
  <cols>
    <col min="1" max="1" width="40" customWidth="1"/>
    <col min="2" max="2" width="12" customWidth="1"/>
    <col min="3" max="3" width="70" customWidth="1"/>
  </cols>
  <sheetData>
    <row r="1" spans="1:3" ht="18.75" x14ac:dyDescent="0.3">
      <c r="A1" s="1" t="s">
        <v>0</v>
      </c>
    </row>
    <row r="2" spans="1:3" x14ac:dyDescent="0.25">
      <c r="A2" s="2" t="s">
        <v>1</v>
      </c>
      <c r="B2" s="2" t="s">
        <v>2</v>
      </c>
      <c r="C2" s="2" t="s">
        <v>3</v>
      </c>
    </row>
    <row r="3" spans="1:3" x14ac:dyDescent="0.25">
      <c r="A3" s="3" t="str">
        <f>HYPERLINK("#'Dashboard'!A1","Dashboard")</f>
        <v>Dashboard</v>
      </c>
      <c r="B3" s="3" t="str">
        <f>HYPERLINK("#'Dashboard'!A1","Open")</f>
        <v>Open</v>
      </c>
      <c r="C3" t="s">
        <v>4</v>
      </c>
    </row>
    <row r="4" spans="1:3" x14ac:dyDescent="0.25">
      <c r="A4" s="3" t="str">
        <f>HYPERLINK("#'Content Optimisation Hub'!A1","Content Optimisation Hub")</f>
        <v>Content Optimisation Hub</v>
      </c>
      <c r="B4" s="3" t="str">
        <f>HYPERLINK("#'Content Optimisation Hub'!A1","Open")</f>
        <v>Open</v>
      </c>
      <c r="C4" t="s">
        <v>5</v>
      </c>
    </row>
    <row r="5" spans="1:3" x14ac:dyDescent="0.25">
      <c r="A5" s="3" t="str">
        <f>HYPERLINK("#'FixPlan'!A1","FixPlan")</f>
        <v>FixPlan</v>
      </c>
      <c r="B5" s="3" t="str">
        <f>HYPERLINK("#'FixPlan'!A1","Open")</f>
        <v>Open</v>
      </c>
      <c r="C5" t="s">
        <v>6</v>
      </c>
    </row>
    <row r="6" spans="1:3" x14ac:dyDescent="0.25">
      <c r="A6" s="3" t="str">
        <f>HYPERLINK("#'Main'!A1","Main")</f>
        <v>Main</v>
      </c>
      <c r="B6" s="3" t="str">
        <f>HYPERLINK("#'Main'!A1","Open")</f>
        <v>Open</v>
      </c>
      <c r="C6" t="s">
        <v>7</v>
      </c>
    </row>
    <row r="7" spans="1:3" x14ac:dyDescent="0.25">
      <c r="A7" s="3" t="str">
        <f>HYPERLINK("#'Priority URLs'!A1","Priority URLs")</f>
        <v>Priority URLs</v>
      </c>
      <c r="B7" s="3" t="str">
        <f>HYPERLINK("#'Priority URLs'!A1","Open")</f>
        <v>Open</v>
      </c>
      <c r="C7" t="s">
        <v>8</v>
      </c>
    </row>
    <row r="8" spans="1:3" x14ac:dyDescent="0.25">
      <c r="A8" s="3" t="str">
        <f>HYPERLINK("#'AIOSEO'!A1","AIOSEO")</f>
        <v>AIOSEO</v>
      </c>
      <c r="B8" s="3" t="str">
        <f>HYPERLINK("#'AIOSEO'!A1","Open")</f>
        <v>Open</v>
      </c>
      <c r="C8" t="s">
        <v>9</v>
      </c>
    </row>
    <row r="9" spans="1:3" x14ac:dyDescent="0.25">
      <c r="A9" s="3" t="str">
        <f>HYPERLINK("#'SitemapQA'!A1","SitemapQA")</f>
        <v>SitemapQA</v>
      </c>
      <c r="B9" s="3" t="str">
        <f>HYPERLINK("#'SitemapQA'!A1","Open")</f>
        <v>Open</v>
      </c>
      <c r="C9" t="s">
        <v>10</v>
      </c>
    </row>
    <row r="10" spans="1:3" x14ac:dyDescent="0.25">
      <c r="A10" s="3" t="str">
        <f>HYPERLINK("#'ResolvedIssues'!A1","ResolvedIssues")</f>
        <v>ResolvedIssues</v>
      </c>
      <c r="B10" s="3" t="str">
        <f>HYPERLINK("#'ResolvedIssues'!A1","Open")</f>
        <v>Open</v>
      </c>
      <c r="C10" t="s">
        <v>11</v>
      </c>
    </row>
    <row r="11" spans="1:3" x14ac:dyDescent="0.25">
      <c r="A11" s="3" t="str">
        <f>HYPERLINK("#'DeltaFromPreviousRun'!A1","DeltaFromPreviousRun")</f>
        <v>DeltaFromPreviousRun</v>
      </c>
      <c r="B11" s="3" t="str">
        <f>HYPERLINK("#'DeltaFromPreviousRun'!A1","Open")</f>
        <v>Open</v>
      </c>
      <c r="C11" t="s">
        <v>12</v>
      </c>
    </row>
    <row r="12" spans="1:3" x14ac:dyDescent="0.25">
      <c r="A12" s="3" t="str">
        <f>HYPERLINK("#'RunMetadata'!A1","RunMetadata")</f>
        <v>RunMetadata</v>
      </c>
      <c r="B12" s="3" t="str">
        <f>HYPERLINK("#'RunMetadata'!A1","Open")</f>
        <v>Open</v>
      </c>
      <c r="C12" t="s">
        <v>13</v>
      </c>
    </row>
    <row r="13" spans="1:3" x14ac:dyDescent="0.25">
      <c r="A13" s="3" t="str">
        <f>HYPERLINK("#'Issue Register'!A1","Issue Register")</f>
        <v>Issue Register</v>
      </c>
      <c r="B13" s="3" t="str">
        <f>HYPERLINK("#'Issue Register'!A1","Open")</f>
        <v>Open</v>
      </c>
      <c r="C13" t="s">
        <v>14</v>
      </c>
    </row>
    <row r="14" spans="1:3" x14ac:dyDescent="0.25">
      <c r="A14" s="3" t="str">
        <f>HYPERLINK("#'Technical Diagnostics'!A1","Technical Diagnostics")</f>
        <v>Technical Diagnostics</v>
      </c>
      <c r="B14" s="3" t="str">
        <f>HYPERLINK("#'Technical Diagnostics'!A1","Open")</f>
        <v>Open</v>
      </c>
      <c r="C14" t="s">
        <v>15</v>
      </c>
    </row>
    <row r="15" spans="1:3" x14ac:dyDescent="0.25">
      <c r="A15" s="3" t="str">
        <f>HYPERLINK("#'Content &amp; AI Readiness'!A1","Content &amp; AI Readiness")</f>
        <v>Content &amp; AI Readiness</v>
      </c>
      <c r="B15" s="3" t="str">
        <f>HYPERLINK("#'Content &amp; AI Readiness'!A1","Open")</f>
        <v>Open</v>
      </c>
      <c r="C15" t="s">
        <v>16</v>
      </c>
    </row>
    <row r="16" spans="1:3" x14ac:dyDescent="0.25">
      <c r="A16" s="3" t="str">
        <f>HYPERLINK("#'Link Intelligence'!A1","Link Intelligence")</f>
        <v>Link Intelligence</v>
      </c>
      <c r="B16" s="3" t="str">
        <f>HYPERLINK("#'Link Intelligence'!A1","Open")</f>
        <v>Open</v>
      </c>
      <c r="C16" t="s">
        <v>17</v>
      </c>
    </row>
    <row r="17" spans="1:3" x14ac:dyDescent="0.25">
      <c r="A17" s="3" t="str">
        <f>HYPERLINK("#'Template &amp; Duplication Risks'!A1","Template &amp; Duplication Risks")</f>
        <v>Template &amp; Duplication Risks</v>
      </c>
      <c r="B17" s="3" t="str">
        <f>HYPERLINK("#'Template &amp; Duplication Risks'!A1","Open")</f>
        <v>Open</v>
      </c>
      <c r="C17" t="s">
        <v>18</v>
      </c>
    </row>
    <row r="18" spans="1:3" x14ac:dyDescent="0.25">
      <c r="A18" s="3" t="str">
        <f>HYPERLINK("#'Playbook'!A1","Playbook")</f>
        <v>Playbook</v>
      </c>
      <c r="B18" s="3" t="str">
        <f>HYPERLINK("#'Playbook'!A1","Open")</f>
        <v>Open</v>
      </c>
      <c r="C18"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9"/>
  <sheetViews>
    <sheetView showGridLines="0" workbookViewId="0">
      <pane xSplit="2" ySplit="1" topLeftCell="C2" activePane="bottomRight" state="frozen"/>
      <selection pane="topRight"/>
      <selection pane="bottomLeft"/>
      <selection pane="bottomRight"/>
    </sheetView>
  </sheetViews>
  <sheetFormatPr defaultRowHeight="15" x14ac:dyDescent="0.25"/>
  <cols>
    <col min="1" max="1" width="35" customWidth="1"/>
    <col min="2" max="2" width="15" customWidth="1"/>
    <col min="3" max="3" width="5" customWidth="1"/>
    <col min="4" max="4" width="30" customWidth="1"/>
    <col min="5" max="5" width="15" customWidth="1"/>
    <col min="6" max="6" width="5" customWidth="1"/>
    <col min="7" max="8" width="25" customWidth="1"/>
    <col min="9" max="11" width="30" customWidth="1"/>
  </cols>
  <sheetData>
    <row r="1" spans="1:15" ht="45" customHeight="1" x14ac:dyDescent="0.25">
      <c r="A1" s="4" t="s">
        <v>20</v>
      </c>
    </row>
    <row r="2" spans="1:15" ht="15.75" x14ac:dyDescent="0.25">
      <c r="A2" s="5" t="s">
        <v>21</v>
      </c>
    </row>
    <row r="4" spans="1:15" ht="20.100000000000001" customHeight="1" x14ac:dyDescent="0.25">
      <c r="A4" s="6" t="s">
        <v>22</v>
      </c>
      <c r="B4" s="6" t="s">
        <v>23</v>
      </c>
      <c r="D4" s="7" t="s">
        <v>24</v>
      </c>
      <c r="E4" s="7" t="s">
        <v>25</v>
      </c>
      <c r="G4" s="61" t="s">
        <v>26</v>
      </c>
      <c r="H4" s="62"/>
      <c r="I4" s="64" t="s">
        <v>27</v>
      </c>
      <c r="J4" s="62"/>
      <c r="K4" s="62"/>
      <c r="M4" s="8" t="s">
        <v>28</v>
      </c>
      <c r="N4" s="8" t="s">
        <v>23</v>
      </c>
    </row>
    <row r="5" spans="1:15" ht="60" customHeight="1" x14ac:dyDescent="0.25">
      <c r="A5" s="9" t="str">
        <f>HYPERLINK("#'Main'!A1","Total URLs")</f>
        <v>Total URLs</v>
      </c>
      <c r="B5" s="10">
        <v>10</v>
      </c>
      <c r="D5" s="11" t="s">
        <v>29</v>
      </c>
      <c r="E5" s="11">
        <v>0</v>
      </c>
      <c r="G5" s="7" t="s">
        <v>30</v>
      </c>
      <c r="H5" s="7" t="s">
        <v>31</v>
      </c>
      <c r="I5" s="63" t="s">
        <v>32</v>
      </c>
      <c r="J5" s="62"/>
      <c r="K5" s="62"/>
      <c r="M5" s="12" t="s">
        <v>33</v>
      </c>
      <c r="N5" s="12" t="s">
        <v>34</v>
      </c>
    </row>
    <row r="6" spans="1:15" ht="26.1" customHeight="1" x14ac:dyDescent="0.25">
      <c r="A6" s="9" t="str">
        <f>HYPERLINK("#'Technical Diagnostics'!A1","Overall Health Score")</f>
        <v>Overall Health Score</v>
      </c>
      <c r="B6" s="13">
        <f>IFERROR(AVERAGE('Technical Diagnostics'!$E:$E)/100,0)</f>
        <v>0.62</v>
      </c>
      <c r="D6" s="14" t="s">
        <v>35</v>
      </c>
      <c r="E6" s="14">
        <v>0</v>
      </c>
      <c r="G6" s="15" t="s">
        <v>36</v>
      </c>
      <c r="H6" s="16">
        <v>0</v>
      </c>
      <c r="I6" s="62"/>
      <c r="J6" s="62"/>
      <c r="K6" s="62"/>
      <c r="M6" s="12" t="s">
        <v>37</v>
      </c>
      <c r="N6" s="12">
        <v>10</v>
      </c>
    </row>
    <row r="7" spans="1:15" ht="26.1" customHeight="1" x14ac:dyDescent="0.25">
      <c r="A7" s="9" t="str">
        <f>HYPERLINK("#'Technical Diagnostics'!A1","SEO Pass Rate %")</f>
        <v>SEO Pass Rate %</v>
      </c>
      <c r="B7" s="17">
        <f>IFERROR(COUNTIFS('Technical Diagnostics'!$F:$F,"Pass")/(COUNTA('Technical Diagnostics'!$A:$A)-1),0)</f>
        <v>0</v>
      </c>
      <c r="D7" s="18" t="s">
        <v>38</v>
      </c>
      <c r="E7" s="18">
        <v>0</v>
      </c>
      <c r="G7" s="15" t="s">
        <v>39</v>
      </c>
      <c r="H7" s="16">
        <v>0</v>
      </c>
      <c r="I7" s="62"/>
      <c r="J7" s="62"/>
      <c r="K7" s="62"/>
      <c r="M7" s="12" t="s">
        <v>40</v>
      </c>
      <c r="N7" s="12">
        <v>0</v>
      </c>
    </row>
    <row r="8" spans="1:15" ht="26.1" customHeight="1" x14ac:dyDescent="0.25">
      <c r="A8" s="9" t="str">
        <f>HYPERLINK("#'Technical Diagnostics'!A1","Pass URLs")</f>
        <v>Pass URLs</v>
      </c>
      <c r="B8" s="10">
        <f>COUNTIFS('Technical Diagnostics'!$F:$F,"Pass")</f>
        <v>0</v>
      </c>
      <c r="D8" s="18" t="s">
        <v>41</v>
      </c>
      <c r="E8" s="18">
        <v>0</v>
      </c>
      <c r="I8" s="62"/>
      <c r="J8" s="62"/>
      <c r="K8" s="62"/>
      <c r="M8" s="12" t="s">
        <v>42</v>
      </c>
      <c r="N8" s="12">
        <v>0</v>
      </c>
    </row>
    <row r="9" spans="1:15" ht="26.1" customHeight="1" x14ac:dyDescent="0.25">
      <c r="A9" s="9" t="str">
        <f>HYPERLINK("#'Priority URLs'!A1","Critical URLs")</f>
        <v>Critical URLs</v>
      </c>
      <c r="B9" s="10">
        <f>COUNTIFS('Technical Diagnostics'!$D:$D,"Critical")</f>
        <v>0</v>
      </c>
      <c r="D9" s="14" t="s">
        <v>43</v>
      </c>
      <c r="E9" s="14">
        <v>0</v>
      </c>
      <c r="G9" s="7" t="s">
        <v>44</v>
      </c>
      <c r="I9" s="62"/>
      <c r="J9" s="62"/>
      <c r="K9" s="62"/>
    </row>
    <row r="10" spans="1:15" ht="36" customHeight="1" x14ac:dyDescent="0.25">
      <c r="A10" s="9" t="str">
        <f>HYPERLINK("#'Technical Diagnostics'!A1","Warning URLs")</f>
        <v>Warning URLs</v>
      </c>
      <c r="B10" s="10">
        <f>COUNTIFS('Technical Diagnostics'!$D:$D,"Warning")+COUNTIFS('Technical Diagnostics'!$D:$D,"Needs Work")</f>
        <v>10</v>
      </c>
      <c r="D10" s="19"/>
      <c r="E10" s="19"/>
      <c r="G10" s="63" t="s">
        <v>45</v>
      </c>
      <c r="H10" s="62"/>
      <c r="I10" s="62"/>
      <c r="J10" s="62"/>
      <c r="K10" s="62"/>
    </row>
    <row r="11" spans="1:15" ht="36" customHeight="1" x14ac:dyDescent="0.25">
      <c r="A11" s="9" t="str">
        <f>HYPERLINK("#'Technical Diagnostics'!A1","Error Rate % (4xx/5xx)")</f>
        <v>Error Rate % (4xx/5xx)</v>
      </c>
      <c r="B11" s="20">
        <f>IFERROR((COUNTIFS('Technical Diagnostics'!$C:$C,"&gt;=400",'Technical Diagnostics'!$C:$C,"&lt;500")+COUNTIFS('Technical Diagnostics'!$C:$C,"&gt;=500",'Technical Diagnostics'!$C:$C,"&lt;600"))/COUNTIFS('Technical Diagnostics'!$C:$C,"&gt;0"),0)</f>
        <v>0</v>
      </c>
      <c r="D11" s="19"/>
      <c r="E11" s="19"/>
      <c r="G11" s="62"/>
      <c r="H11" s="62"/>
    </row>
    <row r="12" spans="1:15" ht="36" customHeight="1" x14ac:dyDescent="0.25">
      <c r="A12" s="9" t="str">
        <f>HYPERLINK("#'Technical Diagnostics'!A1","Crawl Success Rate % (2xx)")</f>
        <v>Crawl Success Rate % (2xx)</v>
      </c>
      <c r="B12" s="13">
        <f>IFERROR(COUNTIFS('Technical Diagnostics'!$C:$C,"&gt;=200",'Technical Diagnostics'!$C:$C,"&lt;300")/COUNTIFS('Technical Diagnostics'!$C:$C,"&gt;0"),0)</f>
        <v>1</v>
      </c>
      <c r="D12" s="7" t="s">
        <v>46</v>
      </c>
      <c r="E12" s="7" t="s">
        <v>25</v>
      </c>
      <c r="G12" s="62"/>
      <c r="H12" s="62"/>
      <c r="I12" s="21" t="s">
        <v>47</v>
      </c>
      <c r="J12" s="21" t="s">
        <v>2</v>
      </c>
    </row>
    <row r="13" spans="1:15" ht="21.95" customHeight="1" x14ac:dyDescent="0.25">
      <c r="A13" s="9" t="str">
        <f>HYPERLINK("#'Technical Diagnostics'!A1","Critical URL Rate %")</f>
        <v>Critical URL Rate %</v>
      </c>
      <c r="B13" s="20">
        <f>IFERROR(B9/(COUNTA('Technical Diagnostics'!$A:$A)-1),0)</f>
        <v>0</v>
      </c>
      <c r="D13" s="18" t="s">
        <v>48</v>
      </c>
      <c r="E13" s="18">
        <v>7</v>
      </c>
      <c r="I13" s="22" t="s">
        <v>49</v>
      </c>
      <c r="J13" s="23" t="str">
        <f>HYPERLINK("#FixPlan!A1","Open")</f>
        <v>Open</v>
      </c>
      <c r="K13" s="12"/>
    </row>
    <row r="14" spans="1:15" ht="21.95" customHeight="1" x14ac:dyDescent="0.25">
      <c r="A14" s="9" t="str">
        <f>HYPERLINK("#'Technical Diagnostics'!A1","Warning URL Rate %")</f>
        <v>Warning URL Rate %</v>
      </c>
      <c r="B14" s="20">
        <f>IFERROR(B10/(COUNTA('Technical Diagnostics'!$A:$A)-1),0)</f>
        <v>1</v>
      </c>
      <c r="D14" s="14" t="s">
        <v>50</v>
      </c>
      <c r="E14" s="14">
        <v>12</v>
      </c>
      <c r="G14" s="7" t="s">
        <v>51</v>
      </c>
      <c r="H14" s="7" t="s">
        <v>52</v>
      </c>
      <c r="I14" s="22" t="s">
        <v>53</v>
      </c>
      <c r="J14" s="23" t="str">
        <f>HYPERLINK("#Main!A1","Open")</f>
        <v>Open</v>
      </c>
      <c r="K14" s="12"/>
    </row>
    <row r="15" spans="1:15" ht="35.1" customHeight="1" x14ac:dyDescent="0.25">
      <c r="A15" s="24" t="s">
        <v>54</v>
      </c>
      <c r="B15" s="20">
        <f>MIN(1,B6+(1-B6)*IFERROR(COUNTIFS('Issue Register'!$J:$J,"Open")/(COUNTA('Technical Diagnostics'!$A:$A)-1),0)*0.9)</f>
        <v>1</v>
      </c>
      <c r="D15" s="14" t="s">
        <v>55</v>
      </c>
      <c r="E15" s="14">
        <v>0</v>
      </c>
      <c r="G15" s="23" t="str">
        <f>HYPERLINK("#FixPlan!A8","Low AEO Readiness Score")</f>
        <v>Low AEO Readiness Score</v>
      </c>
      <c r="H15" s="12">
        <v>10</v>
      </c>
      <c r="I15" s="22" t="s">
        <v>56</v>
      </c>
      <c r="J15" s="23" t="str">
        <f>HYPERLINK("#'Technical Diagnostics'!A1","Open")</f>
        <v>Open</v>
      </c>
      <c r="K15" s="12"/>
    </row>
    <row r="16" spans="1:15" ht="35.1" customHeight="1" x14ac:dyDescent="0.25">
      <c r="A16" s="24" t="s">
        <v>57</v>
      </c>
      <c r="B16" s="17">
        <f>MIN(1,B7+(1-B7)*IFERROR(COUNTIFS('Issue Register'!$J:$J,"Open")/(COUNTA('Technical Diagnostics'!$A:$A)-1),0)*0.85)</f>
        <v>1</v>
      </c>
      <c r="D16" s="25" t="s">
        <v>58</v>
      </c>
      <c r="E16" s="25">
        <v>15</v>
      </c>
      <c r="G16" s="23" t="str">
        <f>HYPERLINK("#FixPlan!A7","Low Image Alt Coverage")</f>
        <v>Low Image Alt Coverage</v>
      </c>
      <c r="H16" s="12">
        <v>10</v>
      </c>
      <c r="I16" s="22" t="s">
        <v>59</v>
      </c>
      <c r="J16" s="23" t="str">
        <f>HYPERLINK("#'Technical Diagnostics'!A1","Open")</f>
        <v>Open</v>
      </c>
      <c r="K16" s="12"/>
    </row>
    <row r="17" spans="1:11" ht="21.95" customHeight="1" x14ac:dyDescent="0.25">
      <c r="A17" s="9" t="str">
        <f>HYPERLINK("#'Content Optimisation Hub'!A1","Content Hub Readiness (%)")</f>
        <v>Content Hub Readiness (%)</v>
      </c>
      <c r="B17" s="20">
        <f>IFERROR(COUNTIF('Content Optimisation Hub'!C:C,"Complete")/(COUNTA('Content Optimisation Hub'!F:F)-1),0)</f>
        <v>0</v>
      </c>
      <c r="G17" s="23" t="str">
        <f>HYPERLINK("#FixPlan!A6","AI Crawlers Not Explicitly Allowed")</f>
        <v>AI Crawlers Not Explicitly Allowed</v>
      </c>
      <c r="H17" s="12">
        <v>10</v>
      </c>
      <c r="I17" s="22" t="s">
        <v>60</v>
      </c>
      <c r="J17" s="23" t="str">
        <f>HYPERLINK("#'Content &amp; AI Readiness'!A1","Open")</f>
        <v>Open</v>
      </c>
      <c r="K17" s="12"/>
    </row>
    <row r="18" spans="1:11" ht="21.95" customHeight="1" x14ac:dyDescent="0.25">
      <c r="A18" s="9" t="str">
        <f>HYPERLINK("#'Content &amp; AI Readiness'!A1","URLs with Schema")</f>
        <v>URLs with Schema</v>
      </c>
      <c r="B18" s="10">
        <f>COUNTIFS('Content &amp; AI Readiness'!$K:$K,"&gt;0")</f>
        <v>0</v>
      </c>
      <c r="G18" s="23" t="str">
        <f>HYPERLINK("#FixPlan!A5","No 40-60 Word Answer Paragraphs")</f>
        <v>No 40-60 Word Answer Paragraphs</v>
      </c>
      <c r="H18" s="12">
        <v>10</v>
      </c>
      <c r="I18" s="22" t="s">
        <v>61</v>
      </c>
      <c r="J18" s="23" t="str">
        <f>HYPERLINK("#AIOSEO!A1","Open")</f>
        <v>Open</v>
      </c>
      <c r="K18" s="12"/>
    </row>
    <row r="19" spans="1:11" ht="21.95" customHeight="1" x14ac:dyDescent="0.25">
      <c r="A19" s="9" t="str">
        <f>HYPERLINK("#'Link Intelligence'!A1","Broken Internal Links")</f>
        <v>Broken Internal Links</v>
      </c>
      <c r="B19" s="10">
        <f>SUMIFS('Link Intelligence'!$H:$H,'Link Intelligence'!$B:$B,"Summary")</f>
        <v>0</v>
      </c>
      <c r="G19" s="23" t="str">
        <f>HYPERLINK("#FixPlan!A4","No Answer-Friendly Structure")</f>
        <v>No Answer-Friendly Structure</v>
      </c>
      <c r="H19" s="12">
        <v>10</v>
      </c>
    </row>
    <row r="20" spans="1:11" ht="20.100000000000001" customHeight="1" x14ac:dyDescent="0.25"/>
    <row r="21" spans="1:11" ht="60" customHeight="1" x14ac:dyDescent="0.25"/>
    <row r="22" spans="1:11" ht="20.100000000000001" customHeight="1" x14ac:dyDescent="0.25">
      <c r="G22" s="65" t="s">
        <v>62</v>
      </c>
      <c r="H22" s="62"/>
      <c r="I22" s="62"/>
      <c r="J22" s="62"/>
      <c r="K22" s="62"/>
    </row>
    <row r="23" spans="1:11" ht="20.100000000000001" customHeight="1" x14ac:dyDescent="0.25">
      <c r="G23" s="7" t="s">
        <v>63</v>
      </c>
      <c r="H23" s="7" t="s">
        <v>64</v>
      </c>
      <c r="I23" s="7" t="s">
        <v>52</v>
      </c>
      <c r="J23" s="7" t="s">
        <v>48</v>
      </c>
      <c r="K23" s="7" t="s">
        <v>50</v>
      </c>
    </row>
    <row r="24" spans="1:11" ht="20.100000000000001" customHeight="1" x14ac:dyDescent="0.25">
      <c r="G24" s="15" t="str">
        <f>HYPERLINK("#'FixPlan'!A1","Copy Writer")</f>
        <v>Copy Writer</v>
      </c>
      <c r="H24" s="15">
        <v>20</v>
      </c>
      <c r="I24" s="15">
        <v>74</v>
      </c>
      <c r="J24" s="15">
        <v>1</v>
      </c>
      <c r="K24" s="15">
        <v>8</v>
      </c>
    </row>
    <row r="25" spans="1:11" ht="20.100000000000001" customHeight="1" x14ac:dyDescent="0.25">
      <c r="G25" s="15" t="str">
        <f>HYPERLINK("#'FixPlan'!A1","Server/Host")</f>
        <v>Server/Host</v>
      </c>
      <c r="H25" s="15">
        <v>5</v>
      </c>
      <c r="I25" s="15">
        <v>10</v>
      </c>
      <c r="J25" s="15">
        <v>2</v>
      </c>
      <c r="K25" s="15">
        <v>0</v>
      </c>
    </row>
    <row r="26" spans="1:11" ht="20.100000000000001" customHeight="1" x14ac:dyDescent="0.25">
      <c r="G26" s="15" t="str">
        <f>HYPERLINK("#'FixPlan'!A1","Dev")</f>
        <v>Dev</v>
      </c>
      <c r="H26" s="15">
        <v>9</v>
      </c>
      <c r="I26" s="15">
        <v>0</v>
      </c>
      <c r="J26" s="15">
        <v>4</v>
      </c>
      <c r="K26" s="15">
        <v>4</v>
      </c>
    </row>
    <row r="27" spans="1:11" ht="20.100000000000001" customHeight="1" x14ac:dyDescent="0.25"/>
    <row r="28" spans="1:11" ht="20.100000000000001" customHeight="1" x14ac:dyDescent="0.25"/>
    <row r="29" spans="1:11" ht="20.100000000000001" customHeight="1" x14ac:dyDescent="0.25"/>
    <row r="30" spans="1:11" ht="20.100000000000001" customHeight="1" x14ac:dyDescent="0.25"/>
    <row r="31" spans="1:11" ht="20.100000000000001" customHeight="1" x14ac:dyDescent="0.25"/>
    <row r="32" spans="1:11"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sheetData>
  <autoFilter ref="A1:O69" xr:uid="{00000000-0009-0000-0000-000001000000}"/>
  <mergeCells count="5">
    <mergeCell ref="G4:H4"/>
    <mergeCell ref="I5:K10"/>
    <mergeCell ref="G10:H12"/>
    <mergeCell ref="I4:K4"/>
    <mergeCell ref="G22:K22"/>
  </mergeCell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35"/>
  <sheetViews>
    <sheetView workbookViewId="0">
      <pane xSplit="2" ySplit="1" topLeftCell="C2" activePane="bottomRight" state="frozen"/>
      <selection pane="topRight"/>
      <selection pane="bottomLeft"/>
      <selection pane="bottomRight"/>
    </sheetView>
  </sheetViews>
  <sheetFormatPr defaultRowHeight="15" x14ac:dyDescent="0.25"/>
  <cols>
    <col min="1" max="1" width="38" customWidth="1"/>
    <col min="2" max="2" width="13" customWidth="1"/>
    <col min="3" max="4" width="16" customWidth="1"/>
    <col min="5" max="5" width="55" customWidth="1"/>
    <col min="6" max="6" width="24" customWidth="1"/>
    <col min="7" max="7" width="17" customWidth="1"/>
    <col min="8" max="8" width="45" customWidth="1"/>
    <col min="9" max="10" width="60" customWidth="1"/>
    <col min="11" max="11" width="13" customWidth="1"/>
    <col min="12" max="12" width="14" customWidth="1"/>
    <col min="13" max="13" width="8" customWidth="1"/>
    <col min="14" max="14" width="12" customWidth="1"/>
    <col min="15" max="15" width="20" customWidth="1"/>
    <col min="16" max="16" width="28" customWidth="1"/>
    <col min="17" max="17" width="11" customWidth="1"/>
    <col min="18" max="18" width="13" customWidth="1"/>
    <col min="19" max="19" width="15" customWidth="1"/>
    <col min="20" max="20" width="14" customWidth="1"/>
    <col min="21" max="21" width="15" customWidth="1"/>
    <col min="22" max="22" width="18" customWidth="1"/>
    <col min="23" max="23" width="8" customWidth="1"/>
    <col min="24" max="24" width="10" customWidth="1"/>
  </cols>
  <sheetData>
    <row r="1" spans="1:27" ht="60" x14ac:dyDescent="0.25">
      <c r="A1" s="26" t="s">
        <v>65</v>
      </c>
      <c r="B1" s="26" t="s">
        <v>46</v>
      </c>
      <c r="C1" s="26" t="s">
        <v>66</v>
      </c>
      <c r="D1" s="26" t="s">
        <v>67</v>
      </c>
      <c r="E1" s="26" t="s">
        <v>52</v>
      </c>
      <c r="F1" s="26" t="s">
        <v>68</v>
      </c>
      <c r="G1" s="26" t="s">
        <v>69</v>
      </c>
      <c r="H1" s="26" t="s">
        <v>70</v>
      </c>
      <c r="I1" s="26" t="s">
        <v>71</v>
      </c>
      <c r="J1" s="26" t="s">
        <v>72</v>
      </c>
      <c r="K1" s="26" t="s">
        <v>63</v>
      </c>
      <c r="L1" s="26" t="s">
        <v>73</v>
      </c>
      <c r="M1" s="26" t="s">
        <v>74</v>
      </c>
      <c r="N1" s="26" t="s">
        <v>75</v>
      </c>
      <c r="O1" s="26" t="s">
        <v>76</v>
      </c>
      <c r="P1" s="26" t="s">
        <v>77</v>
      </c>
      <c r="Q1" s="26" t="s">
        <v>24</v>
      </c>
      <c r="R1" s="26" t="s">
        <v>78</v>
      </c>
      <c r="S1" s="26" t="s">
        <v>79</v>
      </c>
      <c r="T1" s="26" t="s">
        <v>80</v>
      </c>
      <c r="U1" s="26" t="s">
        <v>81</v>
      </c>
      <c r="V1" s="26" t="s">
        <v>82</v>
      </c>
      <c r="W1" s="26" t="s">
        <v>83</v>
      </c>
      <c r="X1" s="26" t="s">
        <v>84</v>
      </c>
      <c r="Y1" s="26" t="s">
        <v>85</v>
      </c>
      <c r="Z1" s="26" t="s">
        <v>86</v>
      </c>
      <c r="AA1" s="27" t="s">
        <v>87</v>
      </c>
    </row>
    <row r="2" spans="1:27" ht="15.75" x14ac:dyDescent="0.25">
      <c r="A2" s="28" t="s">
        <v>88</v>
      </c>
      <c r="B2" s="29" t="s">
        <v>48</v>
      </c>
      <c r="C2" s="30">
        <v>105</v>
      </c>
      <c r="D2" s="31">
        <v>0</v>
      </c>
      <c r="E2" s="32"/>
      <c r="F2" s="28" t="s">
        <v>56</v>
      </c>
      <c r="G2" s="28" t="s">
        <v>89</v>
      </c>
      <c r="H2" s="32"/>
      <c r="I2" s="28" t="s">
        <v>90</v>
      </c>
      <c r="J2" s="33" t="s">
        <v>91</v>
      </c>
      <c r="K2" s="28" t="s">
        <v>92</v>
      </c>
      <c r="L2" s="28" t="s">
        <v>92</v>
      </c>
      <c r="M2" s="28" t="s">
        <v>93</v>
      </c>
      <c r="N2" s="28">
        <v>10</v>
      </c>
      <c r="O2" s="34">
        <v>5</v>
      </c>
      <c r="P2" s="29" t="s">
        <v>94</v>
      </c>
      <c r="Q2" s="29" t="s">
        <v>95</v>
      </c>
      <c r="R2" s="28"/>
      <c r="S2" s="35"/>
      <c r="T2" s="28" t="s">
        <v>96</v>
      </c>
      <c r="U2" s="28" t="s">
        <v>97</v>
      </c>
      <c r="V2" s="28" t="s">
        <v>98</v>
      </c>
      <c r="W2" s="28"/>
      <c r="X2" s="28" t="s">
        <v>99</v>
      </c>
      <c r="Y2" s="36" t="str">
        <f>IFERROR(HYPERLINK("#'Main'!B"&amp;MATCH(TRIM(H2),Main!B:B,0),"Open"),HYPERLINK("#'Main'!B1","Open"))</f>
        <v>Open</v>
      </c>
      <c r="Z2" s="36" t="str">
        <f>IFERROR(INDEX('Content Optimisation Hub'!C:C,MATCH(H2,'Content Optimisation Hub'!F:F,0)),"Not in Hub")</f>
        <v>Not in Hub</v>
      </c>
      <c r="AA2" s="36"/>
    </row>
    <row r="3" spans="1:27" ht="15.75" x14ac:dyDescent="0.25">
      <c r="A3" s="37" t="s">
        <v>100</v>
      </c>
      <c r="B3" s="29" t="s">
        <v>48</v>
      </c>
      <c r="C3" s="30">
        <v>105</v>
      </c>
      <c r="D3" s="38">
        <v>0</v>
      </c>
      <c r="E3" s="39"/>
      <c r="F3" s="37" t="s">
        <v>56</v>
      </c>
      <c r="G3" s="37" t="s">
        <v>89</v>
      </c>
      <c r="H3" s="39"/>
      <c r="I3" s="37" t="s">
        <v>101</v>
      </c>
      <c r="J3" s="40" t="s">
        <v>102</v>
      </c>
      <c r="K3" s="37" t="s">
        <v>103</v>
      </c>
      <c r="L3" s="37" t="s">
        <v>103</v>
      </c>
      <c r="M3" s="37" t="s">
        <v>93</v>
      </c>
      <c r="N3" s="37">
        <v>10</v>
      </c>
      <c r="O3" s="34">
        <v>5</v>
      </c>
      <c r="P3" s="29" t="s">
        <v>94</v>
      </c>
      <c r="Q3" s="29" t="s">
        <v>95</v>
      </c>
      <c r="R3" s="37"/>
      <c r="S3" s="41"/>
      <c r="T3" s="37" t="s">
        <v>96</v>
      </c>
      <c r="U3" s="37" t="s">
        <v>97</v>
      </c>
      <c r="V3" s="37" t="s">
        <v>98</v>
      </c>
      <c r="W3" s="37"/>
      <c r="X3" s="37" t="s">
        <v>99</v>
      </c>
      <c r="Y3" t="str">
        <f>IFERROR(HYPERLINK("#'Main'!B"&amp;MATCH(TRIM(H3),Main!B:B,0),"Open"),HYPERLINK("#'Main'!B1","Open"))</f>
        <v>Open</v>
      </c>
      <c r="Z3" t="str">
        <f>IFERROR(INDEX('Content Optimisation Hub'!C:C,MATCH(H3,'Content Optimisation Hub'!F:F,0)),"Not in Hub")</f>
        <v>Not in Hub</v>
      </c>
    </row>
    <row r="4" spans="1:27" ht="15.75" x14ac:dyDescent="0.25">
      <c r="A4" s="28" t="s">
        <v>104</v>
      </c>
      <c r="B4" s="29" t="s">
        <v>48</v>
      </c>
      <c r="C4" s="30">
        <v>105</v>
      </c>
      <c r="D4" s="31">
        <v>0</v>
      </c>
      <c r="E4" s="32"/>
      <c r="F4" s="28" t="s">
        <v>56</v>
      </c>
      <c r="G4" s="28" t="s">
        <v>89</v>
      </c>
      <c r="H4" s="32"/>
      <c r="I4" s="28" t="s">
        <v>105</v>
      </c>
      <c r="J4" s="33" t="s">
        <v>106</v>
      </c>
      <c r="K4" s="28" t="s">
        <v>107</v>
      </c>
      <c r="L4" s="28" t="s">
        <v>107</v>
      </c>
      <c r="M4" s="28" t="s">
        <v>93</v>
      </c>
      <c r="N4" s="28">
        <v>10</v>
      </c>
      <c r="O4" s="34">
        <v>5</v>
      </c>
      <c r="P4" s="29" t="s">
        <v>94</v>
      </c>
      <c r="Q4" s="29" t="s">
        <v>95</v>
      </c>
      <c r="R4" s="28"/>
      <c r="S4" s="35"/>
      <c r="T4" s="28" t="s">
        <v>96</v>
      </c>
      <c r="U4" s="28" t="s">
        <v>97</v>
      </c>
      <c r="V4" s="28" t="s">
        <v>98</v>
      </c>
      <c r="W4" s="28"/>
      <c r="X4" s="28" t="s">
        <v>99</v>
      </c>
      <c r="Y4" s="36" t="str">
        <f>IFERROR(HYPERLINK("#'Main'!B"&amp;MATCH(TRIM(H4),Main!B:B,0),"Open"),HYPERLINK("#'Main'!B1","Open"))</f>
        <v>Open</v>
      </c>
      <c r="Z4" s="36" t="str">
        <f>IFERROR(INDEX('Content Optimisation Hub'!C:C,MATCH(H4,'Content Optimisation Hub'!F:F,0)),"Not in Hub")</f>
        <v>Not in Hub</v>
      </c>
      <c r="AA4" s="36"/>
    </row>
    <row r="5" spans="1:27" ht="15.75" x14ac:dyDescent="0.25">
      <c r="A5" s="37" t="s">
        <v>108</v>
      </c>
      <c r="B5" s="29" t="s">
        <v>48</v>
      </c>
      <c r="C5" s="30">
        <v>105</v>
      </c>
      <c r="D5" s="38">
        <v>0</v>
      </c>
      <c r="E5" s="39"/>
      <c r="F5" s="37" t="s">
        <v>56</v>
      </c>
      <c r="G5" s="37" t="s">
        <v>109</v>
      </c>
      <c r="H5" s="39"/>
      <c r="I5" s="37" t="s">
        <v>110</v>
      </c>
      <c r="J5" s="40" t="s">
        <v>111</v>
      </c>
      <c r="K5" s="37" t="s">
        <v>107</v>
      </c>
      <c r="L5" s="37" t="s">
        <v>107</v>
      </c>
      <c r="M5" s="37" t="s">
        <v>93</v>
      </c>
      <c r="N5" s="37">
        <v>10</v>
      </c>
      <c r="O5" s="34">
        <v>5</v>
      </c>
      <c r="P5" s="29" t="s">
        <v>94</v>
      </c>
      <c r="Q5" s="29" t="s">
        <v>95</v>
      </c>
      <c r="R5" s="37"/>
      <c r="S5" s="41"/>
      <c r="T5" s="37" t="s">
        <v>96</v>
      </c>
      <c r="U5" s="37" t="s">
        <v>97</v>
      </c>
      <c r="V5" s="37" t="s">
        <v>98</v>
      </c>
      <c r="W5" s="37"/>
      <c r="X5" s="37" t="s">
        <v>99</v>
      </c>
      <c r="Y5" t="str">
        <f>IFERROR(HYPERLINK("#'Main'!B"&amp;MATCH(TRIM(H5),Main!B:B,0),"Open"),HYPERLINK("#'Main'!B1","Open"))</f>
        <v>Open</v>
      </c>
      <c r="Z5" t="str">
        <f>IFERROR(INDEX('Content Optimisation Hub'!C:C,MATCH(H5,'Content Optimisation Hub'!F:F,0)),"Not in Hub")</f>
        <v>Not in Hub</v>
      </c>
    </row>
    <row r="6" spans="1:27" ht="15.75" x14ac:dyDescent="0.25">
      <c r="A6" s="28" t="s">
        <v>112</v>
      </c>
      <c r="B6" s="29" t="s">
        <v>48</v>
      </c>
      <c r="C6" s="30">
        <v>105</v>
      </c>
      <c r="D6" s="31">
        <v>0</v>
      </c>
      <c r="E6" s="32"/>
      <c r="F6" s="28" t="s">
        <v>56</v>
      </c>
      <c r="G6" s="28" t="s">
        <v>109</v>
      </c>
      <c r="H6" s="32"/>
      <c r="I6" s="28" t="s">
        <v>113</v>
      </c>
      <c r="J6" s="33" t="s">
        <v>114</v>
      </c>
      <c r="K6" s="28" t="s">
        <v>92</v>
      </c>
      <c r="L6" s="28" t="s">
        <v>92</v>
      </c>
      <c r="M6" s="28" t="s">
        <v>93</v>
      </c>
      <c r="N6" s="28">
        <v>10</v>
      </c>
      <c r="O6" s="34">
        <v>5</v>
      </c>
      <c r="P6" s="29" t="s">
        <v>94</v>
      </c>
      <c r="Q6" s="29" t="s">
        <v>95</v>
      </c>
      <c r="R6" s="28"/>
      <c r="S6" s="35"/>
      <c r="T6" s="28" t="s">
        <v>96</v>
      </c>
      <c r="U6" s="28" t="s">
        <v>97</v>
      </c>
      <c r="V6" s="28" t="s">
        <v>98</v>
      </c>
      <c r="W6" s="28"/>
      <c r="X6" s="28" t="s">
        <v>99</v>
      </c>
      <c r="Y6" s="36" t="str">
        <f>IFERROR(HYPERLINK("#'Main'!B"&amp;MATCH(TRIM(H6),Main!B:B,0),"Open"),HYPERLINK("#'Main'!B1","Open"))</f>
        <v>Open</v>
      </c>
      <c r="Z6" s="36" t="str">
        <f>IFERROR(INDEX('Content Optimisation Hub'!C:C,MATCH(H6,'Content Optimisation Hub'!F:F,0)),"Not in Hub")</f>
        <v>Not in Hub</v>
      </c>
      <c r="AA6" s="36"/>
    </row>
    <row r="7" spans="1:27" ht="15.75" x14ac:dyDescent="0.25">
      <c r="A7" s="37" t="s">
        <v>115</v>
      </c>
      <c r="B7" s="29" t="s">
        <v>48</v>
      </c>
      <c r="C7" s="30">
        <v>105</v>
      </c>
      <c r="D7" s="38">
        <v>0</v>
      </c>
      <c r="E7" s="39"/>
      <c r="F7" s="37" t="s">
        <v>56</v>
      </c>
      <c r="G7" s="37" t="s">
        <v>109</v>
      </c>
      <c r="H7" s="39"/>
      <c r="I7" s="37" t="s">
        <v>113</v>
      </c>
      <c r="J7" s="40" t="s">
        <v>114</v>
      </c>
      <c r="K7" s="37" t="s">
        <v>107</v>
      </c>
      <c r="L7" s="37" t="s">
        <v>107</v>
      </c>
      <c r="M7" s="37" t="s">
        <v>93</v>
      </c>
      <c r="N7" s="37">
        <v>10</v>
      </c>
      <c r="O7" s="34">
        <v>5</v>
      </c>
      <c r="P7" s="29" t="s">
        <v>94</v>
      </c>
      <c r="Q7" s="29" t="s">
        <v>95</v>
      </c>
      <c r="R7" s="37"/>
      <c r="S7" s="41"/>
      <c r="T7" s="37" t="s">
        <v>96</v>
      </c>
      <c r="U7" s="37" t="s">
        <v>97</v>
      </c>
      <c r="V7" s="37" t="s">
        <v>98</v>
      </c>
      <c r="W7" s="37"/>
      <c r="X7" s="37" t="s">
        <v>99</v>
      </c>
      <c r="Y7" t="str">
        <f>IFERROR(HYPERLINK("#'Main'!B"&amp;MATCH(TRIM(H7),Main!B:B,0),"Open"),HYPERLINK("#'Main'!B1","Open"))</f>
        <v>Open</v>
      </c>
      <c r="Z7" t="str">
        <f>IFERROR(INDEX('Content Optimisation Hub'!C:C,MATCH(H7,'Content Optimisation Hub'!F:F,0)),"Not in Hub")</f>
        <v>Not in Hub</v>
      </c>
    </row>
    <row r="8" spans="1:27" ht="15.75" x14ac:dyDescent="0.25">
      <c r="A8" s="28" t="s">
        <v>116</v>
      </c>
      <c r="B8" s="29" t="s">
        <v>48</v>
      </c>
      <c r="C8" s="30">
        <v>105</v>
      </c>
      <c r="D8" s="31">
        <v>0</v>
      </c>
      <c r="E8" s="32"/>
      <c r="F8" s="28" t="s">
        <v>117</v>
      </c>
      <c r="G8" s="28" t="s">
        <v>89</v>
      </c>
      <c r="H8" s="32"/>
      <c r="I8" s="28" t="s">
        <v>118</v>
      </c>
      <c r="J8" s="33" t="s">
        <v>119</v>
      </c>
      <c r="K8" s="28" t="s">
        <v>107</v>
      </c>
      <c r="L8" s="28" t="s">
        <v>107</v>
      </c>
      <c r="M8" s="28" t="s">
        <v>93</v>
      </c>
      <c r="N8" s="28">
        <v>10</v>
      </c>
      <c r="O8" s="34">
        <v>5</v>
      </c>
      <c r="P8" s="29" t="s">
        <v>94</v>
      </c>
      <c r="Q8" s="29" t="s">
        <v>95</v>
      </c>
      <c r="R8" s="28"/>
      <c r="S8" s="35"/>
      <c r="T8" s="28" t="s">
        <v>96</v>
      </c>
      <c r="U8" s="28" t="s">
        <v>97</v>
      </c>
      <c r="V8" s="28" t="s">
        <v>98</v>
      </c>
      <c r="W8" s="28"/>
      <c r="X8" s="28" t="s">
        <v>99</v>
      </c>
      <c r="Y8" s="36" t="str">
        <f>IFERROR(HYPERLINK("#'Main'!B"&amp;MATCH(TRIM(H8),Main!B:B,0),"Open"),HYPERLINK("#'Main'!B1","Open"))</f>
        <v>Open</v>
      </c>
      <c r="Z8" s="36" t="str">
        <f>IFERROR(INDEX('Content Optimisation Hub'!C:C,MATCH(H8,'Content Optimisation Hub'!F:F,0)),"Not in Hub")</f>
        <v>Not in Hub</v>
      </c>
      <c r="AA8" s="36"/>
    </row>
    <row r="9" spans="1:27" ht="15.75" x14ac:dyDescent="0.25">
      <c r="A9" s="37" t="s">
        <v>120</v>
      </c>
      <c r="B9" s="42" t="s">
        <v>50</v>
      </c>
      <c r="C9" s="34">
        <v>67</v>
      </c>
      <c r="D9" s="38">
        <v>0</v>
      </c>
      <c r="E9" s="39"/>
      <c r="F9" s="37" t="s">
        <v>56</v>
      </c>
      <c r="G9" s="37" t="s">
        <v>109</v>
      </c>
      <c r="H9" s="39"/>
      <c r="I9" s="37" t="s">
        <v>113</v>
      </c>
      <c r="J9" s="40" t="s">
        <v>114</v>
      </c>
      <c r="K9" s="37" t="s">
        <v>107</v>
      </c>
      <c r="L9" s="37" t="s">
        <v>107</v>
      </c>
      <c r="M9" s="37" t="s">
        <v>121</v>
      </c>
      <c r="N9" s="37">
        <v>4</v>
      </c>
      <c r="O9" s="43">
        <v>2</v>
      </c>
      <c r="P9" s="44" t="s">
        <v>122</v>
      </c>
      <c r="Q9" s="29" t="s">
        <v>95</v>
      </c>
      <c r="R9" s="37"/>
      <c r="S9" s="41"/>
      <c r="T9" s="37" t="s">
        <v>123</v>
      </c>
      <c r="U9" s="37" t="s">
        <v>97</v>
      </c>
      <c r="V9" s="37" t="s">
        <v>98</v>
      </c>
      <c r="W9" s="37"/>
      <c r="X9" s="37" t="s">
        <v>99</v>
      </c>
      <c r="Y9" t="str">
        <f>IFERROR(HYPERLINK("#'Main'!B"&amp;MATCH(TRIM(H9),Main!B:B,0),"Open"),HYPERLINK("#'Main'!B1","Open"))</f>
        <v>Open</v>
      </c>
      <c r="Z9" t="str">
        <f>IFERROR(INDEX('Content Optimisation Hub'!C:C,MATCH(H9,'Content Optimisation Hub'!F:F,0)),"Not in Hub")</f>
        <v>Not in Hub</v>
      </c>
    </row>
    <row r="10" spans="1:27" ht="15.75" x14ac:dyDescent="0.25">
      <c r="A10" s="28" t="s">
        <v>124</v>
      </c>
      <c r="B10" s="42" t="s">
        <v>50</v>
      </c>
      <c r="C10" s="34">
        <v>67</v>
      </c>
      <c r="D10" s="31">
        <v>0</v>
      </c>
      <c r="E10" s="32"/>
      <c r="F10" s="28" t="s">
        <v>56</v>
      </c>
      <c r="G10" s="28" t="s">
        <v>109</v>
      </c>
      <c r="H10" s="32"/>
      <c r="I10" s="28" t="s">
        <v>113</v>
      </c>
      <c r="J10" s="33" t="s">
        <v>114</v>
      </c>
      <c r="K10" s="28" t="s">
        <v>103</v>
      </c>
      <c r="L10" s="28" t="s">
        <v>103</v>
      </c>
      <c r="M10" s="28" t="s">
        <v>121</v>
      </c>
      <c r="N10" s="28">
        <v>4</v>
      </c>
      <c r="O10" s="43">
        <v>2</v>
      </c>
      <c r="P10" s="44" t="s">
        <v>122</v>
      </c>
      <c r="Q10" s="29" t="s">
        <v>95</v>
      </c>
      <c r="R10" s="28"/>
      <c r="S10" s="35"/>
      <c r="T10" s="28" t="s">
        <v>123</v>
      </c>
      <c r="U10" s="28" t="s">
        <v>97</v>
      </c>
      <c r="V10" s="28" t="s">
        <v>98</v>
      </c>
      <c r="W10" s="28"/>
      <c r="X10" s="28" t="s">
        <v>99</v>
      </c>
      <c r="Y10" s="36" t="str">
        <f>IFERROR(HYPERLINK("#'Main'!B"&amp;MATCH(TRIM(H10),Main!B:B,0),"Open"),HYPERLINK("#'Main'!B1","Open"))</f>
        <v>Open</v>
      </c>
      <c r="Z10" s="36" t="str">
        <f>IFERROR(INDEX('Content Optimisation Hub'!C:C,MATCH(H10,'Content Optimisation Hub'!F:F,0)),"Not in Hub")</f>
        <v>Not in Hub</v>
      </c>
      <c r="AA10" s="36"/>
    </row>
    <row r="11" spans="1:27" ht="15.75" x14ac:dyDescent="0.25">
      <c r="A11" s="37" t="s">
        <v>125</v>
      </c>
      <c r="B11" s="42" t="s">
        <v>50</v>
      </c>
      <c r="C11" s="34">
        <v>67</v>
      </c>
      <c r="D11" s="38">
        <v>0</v>
      </c>
      <c r="E11" s="39"/>
      <c r="F11" s="37" t="s">
        <v>126</v>
      </c>
      <c r="G11" s="37" t="s">
        <v>109</v>
      </c>
      <c r="H11" s="39"/>
      <c r="I11" s="37" t="s">
        <v>127</v>
      </c>
      <c r="J11" s="40" t="s">
        <v>128</v>
      </c>
      <c r="K11" s="37" t="s">
        <v>107</v>
      </c>
      <c r="L11" s="37" t="s">
        <v>107</v>
      </c>
      <c r="M11" s="37" t="s">
        <v>121</v>
      </c>
      <c r="N11" s="37">
        <v>4</v>
      </c>
      <c r="O11" s="43">
        <v>2</v>
      </c>
      <c r="P11" s="44" t="s">
        <v>122</v>
      </c>
      <c r="Q11" s="29" t="s">
        <v>95</v>
      </c>
      <c r="R11" s="37"/>
      <c r="S11" s="41"/>
      <c r="T11" s="37" t="s">
        <v>123</v>
      </c>
      <c r="U11" s="37" t="s">
        <v>97</v>
      </c>
      <c r="V11" s="37" t="s">
        <v>98</v>
      </c>
      <c r="W11" s="37"/>
      <c r="X11" s="37" t="s">
        <v>129</v>
      </c>
      <c r="Y11" t="str">
        <f>IFERROR(HYPERLINK("#'Main'!B"&amp;MATCH(TRIM(H11),Main!B:B,0),"Open"),HYPERLINK("#'Main'!B1","Open"))</f>
        <v>Open</v>
      </c>
      <c r="Z11" t="str">
        <f>IFERROR(INDEX('Content Optimisation Hub'!C:C,MATCH(H11,'Content Optimisation Hub'!F:F,0)),"Not in Hub")</f>
        <v>Not in Hub</v>
      </c>
    </row>
    <row r="12" spans="1:27" ht="15.75" x14ac:dyDescent="0.25">
      <c r="A12" s="28" t="s">
        <v>130</v>
      </c>
      <c r="B12" s="42" t="s">
        <v>50</v>
      </c>
      <c r="C12" s="34">
        <v>67</v>
      </c>
      <c r="D12" s="31">
        <v>0</v>
      </c>
      <c r="E12" s="32"/>
      <c r="F12" s="28" t="s">
        <v>56</v>
      </c>
      <c r="G12" s="28" t="s">
        <v>89</v>
      </c>
      <c r="H12" s="32"/>
      <c r="I12" s="28" t="s">
        <v>113</v>
      </c>
      <c r="J12" s="33" t="s">
        <v>114</v>
      </c>
      <c r="K12" s="28" t="s">
        <v>103</v>
      </c>
      <c r="L12" s="28" t="s">
        <v>103</v>
      </c>
      <c r="M12" s="28" t="s">
        <v>121</v>
      </c>
      <c r="N12" s="28">
        <v>4</v>
      </c>
      <c r="O12" s="43">
        <v>2</v>
      </c>
      <c r="P12" s="44" t="s">
        <v>122</v>
      </c>
      <c r="Q12" s="29" t="s">
        <v>95</v>
      </c>
      <c r="R12" s="28"/>
      <c r="S12" s="35"/>
      <c r="T12" s="28" t="s">
        <v>123</v>
      </c>
      <c r="U12" s="28" t="s">
        <v>97</v>
      </c>
      <c r="V12" s="28" t="s">
        <v>98</v>
      </c>
      <c r="W12" s="28"/>
      <c r="X12" s="28" t="s">
        <v>99</v>
      </c>
      <c r="Y12" s="36" t="str">
        <f>IFERROR(HYPERLINK("#'Main'!B"&amp;MATCH(TRIM(H12),Main!B:B,0),"Open"),HYPERLINK("#'Main'!B1","Open"))</f>
        <v>Open</v>
      </c>
      <c r="Z12" s="36" t="str">
        <f>IFERROR(INDEX('Content Optimisation Hub'!C:C,MATCH(H12,'Content Optimisation Hub'!F:F,0)),"Not in Hub")</f>
        <v>Not in Hub</v>
      </c>
      <c r="AA12" s="36"/>
    </row>
    <row r="13" spans="1:27" ht="15.75" x14ac:dyDescent="0.25">
      <c r="A13" s="37" t="s">
        <v>131</v>
      </c>
      <c r="B13" s="42" t="s">
        <v>50</v>
      </c>
      <c r="C13" s="34">
        <v>67</v>
      </c>
      <c r="D13" s="38">
        <v>0</v>
      </c>
      <c r="E13" s="39"/>
      <c r="F13" s="37" t="s">
        <v>56</v>
      </c>
      <c r="G13" s="37" t="s">
        <v>89</v>
      </c>
      <c r="H13" s="39"/>
      <c r="I13" s="37" t="s">
        <v>132</v>
      </c>
      <c r="J13" s="40" t="s">
        <v>133</v>
      </c>
      <c r="K13" s="37" t="s">
        <v>107</v>
      </c>
      <c r="L13" s="37" t="s">
        <v>107</v>
      </c>
      <c r="M13" s="37" t="s">
        <v>121</v>
      </c>
      <c r="N13" s="37">
        <v>4</v>
      </c>
      <c r="O13" s="43">
        <v>2</v>
      </c>
      <c r="P13" s="44" t="s">
        <v>122</v>
      </c>
      <c r="Q13" s="29" t="s">
        <v>95</v>
      </c>
      <c r="R13" s="37"/>
      <c r="S13" s="41"/>
      <c r="T13" s="37" t="s">
        <v>123</v>
      </c>
      <c r="U13" s="37" t="s">
        <v>97</v>
      </c>
      <c r="V13" s="37" t="s">
        <v>98</v>
      </c>
      <c r="W13" s="37"/>
      <c r="X13" s="37" t="s">
        <v>99</v>
      </c>
      <c r="Y13" t="str">
        <f>IFERROR(HYPERLINK("#'Main'!B"&amp;MATCH(TRIM(H13),Main!B:B,0),"Open"),HYPERLINK("#'Main'!B1","Open"))</f>
        <v>Open</v>
      </c>
      <c r="Z13" t="str">
        <f>IFERROR(INDEX('Content Optimisation Hub'!C:C,MATCH(H13,'Content Optimisation Hub'!F:F,0)),"Not in Hub")</f>
        <v>Not in Hub</v>
      </c>
    </row>
    <row r="14" spans="1:27" ht="15.75" x14ac:dyDescent="0.25">
      <c r="A14" s="28" t="s">
        <v>134</v>
      </c>
      <c r="B14" s="42" t="s">
        <v>50</v>
      </c>
      <c r="C14" s="34">
        <v>67</v>
      </c>
      <c r="D14" s="31">
        <v>0</v>
      </c>
      <c r="E14" s="32"/>
      <c r="F14" s="28" t="s">
        <v>56</v>
      </c>
      <c r="G14" s="28" t="s">
        <v>109</v>
      </c>
      <c r="H14" s="32"/>
      <c r="I14" s="28" t="s">
        <v>113</v>
      </c>
      <c r="J14" s="33" t="s">
        <v>114</v>
      </c>
      <c r="K14" s="28" t="s">
        <v>107</v>
      </c>
      <c r="L14" s="28" t="s">
        <v>107</v>
      </c>
      <c r="M14" s="28" t="s">
        <v>121</v>
      </c>
      <c r="N14" s="28">
        <v>4</v>
      </c>
      <c r="O14" s="43">
        <v>2</v>
      </c>
      <c r="P14" s="44" t="s">
        <v>122</v>
      </c>
      <c r="Q14" s="29" t="s">
        <v>95</v>
      </c>
      <c r="R14" s="28"/>
      <c r="S14" s="35"/>
      <c r="T14" s="28" t="s">
        <v>123</v>
      </c>
      <c r="U14" s="28" t="s">
        <v>97</v>
      </c>
      <c r="V14" s="28" t="s">
        <v>98</v>
      </c>
      <c r="W14" s="28"/>
      <c r="X14" s="28" t="s">
        <v>99</v>
      </c>
      <c r="Y14" s="36" t="str">
        <f>IFERROR(HYPERLINK("#'Main'!B"&amp;MATCH(TRIM(H14),Main!B:B,0),"Open"),HYPERLINK("#'Main'!B1","Open"))</f>
        <v>Open</v>
      </c>
      <c r="Z14" s="36" t="str">
        <f>IFERROR(INDEX('Content Optimisation Hub'!C:C,MATCH(H14,'Content Optimisation Hub'!F:F,0)),"Not in Hub")</f>
        <v>Not in Hub</v>
      </c>
      <c r="AA14" s="36"/>
    </row>
    <row r="15" spans="1:27" ht="15.75" x14ac:dyDescent="0.25">
      <c r="A15" s="37" t="s">
        <v>135</v>
      </c>
      <c r="B15" s="42" t="s">
        <v>50</v>
      </c>
      <c r="C15" s="34">
        <v>67</v>
      </c>
      <c r="D15" s="38">
        <v>0</v>
      </c>
      <c r="E15" s="39"/>
      <c r="F15" s="37" t="s">
        <v>56</v>
      </c>
      <c r="G15" s="37" t="s">
        <v>89</v>
      </c>
      <c r="H15" s="39"/>
      <c r="I15" s="37" t="s">
        <v>113</v>
      </c>
      <c r="J15" s="40" t="s">
        <v>114</v>
      </c>
      <c r="K15" s="37" t="s">
        <v>103</v>
      </c>
      <c r="L15" s="37" t="s">
        <v>103</v>
      </c>
      <c r="M15" s="37" t="s">
        <v>121</v>
      </c>
      <c r="N15" s="37">
        <v>4</v>
      </c>
      <c r="O15" s="43">
        <v>2</v>
      </c>
      <c r="P15" s="44" t="s">
        <v>122</v>
      </c>
      <c r="Q15" s="29" t="s">
        <v>95</v>
      </c>
      <c r="R15" s="37"/>
      <c r="S15" s="41"/>
      <c r="T15" s="37" t="s">
        <v>123</v>
      </c>
      <c r="U15" s="37" t="s">
        <v>97</v>
      </c>
      <c r="V15" s="37" t="s">
        <v>98</v>
      </c>
      <c r="W15" s="37"/>
      <c r="X15" s="37" t="s">
        <v>99</v>
      </c>
      <c r="Y15" t="str">
        <f>IFERROR(HYPERLINK("#'Main'!B"&amp;MATCH(TRIM(H15),Main!B:B,0),"Open"),HYPERLINK("#'Main'!B1","Open"))</f>
        <v>Open</v>
      </c>
      <c r="Z15" t="str">
        <f>IFERROR(INDEX('Content Optimisation Hub'!C:C,MATCH(H15,'Content Optimisation Hub'!F:F,0)),"Not in Hub")</f>
        <v>Not in Hub</v>
      </c>
    </row>
    <row r="16" spans="1:27" ht="120" customHeight="1" x14ac:dyDescent="0.25">
      <c r="A16" s="28" t="s">
        <v>136</v>
      </c>
      <c r="B16" s="42" t="s">
        <v>50</v>
      </c>
      <c r="C16" s="34">
        <v>67</v>
      </c>
      <c r="D16" s="31">
        <v>10</v>
      </c>
      <c r="E16" s="32" t="s">
        <v>137</v>
      </c>
      <c r="F16" s="28" t="s">
        <v>56</v>
      </c>
      <c r="G16" s="28" t="s">
        <v>89</v>
      </c>
      <c r="H16" s="45" t="s">
        <v>138</v>
      </c>
      <c r="I16" s="28" t="s">
        <v>113</v>
      </c>
      <c r="J16" s="33" t="s">
        <v>114</v>
      </c>
      <c r="K16" s="28" t="s">
        <v>103</v>
      </c>
      <c r="L16" s="28" t="s">
        <v>103</v>
      </c>
      <c r="M16" s="28" t="s">
        <v>121</v>
      </c>
      <c r="N16" s="28">
        <v>4</v>
      </c>
      <c r="O16" s="43">
        <v>2</v>
      </c>
      <c r="P16" s="44" t="s">
        <v>122</v>
      </c>
      <c r="Q16" s="29" t="s">
        <v>95</v>
      </c>
      <c r="R16" s="28"/>
      <c r="S16" s="35"/>
      <c r="T16" s="28" t="s">
        <v>123</v>
      </c>
      <c r="U16" s="28" t="s">
        <v>97</v>
      </c>
      <c r="V16" s="28" t="s">
        <v>98</v>
      </c>
      <c r="W16" s="28"/>
      <c r="X16" s="28" t="s">
        <v>99</v>
      </c>
      <c r="Y16" s="36" t="str">
        <f>IFERROR(HYPERLINK("#'Main'!B"&amp;MATCH(TRIM(H16),Main!B:B,0),"Open"),HYPERLINK("#'Main'!B1","Open"))</f>
        <v>Open</v>
      </c>
      <c r="Z16" s="36" t="str">
        <f>IFERROR(INDEX('Content Optimisation Hub'!C:C,MATCH(H16,'Content Optimisation Hub'!F:F,0)),"Not in Hub")</f>
        <v>Not in Hub</v>
      </c>
      <c r="AA16" s="36"/>
    </row>
    <row r="17" spans="1:27" ht="120" customHeight="1" x14ac:dyDescent="0.25">
      <c r="A17" s="37" t="s">
        <v>139</v>
      </c>
      <c r="B17" s="42" t="s">
        <v>50</v>
      </c>
      <c r="C17" s="34">
        <v>67</v>
      </c>
      <c r="D17" s="38">
        <v>10</v>
      </c>
      <c r="E17" s="39" t="s">
        <v>137</v>
      </c>
      <c r="F17" s="37" t="s">
        <v>126</v>
      </c>
      <c r="G17" s="37" t="s">
        <v>89</v>
      </c>
      <c r="H17" s="46" t="s">
        <v>138</v>
      </c>
      <c r="I17" s="37" t="s">
        <v>140</v>
      </c>
      <c r="J17" s="40" t="s">
        <v>141</v>
      </c>
      <c r="K17" s="37" t="s">
        <v>103</v>
      </c>
      <c r="L17" s="37" t="s">
        <v>103</v>
      </c>
      <c r="M17" s="37" t="s">
        <v>121</v>
      </c>
      <c r="N17" s="37">
        <v>4</v>
      </c>
      <c r="O17" s="43">
        <v>2</v>
      </c>
      <c r="P17" s="44" t="s">
        <v>122</v>
      </c>
      <c r="Q17" s="29" t="s">
        <v>95</v>
      </c>
      <c r="R17" s="37"/>
      <c r="S17" s="41"/>
      <c r="T17" s="37" t="s">
        <v>123</v>
      </c>
      <c r="U17" s="37" t="s">
        <v>97</v>
      </c>
      <c r="V17" s="37" t="s">
        <v>98</v>
      </c>
      <c r="W17" s="37"/>
      <c r="X17" s="37" t="s">
        <v>129</v>
      </c>
      <c r="Y17" t="str">
        <f>IFERROR(HYPERLINK("#'Main'!B"&amp;MATCH(TRIM(H17),Main!B:B,0),"Open"),HYPERLINK("#'Main'!B1","Open"))</f>
        <v>Open</v>
      </c>
      <c r="Z17" t="str">
        <f>IFERROR(INDEX('Content Optimisation Hub'!C:C,MATCH(H17,'Content Optimisation Hub'!F:F,0)),"Not in Hub")</f>
        <v>Not in Hub</v>
      </c>
    </row>
    <row r="18" spans="1:27" ht="60" customHeight="1" x14ac:dyDescent="0.25">
      <c r="A18" s="28" t="s">
        <v>142</v>
      </c>
      <c r="B18" s="42" t="s">
        <v>50</v>
      </c>
      <c r="C18" s="34">
        <v>67</v>
      </c>
      <c r="D18" s="31">
        <v>3</v>
      </c>
      <c r="E18" s="32" t="s">
        <v>143</v>
      </c>
      <c r="F18" s="28" t="s">
        <v>56</v>
      </c>
      <c r="G18" s="28" t="s">
        <v>89</v>
      </c>
      <c r="H18" s="45" t="s">
        <v>138</v>
      </c>
      <c r="I18" s="28" t="s">
        <v>113</v>
      </c>
      <c r="J18" s="33" t="s">
        <v>114</v>
      </c>
      <c r="K18" s="28" t="s">
        <v>103</v>
      </c>
      <c r="L18" s="28" t="s">
        <v>103</v>
      </c>
      <c r="M18" s="28" t="s">
        <v>121</v>
      </c>
      <c r="N18" s="28">
        <v>4</v>
      </c>
      <c r="O18" s="43">
        <v>2</v>
      </c>
      <c r="P18" s="44" t="s">
        <v>122</v>
      </c>
      <c r="Q18" s="29" t="s">
        <v>95</v>
      </c>
      <c r="R18" s="28"/>
      <c r="S18" s="35"/>
      <c r="T18" s="28" t="s">
        <v>123</v>
      </c>
      <c r="U18" s="28" t="s">
        <v>97</v>
      </c>
      <c r="V18" s="28" t="s">
        <v>98</v>
      </c>
      <c r="W18" s="28"/>
      <c r="X18" s="28" t="s">
        <v>99</v>
      </c>
      <c r="Y18" s="36" t="str">
        <f>IFERROR(HYPERLINK("#'Main'!B"&amp;MATCH(TRIM(H18),Main!B:B,0),"Open"),HYPERLINK("#'Main'!B1","Open"))</f>
        <v>Open</v>
      </c>
      <c r="Z18" s="36" t="str">
        <f>IFERROR(INDEX('Content Optimisation Hub'!C:C,MATCH(H18,'Content Optimisation Hub'!F:F,0)),"Not in Hub")</f>
        <v>Not in Hub</v>
      </c>
      <c r="AA18" s="36"/>
    </row>
    <row r="19" spans="1:27" ht="90" customHeight="1" x14ac:dyDescent="0.25">
      <c r="A19" s="37" t="s">
        <v>144</v>
      </c>
      <c r="B19" s="42" t="s">
        <v>50</v>
      </c>
      <c r="C19" s="34">
        <v>67</v>
      </c>
      <c r="D19" s="38">
        <v>4</v>
      </c>
      <c r="E19" s="39" t="s">
        <v>145</v>
      </c>
      <c r="F19" s="37" t="s">
        <v>56</v>
      </c>
      <c r="G19" s="37" t="s">
        <v>89</v>
      </c>
      <c r="H19" s="46" t="s">
        <v>146</v>
      </c>
      <c r="I19" s="37" t="s">
        <v>113</v>
      </c>
      <c r="J19" s="40" t="s">
        <v>114</v>
      </c>
      <c r="K19" s="37" t="s">
        <v>103</v>
      </c>
      <c r="L19" s="37" t="s">
        <v>103</v>
      </c>
      <c r="M19" s="37" t="s">
        <v>121</v>
      </c>
      <c r="N19" s="37">
        <v>4</v>
      </c>
      <c r="O19" s="43">
        <v>2</v>
      </c>
      <c r="P19" s="44" t="s">
        <v>122</v>
      </c>
      <c r="Q19" s="29" t="s">
        <v>95</v>
      </c>
      <c r="R19" s="37"/>
      <c r="S19" s="41"/>
      <c r="T19" s="37" t="s">
        <v>123</v>
      </c>
      <c r="U19" s="37" t="s">
        <v>97</v>
      </c>
      <c r="V19" s="37" t="s">
        <v>98</v>
      </c>
      <c r="W19" s="37"/>
      <c r="X19" s="37" t="s">
        <v>99</v>
      </c>
      <c r="Y19" t="str">
        <f>IFERROR(HYPERLINK("#'Main'!B"&amp;MATCH(TRIM(H19),Main!B:B,0),"Open"),HYPERLINK("#'Main'!B1","Open"))</f>
        <v>Open</v>
      </c>
      <c r="Z19" t="str">
        <f>IFERROR(INDEX('Content Optimisation Hub'!C:C,MATCH(H19,'Content Optimisation Hub'!F:F,0)),"Not in Hub")</f>
        <v>Not in Hub</v>
      </c>
    </row>
    <row r="20" spans="1:27" ht="30" customHeight="1" x14ac:dyDescent="0.25">
      <c r="A20" s="28" t="s">
        <v>147</v>
      </c>
      <c r="B20" s="42" t="s">
        <v>50</v>
      </c>
      <c r="C20" s="34">
        <v>67</v>
      </c>
      <c r="D20" s="31">
        <v>1</v>
      </c>
      <c r="E20" s="32" t="s">
        <v>148</v>
      </c>
      <c r="F20" s="28" t="s">
        <v>56</v>
      </c>
      <c r="G20" s="28" t="s">
        <v>89</v>
      </c>
      <c r="H20" s="45" t="s">
        <v>148</v>
      </c>
      <c r="I20" s="28" t="s">
        <v>149</v>
      </c>
      <c r="J20" s="33" t="s">
        <v>150</v>
      </c>
      <c r="K20" s="28" t="s">
        <v>103</v>
      </c>
      <c r="L20" s="28" t="s">
        <v>103</v>
      </c>
      <c r="M20" s="28" t="s">
        <v>121</v>
      </c>
      <c r="N20" s="28">
        <v>4</v>
      </c>
      <c r="O20" s="43">
        <v>2</v>
      </c>
      <c r="P20" s="44" t="s">
        <v>122</v>
      </c>
      <c r="Q20" s="29" t="s">
        <v>95</v>
      </c>
      <c r="R20" s="28"/>
      <c r="S20" s="35"/>
      <c r="T20" s="28" t="s">
        <v>123</v>
      </c>
      <c r="U20" s="28" t="s">
        <v>97</v>
      </c>
      <c r="V20" s="28" t="s">
        <v>98</v>
      </c>
      <c r="W20" s="28"/>
      <c r="X20" s="28" t="s">
        <v>99</v>
      </c>
      <c r="Y20" s="36" t="str">
        <f>IFERROR(HYPERLINK("#'Main'!B"&amp;MATCH(TRIM(H20),Main!B:B,0),"Open"),HYPERLINK("#'Main'!B1","Open"))</f>
        <v>Open</v>
      </c>
      <c r="Z20" s="36" t="str">
        <f>IFERROR(INDEX('Content Optimisation Hub'!C:C,MATCH(H20,'Content Optimisation Hub'!F:F,0)),"Not in Hub")</f>
        <v>Not in Hub</v>
      </c>
      <c r="AA20" s="36"/>
    </row>
    <row r="21" spans="1:27" ht="15.75" x14ac:dyDescent="0.25">
      <c r="A21" s="47" t="s">
        <v>151</v>
      </c>
      <c r="B21" s="48" t="s">
        <v>152</v>
      </c>
      <c r="C21" s="49">
        <v>37</v>
      </c>
      <c r="D21" s="38">
        <v>0</v>
      </c>
      <c r="E21" s="39"/>
      <c r="F21" s="37" t="s">
        <v>56</v>
      </c>
      <c r="G21" s="37" t="s">
        <v>89</v>
      </c>
      <c r="H21" s="39"/>
      <c r="I21" s="37" t="s">
        <v>113</v>
      </c>
      <c r="J21" s="40" t="s">
        <v>114</v>
      </c>
      <c r="K21" s="37" t="s">
        <v>107</v>
      </c>
      <c r="L21" s="37" t="s">
        <v>107</v>
      </c>
      <c r="M21" s="37" t="s">
        <v>121</v>
      </c>
      <c r="N21" s="37">
        <v>4</v>
      </c>
      <c r="O21" s="43">
        <v>2</v>
      </c>
      <c r="P21" s="48" t="s">
        <v>153</v>
      </c>
      <c r="Q21" s="37" t="s">
        <v>154</v>
      </c>
      <c r="R21" s="37"/>
      <c r="S21" s="41"/>
      <c r="T21" s="37" t="s">
        <v>155</v>
      </c>
      <c r="U21" s="37" t="s">
        <v>156</v>
      </c>
      <c r="V21" s="37" t="s">
        <v>98</v>
      </c>
      <c r="W21" s="37"/>
      <c r="X21" s="37" t="s">
        <v>99</v>
      </c>
      <c r="Y21" t="str">
        <f>IFERROR(HYPERLINK("#'Main'!B"&amp;MATCH(TRIM(H21),Main!B:B,0),"Open"),HYPERLINK("#'Main'!B1","Open"))</f>
        <v>Open</v>
      </c>
      <c r="Z21" t="str">
        <f>IFERROR(INDEX('Content Optimisation Hub'!C:C,MATCH(H21,'Content Optimisation Hub'!F:F,0)),"Not in Hub")</f>
        <v>Not in Hub</v>
      </c>
    </row>
    <row r="22" spans="1:27" ht="15.75" x14ac:dyDescent="0.25">
      <c r="A22" s="47" t="s">
        <v>157</v>
      </c>
      <c r="B22" s="48" t="s">
        <v>152</v>
      </c>
      <c r="C22" s="49">
        <v>37</v>
      </c>
      <c r="D22" s="31">
        <v>0</v>
      </c>
      <c r="E22" s="32"/>
      <c r="F22" s="28" t="s">
        <v>56</v>
      </c>
      <c r="G22" s="28" t="s">
        <v>89</v>
      </c>
      <c r="H22" s="32"/>
      <c r="I22" s="28" t="s">
        <v>113</v>
      </c>
      <c r="J22" s="33" t="s">
        <v>114</v>
      </c>
      <c r="K22" s="28" t="s">
        <v>103</v>
      </c>
      <c r="L22" s="28" t="s">
        <v>103</v>
      </c>
      <c r="M22" s="28" t="s">
        <v>121</v>
      </c>
      <c r="N22" s="28">
        <v>4</v>
      </c>
      <c r="O22" s="43">
        <v>2</v>
      </c>
      <c r="P22" s="48" t="s">
        <v>153</v>
      </c>
      <c r="Q22" s="28" t="s">
        <v>154</v>
      </c>
      <c r="R22" s="28"/>
      <c r="S22" s="35"/>
      <c r="T22" s="28" t="s">
        <v>155</v>
      </c>
      <c r="U22" s="28" t="s">
        <v>156</v>
      </c>
      <c r="V22" s="28" t="s">
        <v>98</v>
      </c>
      <c r="W22" s="28"/>
      <c r="X22" s="28" t="s">
        <v>99</v>
      </c>
      <c r="Y22" s="36" t="str">
        <f>IFERROR(HYPERLINK("#'Main'!B"&amp;MATCH(TRIM(H22),Main!B:B,0),"Open"),HYPERLINK("#'Main'!B1","Open"))</f>
        <v>Open</v>
      </c>
      <c r="Z22" s="36" t="str">
        <f>IFERROR(INDEX('Content Optimisation Hub'!C:C,MATCH(H22,'Content Optimisation Hub'!F:F,0)),"Not in Hub")</f>
        <v>Not in Hub</v>
      </c>
      <c r="AA22" s="36"/>
    </row>
    <row r="23" spans="1:27" ht="15.75" x14ac:dyDescent="0.25">
      <c r="A23" s="47" t="s">
        <v>158</v>
      </c>
      <c r="B23" s="48" t="s">
        <v>152</v>
      </c>
      <c r="C23" s="49">
        <v>37</v>
      </c>
      <c r="D23" s="38">
        <v>0</v>
      </c>
      <c r="E23" s="39"/>
      <c r="F23" s="37" t="s">
        <v>56</v>
      </c>
      <c r="G23" s="37" t="s">
        <v>109</v>
      </c>
      <c r="H23" s="39"/>
      <c r="I23" s="37" t="s">
        <v>113</v>
      </c>
      <c r="J23" s="40" t="s">
        <v>114</v>
      </c>
      <c r="K23" s="37" t="s">
        <v>92</v>
      </c>
      <c r="L23" s="37" t="s">
        <v>92</v>
      </c>
      <c r="M23" s="37" t="s">
        <v>121</v>
      </c>
      <c r="N23" s="37">
        <v>4</v>
      </c>
      <c r="O23" s="43">
        <v>2</v>
      </c>
      <c r="P23" s="48" t="s">
        <v>153</v>
      </c>
      <c r="Q23" s="37" t="s">
        <v>154</v>
      </c>
      <c r="R23" s="37"/>
      <c r="S23" s="41"/>
      <c r="T23" s="37" t="s">
        <v>155</v>
      </c>
      <c r="U23" s="37" t="s">
        <v>156</v>
      </c>
      <c r="V23" s="37" t="s">
        <v>98</v>
      </c>
      <c r="W23" s="37"/>
      <c r="X23" s="37" t="s">
        <v>99</v>
      </c>
      <c r="Y23" t="str">
        <f>IFERROR(HYPERLINK("#'Main'!B"&amp;MATCH(TRIM(H23),Main!B:B,0),"Open"),HYPERLINK("#'Main'!B1","Open"))</f>
        <v>Open</v>
      </c>
      <c r="Z23" t="str">
        <f>IFERROR(INDEX('Content Optimisation Hub'!C:C,MATCH(H23,'Content Optimisation Hub'!F:F,0)),"Not in Hub")</f>
        <v>Not in Hub</v>
      </c>
    </row>
    <row r="24" spans="1:27" ht="15.75" x14ac:dyDescent="0.25">
      <c r="A24" s="47" t="s">
        <v>159</v>
      </c>
      <c r="B24" s="48" t="s">
        <v>152</v>
      </c>
      <c r="C24" s="49">
        <v>37</v>
      </c>
      <c r="D24" s="31">
        <v>0</v>
      </c>
      <c r="E24" s="32"/>
      <c r="F24" s="28" t="s">
        <v>56</v>
      </c>
      <c r="G24" s="28" t="s">
        <v>109</v>
      </c>
      <c r="H24" s="32"/>
      <c r="I24" s="28" t="s">
        <v>113</v>
      </c>
      <c r="J24" s="33" t="s">
        <v>114</v>
      </c>
      <c r="K24" s="28" t="s">
        <v>92</v>
      </c>
      <c r="L24" s="28" t="s">
        <v>92</v>
      </c>
      <c r="M24" s="28" t="s">
        <v>121</v>
      </c>
      <c r="N24" s="28">
        <v>4</v>
      </c>
      <c r="O24" s="43">
        <v>2</v>
      </c>
      <c r="P24" s="48" t="s">
        <v>153</v>
      </c>
      <c r="Q24" s="28" t="s">
        <v>154</v>
      </c>
      <c r="R24" s="28"/>
      <c r="S24" s="35"/>
      <c r="T24" s="28" t="s">
        <v>155</v>
      </c>
      <c r="U24" s="28" t="s">
        <v>156</v>
      </c>
      <c r="V24" s="28" t="s">
        <v>98</v>
      </c>
      <c r="W24" s="28"/>
      <c r="X24" s="28" t="s">
        <v>99</v>
      </c>
      <c r="Y24" s="36" t="str">
        <f>IFERROR(HYPERLINK("#'Main'!B"&amp;MATCH(TRIM(H24),Main!B:B,0),"Open"),HYPERLINK("#'Main'!B1","Open"))</f>
        <v>Open</v>
      </c>
      <c r="Z24" s="36" t="str">
        <f>IFERROR(INDEX('Content Optimisation Hub'!C:C,MATCH(H24,'Content Optimisation Hub'!F:F,0)),"Not in Hub")</f>
        <v>Not in Hub</v>
      </c>
      <c r="AA24" s="36"/>
    </row>
    <row r="25" spans="1:27" ht="15.75" x14ac:dyDescent="0.25">
      <c r="A25" s="47" t="s">
        <v>160</v>
      </c>
      <c r="B25" s="48" t="s">
        <v>152</v>
      </c>
      <c r="C25" s="49">
        <v>37</v>
      </c>
      <c r="D25" s="38">
        <v>0</v>
      </c>
      <c r="E25" s="39"/>
      <c r="F25" s="37" t="s">
        <v>56</v>
      </c>
      <c r="G25" s="37" t="s">
        <v>89</v>
      </c>
      <c r="H25" s="39"/>
      <c r="I25" s="37" t="s">
        <v>113</v>
      </c>
      <c r="J25" s="40" t="s">
        <v>114</v>
      </c>
      <c r="K25" s="37" t="s">
        <v>103</v>
      </c>
      <c r="L25" s="37" t="s">
        <v>103</v>
      </c>
      <c r="M25" s="37" t="s">
        <v>121</v>
      </c>
      <c r="N25" s="37">
        <v>4</v>
      </c>
      <c r="O25" s="43">
        <v>2</v>
      </c>
      <c r="P25" s="48" t="s">
        <v>153</v>
      </c>
      <c r="Q25" s="37" t="s">
        <v>154</v>
      </c>
      <c r="R25" s="37"/>
      <c r="S25" s="41"/>
      <c r="T25" s="37" t="s">
        <v>155</v>
      </c>
      <c r="U25" s="37" t="s">
        <v>156</v>
      </c>
      <c r="V25" s="37" t="s">
        <v>98</v>
      </c>
      <c r="W25" s="37"/>
      <c r="X25" s="37" t="s">
        <v>99</v>
      </c>
      <c r="Y25" t="str">
        <f>IFERROR(HYPERLINK("#'Main'!B"&amp;MATCH(TRIM(H25),Main!B:B,0),"Open"),HYPERLINK("#'Main'!B1","Open"))</f>
        <v>Open</v>
      </c>
      <c r="Z25" t="str">
        <f>IFERROR(INDEX('Content Optimisation Hub'!C:C,MATCH(H25,'Content Optimisation Hub'!F:F,0)),"Not in Hub")</f>
        <v>Not in Hub</v>
      </c>
    </row>
    <row r="26" spans="1:27" ht="15.75" x14ac:dyDescent="0.25">
      <c r="A26" s="47" t="s">
        <v>161</v>
      </c>
      <c r="B26" s="48" t="s">
        <v>152</v>
      </c>
      <c r="C26" s="49">
        <v>37</v>
      </c>
      <c r="D26" s="31">
        <v>0</v>
      </c>
      <c r="E26" s="32"/>
      <c r="F26" s="28" t="s">
        <v>56</v>
      </c>
      <c r="G26" s="28" t="s">
        <v>89</v>
      </c>
      <c r="H26" s="32"/>
      <c r="I26" s="28" t="s">
        <v>113</v>
      </c>
      <c r="J26" s="33" t="s">
        <v>114</v>
      </c>
      <c r="K26" s="28" t="s">
        <v>103</v>
      </c>
      <c r="L26" s="28" t="s">
        <v>103</v>
      </c>
      <c r="M26" s="28" t="s">
        <v>121</v>
      </c>
      <c r="N26" s="28">
        <v>4</v>
      </c>
      <c r="O26" s="43">
        <v>2</v>
      </c>
      <c r="P26" s="48" t="s">
        <v>153</v>
      </c>
      <c r="Q26" s="28" t="s">
        <v>154</v>
      </c>
      <c r="R26" s="28"/>
      <c r="S26" s="35"/>
      <c r="T26" s="28" t="s">
        <v>155</v>
      </c>
      <c r="U26" s="28" t="s">
        <v>156</v>
      </c>
      <c r="V26" s="28" t="s">
        <v>98</v>
      </c>
      <c r="W26" s="28"/>
      <c r="X26" s="28" t="s">
        <v>99</v>
      </c>
      <c r="Y26" s="36" t="str">
        <f>IFERROR(HYPERLINK("#'Main'!B"&amp;MATCH(TRIM(H26),Main!B:B,0),"Open"),HYPERLINK("#'Main'!B1","Open"))</f>
        <v>Open</v>
      </c>
      <c r="Z26" s="36" t="str">
        <f>IFERROR(INDEX('Content Optimisation Hub'!C:C,MATCH(H26,'Content Optimisation Hub'!F:F,0)),"Not in Hub")</f>
        <v>Not in Hub</v>
      </c>
      <c r="AA26" s="36"/>
    </row>
    <row r="27" spans="1:27" ht="15.75" x14ac:dyDescent="0.25">
      <c r="A27" s="47" t="s">
        <v>162</v>
      </c>
      <c r="B27" s="48" t="s">
        <v>152</v>
      </c>
      <c r="C27" s="49">
        <v>37</v>
      </c>
      <c r="D27" s="38">
        <v>0</v>
      </c>
      <c r="E27" s="39"/>
      <c r="F27" s="37" t="s">
        <v>56</v>
      </c>
      <c r="G27" s="37" t="s">
        <v>89</v>
      </c>
      <c r="H27" s="39"/>
      <c r="I27" s="37" t="s">
        <v>113</v>
      </c>
      <c r="J27" s="40" t="s">
        <v>114</v>
      </c>
      <c r="K27" s="37" t="s">
        <v>103</v>
      </c>
      <c r="L27" s="37" t="s">
        <v>103</v>
      </c>
      <c r="M27" s="37" t="s">
        <v>121</v>
      </c>
      <c r="N27" s="37">
        <v>4</v>
      </c>
      <c r="O27" s="43">
        <v>2</v>
      </c>
      <c r="P27" s="48" t="s">
        <v>153</v>
      </c>
      <c r="Q27" s="37" t="s">
        <v>154</v>
      </c>
      <c r="R27" s="37"/>
      <c r="S27" s="41"/>
      <c r="T27" s="37" t="s">
        <v>155</v>
      </c>
      <c r="U27" s="37" t="s">
        <v>156</v>
      </c>
      <c r="V27" s="37" t="s">
        <v>98</v>
      </c>
      <c r="W27" s="37"/>
      <c r="X27" s="37" t="s">
        <v>99</v>
      </c>
      <c r="Y27" t="str">
        <f>IFERROR(HYPERLINK("#'Main'!B"&amp;MATCH(TRIM(H27),Main!B:B,0),"Open"),HYPERLINK("#'Main'!B1","Open"))</f>
        <v>Open</v>
      </c>
      <c r="Z27" t="str">
        <f>IFERROR(INDEX('Content Optimisation Hub'!C:C,MATCH(H27,'Content Optimisation Hub'!F:F,0)),"Not in Hub")</f>
        <v>Not in Hub</v>
      </c>
    </row>
    <row r="28" spans="1:27" ht="15.75" x14ac:dyDescent="0.25">
      <c r="A28" s="47" t="s">
        <v>163</v>
      </c>
      <c r="B28" s="48" t="s">
        <v>152</v>
      </c>
      <c r="C28" s="49">
        <v>37</v>
      </c>
      <c r="D28" s="31">
        <v>0</v>
      </c>
      <c r="E28" s="32"/>
      <c r="F28" s="28" t="s">
        <v>56</v>
      </c>
      <c r="G28" s="28" t="s">
        <v>89</v>
      </c>
      <c r="H28" s="32"/>
      <c r="I28" s="28" t="s">
        <v>113</v>
      </c>
      <c r="J28" s="33" t="s">
        <v>114</v>
      </c>
      <c r="K28" s="28" t="s">
        <v>103</v>
      </c>
      <c r="L28" s="28" t="s">
        <v>103</v>
      </c>
      <c r="M28" s="28" t="s">
        <v>121</v>
      </c>
      <c r="N28" s="28">
        <v>4</v>
      </c>
      <c r="O28" s="43">
        <v>2</v>
      </c>
      <c r="P28" s="48" t="s">
        <v>153</v>
      </c>
      <c r="Q28" s="28" t="s">
        <v>154</v>
      </c>
      <c r="R28" s="28"/>
      <c r="S28" s="35"/>
      <c r="T28" s="28" t="s">
        <v>155</v>
      </c>
      <c r="U28" s="28" t="s">
        <v>156</v>
      </c>
      <c r="V28" s="28" t="s">
        <v>98</v>
      </c>
      <c r="W28" s="28"/>
      <c r="X28" s="28" t="s">
        <v>99</v>
      </c>
      <c r="Y28" s="36" t="str">
        <f>IFERROR(HYPERLINK("#'Main'!B"&amp;MATCH(TRIM(H28),Main!B:B,0),"Open"),HYPERLINK("#'Main'!B1","Open"))</f>
        <v>Open</v>
      </c>
      <c r="Z28" s="36" t="str">
        <f>IFERROR(INDEX('Content Optimisation Hub'!C:C,MATCH(H28,'Content Optimisation Hub'!F:F,0)),"Not in Hub")</f>
        <v>Not in Hub</v>
      </c>
      <c r="AA28" s="36"/>
    </row>
    <row r="29" spans="1:27" ht="105" customHeight="1" x14ac:dyDescent="0.25">
      <c r="A29" s="47" t="s">
        <v>164</v>
      </c>
      <c r="B29" s="48" t="s">
        <v>152</v>
      </c>
      <c r="C29" s="49">
        <v>37</v>
      </c>
      <c r="D29" s="38">
        <v>5</v>
      </c>
      <c r="E29" s="39" t="s">
        <v>165</v>
      </c>
      <c r="F29" s="37" t="s">
        <v>56</v>
      </c>
      <c r="G29" s="37" t="s">
        <v>89</v>
      </c>
      <c r="H29" s="46" t="s">
        <v>166</v>
      </c>
      <c r="I29" s="37" t="s">
        <v>167</v>
      </c>
      <c r="J29" s="40" t="s">
        <v>168</v>
      </c>
      <c r="K29" s="37" t="s">
        <v>103</v>
      </c>
      <c r="L29" s="37" t="s">
        <v>103</v>
      </c>
      <c r="M29" s="37" t="s">
        <v>121</v>
      </c>
      <c r="N29" s="37">
        <v>4</v>
      </c>
      <c r="O29" s="43">
        <v>2</v>
      </c>
      <c r="P29" s="48" t="s">
        <v>153</v>
      </c>
      <c r="Q29" s="37" t="s">
        <v>154</v>
      </c>
      <c r="R29" s="37"/>
      <c r="S29" s="41"/>
      <c r="T29" s="37" t="s">
        <v>155</v>
      </c>
      <c r="U29" s="37" t="s">
        <v>156</v>
      </c>
      <c r="V29" s="37" t="s">
        <v>98</v>
      </c>
      <c r="W29" s="37"/>
      <c r="X29" s="37" t="s">
        <v>99</v>
      </c>
      <c r="Y29" t="str">
        <f>IFERROR(HYPERLINK("#'Main'!B"&amp;MATCH(TRIM(H29),Main!B:B,0),"Open"),HYPERLINK("#'Main'!B1","Open"))</f>
        <v>Open</v>
      </c>
      <c r="Z29" t="str">
        <f>IFERROR(INDEX('Content Optimisation Hub'!C:C,MATCH(H29,'Content Optimisation Hub'!F:F,0)),"Not in Hub")</f>
        <v>Not in Hub</v>
      </c>
    </row>
    <row r="30" spans="1:27" ht="15.75" x14ac:dyDescent="0.25">
      <c r="A30" s="47" t="s">
        <v>169</v>
      </c>
      <c r="B30" s="48" t="s">
        <v>152</v>
      </c>
      <c r="C30" s="49">
        <v>37</v>
      </c>
      <c r="D30" s="31">
        <v>1</v>
      </c>
      <c r="E30" s="32" t="s">
        <v>166</v>
      </c>
      <c r="F30" s="28" t="s">
        <v>117</v>
      </c>
      <c r="G30" s="28" t="s">
        <v>89</v>
      </c>
      <c r="H30" s="45" t="s">
        <v>166</v>
      </c>
      <c r="I30" s="28" t="s">
        <v>113</v>
      </c>
      <c r="J30" s="33" t="s">
        <v>114</v>
      </c>
      <c r="K30" s="28" t="s">
        <v>103</v>
      </c>
      <c r="L30" s="28" t="s">
        <v>103</v>
      </c>
      <c r="M30" s="28" t="s">
        <v>121</v>
      </c>
      <c r="N30" s="28">
        <v>4</v>
      </c>
      <c r="O30" s="43">
        <v>2</v>
      </c>
      <c r="P30" s="48" t="s">
        <v>153</v>
      </c>
      <c r="Q30" s="28" t="s">
        <v>154</v>
      </c>
      <c r="R30" s="28"/>
      <c r="S30" s="35"/>
      <c r="T30" s="28" t="s">
        <v>155</v>
      </c>
      <c r="U30" s="28" t="s">
        <v>156</v>
      </c>
      <c r="V30" s="28" t="s">
        <v>98</v>
      </c>
      <c r="W30" s="28"/>
      <c r="X30" s="28" t="s">
        <v>99</v>
      </c>
      <c r="Y30" s="36" t="str">
        <f>IFERROR(HYPERLINK("#'Main'!B"&amp;MATCH(TRIM(H30),Main!B:B,0),"Open"),HYPERLINK("#'Main'!B1","Open"))</f>
        <v>Open</v>
      </c>
      <c r="Z30" s="36" t="str">
        <f>IFERROR(INDEX('Content Optimisation Hub'!C:C,MATCH(H30,'Content Optimisation Hub'!F:F,0)),"Not in Hub")</f>
        <v>Not in Hub</v>
      </c>
      <c r="AA30" s="36"/>
    </row>
    <row r="31" spans="1:27" ht="120" customHeight="1" x14ac:dyDescent="0.25">
      <c r="A31" s="47" t="s">
        <v>34</v>
      </c>
      <c r="B31" s="48" t="s">
        <v>152</v>
      </c>
      <c r="C31" s="49">
        <v>37</v>
      </c>
      <c r="D31" s="38">
        <v>10</v>
      </c>
      <c r="E31" s="39" t="s">
        <v>137</v>
      </c>
      <c r="F31" s="37" t="s">
        <v>56</v>
      </c>
      <c r="G31" s="37" t="s">
        <v>109</v>
      </c>
      <c r="H31" s="46" t="s">
        <v>138</v>
      </c>
      <c r="I31" s="37" t="s">
        <v>113</v>
      </c>
      <c r="J31" s="40" t="s">
        <v>114</v>
      </c>
      <c r="K31" s="37" t="s">
        <v>92</v>
      </c>
      <c r="L31" s="37" t="s">
        <v>92</v>
      </c>
      <c r="M31" s="37" t="s">
        <v>121</v>
      </c>
      <c r="N31" s="37">
        <v>4</v>
      </c>
      <c r="O31" s="43">
        <v>2</v>
      </c>
      <c r="P31" s="48" t="s">
        <v>153</v>
      </c>
      <c r="Q31" s="37" t="s">
        <v>154</v>
      </c>
      <c r="R31" s="37"/>
      <c r="S31" s="41"/>
      <c r="T31" s="37" t="s">
        <v>155</v>
      </c>
      <c r="U31" s="37" t="s">
        <v>156</v>
      </c>
      <c r="V31" s="37" t="s">
        <v>98</v>
      </c>
      <c r="W31" s="37"/>
      <c r="X31" s="37" t="s">
        <v>99</v>
      </c>
      <c r="Y31" t="str">
        <f>IFERROR(HYPERLINK("#'Main'!B"&amp;MATCH(TRIM(H31),Main!B:B,0),"Open"),HYPERLINK("#'Main'!B1","Open"))</f>
        <v>Open</v>
      </c>
      <c r="Z31" t="str">
        <f>IFERROR(INDEX('Content Optimisation Hub'!C:C,MATCH(H31,'Content Optimisation Hub'!F:F,0)),"Not in Hub")</f>
        <v>Not in Hub</v>
      </c>
    </row>
    <row r="32" spans="1:27" ht="120" customHeight="1" x14ac:dyDescent="0.25">
      <c r="A32" s="47" t="s">
        <v>170</v>
      </c>
      <c r="B32" s="48" t="s">
        <v>152</v>
      </c>
      <c r="C32" s="49">
        <v>37</v>
      </c>
      <c r="D32" s="31">
        <v>10</v>
      </c>
      <c r="E32" s="32" t="s">
        <v>137</v>
      </c>
      <c r="F32" s="28" t="s">
        <v>126</v>
      </c>
      <c r="G32" s="28" t="s">
        <v>89</v>
      </c>
      <c r="H32" s="45" t="s">
        <v>138</v>
      </c>
      <c r="I32" s="28" t="s">
        <v>171</v>
      </c>
      <c r="J32" s="33" t="s">
        <v>172</v>
      </c>
      <c r="K32" s="28" t="s">
        <v>103</v>
      </c>
      <c r="L32" s="28" t="s">
        <v>103</v>
      </c>
      <c r="M32" s="28" t="s">
        <v>121</v>
      </c>
      <c r="N32" s="28">
        <v>4</v>
      </c>
      <c r="O32" s="43">
        <v>2</v>
      </c>
      <c r="P32" s="48" t="s">
        <v>153</v>
      </c>
      <c r="Q32" s="28" t="s">
        <v>154</v>
      </c>
      <c r="R32" s="28"/>
      <c r="S32" s="35"/>
      <c r="T32" s="28" t="s">
        <v>155</v>
      </c>
      <c r="U32" s="28" t="s">
        <v>156</v>
      </c>
      <c r="V32" s="28" t="s">
        <v>98</v>
      </c>
      <c r="W32" s="28"/>
      <c r="X32" s="28" t="s">
        <v>129</v>
      </c>
      <c r="Y32" s="36" t="str">
        <f>IFERROR(HYPERLINK("#'Main'!B"&amp;MATCH(TRIM(H32),Main!B:B,0),"Open"),HYPERLINK("#'Main'!B1","Open"))</f>
        <v>Open</v>
      </c>
      <c r="Z32" s="36" t="str">
        <f>IFERROR(INDEX('Content Optimisation Hub'!C:C,MATCH(H32,'Content Optimisation Hub'!F:F,0)),"Not in Hub")</f>
        <v>Not in Hub</v>
      </c>
      <c r="AA32" s="36"/>
    </row>
    <row r="33" spans="1:27" ht="120" customHeight="1" x14ac:dyDescent="0.25">
      <c r="A33" s="47" t="s">
        <v>173</v>
      </c>
      <c r="B33" s="48" t="s">
        <v>152</v>
      </c>
      <c r="C33" s="49">
        <v>37</v>
      </c>
      <c r="D33" s="38">
        <v>10</v>
      </c>
      <c r="E33" s="39" t="s">
        <v>137</v>
      </c>
      <c r="F33" s="37" t="s">
        <v>126</v>
      </c>
      <c r="G33" s="37" t="s">
        <v>89</v>
      </c>
      <c r="H33" s="46" t="s">
        <v>138</v>
      </c>
      <c r="I33" s="37" t="s">
        <v>174</v>
      </c>
      <c r="J33" s="40" t="s">
        <v>175</v>
      </c>
      <c r="K33" s="37" t="s">
        <v>103</v>
      </c>
      <c r="L33" s="37" t="s">
        <v>103</v>
      </c>
      <c r="M33" s="37" t="s">
        <v>121</v>
      </c>
      <c r="N33" s="37">
        <v>4</v>
      </c>
      <c r="O33" s="43">
        <v>2</v>
      </c>
      <c r="P33" s="48" t="s">
        <v>153</v>
      </c>
      <c r="Q33" s="37" t="s">
        <v>154</v>
      </c>
      <c r="R33" s="37"/>
      <c r="S33" s="41"/>
      <c r="T33" s="37" t="s">
        <v>155</v>
      </c>
      <c r="U33" s="37" t="s">
        <v>156</v>
      </c>
      <c r="V33" s="37" t="s">
        <v>98</v>
      </c>
      <c r="W33" s="37"/>
      <c r="X33" s="37" t="s">
        <v>129</v>
      </c>
      <c r="Y33" t="str">
        <f>IFERROR(HYPERLINK("#'Main'!B"&amp;MATCH(TRIM(H33),Main!B:B,0),"Open"),HYPERLINK("#'Main'!B1","Open"))</f>
        <v>Open</v>
      </c>
      <c r="Z33" t="str">
        <f>IFERROR(INDEX('Content Optimisation Hub'!C:C,MATCH(H33,'Content Optimisation Hub'!F:F,0)),"Not in Hub")</f>
        <v>Not in Hub</v>
      </c>
    </row>
    <row r="34" spans="1:27" ht="120" customHeight="1" x14ac:dyDescent="0.25">
      <c r="A34" s="47" t="s">
        <v>176</v>
      </c>
      <c r="B34" s="48" t="s">
        <v>152</v>
      </c>
      <c r="C34" s="49">
        <v>37</v>
      </c>
      <c r="D34" s="31">
        <v>10</v>
      </c>
      <c r="E34" s="32" t="s">
        <v>137</v>
      </c>
      <c r="F34" s="28" t="s">
        <v>126</v>
      </c>
      <c r="G34" s="28" t="s">
        <v>89</v>
      </c>
      <c r="H34" s="45" t="s">
        <v>138</v>
      </c>
      <c r="I34" s="28" t="s">
        <v>177</v>
      </c>
      <c r="J34" s="33" t="s">
        <v>178</v>
      </c>
      <c r="K34" s="28" t="s">
        <v>103</v>
      </c>
      <c r="L34" s="28" t="s">
        <v>103</v>
      </c>
      <c r="M34" s="28" t="s">
        <v>121</v>
      </c>
      <c r="N34" s="28">
        <v>4</v>
      </c>
      <c r="O34" s="43">
        <v>2</v>
      </c>
      <c r="P34" s="48" t="s">
        <v>153</v>
      </c>
      <c r="Q34" s="28" t="s">
        <v>154</v>
      </c>
      <c r="R34" s="28"/>
      <c r="S34" s="35"/>
      <c r="T34" s="28" t="s">
        <v>155</v>
      </c>
      <c r="U34" s="28" t="s">
        <v>156</v>
      </c>
      <c r="V34" s="28" t="s">
        <v>98</v>
      </c>
      <c r="W34" s="28"/>
      <c r="X34" s="28" t="s">
        <v>129</v>
      </c>
      <c r="Y34" s="36" t="str">
        <f>IFERROR(HYPERLINK("#'Main'!B"&amp;MATCH(TRIM(H34),Main!B:B,0),"Open"),HYPERLINK("#'Main'!B1","Open"))</f>
        <v>Open</v>
      </c>
      <c r="Z34" s="36" t="str">
        <f>IFERROR(INDEX('Content Optimisation Hub'!C:C,MATCH(H34,'Content Optimisation Hub'!F:F,0)),"Not in Hub")</f>
        <v>Not in Hub</v>
      </c>
      <c r="AA34" s="36"/>
    </row>
    <row r="35" spans="1:27" ht="120" customHeight="1" x14ac:dyDescent="0.25">
      <c r="A35" s="47" t="s">
        <v>179</v>
      </c>
      <c r="B35" s="48" t="s">
        <v>152</v>
      </c>
      <c r="C35" s="49">
        <v>37</v>
      </c>
      <c r="D35" s="38">
        <v>10</v>
      </c>
      <c r="E35" s="39" t="s">
        <v>137</v>
      </c>
      <c r="F35" s="37" t="s">
        <v>56</v>
      </c>
      <c r="G35" s="37" t="s">
        <v>89</v>
      </c>
      <c r="H35" s="46" t="s">
        <v>138</v>
      </c>
      <c r="I35" s="37" t="s">
        <v>113</v>
      </c>
      <c r="J35" s="40" t="s">
        <v>114</v>
      </c>
      <c r="K35" s="37" t="s">
        <v>103</v>
      </c>
      <c r="L35" s="37" t="s">
        <v>103</v>
      </c>
      <c r="M35" s="37" t="s">
        <v>121</v>
      </c>
      <c r="N35" s="37">
        <v>4</v>
      </c>
      <c r="O35" s="43">
        <v>2</v>
      </c>
      <c r="P35" s="48" t="s">
        <v>153</v>
      </c>
      <c r="Q35" s="37" t="s">
        <v>154</v>
      </c>
      <c r="R35" s="37"/>
      <c r="S35" s="41"/>
      <c r="T35" s="37" t="s">
        <v>155</v>
      </c>
      <c r="U35" s="37" t="s">
        <v>156</v>
      </c>
      <c r="V35" s="37" t="s">
        <v>98</v>
      </c>
      <c r="W35" s="37"/>
      <c r="X35" s="37" t="s">
        <v>99</v>
      </c>
      <c r="Y35" t="str">
        <f>IFERROR(HYPERLINK("#'Main'!B"&amp;MATCH(TRIM(H35),Main!B:B,0),"Open"),HYPERLINK("#'Main'!B1","Open"))</f>
        <v>Open</v>
      </c>
      <c r="Z35" t="str">
        <f>IFERROR(INDEX('Content Optimisation Hub'!C:C,MATCH(H35,'Content Optimisation Hub'!F:F,0)),"Not in Hub")</f>
        <v>Not in Hub</v>
      </c>
    </row>
  </sheetData>
  <autoFilter ref="A1:AA35" xr:uid="{00000000-0009-0000-0000-000002000000}"/>
  <conditionalFormatting sqref="C2:C35">
    <cfRule type="cellIs" dxfId="111" priority="1" operator="greaterThanOrEqual">
      <formula>85</formula>
    </cfRule>
    <cfRule type="cellIs" dxfId="110" priority="2" operator="between">
      <formula>65</formula>
      <formula>84</formula>
    </cfRule>
  </conditionalFormatting>
  <conditionalFormatting sqref="Q2:Q35">
    <cfRule type="expression" dxfId="109" priority="5" stopIfTrue="1">
      <formula>LOWER(Q2)="done"</formula>
    </cfRule>
    <cfRule type="expression" dxfId="108" priority="6" stopIfTrue="1">
      <formula>OR(LOWER(Q2)="to do",LOWER(Q2)="in progress",LOWER(Q2)="in review")</formula>
    </cfRule>
  </conditionalFormatting>
  <conditionalFormatting sqref="U2:U35">
    <cfRule type="expression" dxfId="107" priority="3" stopIfTrue="1">
      <formula>LOWER(U2)="yes"</formula>
    </cfRule>
    <cfRule type="expression" dxfId="106" priority="4" stopIfTrue="1">
      <formula>LOWER(U2)="no"</formula>
    </cfRule>
  </conditionalFormatting>
  <dataValidations count="1">
    <dataValidation type="list" allowBlank="1" showErrorMessage="1" errorTitle="Invalid Status" error="Select a value from the dropdown list." sqref="Q2:Q35" xr:uid="{00000000-0002-0000-0200-000000000000}">
      <formula1>"Open,In Progress,In Review,Done"</formula1>
    </dataValidation>
  </dataValidations>
  <hyperlinks>
    <hyperlink ref="AA1" location="'Dashboard'!A1" display="BACK TO DASHBOARD" xr:uid="{00000000-0004-0000-0200-000000000000}"/>
    <hyperlink ref="J2" location="'Technical Diagnostics'!A1" display="URL returns 4xx/5xx or equivalent failure." xr:uid="{00000000-0004-0000-0200-000001000000}"/>
    <hyperlink ref="J3" location="'Content &amp; AI Readiness'!A1" display="Template/page missing title tag." xr:uid="{00000000-0004-0000-0200-000002000000}"/>
    <hyperlink ref="J4" location="'Content &amp; AI Readiness'!A1" display="Meta robots or X-Robots-Tag contains noindex." xr:uid="{00000000-0004-0000-0200-000003000000}"/>
    <hyperlink ref="J5" location="'Content &amp; AI Readiness'!A1" display="Canonical targets a different URL variant." xr:uid="{00000000-0004-0000-0200-000004000000}"/>
    <hyperlink ref="J6" location="'Technical Diagnostics'!A1" display="Template/technical implementation quality issue." xr:uid="{00000000-0004-0000-0200-000005000000}"/>
    <hyperlink ref="J7" location="'Technical Diagnostics'!A1" display="Template/technical implementation quality issue." xr:uid="{00000000-0004-0000-0200-000006000000}"/>
    <hyperlink ref="J8" location="'Content &amp; AI Readiness'!A1" display="Internal links resolve to missing or error pages." xr:uid="{00000000-0004-0000-0200-000007000000}"/>
    <hyperlink ref="J9" location="'Technical Diagnostics'!A1" display="Template/technical implementation quality issue." xr:uid="{00000000-0004-0000-0200-000008000000}"/>
    <hyperlink ref="J10" location="'Technical Diagnostics'!A1" display="Template/technical implementation quality issue." xr:uid="{00000000-0004-0000-0200-000009000000}"/>
    <hyperlink ref="J11" location="'Technical Diagnostics'!A1" display="No FAQPage/QAPage schema found for likely Q&amp;A style content." xr:uid="{00000000-0004-0000-0200-00000A000000}"/>
    <hyperlink ref="J12" location="'Link Intelligence'!A1" display="Template/technical implementation quality issue." xr:uid="{00000000-0004-0000-0200-00000B000000}"/>
    <hyperlink ref="J13" location="'Technical Diagnostics'!A1" display="HTTPS page references insecure HTTP assets." xr:uid="{00000000-0004-0000-0200-00000C000000}"/>
    <hyperlink ref="J14" location="'Technical Diagnostics'!A1" display="Template/technical implementation quality issue." xr:uid="{00000000-0004-0000-0200-00000D000000}"/>
    <hyperlink ref="J15" location="'Technical Diagnostics'!A1" display="Template/technical implementation quality issue." xr:uid="{00000000-0004-0000-0200-00000E000000}"/>
    <hyperlink ref="H16" r:id="rId1" xr:uid="{00000000-0004-0000-0200-00000F000000}"/>
    <hyperlink ref="J16" location="'Technical Diagnostics'!A1" display="Template/technical implementation quality issue." xr:uid="{00000000-0004-0000-0200-000010000000}"/>
    <hyperlink ref="H17" r:id="rId2" xr:uid="{00000000-0004-0000-0200-000011000000}"/>
    <hyperlink ref="J17" location="'Technical Diagnostics'!A1" display="Page lacks concise answer-oriented signals and structured answer patterns." xr:uid="{00000000-0004-0000-0200-000012000000}"/>
    <hyperlink ref="H18" r:id="rId3" xr:uid="{00000000-0004-0000-0200-000013000000}"/>
    <hyperlink ref="J18" location="'Technical Diagnostics'!A1" display="Template/technical implementation quality issue." xr:uid="{00000000-0004-0000-0200-000014000000}"/>
    <hyperlink ref="H19" r:id="rId4" xr:uid="{00000000-0004-0000-0200-000015000000}"/>
    <hyperlink ref="J19" location="'Technical Diagnostics'!A1" display="Template/technical implementation quality issue." xr:uid="{00000000-0004-0000-0200-000016000000}"/>
    <hyperlink ref="H20" r:id="rId5" xr:uid="{00000000-0004-0000-0200-000017000000}"/>
    <hyperlink ref="J20" location="'Link Intelligence'!A1" display="Meta description missing or empty." xr:uid="{00000000-0004-0000-0200-000018000000}"/>
    <hyperlink ref="J21" location="'Technical Diagnostics'!A1" display="Template/technical implementation quality issue." xr:uid="{00000000-0004-0000-0200-000019000000}"/>
    <hyperlink ref="J22" location="'Technical Diagnostics'!A1" display="Template/technical implementation quality issue." xr:uid="{00000000-0004-0000-0200-00001A000000}"/>
    <hyperlink ref="J23" location="'Technical Diagnostics'!A1" display="Template/technical implementation quality issue." xr:uid="{00000000-0004-0000-0200-00001B000000}"/>
    <hyperlink ref="J24" location="'Technical Diagnostics'!A1" display="Template/technical implementation quality issue." xr:uid="{00000000-0004-0000-0200-00001C000000}"/>
    <hyperlink ref="J25" location="'Technical Diagnostics'!A1" display="Template/technical implementation quality issue." xr:uid="{00000000-0004-0000-0200-00001D000000}"/>
    <hyperlink ref="J26" location="'Technical Diagnostics'!A1" display="Template/technical implementation quality issue." xr:uid="{00000000-0004-0000-0200-00001E000000}"/>
    <hyperlink ref="J27" location="'Technical Diagnostics'!A1" display="Template/technical implementation quality issue." xr:uid="{00000000-0004-0000-0200-00001F000000}"/>
    <hyperlink ref="J28" location="'Technical Diagnostics'!A1" display="Template/technical implementation quality issue." xr:uid="{00000000-0004-0000-0200-000020000000}"/>
    <hyperlink ref="H29" r:id="rId6" xr:uid="{00000000-0004-0000-0200-000021000000}"/>
    <hyperlink ref="J29" location="'Technical Diagnostics'!A1" display="Insufficient body content for indexing confidence." xr:uid="{00000000-0004-0000-0200-000022000000}"/>
    <hyperlink ref="H30" r:id="rId7" xr:uid="{00000000-0004-0000-0200-000023000000}"/>
    <hyperlink ref="J30" location="'Technical Diagnostics'!A1" display="Template/technical implementation quality issue." xr:uid="{00000000-0004-0000-0200-000024000000}"/>
    <hyperlink ref="H31" r:id="rId8" xr:uid="{00000000-0004-0000-0200-000025000000}"/>
    <hyperlink ref="J31" location="'Content &amp; AI Readiness'!A1" display="Template/technical implementation quality issue." xr:uid="{00000000-0004-0000-0200-000026000000}"/>
    <hyperlink ref="H32" r:id="rId9" xr:uid="{00000000-0004-0000-0200-000027000000}"/>
    <hyperlink ref="J32" location="'Technical Diagnostics'!A1" display="Headings are not phrased as user questions." xr:uid="{00000000-0004-0000-0200-000028000000}"/>
    <hyperlink ref="H33" r:id="rId10" xr:uid="{00000000-0004-0000-0200-000029000000}"/>
    <hyperlink ref="J33" location="'Technical Diagnostics'!A1" display="Page lacks lists/tables that help concise answer extraction." xr:uid="{00000000-0004-0000-0200-00002A000000}"/>
    <hyperlink ref="H34" r:id="rId11" xr:uid="{00000000-0004-0000-0200-00002B000000}"/>
    <hyperlink ref="J34" location="'Technical Diagnostics'!A1" display="No concise answer-length paragraph detected." xr:uid="{00000000-0004-0000-0200-00002C000000}"/>
    <hyperlink ref="H35" r:id="rId12" xr:uid="{00000000-0004-0000-0200-00002D000000}"/>
    <hyperlink ref="J35" location="'Technical Diagnostics'!A1" display="Template/technical implementation quality issue." xr:uid="{00000000-0004-0000-0200-00002E000000}"/>
  </hyperlinks>
  <pageMargins left="0.75" right="0.75" top="1" bottom="1" header="0.5" footer="0.5"/>
  <legacyDrawing r:id="rId1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1" customWidth="1"/>
    <col min="3" max="3" width="16" customWidth="1"/>
    <col min="4" max="4" width="18" customWidth="1"/>
    <col min="5" max="5" width="17" customWidth="1"/>
    <col min="6" max="6" width="9" customWidth="1"/>
    <col min="7" max="7" width="16" customWidth="1"/>
    <col min="8" max="8" width="23" customWidth="1"/>
    <col min="9" max="9" width="22" customWidth="1"/>
    <col min="10" max="10" width="15" customWidth="1"/>
    <col min="11" max="11" width="17" customWidth="1"/>
    <col min="12" max="12" width="13" customWidth="1"/>
    <col min="13" max="14" width="8" customWidth="1"/>
    <col min="15" max="15" width="21" customWidth="1"/>
    <col min="16" max="16" width="29" customWidth="1"/>
    <col min="17" max="17" width="16" customWidth="1"/>
  </cols>
  <sheetData>
    <row r="1" spans="1:20" ht="45" x14ac:dyDescent="0.25">
      <c r="A1" s="26" t="s">
        <v>70</v>
      </c>
      <c r="B1" s="26" t="s">
        <v>180</v>
      </c>
      <c r="C1" s="26" t="s">
        <v>181</v>
      </c>
      <c r="D1" s="26" t="s">
        <v>182</v>
      </c>
      <c r="E1" s="26" t="s">
        <v>183</v>
      </c>
      <c r="F1" s="26" t="s">
        <v>184</v>
      </c>
      <c r="G1" s="26" t="s">
        <v>185</v>
      </c>
      <c r="H1" s="26" t="s">
        <v>186</v>
      </c>
      <c r="I1" s="26" t="s">
        <v>187</v>
      </c>
      <c r="J1" s="26" t="s">
        <v>81</v>
      </c>
      <c r="K1" s="26" t="s">
        <v>188</v>
      </c>
      <c r="L1" s="26" t="s">
        <v>63</v>
      </c>
      <c r="M1" s="26" t="s">
        <v>24</v>
      </c>
      <c r="N1" s="26" t="s">
        <v>83</v>
      </c>
      <c r="O1" s="26" t="s">
        <v>189</v>
      </c>
      <c r="P1" s="26" t="s">
        <v>190</v>
      </c>
      <c r="Q1" s="26" t="s">
        <v>191</v>
      </c>
      <c r="R1" s="26" t="s">
        <v>85</v>
      </c>
      <c r="S1" s="26" t="s">
        <v>192</v>
      </c>
      <c r="T1" s="27" t="s">
        <v>87</v>
      </c>
    </row>
    <row r="2" spans="1:20" ht="30" customHeight="1" x14ac:dyDescent="0.25">
      <c r="A2" s="45" t="s">
        <v>148</v>
      </c>
      <c r="B2" s="28">
        <v>90</v>
      </c>
      <c r="C2" s="42" t="s">
        <v>50</v>
      </c>
      <c r="D2" s="50">
        <v>50</v>
      </c>
      <c r="E2" s="28">
        <v>0</v>
      </c>
      <c r="F2" s="28">
        <v>0</v>
      </c>
      <c r="G2" s="28" t="s">
        <v>193</v>
      </c>
      <c r="H2" s="28">
        <v>0</v>
      </c>
      <c r="I2" s="28">
        <v>4</v>
      </c>
      <c r="J2" s="28" t="s">
        <v>97</v>
      </c>
      <c r="K2" s="28" t="s">
        <v>155</v>
      </c>
      <c r="L2" s="28" t="s">
        <v>103</v>
      </c>
      <c r="M2" s="29" t="s">
        <v>2</v>
      </c>
      <c r="N2" s="28"/>
      <c r="O2" s="47" t="s">
        <v>194</v>
      </c>
      <c r="P2" s="47"/>
      <c r="Q2" s="28" t="s">
        <v>195</v>
      </c>
      <c r="R2" s="36" t="str">
        <f>IFERROR(HYPERLINK("#'Main'!B"&amp;MATCH(TRIM(A2),Main!B:B,0),"Open"),HYPERLINK("#'Main'!B1","Open"))</f>
        <v>Open</v>
      </c>
      <c r="S2" s="36" t="str">
        <f>IFERROR(HYPERLINK("#'Technical Diagnostics'!A"&amp;MATCH(A2,'Technical Diagnostics'!A:A,0),"Open"),HYPERLINK("#'Technical Diagnostics'!A1","Open"))</f>
        <v>Open</v>
      </c>
      <c r="T2" s="36"/>
    </row>
    <row r="3" spans="1:20" ht="30" customHeight="1" x14ac:dyDescent="0.25">
      <c r="A3" s="46" t="s">
        <v>138</v>
      </c>
      <c r="B3" s="37">
        <v>70</v>
      </c>
      <c r="C3" s="42" t="s">
        <v>50</v>
      </c>
      <c r="D3" s="51">
        <v>60</v>
      </c>
      <c r="E3" s="37">
        <v>0</v>
      </c>
      <c r="F3" s="37">
        <v>0</v>
      </c>
      <c r="G3" s="37" t="s">
        <v>193</v>
      </c>
      <c r="H3" s="37">
        <v>0</v>
      </c>
      <c r="I3" s="37">
        <v>3</v>
      </c>
      <c r="J3" s="37" t="s">
        <v>97</v>
      </c>
      <c r="K3" s="37" t="s">
        <v>155</v>
      </c>
      <c r="L3" s="37" t="s">
        <v>103</v>
      </c>
      <c r="M3" s="29" t="s">
        <v>2</v>
      </c>
      <c r="N3" s="37"/>
      <c r="O3" s="47" t="s">
        <v>194</v>
      </c>
      <c r="P3" s="47"/>
      <c r="Q3" s="37" t="s">
        <v>195</v>
      </c>
      <c r="R3" t="str">
        <f>IFERROR(HYPERLINK("#'Main'!B"&amp;MATCH(TRIM(A3),Main!B:B,0),"Open"),HYPERLINK("#'Main'!B1","Open"))</f>
        <v>Open</v>
      </c>
      <c r="S3" t="str">
        <f>IFERROR(HYPERLINK("#'Technical Diagnostics'!A"&amp;MATCH(A3,'Technical Diagnostics'!A:A,0),"Open"),HYPERLINK("#'Technical Diagnostics'!A1","Open"))</f>
        <v>Open</v>
      </c>
    </row>
    <row r="4" spans="1:20" ht="30" customHeight="1" x14ac:dyDescent="0.25">
      <c r="A4" s="45" t="s">
        <v>196</v>
      </c>
      <c r="B4" s="28">
        <v>70</v>
      </c>
      <c r="C4" s="42" t="s">
        <v>50</v>
      </c>
      <c r="D4" s="50">
        <v>60</v>
      </c>
      <c r="E4" s="28">
        <v>0</v>
      </c>
      <c r="F4" s="28">
        <v>0</v>
      </c>
      <c r="G4" s="28" t="s">
        <v>193</v>
      </c>
      <c r="H4" s="28">
        <v>0</v>
      </c>
      <c r="I4" s="28">
        <v>3</v>
      </c>
      <c r="J4" s="28" t="s">
        <v>97</v>
      </c>
      <c r="K4" s="28" t="s">
        <v>155</v>
      </c>
      <c r="L4" s="28" t="s">
        <v>103</v>
      </c>
      <c r="M4" s="29" t="s">
        <v>2</v>
      </c>
      <c r="N4" s="28"/>
      <c r="O4" s="47" t="s">
        <v>194</v>
      </c>
      <c r="P4" s="47"/>
      <c r="Q4" s="28" t="s">
        <v>195</v>
      </c>
      <c r="R4" s="36" t="str">
        <f>IFERROR(HYPERLINK("#'Main'!B"&amp;MATCH(TRIM(A4),Main!B:B,0),"Open"),HYPERLINK("#'Main'!B1","Open"))</f>
        <v>Open</v>
      </c>
      <c r="S4" s="36" t="str">
        <f>IFERROR(HYPERLINK("#'Technical Diagnostics'!A"&amp;MATCH(A4,'Technical Diagnostics'!A:A,0),"Open"),HYPERLINK("#'Technical Diagnostics'!A1","Open"))</f>
        <v>Open</v>
      </c>
      <c r="T4" s="36"/>
    </row>
    <row r="5" spans="1:20" ht="15.75" x14ac:dyDescent="0.25">
      <c r="A5" s="46" t="s">
        <v>166</v>
      </c>
      <c r="B5" s="37">
        <v>70</v>
      </c>
      <c r="C5" s="42" t="s">
        <v>50</v>
      </c>
      <c r="D5" s="51">
        <v>60</v>
      </c>
      <c r="E5" s="37">
        <v>0</v>
      </c>
      <c r="F5" s="37">
        <v>0</v>
      </c>
      <c r="G5" s="37" t="s">
        <v>193</v>
      </c>
      <c r="H5" s="37">
        <v>0</v>
      </c>
      <c r="I5" s="37">
        <v>3</v>
      </c>
      <c r="J5" s="37" t="s">
        <v>97</v>
      </c>
      <c r="K5" s="37" t="s">
        <v>155</v>
      </c>
      <c r="L5" s="37" t="s">
        <v>103</v>
      </c>
      <c r="M5" s="29" t="s">
        <v>2</v>
      </c>
      <c r="N5" s="37"/>
      <c r="O5" s="47" t="s">
        <v>194</v>
      </c>
      <c r="P5" s="47"/>
      <c r="Q5" s="37" t="s">
        <v>195</v>
      </c>
      <c r="R5" t="str">
        <f>IFERROR(HYPERLINK("#'Main'!B"&amp;MATCH(TRIM(A5),Main!B:B,0),"Open"),HYPERLINK("#'Main'!B1","Open"))</f>
        <v>Open</v>
      </c>
      <c r="S5" t="str">
        <f>IFERROR(HYPERLINK("#'Technical Diagnostics'!A"&amp;MATCH(A5,'Technical Diagnostics'!A:A,0),"Open"),HYPERLINK("#'Technical Diagnostics'!A1","Open"))</f>
        <v>Open</v>
      </c>
    </row>
    <row r="6" spans="1:20" ht="30" customHeight="1" x14ac:dyDescent="0.25">
      <c r="A6" s="45" t="s">
        <v>146</v>
      </c>
      <c r="B6" s="28">
        <v>70</v>
      </c>
      <c r="C6" s="42" t="s">
        <v>50</v>
      </c>
      <c r="D6" s="50">
        <v>60</v>
      </c>
      <c r="E6" s="28">
        <v>0</v>
      </c>
      <c r="F6" s="28">
        <v>0</v>
      </c>
      <c r="G6" s="28" t="s">
        <v>193</v>
      </c>
      <c r="H6" s="28">
        <v>0</v>
      </c>
      <c r="I6" s="28">
        <v>3</v>
      </c>
      <c r="J6" s="28" t="s">
        <v>97</v>
      </c>
      <c r="K6" s="28" t="s">
        <v>155</v>
      </c>
      <c r="L6" s="28" t="s">
        <v>103</v>
      </c>
      <c r="M6" s="29" t="s">
        <v>2</v>
      </c>
      <c r="N6" s="28"/>
      <c r="O6" s="47" t="s">
        <v>194</v>
      </c>
      <c r="P6" s="47"/>
      <c r="Q6" s="28" t="s">
        <v>195</v>
      </c>
      <c r="R6" s="36" t="str">
        <f>IFERROR(HYPERLINK("#'Main'!B"&amp;MATCH(TRIM(A6),Main!B:B,0),"Open"),HYPERLINK("#'Main'!B1","Open"))</f>
        <v>Open</v>
      </c>
      <c r="S6" s="36" t="str">
        <f>IFERROR(HYPERLINK("#'Technical Diagnostics'!A"&amp;MATCH(A6,'Technical Diagnostics'!A:A,0),"Open"),HYPERLINK("#'Technical Diagnostics'!A1","Open"))</f>
        <v>Open</v>
      </c>
      <c r="T6" s="36"/>
    </row>
    <row r="7" spans="1:20" ht="30" customHeight="1" x14ac:dyDescent="0.25">
      <c r="A7" s="46" t="s">
        <v>197</v>
      </c>
      <c r="B7" s="37">
        <v>70</v>
      </c>
      <c r="C7" s="42" t="s">
        <v>50</v>
      </c>
      <c r="D7" s="51">
        <v>60</v>
      </c>
      <c r="E7" s="37">
        <v>0</v>
      </c>
      <c r="F7" s="37">
        <v>0</v>
      </c>
      <c r="G7" s="37" t="s">
        <v>193</v>
      </c>
      <c r="H7" s="37">
        <v>0</v>
      </c>
      <c r="I7" s="37">
        <v>3</v>
      </c>
      <c r="J7" s="37" t="s">
        <v>97</v>
      </c>
      <c r="K7" s="37" t="s">
        <v>155</v>
      </c>
      <c r="L7" s="37" t="s">
        <v>103</v>
      </c>
      <c r="M7" s="29" t="s">
        <v>2</v>
      </c>
      <c r="N7" s="37"/>
      <c r="O7" s="47" t="s">
        <v>194</v>
      </c>
      <c r="P7" s="47"/>
      <c r="Q7" s="37" t="s">
        <v>195</v>
      </c>
      <c r="R7" t="str">
        <f>IFERROR(HYPERLINK("#'Main'!B"&amp;MATCH(TRIM(A7),Main!B:B,0),"Open"),HYPERLINK("#'Main'!B1","Open"))</f>
        <v>Open</v>
      </c>
      <c r="S7" t="str">
        <f>IFERROR(HYPERLINK("#'Technical Diagnostics'!A"&amp;MATCH(A7,'Technical Diagnostics'!A:A,0),"Open"),HYPERLINK("#'Technical Diagnostics'!A1","Open"))</f>
        <v>Open</v>
      </c>
    </row>
    <row r="8" spans="1:20" ht="30" customHeight="1" x14ac:dyDescent="0.25">
      <c r="A8" s="45" t="s">
        <v>198</v>
      </c>
      <c r="B8" s="28">
        <v>70</v>
      </c>
      <c r="C8" s="42" t="s">
        <v>50</v>
      </c>
      <c r="D8" s="50">
        <v>60</v>
      </c>
      <c r="E8" s="28">
        <v>0</v>
      </c>
      <c r="F8" s="28">
        <v>0</v>
      </c>
      <c r="G8" s="28" t="s">
        <v>193</v>
      </c>
      <c r="H8" s="28">
        <v>0</v>
      </c>
      <c r="I8" s="28">
        <v>3</v>
      </c>
      <c r="J8" s="28" t="s">
        <v>97</v>
      </c>
      <c r="K8" s="28" t="s">
        <v>155</v>
      </c>
      <c r="L8" s="28" t="s">
        <v>103</v>
      </c>
      <c r="M8" s="29" t="s">
        <v>2</v>
      </c>
      <c r="N8" s="28"/>
      <c r="O8" s="47" t="s">
        <v>194</v>
      </c>
      <c r="P8" s="47"/>
      <c r="Q8" s="28" t="s">
        <v>195</v>
      </c>
      <c r="R8" s="36" t="str">
        <f>IFERROR(HYPERLINK("#'Main'!B"&amp;MATCH(TRIM(A8),Main!B:B,0),"Open"),HYPERLINK("#'Main'!B1","Open"))</f>
        <v>Open</v>
      </c>
      <c r="S8" s="36" t="str">
        <f>IFERROR(HYPERLINK("#'Technical Diagnostics'!A"&amp;MATCH(A8,'Technical Diagnostics'!A:A,0),"Open"),HYPERLINK("#'Technical Diagnostics'!A1","Open"))</f>
        <v>Open</v>
      </c>
      <c r="T8" s="36"/>
    </row>
    <row r="9" spans="1:20" ht="30" customHeight="1" x14ac:dyDescent="0.25">
      <c r="A9" s="46" t="s">
        <v>199</v>
      </c>
      <c r="B9" s="37">
        <v>50</v>
      </c>
      <c r="C9" s="42" t="s">
        <v>50</v>
      </c>
      <c r="D9" s="51">
        <v>70</v>
      </c>
      <c r="E9" s="37">
        <v>0</v>
      </c>
      <c r="F9" s="37">
        <v>0</v>
      </c>
      <c r="G9" s="37" t="s">
        <v>193</v>
      </c>
      <c r="H9" s="37">
        <v>0</v>
      </c>
      <c r="I9" s="37">
        <v>2</v>
      </c>
      <c r="J9" s="37" t="s">
        <v>97</v>
      </c>
      <c r="K9" s="37" t="s">
        <v>155</v>
      </c>
      <c r="L9" s="37" t="s">
        <v>103</v>
      </c>
      <c r="M9" s="29" t="s">
        <v>2</v>
      </c>
      <c r="N9" s="37"/>
      <c r="O9" s="47" t="s">
        <v>194</v>
      </c>
      <c r="P9" s="47"/>
      <c r="Q9" s="37" t="s">
        <v>195</v>
      </c>
      <c r="R9" t="str">
        <f>IFERROR(HYPERLINK("#'Main'!B"&amp;MATCH(TRIM(A9),Main!B:B,0),"Open"),HYPERLINK("#'Main'!B1","Open"))</f>
        <v>Open</v>
      </c>
      <c r="S9" t="str">
        <f>IFERROR(HYPERLINK("#'Technical Diagnostics'!A"&amp;MATCH(A9,'Technical Diagnostics'!A:A,0),"Open"),HYPERLINK("#'Technical Diagnostics'!A1","Open"))</f>
        <v>Open</v>
      </c>
    </row>
    <row r="10" spans="1:20" ht="30" customHeight="1" x14ac:dyDescent="0.25">
      <c r="A10" s="45" t="s">
        <v>200</v>
      </c>
      <c r="B10" s="28">
        <v>50</v>
      </c>
      <c r="C10" s="42" t="s">
        <v>50</v>
      </c>
      <c r="D10" s="50">
        <v>70</v>
      </c>
      <c r="E10" s="28">
        <v>0</v>
      </c>
      <c r="F10" s="28">
        <v>0</v>
      </c>
      <c r="G10" s="28" t="s">
        <v>193</v>
      </c>
      <c r="H10" s="28">
        <v>0</v>
      </c>
      <c r="I10" s="28">
        <v>2</v>
      </c>
      <c r="J10" s="28" t="s">
        <v>97</v>
      </c>
      <c r="K10" s="28" t="s">
        <v>155</v>
      </c>
      <c r="L10" s="28" t="s">
        <v>103</v>
      </c>
      <c r="M10" s="29" t="s">
        <v>2</v>
      </c>
      <c r="N10" s="28"/>
      <c r="O10" s="47" t="s">
        <v>194</v>
      </c>
      <c r="P10" s="47"/>
      <c r="Q10" s="28" t="s">
        <v>195</v>
      </c>
      <c r="R10" s="36" t="str">
        <f>IFERROR(HYPERLINK("#'Main'!B"&amp;MATCH(TRIM(A10),Main!B:B,0),"Open"),HYPERLINK("#'Main'!B1","Open"))</f>
        <v>Open</v>
      </c>
      <c r="S10" s="36" t="str">
        <f>IFERROR(HYPERLINK("#'Technical Diagnostics'!A"&amp;MATCH(A10,'Technical Diagnostics'!A:A,0),"Open"),HYPERLINK("#'Technical Diagnostics'!A1","Open"))</f>
        <v>Open</v>
      </c>
      <c r="T10" s="36"/>
    </row>
    <row r="11" spans="1:20" ht="30" customHeight="1" x14ac:dyDescent="0.25">
      <c r="A11" s="46" t="s">
        <v>201</v>
      </c>
      <c r="B11" s="37">
        <v>50</v>
      </c>
      <c r="C11" s="42" t="s">
        <v>50</v>
      </c>
      <c r="D11" s="51">
        <v>70</v>
      </c>
      <c r="E11" s="37">
        <v>0</v>
      </c>
      <c r="F11" s="37">
        <v>0</v>
      </c>
      <c r="G11" s="37" t="s">
        <v>193</v>
      </c>
      <c r="H11" s="37">
        <v>0</v>
      </c>
      <c r="I11" s="37">
        <v>2</v>
      </c>
      <c r="J11" s="37" t="s">
        <v>97</v>
      </c>
      <c r="K11" s="37" t="s">
        <v>155</v>
      </c>
      <c r="L11" s="37" t="s">
        <v>103</v>
      </c>
      <c r="M11" s="29" t="s">
        <v>2</v>
      </c>
      <c r="N11" s="37"/>
      <c r="O11" s="47" t="s">
        <v>194</v>
      </c>
      <c r="P11" s="47"/>
      <c r="Q11" s="37" t="s">
        <v>195</v>
      </c>
      <c r="R11" t="str">
        <f>IFERROR(HYPERLINK("#'Main'!B"&amp;MATCH(TRIM(A11),Main!B:B,0),"Open"),HYPERLINK("#'Main'!B1","Open"))</f>
        <v>Open</v>
      </c>
      <c r="S11" t="str">
        <f>IFERROR(HYPERLINK("#'Technical Diagnostics'!A"&amp;MATCH(A11,'Technical Diagnostics'!A:A,0),"Open"),HYPERLINK("#'Technical Diagnostics'!A1","Open"))</f>
        <v>Open</v>
      </c>
    </row>
  </sheetData>
  <autoFilter ref="A1:T11" xr:uid="{00000000-0009-0000-0000-000003000000}"/>
  <conditionalFormatting sqref="C2:C11">
    <cfRule type="expression" dxfId="105" priority="4" stopIfTrue="1">
      <formula>LOWER(C2)="critical"</formula>
    </cfRule>
    <cfRule type="expression" dxfId="104" priority="5" stopIfTrue="1">
      <formula>LOWER(C2)="warning"</formula>
    </cfRule>
    <cfRule type="expression" dxfId="103" priority="6" stopIfTrue="1">
      <formula>OR(LOWER(C2)="pass",LOWER(C2)="observation")</formula>
    </cfRule>
  </conditionalFormatting>
  <conditionalFormatting sqref="D2:D11">
    <cfRule type="colorScale" priority="1">
      <colorScale>
        <cfvo type="min"/>
        <cfvo type="percentile" val="50"/>
        <cfvo type="max"/>
        <color rgb="FFF8696B"/>
        <color rgb="FFFFEB84"/>
        <color rgb="FF63BE7B"/>
      </colorScale>
    </cfRule>
  </conditionalFormatting>
  <conditionalFormatting sqref="J2:J11">
    <cfRule type="expression" dxfId="102" priority="2" stopIfTrue="1">
      <formula>LOWER(J2)="yes"</formula>
    </cfRule>
    <cfRule type="expression" dxfId="101" priority="3" stopIfTrue="1">
      <formula>LOWER(J2)="no"</formula>
    </cfRule>
  </conditionalFormatting>
  <conditionalFormatting sqref="M2:M11">
    <cfRule type="expression" dxfId="100" priority="7" stopIfTrue="1">
      <formula>LOWER(M2)="done"</formula>
    </cfRule>
    <cfRule type="expression" dxfId="99" priority="8" stopIfTrue="1">
      <formula>OR(LOWER(M2)="to do",LOWER(M2)="in progress",LOWER(M2)="in review")</formula>
    </cfRule>
  </conditionalFormatting>
  <hyperlinks>
    <hyperlink ref="T1" location="'Dashboard'!A1" display="BACK TO DASHBOARD" xr:uid="{00000000-0004-0000-0300-000000000000}"/>
    <hyperlink ref="A2" r:id="rId1" xr:uid="{00000000-0004-0000-0300-000001000000}"/>
    <hyperlink ref="A3" r:id="rId2" xr:uid="{00000000-0004-0000-0300-000002000000}"/>
    <hyperlink ref="A4" r:id="rId3" xr:uid="{00000000-0004-0000-0300-000003000000}"/>
    <hyperlink ref="A5" r:id="rId4" xr:uid="{00000000-0004-0000-0300-000004000000}"/>
    <hyperlink ref="A6" r:id="rId5" xr:uid="{00000000-0004-0000-0300-000005000000}"/>
    <hyperlink ref="A7" r:id="rId6" xr:uid="{00000000-0004-0000-0300-000006000000}"/>
    <hyperlink ref="A8" r:id="rId7" xr:uid="{00000000-0004-0000-0300-000007000000}"/>
    <hyperlink ref="A9" r:id="rId8" xr:uid="{00000000-0004-0000-0300-000008000000}"/>
    <hyperlink ref="A10" r:id="rId9" xr:uid="{00000000-0004-0000-0300-000009000000}"/>
    <hyperlink ref="A11" r:id="rId10" xr:uid="{00000000-0004-0000-0300-00000A000000}"/>
  </hyperlinks>
  <pageMargins left="0.75" right="0.75" top="1" bottom="1" header="0.5" footer="0.5"/>
  <legacyDrawing r:id="rId1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12"/>
  <sheetViews>
    <sheetView tabSelected="1" workbookViewId="0">
      <pane xSplit="7" ySplit="2" topLeftCell="H3" activePane="bottomRight" state="frozen"/>
      <selection pane="topRight"/>
      <selection pane="bottomLeft"/>
      <selection pane="bottomRight" activeCell="I4" sqref="I4"/>
    </sheetView>
  </sheetViews>
  <sheetFormatPr defaultRowHeight="15" x14ac:dyDescent="0.25"/>
  <cols>
    <col min="1" max="1" width="17.42578125" customWidth="1"/>
    <col min="2" max="2" width="12" customWidth="1"/>
    <col min="3" max="3" width="11" customWidth="1"/>
    <col min="4" max="4" width="18" customWidth="1"/>
    <col min="5" max="5" width="12" customWidth="1"/>
    <col min="6" max="6" width="8" customWidth="1"/>
    <col min="7" max="7" width="15" customWidth="1"/>
    <col min="8" max="8" width="36" customWidth="1"/>
    <col min="9" max="9" width="60" customWidth="1"/>
    <col min="10" max="10" width="49" customWidth="1"/>
    <col min="11" max="14" width="60" customWidth="1"/>
    <col min="15" max="15" width="49" customWidth="1"/>
    <col min="16" max="17" width="60" customWidth="1"/>
    <col min="18" max="18" width="34" customWidth="1"/>
    <col min="19" max="19" width="60" customWidth="1"/>
    <col min="20" max="20" width="34" customWidth="1"/>
    <col min="21" max="21" width="45" customWidth="1"/>
    <col min="22" max="22" width="34" customWidth="1"/>
    <col min="23" max="23" width="45" customWidth="1"/>
    <col min="24" max="24" width="34" customWidth="1"/>
    <col min="25" max="25" width="45" customWidth="1"/>
    <col min="26" max="26" width="34" customWidth="1"/>
    <col min="27" max="27" width="18.140625" customWidth="1"/>
    <col min="28" max="28" width="15" customWidth="1"/>
    <col min="29" max="29" width="18" customWidth="1"/>
    <col min="30" max="30" width="22.5703125" customWidth="1"/>
  </cols>
  <sheetData>
    <row r="1" spans="1:30" ht="27.95" customHeight="1" x14ac:dyDescent="0.25">
      <c r="A1" s="66" t="s">
        <v>202</v>
      </c>
      <c r="B1" s="62"/>
      <c r="C1" s="62"/>
      <c r="D1" s="62"/>
      <c r="E1" s="62"/>
      <c r="F1" s="62"/>
      <c r="G1" s="62"/>
      <c r="H1" s="62"/>
      <c r="I1" s="62"/>
      <c r="J1" s="62"/>
      <c r="K1" s="62"/>
      <c r="L1" s="62"/>
      <c r="M1" s="62"/>
      <c r="N1" s="62"/>
      <c r="O1" s="62"/>
      <c r="P1" s="62"/>
      <c r="Q1" s="62"/>
      <c r="R1" s="62"/>
      <c r="S1" s="62"/>
      <c r="T1" s="62"/>
      <c r="U1" s="62"/>
      <c r="V1" s="62"/>
      <c r="W1" s="62"/>
      <c r="X1" s="62"/>
      <c r="Y1" s="62"/>
      <c r="Z1" s="62"/>
      <c r="AA1" s="62"/>
      <c r="AB1" s="62"/>
      <c r="AC1" s="62"/>
      <c r="AD1" s="52" t="s">
        <v>87</v>
      </c>
    </row>
    <row r="2" spans="1:30" ht="45" customHeight="1" x14ac:dyDescent="0.25">
      <c r="A2" s="26" t="s">
        <v>203</v>
      </c>
      <c r="B2" s="26" t="s">
        <v>204</v>
      </c>
      <c r="C2" s="26" t="s">
        <v>205</v>
      </c>
      <c r="D2" s="26" t="s">
        <v>206</v>
      </c>
      <c r="E2" s="26" t="s">
        <v>207</v>
      </c>
      <c r="F2" s="26" t="s">
        <v>24</v>
      </c>
      <c r="G2" s="26" t="s">
        <v>208</v>
      </c>
      <c r="H2" s="26" t="s">
        <v>70</v>
      </c>
      <c r="I2" s="26" t="s">
        <v>209</v>
      </c>
      <c r="J2" s="26" t="s">
        <v>210</v>
      </c>
      <c r="K2" s="26" t="s">
        <v>211</v>
      </c>
      <c r="L2" s="26" t="s">
        <v>212</v>
      </c>
      <c r="M2" s="26" t="s">
        <v>213</v>
      </c>
      <c r="N2" s="26" t="s">
        <v>214</v>
      </c>
      <c r="O2" s="26" t="s">
        <v>215</v>
      </c>
      <c r="P2" s="26" t="s">
        <v>216</v>
      </c>
      <c r="Q2" s="26" t="s">
        <v>217</v>
      </c>
      <c r="R2" s="26" t="s">
        <v>218</v>
      </c>
      <c r="S2" s="26" t="s">
        <v>219</v>
      </c>
      <c r="T2" s="26" t="s">
        <v>220</v>
      </c>
      <c r="U2" s="26" t="s">
        <v>221</v>
      </c>
      <c r="V2" s="26" t="s">
        <v>222</v>
      </c>
      <c r="W2" s="26" t="s">
        <v>223</v>
      </c>
      <c r="X2" s="26" t="s">
        <v>224</v>
      </c>
      <c r="Y2" s="26" t="s">
        <v>225</v>
      </c>
      <c r="Z2" s="26" t="s">
        <v>226</v>
      </c>
      <c r="AA2" s="26" t="s">
        <v>227</v>
      </c>
      <c r="AB2" s="26" t="s">
        <v>228</v>
      </c>
      <c r="AC2" s="26" t="s">
        <v>229</v>
      </c>
      <c r="AD2" s="26" t="s">
        <v>85</v>
      </c>
    </row>
    <row r="3" spans="1:30" ht="45" customHeight="1" x14ac:dyDescent="0.25">
      <c r="A3" s="28" t="str">
        <f t="shared" ref="A3:A12" si="0">IF(B3&gt;=85,"Complete","Needs Copy")</f>
        <v>Needs Copy</v>
      </c>
      <c r="B3" s="28">
        <f t="shared" ref="B3:B12" si="1">MIN(100,ROUND(0.3*(IF(L3="",0,IF(LEFT(L3,7)="MISSING",0,IF(ISNUMBER(SEARCH("OK",L3)),100,IF(ISNUMBER(SEARCH("SHORT",L3)),65,IF(ISNUMBER(SEARCH("LONG",L3)),50,70))))))+0.25*(IF(N3="",0,IF(LEFT(N3,7)="MISSING",0,IF(ISNUMBER(SEARCH("OK",N3)),100,IF(ISNUMBER(SEARCH("SHORT",N3)),65,IF(ISNUMBER(SEARCH("LONG",N3)),50,70))))))+0.2*(IF(P3="",0,IF(LEFT(P3,2)="OK",100,0)))+0.08*(IF(R3="",0,IF(LEFT(R3,2)="OK",100,0)))+0.06*(IF(T3="",0,IF(LEFT(T3,2)="OK",100,0)))+0.05*(IF(V3="",0,IF(LEFT(V3,2)="OK",100,0)))+0.03*(IF(X3="",0,IF(LEFT(X3,2)="OK",100,0)))+0.03*(IF(Z3="",0,IF(LEFT(Z3,2)="OK",100,0))),0))</f>
        <v>68</v>
      </c>
      <c r="C3" s="29">
        <v>64.52</v>
      </c>
      <c r="D3" s="29">
        <v>60</v>
      </c>
      <c r="E3" s="42">
        <v>78.08</v>
      </c>
      <c r="F3" s="29" t="s">
        <v>95</v>
      </c>
      <c r="G3" s="28" t="s">
        <v>103</v>
      </c>
      <c r="H3" s="53" t="str">
        <f>HYPERLINK("https://africanmarketingconfederation.org/","https://africanmarketingconfederation.org/")</f>
        <v>https://africanmarketingconfederation.org/</v>
      </c>
      <c r="I3" s="28" t="str">
        <f>HYPERLINK("https://africanmarketingconfederation.org/","https://africanmarketingconfederation.org/")</f>
        <v>https://africanmarketingconfederation.org/</v>
      </c>
      <c r="J3" s="32"/>
      <c r="K3" s="28" t="s">
        <v>230</v>
      </c>
      <c r="L3" s="28" t="str">
        <f t="shared" ref="L3:L12" si="2">IF(K3="","MISSING",IF(AND(LEN(K3)&gt;=50,LEN(K3)&lt;=60),"OK 50-60 chars",IF(LEN(K3)&lt;50,"SHORT: "&amp;LEN(K3),"LONG: "&amp;LEN(K3))))</f>
        <v>LONG: 66</v>
      </c>
      <c r="M3" s="28" t="s">
        <v>231</v>
      </c>
      <c r="N3" s="28" t="str">
        <f t="shared" ref="N3:N12" si="3">IF(M3="","MISSING",IF(AND(LEN(M3)&gt;=120,LEN(M3)&lt;=160),"OK 120-160 chars",IF(LEN(M3)&lt;120,"SHORT: "&amp;LEN(M3),"LONG: "&amp;LEN(M3))))</f>
        <v>OK 120-160 chars</v>
      </c>
      <c r="O3" s="28" t="s">
        <v>232</v>
      </c>
      <c r="P3" s="28" t="str">
        <f t="shared" ref="P3:P12" si="4">IF(OR(ISBLANK(O3),ISNUMBER(SEARCH("|",O3))),"FIX: MULTIPLE/MISSING","OK")</f>
        <v>OK</v>
      </c>
      <c r="Q3" s="28" t="s">
        <v>233</v>
      </c>
      <c r="R3" s="28" t="str">
        <f t="shared" ref="R3:R12" si="5">IF(ISBLANK(Q3),"MISSING","OK")</f>
        <v>OK</v>
      </c>
      <c r="S3" s="28"/>
      <c r="T3" s="28" t="str">
        <f t="shared" ref="T3:T12" si="6">IF(ISBLANK(S3),"MISSING","OK")</f>
        <v>MISSING</v>
      </c>
      <c r="U3" s="28"/>
      <c r="V3" s="28" t="str">
        <f t="shared" ref="V3:V12" si="7">IF(ISBLANK(U3),"MISSING","OK")</f>
        <v>MISSING</v>
      </c>
      <c r="W3" s="28"/>
      <c r="X3" s="28" t="str">
        <f t="shared" ref="X3:X12" si="8">IF(ISBLANK(W3),"MISSING","OK")</f>
        <v>MISSING</v>
      </c>
      <c r="Y3" s="28"/>
      <c r="Z3" s="28" t="str">
        <f t="shared" ref="Z3:Z12" si="9">IF(ISBLANK(Y3),"MISSING","OK")</f>
        <v>MISSING</v>
      </c>
      <c r="AA3" s="53" t="str">
        <f>HYPERLINK("https://africanmarketingconfederation.org/wp-admin/post.php?post=8&amp;action=elementor","Open in Elementor")</f>
        <v>Open in Elementor</v>
      </c>
      <c r="AB3" s="53" t="str">
        <f>HYPERLINK("https://africanmarketingconfederation.org/wp-content/uploads/2026/03/og-image.png","View Image")</f>
        <v>View Image</v>
      </c>
      <c r="AC3" s="28" t="e" vm="1">
        <f>IF(LEN("https://africanmarketingconfederation.org/wp-content/uploads/2026/03/og-image.png")&gt;0, _xlfn.IMAGE("https://africanmarketingconfederation.org/wp-content/uploads/2026/03/og-image.png"), "")</f>
        <v>#VALUE!</v>
      </c>
      <c r="AD3" s="53" t="str">
        <f>IFERROR(HYPERLINK("#'Main'!B"&amp;MATCH(TRIM(H3),Main!B:B,0),"Open in Main"),IFERROR(HYPERLINK("#'Technical Diagnostics'!A"&amp;MATCH(TRIM(H3),'Technical Diagnostics'!A:A,0),"Open in Technical"),"Not Found"))</f>
        <v>Open in Main</v>
      </c>
    </row>
    <row r="4" spans="1:30" ht="60" customHeight="1" x14ac:dyDescent="0.25">
      <c r="A4" s="28" t="str">
        <f t="shared" si="0"/>
        <v>Needs Copy</v>
      </c>
      <c r="B4" s="28">
        <f t="shared" si="1"/>
        <v>62</v>
      </c>
      <c r="C4" s="42">
        <v>76.150000000000006</v>
      </c>
      <c r="D4" s="42">
        <v>70</v>
      </c>
      <c r="E4" s="47">
        <v>94.58</v>
      </c>
      <c r="F4" s="29" t="s">
        <v>95</v>
      </c>
      <c r="G4" s="28" t="s">
        <v>103</v>
      </c>
      <c r="H4" s="53" t="str">
        <f>HYPERLINK("https://africanmarketingconfederation.org/about-us","https://africanmarketingconfederation.org/about-us")</f>
        <v>https://africanmarketingconfederation.org/about-us</v>
      </c>
      <c r="I4" s="28" t="str">
        <f>HYPERLINK("https://africanmarketingconfederation.org/about-us","About Us")</f>
        <v>About Us</v>
      </c>
      <c r="J4" s="32" t="s">
        <v>234</v>
      </c>
      <c r="K4" s="28" t="s">
        <v>235</v>
      </c>
      <c r="L4" s="28" t="str">
        <f t="shared" si="2"/>
        <v>LONG: 107</v>
      </c>
      <c r="M4" s="28" t="s">
        <v>236</v>
      </c>
      <c r="N4" s="28" t="str">
        <f t="shared" si="3"/>
        <v>LONG: 405</v>
      </c>
      <c r="O4" s="28" t="s">
        <v>237</v>
      </c>
      <c r="P4" s="28" t="str">
        <f t="shared" si="4"/>
        <v>OK</v>
      </c>
      <c r="Q4" s="28" t="s">
        <v>238</v>
      </c>
      <c r="R4" s="28" t="str">
        <f t="shared" si="5"/>
        <v>OK</v>
      </c>
      <c r="S4" s="28" t="s">
        <v>239</v>
      </c>
      <c r="T4" s="28" t="str">
        <f t="shared" si="6"/>
        <v>OK</v>
      </c>
      <c r="U4" s="28"/>
      <c r="V4" s="28" t="str">
        <f t="shared" si="7"/>
        <v>MISSING</v>
      </c>
      <c r="W4" s="28"/>
      <c r="X4" s="28" t="str">
        <f t="shared" si="8"/>
        <v>MISSING</v>
      </c>
      <c r="Y4" s="28"/>
      <c r="Z4" s="28" t="str">
        <f t="shared" si="9"/>
        <v>MISSING</v>
      </c>
      <c r="AA4" s="53" t="str">
        <f>HYPERLINK("https://africanmarketingconfederation.org/wp-admin/post.php?post=84&amp;action=elementor","Open in Elementor")</f>
        <v>Open in Elementor</v>
      </c>
      <c r="AB4" s="53" t="str">
        <f>HYPERLINK("https://africanmarketingconfederation.org/wp-content/uploads/2026/03/og-image.png","View Image")</f>
        <v>View Image</v>
      </c>
      <c r="AC4" s="28" t="e" vm="1">
        <f>IF(LEN("https://africanmarketingconfederation.org/wp-content/uploads/2026/03/og-image.png")&gt;0, _xlfn.IMAGE("https://africanmarketingconfederation.org/wp-content/uploads/2026/03/og-image.png"), "")</f>
        <v>#VALUE!</v>
      </c>
      <c r="AD4" s="53" t="str">
        <f>IFERROR(HYPERLINK("#'Main'!B"&amp;MATCH(TRIM(H4),Main!B:B,0),"Open in Main"),IFERROR(HYPERLINK("#'Technical Diagnostics'!A"&amp;MATCH(TRIM(H4),'Technical Diagnostics'!A:A,0),"Open in Technical"),"Not Found"))</f>
        <v>Open in Main</v>
      </c>
    </row>
    <row r="5" spans="1:30" ht="45" customHeight="1" x14ac:dyDescent="0.25">
      <c r="A5" s="28" t="str">
        <f t="shared" si="0"/>
        <v>Needs Copy</v>
      </c>
      <c r="B5" s="28">
        <f t="shared" si="1"/>
        <v>62</v>
      </c>
      <c r="C5" s="42">
        <v>70</v>
      </c>
      <c r="D5" s="29">
        <v>60</v>
      </c>
      <c r="E5" s="47">
        <v>100</v>
      </c>
      <c r="F5" s="29" t="s">
        <v>95</v>
      </c>
      <c r="G5" s="28" t="s">
        <v>103</v>
      </c>
      <c r="H5" s="53" t="str">
        <f>HYPERLINK("https://africanmarketingconfederation.org/african-marketing-confederation-tourism-chapter","https://africanmarketingconfederation.org/african-marketing-confederation-tourism-chapter")</f>
        <v>https://africanmarketingconfederation.org/african-marketing-confederation-tourism-chapter</v>
      </c>
      <c r="I5" s="28" t="str">
        <f>HYPERLINK("https://africanmarketingconfederation.org/african-marketing-confederation-tourism-chapter","African Marketing Confederation Tourism Chapter")</f>
        <v>African Marketing Confederation Tourism Chapter</v>
      </c>
      <c r="J5" s="32" t="s">
        <v>240</v>
      </c>
      <c r="K5" s="28" t="s">
        <v>241</v>
      </c>
      <c r="L5" s="28" t="str">
        <f t="shared" si="2"/>
        <v>LONG: 81</v>
      </c>
      <c r="M5" s="28" t="s">
        <v>242</v>
      </c>
      <c r="N5" s="28" t="str">
        <f t="shared" si="3"/>
        <v>LONG: 423</v>
      </c>
      <c r="O5" s="28" t="s">
        <v>243</v>
      </c>
      <c r="P5" s="28" t="str">
        <f t="shared" si="4"/>
        <v>OK</v>
      </c>
      <c r="Q5" s="28" t="s">
        <v>244</v>
      </c>
      <c r="R5" s="28" t="str">
        <f t="shared" si="5"/>
        <v>OK</v>
      </c>
      <c r="S5" s="28" t="s">
        <v>245</v>
      </c>
      <c r="T5" s="28" t="str">
        <f t="shared" si="6"/>
        <v>OK</v>
      </c>
      <c r="U5" s="28"/>
      <c r="V5" s="28" t="str">
        <f t="shared" si="7"/>
        <v>MISSING</v>
      </c>
      <c r="W5" s="28"/>
      <c r="X5" s="28" t="str">
        <f t="shared" si="8"/>
        <v>MISSING</v>
      </c>
      <c r="Y5" s="28"/>
      <c r="Z5" s="28" t="str">
        <f t="shared" si="9"/>
        <v>MISSING</v>
      </c>
      <c r="AA5" s="53" t="str">
        <f>HYPERLINK("https://africanmarketingconfederation.org/wp-admin/post.php?post=28165&amp;action=elementor","Open in Elementor")</f>
        <v>Open in Elementor</v>
      </c>
      <c r="AB5" s="53" t="str">
        <f>HYPERLINK("https://africanmarketingconfederation.org/wp-content/uploads/2026/03/og-image.png","View Image")</f>
        <v>View Image</v>
      </c>
      <c r="AC5" s="28" t="e" vm="1">
        <f>IF(LEN("https://africanmarketingconfederation.org/wp-content/uploads/2026/03/og-image.png")&gt;0, _xlfn.IMAGE("https://africanmarketingconfederation.org/wp-content/uploads/2026/03/og-image.png"), "")</f>
        <v>#VALUE!</v>
      </c>
      <c r="AD5" s="53" t="str">
        <f>IFERROR(HYPERLINK("#'Main'!B"&amp;MATCH(TRIM(H5),Main!B:B,0),"Open in Main"),IFERROR(HYPERLINK("#'Technical Diagnostics'!A"&amp;MATCH(TRIM(H5),'Technical Diagnostics'!A:A,0),"Open in Technical"),"Not Found"))</f>
        <v>Open in Main</v>
      </c>
    </row>
    <row r="6" spans="1:30" ht="45" customHeight="1" x14ac:dyDescent="0.25">
      <c r="A6" s="28" t="str">
        <f t="shared" si="0"/>
        <v>Needs Copy</v>
      </c>
      <c r="B6" s="28">
        <f t="shared" si="1"/>
        <v>60</v>
      </c>
      <c r="C6" s="42">
        <v>70</v>
      </c>
      <c r="D6" s="29">
        <v>60</v>
      </c>
      <c r="E6" s="47">
        <v>100</v>
      </c>
      <c r="F6" s="29" t="s">
        <v>95</v>
      </c>
      <c r="G6" s="28" t="s">
        <v>103</v>
      </c>
      <c r="H6" s="53" t="str">
        <f>HYPERLINK("https://africanmarketingconfederation.org/amc-awards-2024","https://africanmarketingconfederation.org/amc-awards-2024")</f>
        <v>https://africanmarketingconfederation.org/amc-awards-2024</v>
      </c>
      <c r="I6" s="28" t="str">
        <f>HYPERLINK("https://africanmarketingconfederation.org/amc-awards-2024","Amc Awards 2024")</f>
        <v>Amc Awards 2024</v>
      </c>
      <c r="J6" s="32" t="s">
        <v>246</v>
      </c>
      <c r="K6" s="28" t="s">
        <v>247</v>
      </c>
      <c r="L6" s="28" t="str">
        <f t="shared" si="2"/>
        <v>SHORT: 49</v>
      </c>
      <c r="M6" s="28" t="s">
        <v>248</v>
      </c>
      <c r="N6" s="28" t="str">
        <f t="shared" si="3"/>
        <v>LONG: 406</v>
      </c>
      <c r="O6" s="28" t="s">
        <v>249</v>
      </c>
      <c r="P6" s="28" t="str">
        <f t="shared" si="4"/>
        <v>OK</v>
      </c>
      <c r="Q6" s="28" t="s">
        <v>250</v>
      </c>
      <c r="R6" s="28" t="str">
        <f t="shared" si="5"/>
        <v>OK</v>
      </c>
      <c r="S6" s="28"/>
      <c r="T6" s="28" t="str">
        <f t="shared" si="6"/>
        <v>MISSING</v>
      </c>
      <c r="U6" s="28"/>
      <c r="V6" s="28" t="str">
        <f t="shared" si="7"/>
        <v>MISSING</v>
      </c>
      <c r="W6" s="28"/>
      <c r="X6" s="28" t="str">
        <f t="shared" si="8"/>
        <v>MISSING</v>
      </c>
      <c r="Y6" s="28"/>
      <c r="Z6" s="28" t="str">
        <f t="shared" si="9"/>
        <v>MISSING</v>
      </c>
      <c r="AA6" s="53" t="str">
        <f>HYPERLINK("https://africanmarketingconfederation.org/wp-admin/post.php?post=16125&amp;action=elementor","Open in Elementor")</f>
        <v>Open in Elementor</v>
      </c>
      <c r="AB6" s="53" t="str">
        <f>HYPERLINK("https://africanmarketingconfederation.org/wp-content/uploads/2021/08/amc_faw.png","View Image")</f>
        <v>View Image</v>
      </c>
      <c r="AC6" s="28" t="e" vm="2">
        <f>IF(LEN("https://africanmarketingconfederation.org/wp-content/uploads/2021/08/amc_faw.png")&gt;0, _xlfn.IMAGE("https://africanmarketingconfederation.org/wp-content/uploads/2021/08/amc_faw.png"), "")</f>
        <v>#VALUE!</v>
      </c>
      <c r="AD6" s="53" t="str">
        <f>IFERROR(HYPERLINK("#'Main'!B"&amp;MATCH(TRIM(H6),Main!B:B,0),"Open in Main"),IFERROR(HYPERLINK("#'Technical Diagnostics'!A"&amp;MATCH(TRIM(H6),'Technical Diagnostics'!A:A,0),"Open in Technical"),"Not Found"))</f>
        <v>Open in Main</v>
      </c>
    </row>
    <row r="7" spans="1:30" ht="60" customHeight="1" x14ac:dyDescent="0.25">
      <c r="A7" s="28" t="str">
        <f t="shared" si="0"/>
        <v>Needs Copy</v>
      </c>
      <c r="B7" s="28">
        <f t="shared" si="1"/>
        <v>57</v>
      </c>
      <c r="C7" s="29">
        <v>56.92</v>
      </c>
      <c r="D7" s="29">
        <v>60</v>
      </c>
      <c r="E7" s="29">
        <v>47.67</v>
      </c>
      <c r="F7" s="29" t="s">
        <v>95</v>
      </c>
      <c r="G7" s="28" t="s">
        <v>103</v>
      </c>
      <c r="H7" s="53" t="str">
        <f>HYPERLINK("https://africanmarketingconfederation.org/amc-conference-2022","https://africanmarketingconfederation.org/amc-conference-2022")</f>
        <v>https://africanmarketingconfederation.org/amc-conference-2022</v>
      </c>
      <c r="I7" s="28" t="str">
        <f>HYPERLINK("https://africanmarketingconfederation.org/amc-conference-2022","Amc Conference 2022")</f>
        <v>Amc Conference 2022</v>
      </c>
      <c r="J7" s="32" t="s">
        <v>251</v>
      </c>
      <c r="K7" s="28" t="s">
        <v>252</v>
      </c>
      <c r="L7" s="28" t="str">
        <f t="shared" si="2"/>
        <v>OK 50-60 chars</v>
      </c>
      <c r="M7" s="28" t="s">
        <v>253</v>
      </c>
      <c r="N7" s="28" t="str">
        <f t="shared" si="3"/>
        <v>LONG: 387</v>
      </c>
      <c r="O7" s="28"/>
      <c r="P7" s="28" t="str">
        <f t="shared" si="4"/>
        <v>FIX: MULTIPLE/MISSING</v>
      </c>
      <c r="Q7" s="28" t="s">
        <v>254</v>
      </c>
      <c r="R7" s="28" t="str">
        <f t="shared" si="5"/>
        <v>OK</v>
      </c>
      <c r="S7" s="28" t="s">
        <v>255</v>
      </c>
      <c r="T7" s="28" t="str">
        <f t="shared" si="6"/>
        <v>OK</v>
      </c>
      <c r="U7" s="28"/>
      <c r="V7" s="28" t="str">
        <f t="shared" si="7"/>
        <v>MISSING</v>
      </c>
      <c r="W7" s="28"/>
      <c r="X7" s="28" t="str">
        <f t="shared" si="8"/>
        <v>MISSING</v>
      </c>
      <c r="Y7" s="28"/>
      <c r="Z7" s="28" t="str">
        <f t="shared" si="9"/>
        <v>MISSING</v>
      </c>
      <c r="AA7" s="53" t="str">
        <f>HYPERLINK("https://africanmarketingconfederation.org/wp-admin/post.php?post=4494&amp;action=elementor","Open in Elementor")</f>
        <v>Open in Elementor</v>
      </c>
      <c r="AB7" s="53" t="str">
        <f>HYPERLINK("https://africanmarketingconfederation.org/wp-content/uploads/2026/03/og-image.png","View Image")</f>
        <v>View Image</v>
      </c>
      <c r="AC7" s="28" t="e" vm="1">
        <f>IF(LEN("https://africanmarketingconfederation.org/wp-content/uploads/2026/03/og-image.png")&gt;0, _xlfn.IMAGE("https://africanmarketingconfederation.org/wp-content/uploads/2026/03/og-image.png"), "")</f>
        <v>#VALUE!</v>
      </c>
      <c r="AD7" s="53" t="str">
        <f>IFERROR(HYPERLINK("#'Main'!B"&amp;MATCH(TRIM(H7),Main!B:B,0),"Open in Main"),IFERROR(HYPERLINK("#'Technical Diagnostics'!A"&amp;MATCH(TRIM(H7),'Technical Diagnostics'!A:A,0),"Open in Technical"),"Not Found"))</f>
        <v>Open in Main</v>
      </c>
    </row>
    <row r="8" spans="1:30" ht="60" customHeight="1" x14ac:dyDescent="0.25">
      <c r="A8" s="28" t="str">
        <f t="shared" si="0"/>
        <v>Needs Copy</v>
      </c>
      <c r="B8" s="28">
        <f t="shared" si="1"/>
        <v>36</v>
      </c>
      <c r="C8" s="29">
        <v>58.75</v>
      </c>
      <c r="D8" s="29">
        <v>60</v>
      </c>
      <c r="E8" s="29">
        <v>55</v>
      </c>
      <c r="F8" s="29" t="s">
        <v>95</v>
      </c>
      <c r="G8" s="28" t="s">
        <v>103</v>
      </c>
      <c r="H8" s="53" t="str">
        <f>HYPERLINK("https://africanmarketingconfederation.org/amc-conference-2022-prospectus","https://africanmarketingconfederation.org/amc-conference-2022-prospectus")</f>
        <v>https://africanmarketingconfederation.org/amc-conference-2022-prospectus</v>
      </c>
      <c r="I8" s="28" t="str">
        <f>HYPERLINK("https://africanmarketingconfederation.org/amc-conference-2022-prospectus","Amc Conference 2022 Prospectus")</f>
        <v>Amc Conference 2022 Prospectus</v>
      </c>
      <c r="J8" s="32" t="s">
        <v>256</v>
      </c>
      <c r="K8" s="28" t="s">
        <v>257</v>
      </c>
      <c r="L8" s="28" t="str">
        <f t="shared" si="2"/>
        <v>LONG: 66</v>
      </c>
      <c r="M8" s="28" t="s">
        <v>258</v>
      </c>
      <c r="N8" s="28" t="str">
        <f t="shared" si="3"/>
        <v>LONG: 335</v>
      </c>
      <c r="O8" s="28"/>
      <c r="P8" s="28" t="str">
        <f t="shared" si="4"/>
        <v>FIX: MULTIPLE/MISSING</v>
      </c>
      <c r="Q8" s="28" t="s">
        <v>259</v>
      </c>
      <c r="R8" s="28" t="str">
        <f t="shared" si="5"/>
        <v>OK</v>
      </c>
      <c r="S8" s="28"/>
      <c r="T8" s="28" t="str">
        <f t="shared" si="6"/>
        <v>MISSING</v>
      </c>
      <c r="U8" s="28"/>
      <c r="V8" s="28" t="str">
        <f t="shared" si="7"/>
        <v>MISSING</v>
      </c>
      <c r="W8" s="28"/>
      <c r="X8" s="28" t="str">
        <f t="shared" si="8"/>
        <v>MISSING</v>
      </c>
      <c r="Y8" s="28"/>
      <c r="Z8" s="28" t="str">
        <f t="shared" si="9"/>
        <v>MISSING</v>
      </c>
      <c r="AA8" s="53" t="str">
        <f>HYPERLINK("https://africanmarketingconfederation.org/wp-admin/post.php?post=5619&amp;action=elementor","Open in Elementor")</f>
        <v>Open in Elementor</v>
      </c>
      <c r="AB8" s="53" t="str">
        <f>HYPERLINK("https://africanmarketingconfederation.org/wp-content/uploads/2026/03/og-image.png","View Image")</f>
        <v>View Image</v>
      </c>
      <c r="AC8" s="28" t="e" vm="1">
        <f>IF(LEN("https://africanmarketingconfederation.org/wp-content/uploads/2026/03/og-image.png")&gt;0, _xlfn.IMAGE("https://africanmarketingconfederation.org/wp-content/uploads/2026/03/og-image.png"), "")</f>
        <v>#VALUE!</v>
      </c>
      <c r="AD8" s="53" t="str">
        <f>IFERROR(HYPERLINK("#'Main'!B"&amp;MATCH(TRIM(H8),Main!B:B,0),"Open in Main"),IFERROR(HYPERLINK("#'Technical Diagnostics'!A"&amp;MATCH(TRIM(H8),'Technical Diagnostics'!A:A,0),"Open in Technical"),"Not Found"))</f>
        <v>Open in Main</v>
      </c>
    </row>
    <row r="9" spans="1:30" ht="45" customHeight="1" x14ac:dyDescent="0.25">
      <c r="A9" s="28" t="str">
        <f t="shared" si="0"/>
        <v>Needs Copy</v>
      </c>
      <c r="B9" s="28">
        <f t="shared" si="1"/>
        <v>42</v>
      </c>
      <c r="C9" s="29">
        <v>62.5</v>
      </c>
      <c r="D9" s="29">
        <v>60</v>
      </c>
      <c r="E9" s="42">
        <v>70</v>
      </c>
      <c r="F9" s="29" t="s">
        <v>95</v>
      </c>
      <c r="G9" s="28" t="s">
        <v>103</v>
      </c>
      <c r="H9" s="53" t="str">
        <f>HYPERLINK("https://africanmarketingconfederation.org/amc-conference-2022-thank-you","https://africanmarketingconfederation.org/amc-conference-2022-thank-you")</f>
        <v>https://africanmarketingconfederation.org/amc-conference-2022-thank-you</v>
      </c>
      <c r="I9" s="28" t="str">
        <f>HYPERLINK("https://africanmarketingconfederation.org/amc-conference-2022-thank-you","Amc Conference 2022 Thank You")</f>
        <v>Amc Conference 2022 Thank You</v>
      </c>
      <c r="J9" s="32" t="s">
        <v>260</v>
      </c>
      <c r="K9" s="28" t="s">
        <v>261</v>
      </c>
      <c r="L9" s="28" t="str">
        <f t="shared" si="2"/>
        <v>LONG: 65</v>
      </c>
      <c r="M9" s="28" t="s">
        <v>262</v>
      </c>
      <c r="N9" s="28" t="str">
        <f t="shared" si="3"/>
        <v>LONG: 337</v>
      </c>
      <c r="O9" s="28"/>
      <c r="P9" s="28" t="str">
        <f t="shared" si="4"/>
        <v>FIX: MULTIPLE/MISSING</v>
      </c>
      <c r="Q9" s="28" t="s">
        <v>263</v>
      </c>
      <c r="R9" s="28" t="str">
        <f t="shared" si="5"/>
        <v>OK</v>
      </c>
      <c r="S9" s="28" t="s">
        <v>264</v>
      </c>
      <c r="T9" s="28" t="str">
        <f t="shared" si="6"/>
        <v>OK</v>
      </c>
      <c r="U9" s="28"/>
      <c r="V9" s="28" t="str">
        <f t="shared" si="7"/>
        <v>MISSING</v>
      </c>
      <c r="W9" s="28"/>
      <c r="X9" s="28" t="str">
        <f t="shared" si="8"/>
        <v>MISSING</v>
      </c>
      <c r="Y9" s="28"/>
      <c r="Z9" s="28" t="str">
        <f t="shared" si="9"/>
        <v>MISSING</v>
      </c>
      <c r="AA9" s="53" t="str">
        <f>HYPERLINK("https://africanmarketingconfederation.org/wp-admin/post.php?post=4941&amp;action=elementor","Open in Elementor")</f>
        <v>Open in Elementor</v>
      </c>
      <c r="AB9" s="53" t="str">
        <f>HYPERLINK("https://africanmarketingconfederation.org/wp-content/uploads/2026/03/og-image.png","View Image")</f>
        <v>View Image</v>
      </c>
      <c r="AC9" s="28" t="e" vm="1">
        <f>IF(LEN("https://africanmarketingconfederation.org/wp-content/uploads/2026/03/og-image.png")&gt;0, _xlfn.IMAGE("https://africanmarketingconfederation.org/wp-content/uploads/2026/03/og-image.png"), "")</f>
        <v>#VALUE!</v>
      </c>
      <c r="AD9" s="53" t="str">
        <f>IFERROR(HYPERLINK("#'Main'!B"&amp;MATCH(TRIM(H9),Main!B:B,0),"Open in Main"),IFERROR(HYPERLINK("#'Technical Diagnostics'!A"&amp;MATCH(TRIM(H9),'Technical Diagnostics'!A:A,0),"Open in Technical"),"Not Found"))</f>
        <v>Open in Main</v>
      </c>
    </row>
    <row r="10" spans="1:30" ht="60" customHeight="1" x14ac:dyDescent="0.25">
      <c r="A10" s="28" t="str">
        <f t="shared" si="0"/>
        <v>Needs Copy</v>
      </c>
      <c r="B10" s="28">
        <f t="shared" si="1"/>
        <v>77</v>
      </c>
      <c r="C10" s="42">
        <v>77.5</v>
      </c>
      <c r="D10" s="42">
        <v>70</v>
      </c>
      <c r="E10" s="47">
        <v>100</v>
      </c>
      <c r="F10" s="29" t="s">
        <v>95</v>
      </c>
      <c r="G10" s="28" t="s">
        <v>103</v>
      </c>
      <c r="H10" s="53" t="str">
        <f>HYPERLINK("https://africanmarketingconfederation.org/amc-conference-2023","https://africanmarketingconfederation.org/amc-conference-2023")</f>
        <v>https://africanmarketingconfederation.org/amc-conference-2023</v>
      </c>
      <c r="I10" s="28" t="str">
        <f>HYPERLINK("https://africanmarketingconfederation.org/amc-conference-2023","Amc Conference 2023")</f>
        <v>Amc Conference 2023</v>
      </c>
      <c r="J10" s="32" t="s">
        <v>265</v>
      </c>
      <c r="K10" s="28" t="s">
        <v>266</v>
      </c>
      <c r="L10" s="28" t="str">
        <f t="shared" si="2"/>
        <v>OK 50-60 chars</v>
      </c>
      <c r="M10" s="28" t="s">
        <v>267</v>
      </c>
      <c r="N10" s="28" t="str">
        <f t="shared" si="3"/>
        <v>LONG: 398</v>
      </c>
      <c r="O10" s="28" t="s">
        <v>268</v>
      </c>
      <c r="P10" s="28" t="str">
        <f t="shared" si="4"/>
        <v>OK</v>
      </c>
      <c r="Q10" s="28" t="s">
        <v>269</v>
      </c>
      <c r="R10" s="28" t="str">
        <f t="shared" si="5"/>
        <v>OK</v>
      </c>
      <c r="S10" s="28" t="s">
        <v>270</v>
      </c>
      <c r="T10" s="28" t="str">
        <f t="shared" si="6"/>
        <v>OK</v>
      </c>
      <c r="U10" s="28"/>
      <c r="V10" s="28" t="str">
        <f t="shared" si="7"/>
        <v>MISSING</v>
      </c>
      <c r="W10" s="28"/>
      <c r="X10" s="28" t="str">
        <f t="shared" si="8"/>
        <v>MISSING</v>
      </c>
      <c r="Y10" s="28"/>
      <c r="Z10" s="28" t="str">
        <f t="shared" si="9"/>
        <v>MISSING</v>
      </c>
      <c r="AA10" s="53" t="str">
        <f>HYPERLINK("https://africanmarketingconfederation.org/wp-admin/post.php?post=12371&amp;action=elementor","Open in Elementor")</f>
        <v>Open in Elementor</v>
      </c>
      <c r="AB10" s="53" t="str">
        <f>HYPERLINK("https://africanmarketingconfederation.org/wp-content/uploads/2021/08/amc_faw.png","View Image")</f>
        <v>View Image</v>
      </c>
      <c r="AC10" s="28" t="e" vm="2">
        <f>IF(LEN("https://africanmarketingconfederation.org/wp-content/uploads/2021/08/amc_faw.png")&gt;0, _xlfn.IMAGE("https://africanmarketingconfederation.org/wp-content/uploads/2021/08/amc_faw.png"), "")</f>
        <v>#VALUE!</v>
      </c>
      <c r="AD10" s="53" t="str">
        <f>IFERROR(HYPERLINK("#'Main'!B"&amp;MATCH(TRIM(H10),Main!B:B,0),"Open in Main"),IFERROR(HYPERLINK("#'Technical Diagnostics'!A"&amp;MATCH(TRIM(H10),'Technical Diagnostics'!A:A,0),"Open in Technical"),"Not Found"))</f>
        <v>Open in Main</v>
      </c>
    </row>
    <row r="11" spans="1:30" ht="60" customHeight="1" x14ac:dyDescent="0.25">
      <c r="A11" s="28" t="str">
        <f t="shared" si="0"/>
        <v>Needs Copy</v>
      </c>
      <c r="B11" s="28">
        <f t="shared" si="1"/>
        <v>60</v>
      </c>
      <c r="C11" s="42">
        <v>77.5</v>
      </c>
      <c r="D11" s="42">
        <v>70</v>
      </c>
      <c r="E11" s="47">
        <v>100</v>
      </c>
      <c r="F11" s="29" t="s">
        <v>95</v>
      </c>
      <c r="G11" s="28" t="s">
        <v>103</v>
      </c>
      <c r="H11" s="53" t="str">
        <f>HYPERLINK("https://africanmarketingconfederation.org/amc-conference-2023/amc-awards","https://africanmarketingconfederation.org/amc-conference-2023/amc-awards")</f>
        <v>https://africanmarketingconfederation.org/amc-conference-2023/amc-awards</v>
      </c>
      <c r="I11" s="28" t="str">
        <f>HYPERLINK("https://africanmarketingconfederation.org/amc-conference-2023/amc-awards","Amc Awards")</f>
        <v>Amc Awards</v>
      </c>
      <c r="J11" s="32" t="s">
        <v>271</v>
      </c>
      <c r="K11" s="28" t="s">
        <v>272</v>
      </c>
      <c r="L11" s="28" t="str">
        <f t="shared" si="2"/>
        <v>SHORT: 44</v>
      </c>
      <c r="M11" s="28" t="s">
        <v>273</v>
      </c>
      <c r="N11" s="28" t="str">
        <f t="shared" si="3"/>
        <v>LONG: 432</v>
      </c>
      <c r="O11" s="28" t="s">
        <v>274</v>
      </c>
      <c r="P11" s="28" t="str">
        <f t="shared" si="4"/>
        <v>OK</v>
      </c>
      <c r="Q11" s="28" t="s">
        <v>275</v>
      </c>
      <c r="R11" s="28" t="str">
        <f t="shared" si="5"/>
        <v>OK</v>
      </c>
      <c r="S11" s="28"/>
      <c r="T11" s="28" t="str">
        <f t="shared" si="6"/>
        <v>MISSING</v>
      </c>
      <c r="U11" s="28"/>
      <c r="V11" s="28" t="str">
        <f t="shared" si="7"/>
        <v>MISSING</v>
      </c>
      <c r="W11" s="28"/>
      <c r="X11" s="28" t="str">
        <f t="shared" si="8"/>
        <v>MISSING</v>
      </c>
      <c r="Y11" s="28"/>
      <c r="Z11" s="28" t="str">
        <f t="shared" si="9"/>
        <v>MISSING</v>
      </c>
      <c r="AA11" s="53" t="str">
        <f>HYPERLINK("https://africanmarketingconfederation.org/wp-admin/post.php?post=12954&amp;action=elementor","Open in Elementor")</f>
        <v>Open in Elementor</v>
      </c>
      <c r="AB11" s="53" t="str">
        <f>HYPERLINK("https://africanmarketingconfederation.org/wp-content/uploads/2021/08/amc_faw.png","View Image")</f>
        <v>View Image</v>
      </c>
      <c r="AC11" s="28" t="e" vm="2">
        <f>IF(LEN("https://africanmarketingconfederation.org/wp-content/uploads/2021/08/amc_faw.png")&gt;0, _xlfn.IMAGE("https://africanmarketingconfederation.org/wp-content/uploads/2021/08/amc_faw.png"), "")</f>
        <v>#VALUE!</v>
      </c>
      <c r="AD11" s="53" t="str">
        <f>IFERROR(HYPERLINK("#'Main'!B"&amp;MATCH(TRIM(H11),Main!B:B,0),"Open in Main"),IFERROR(HYPERLINK("#'Technical Diagnostics'!A"&amp;MATCH(TRIM(H11),'Technical Diagnostics'!A:A,0),"Open in Technical"),"Not Found"))</f>
        <v>Open in Main</v>
      </c>
    </row>
    <row r="12" spans="1:30" x14ac:dyDescent="0.25">
      <c r="A12" s="28" t="str">
        <f t="shared" si="0"/>
        <v>Needs Copy</v>
      </c>
      <c r="B12" s="28">
        <f t="shared" si="1"/>
        <v>46</v>
      </c>
      <c r="C12" s="29">
        <v>44.4</v>
      </c>
      <c r="D12" s="29">
        <v>50</v>
      </c>
      <c r="E12" s="29">
        <v>27.58</v>
      </c>
      <c r="F12" s="29" t="s">
        <v>95</v>
      </c>
      <c r="G12" s="28" t="s">
        <v>103</v>
      </c>
      <c r="H12" s="53" t="str">
        <f>HYPERLINK("https://africanmarketingconfederation.org/amc-conference-2023/amc-awards-book-now","https://africanmarketingconfederation.org/amc-conference-2023/amc-awards-book-now")</f>
        <v>https://africanmarketingconfederation.org/amc-conference-2023/amc-awards-book-now</v>
      </c>
      <c r="I12" s="28" t="str">
        <f>HYPERLINK("https://africanmarketingconfederation.org/amc-conference-2023/amc-awards-book-now","Amc Awards Book Now")</f>
        <v>Amc Awards Book Now</v>
      </c>
      <c r="J12" s="32" t="s">
        <v>276</v>
      </c>
      <c r="K12" s="28" t="s">
        <v>277</v>
      </c>
      <c r="L12" s="28" t="str">
        <f t="shared" si="2"/>
        <v>OK 50-60 chars</v>
      </c>
      <c r="M12" s="28" t="s">
        <v>278</v>
      </c>
      <c r="N12" s="28" t="str">
        <f t="shared" si="3"/>
        <v>SHORT: 19</v>
      </c>
      <c r="O12" s="28"/>
      <c r="P12" s="28" t="str">
        <f t="shared" si="4"/>
        <v>FIX: MULTIPLE/MISSING</v>
      </c>
      <c r="Q12" s="28"/>
      <c r="R12" s="28" t="str">
        <f t="shared" si="5"/>
        <v>MISSING</v>
      </c>
      <c r="S12" s="28"/>
      <c r="T12" s="28" t="str">
        <f t="shared" si="6"/>
        <v>MISSING</v>
      </c>
      <c r="U12" s="28"/>
      <c r="V12" s="28" t="str">
        <f t="shared" si="7"/>
        <v>MISSING</v>
      </c>
      <c r="W12" s="28"/>
      <c r="X12" s="28" t="str">
        <f t="shared" si="8"/>
        <v>MISSING</v>
      </c>
      <c r="Y12" s="28"/>
      <c r="Z12" s="28" t="str">
        <f t="shared" si="9"/>
        <v>MISSING</v>
      </c>
      <c r="AA12" s="53" t="str">
        <f>HYPERLINK("https://africanmarketingconfederation.org/wp-admin/post.php?post=13164&amp;action=elementor","Open in Elementor")</f>
        <v>Open in Elementor</v>
      </c>
      <c r="AB12" s="53" t="str">
        <f>HYPERLINK("https://africanmarketingconfederation.org/wp-content/uploads/2021/08/amc_faw.png","View Image")</f>
        <v>View Image</v>
      </c>
      <c r="AC12" s="28" t="e" vm="2">
        <f>IF(LEN("https://africanmarketingconfederation.org/wp-content/uploads/2021/08/amc_faw.png")&gt;0, _xlfn.IMAGE("https://africanmarketingconfederation.org/wp-content/uploads/2021/08/amc_faw.png"), "")</f>
        <v>#VALUE!</v>
      </c>
      <c r="AD12" s="53" t="str">
        <f>IFERROR(HYPERLINK("#'Main'!B"&amp;MATCH(TRIM(H12),Main!B:B,0),"Open in Main"),IFERROR(HYPERLINK("#'Technical Diagnostics'!A"&amp;MATCH(TRIM(H12),'Technical Diagnostics'!A:A,0),"Open in Technical"),"Not Found"))</f>
        <v>Open in Main</v>
      </c>
    </row>
  </sheetData>
  <autoFilter ref="A2:AD12" xr:uid="{00000000-0009-0000-0000-000004000000}"/>
  <mergeCells count="1">
    <mergeCell ref="A1:AC1"/>
  </mergeCells>
  <conditionalFormatting sqref="A3:A12">
    <cfRule type="cellIs" dxfId="98" priority="15" operator="equal">
      <formula>"Needs Copy"</formula>
    </cfRule>
    <cfRule type="cellIs" dxfId="97" priority="16" operator="equal">
      <formula>"Needs Optimisation"</formula>
    </cfRule>
    <cfRule type="cellIs" dxfId="96" priority="17" operator="equal">
      <formula>"Needs Optimization"</formula>
    </cfRule>
    <cfRule type="cellIs" dxfId="95" priority="18" operator="equal">
      <formula>"Complete"</formula>
    </cfRule>
    <cfRule type="cellIs" dxfId="94" priority="19" operator="equal">
      <formula>"Ready to Publish"</formula>
    </cfRule>
  </conditionalFormatting>
  <conditionalFormatting sqref="B3:B12">
    <cfRule type="colorScale" priority="8">
      <colorScale>
        <cfvo type="num" val="0"/>
        <cfvo type="num" val="50"/>
        <cfvo type="num" val="100"/>
        <color rgb="FFF8696B"/>
        <color rgb="FFFFEB84"/>
        <color rgb="FF63BE7B"/>
      </colorScale>
    </cfRule>
  </conditionalFormatting>
  <conditionalFormatting sqref="C3:C12">
    <cfRule type="colorScale" priority="9">
      <colorScale>
        <cfvo type="num" val="0"/>
        <cfvo type="num" val="50"/>
        <cfvo type="num" val="100"/>
        <color rgb="FFF8696B"/>
        <color rgb="FFFFEB84"/>
        <color rgb="FF63BE7B"/>
      </colorScale>
    </cfRule>
  </conditionalFormatting>
  <conditionalFormatting sqref="D3:D12">
    <cfRule type="colorScale" priority="10">
      <colorScale>
        <cfvo type="num" val="0"/>
        <cfvo type="num" val="50"/>
        <cfvo type="num" val="100"/>
        <color rgb="FFF8696B"/>
        <color rgb="FFFFEB84"/>
        <color rgb="FF63BE7B"/>
      </colorScale>
    </cfRule>
  </conditionalFormatting>
  <conditionalFormatting sqref="E3:E12">
    <cfRule type="colorScale" priority="11">
      <colorScale>
        <cfvo type="num" val="0"/>
        <cfvo type="num" val="50"/>
        <cfvo type="num" val="100"/>
        <color rgb="FFF8696B"/>
        <color rgb="FFFFEB84"/>
        <color rgb="FF63BE7B"/>
      </colorScale>
    </cfRule>
  </conditionalFormatting>
  <conditionalFormatting sqref="F2:F11">
    <cfRule type="expression" dxfId="93" priority="2" stopIfTrue="1">
      <formula>OR(LOWER(F2)="to do",LOWER(F2)="in progress",LOWER(F2)="in review")</formula>
    </cfRule>
    <cfRule type="expression" dxfId="92" priority="1" stopIfTrue="1">
      <formula>LOWER(F2)="done"</formula>
    </cfRule>
  </conditionalFormatting>
  <conditionalFormatting sqref="F3:F12">
    <cfRule type="expression" dxfId="91" priority="3" stopIfTrue="1">
      <formula>LOWER(F3)="completed"</formula>
    </cfRule>
    <cfRule type="expression" dxfId="90" priority="4" stopIfTrue="1">
      <formula>LOWER(F3)="in progress"</formula>
    </cfRule>
    <cfRule type="expression" dxfId="89" priority="5" stopIfTrue="1">
      <formula>LOWER(F3)="review"</formula>
    </cfRule>
    <cfRule type="expression" dxfId="88" priority="7" stopIfTrue="1">
      <formula>LOWER(F3)="needs copy"</formula>
    </cfRule>
    <cfRule type="expression" dxfId="87" priority="6" stopIfTrue="1">
      <formula>LOWER(F3)="to do"</formula>
    </cfRule>
  </conditionalFormatting>
  <conditionalFormatting sqref="G3:G12">
    <cfRule type="expression" dxfId="86" priority="12" stopIfTrue="1">
      <formula>ISNUMBER(SEARCH("copy writer",LOWER(SUBSTITUTE(G3,"/",""))))</formula>
    </cfRule>
    <cfRule type="expression" dxfId="85" priority="13" stopIfTrue="1">
      <formula>ISNUMBER(SEARCH("developer",LOWER(SUBSTITUTE(G3,"/",""))))</formula>
    </cfRule>
    <cfRule type="expression" dxfId="84" priority="14" stopIfTrue="1">
      <formula>ISNUMBER(SEARCH("server",LOWER(SUBSTITUTE(G3,"/",""))))</formula>
    </cfRule>
  </conditionalFormatting>
  <conditionalFormatting sqref="L3:L12">
    <cfRule type="expression" dxfId="83" priority="20" stopIfTrue="1">
      <formula>OR(ISNUMBER(SEARCH("OK",L3)),ISNUMBER(SEARCH("Perfect",L3)))</formula>
    </cfRule>
    <cfRule type="expression" dxfId="82" priority="21" stopIfTrue="1">
      <formula>OR(ISNUMBER(SEARCH("FIX",L3)),ISNUMBER(SEARCH("MISSING",L3)))</formula>
    </cfRule>
    <cfRule type="expression" dxfId="81" priority="22" stopIfTrue="1">
      <formula>OR(ISNUMBER(SEARCH("SHORT",L3)),ISNUMBER(SEARCH("LONG",L3)),ISNUMBER(SEARCH("REVIEW",L3)),LEFT(L3,3)="Tip")</formula>
    </cfRule>
  </conditionalFormatting>
  <conditionalFormatting sqref="N3:N12">
    <cfRule type="expression" dxfId="80" priority="23" stopIfTrue="1">
      <formula>OR(ISNUMBER(SEARCH("OK",N3)),ISNUMBER(SEARCH("Perfect",N3)))</formula>
    </cfRule>
    <cfRule type="expression" dxfId="79" priority="24" stopIfTrue="1">
      <formula>OR(ISNUMBER(SEARCH("FIX",N3)),ISNUMBER(SEARCH("MISSING",N3)))</formula>
    </cfRule>
    <cfRule type="expression" dxfId="78" priority="25" stopIfTrue="1">
      <formula>OR(ISNUMBER(SEARCH("SHORT",N3)),ISNUMBER(SEARCH("LONG",N3)),ISNUMBER(SEARCH("REVIEW",N3)),LEFT(N3,3)="Tip")</formula>
    </cfRule>
  </conditionalFormatting>
  <conditionalFormatting sqref="P3:P12">
    <cfRule type="expression" dxfId="77" priority="26" stopIfTrue="1">
      <formula>OR(ISNUMBER(SEARCH("OK",P3)),ISNUMBER(SEARCH("Perfect",P3)))</formula>
    </cfRule>
    <cfRule type="expression" dxfId="76" priority="27" stopIfTrue="1">
      <formula>OR(ISNUMBER(SEARCH("FIX",P3)),ISNUMBER(SEARCH("MISSING",P3)))</formula>
    </cfRule>
    <cfRule type="expression" dxfId="75" priority="28" stopIfTrue="1">
      <formula>OR(ISNUMBER(SEARCH("SHORT",P3)),ISNUMBER(SEARCH("LONG",P3)),ISNUMBER(SEARCH("REVIEW",P3)),LEFT(P3,3)="Tip")</formula>
    </cfRule>
  </conditionalFormatting>
  <conditionalFormatting sqref="R3:R12">
    <cfRule type="expression" dxfId="74" priority="29" stopIfTrue="1">
      <formula>OR(ISNUMBER(SEARCH("OK",R3)),ISNUMBER(SEARCH("Perfect",R3)))</formula>
    </cfRule>
    <cfRule type="expression" dxfId="73" priority="30" stopIfTrue="1">
      <formula>OR(ISNUMBER(SEARCH("FIX",R3)),ISNUMBER(SEARCH("MISSING",R3)))</formula>
    </cfRule>
    <cfRule type="expression" dxfId="72" priority="31" stopIfTrue="1">
      <formula>OR(ISNUMBER(SEARCH("SHORT",R3)),ISNUMBER(SEARCH("LONG",R3)),ISNUMBER(SEARCH("REVIEW",R3)),LEFT(R3,3)="Tip")</formula>
    </cfRule>
  </conditionalFormatting>
  <conditionalFormatting sqref="T3:T12">
    <cfRule type="expression" dxfId="71" priority="32" stopIfTrue="1">
      <formula>OR(ISNUMBER(SEARCH("OK",T3)),ISNUMBER(SEARCH("Perfect",T3)))</formula>
    </cfRule>
    <cfRule type="expression" dxfId="70" priority="33" stopIfTrue="1">
      <formula>OR(ISNUMBER(SEARCH("FIX",T3)),ISNUMBER(SEARCH("MISSING",T3)))</formula>
    </cfRule>
    <cfRule type="expression" dxfId="69" priority="34" stopIfTrue="1">
      <formula>OR(ISNUMBER(SEARCH("SHORT",T3)),ISNUMBER(SEARCH("LONG",T3)),ISNUMBER(SEARCH("REVIEW",T3)),LEFT(T3,3)="Tip")</formula>
    </cfRule>
  </conditionalFormatting>
  <conditionalFormatting sqref="V3:V12">
    <cfRule type="expression" dxfId="68" priority="35" stopIfTrue="1">
      <formula>OR(ISNUMBER(SEARCH("OK",V3)),ISNUMBER(SEARCH("Perfect",V3)))</formula>
    </cfRule>
    <cfRule type="expression" dxfId="67" priority="36" stopIfTrue="1">
      <formula>OR(ISNUMBER(SEARCH("FIX",V3)),ISNUMBER(SEARCH("MISSING",V3)))</formula>
    </cfRule>
    <cfRule type="expression" dxfId="66" priority="37" stopIfTrue="1">
      <formula>OR(ISNUMBER(SEARCH("SHORT",V3)),ISNUMBER(SEARCH("LONG",V3)),ISNUMBER(SEARCH("REVIEW",V3)),LEFT(V3,3)="Tip")</formula>
    </cfRule>
  </conditionalFormatting>
  <conditionalFormatting sqref="X3:X12">
    <cfRule type="expression" dxfId="65" priority="38" stopIfTrue="1">
      <formula>OR(ISNUMBER(SEARCH("OK",X3)),ISNUMBER(SEARCH("Perfect",X3)))</formula>
    </cfRule>
    <cfRule type="expression" dxfId="64" priority="39" stopIfTrue="1">
      <formula>OR(ISNUMBER(SEARCH("FIX",X3)),ISNUMBER(SEARCH("MISSING",X3)))</formula>
    </cfRule>
    <cfRule type="expression" dxfId="63" priority="40" stopIfTrue="1">
      <formula>OR(ISNUMBER(SEARCH("SHORT",X3)),ISNUMBER(SEARCH("LONG",X3)),ISNUMBER(SEARCH("REVIEW",X3)),LEFT(X3,3)="Tip")</formula>
    </cfRule>
  </conditionalFormatting>
  <conditionalFormatting sqref="Z3:Z12">
    <cfRule type="expression" dxfId="62" priority="41" stopIfTrue="1">
      <formula>OR(ISNUMBER(SEARCH("OK",Z3)),ISNUMBER(SEARCH("Perfect",Z3)))</formula>
    </cfRule>
    <cfRule type="expression" dxfId="61" priority="42" stopIfTrue="1">
      <formula>OR(ISNUMBER(SEARCH("FIX",Z3)),ISNUMBER(SEARCH("MISSING",Z3)))</formula>
    </cfRule>
    <cfRule type="expression" dxfId="60" priority="43" stopIfTrue="1">
      <formula>OR(ISNUMBER(SEARCH("SHORT",Z3)),ISNUMBER(SEARCH("LONG",Z3)),ISNUMBER(SEARCH("REVIEW",Z3)),LEFT(Z3,3)="Tip")</formula>
    </cfRule>
  </conditionalFormatting>
  <dataValidations count="2">
    <dataValidation type="list" allowBlank="1" sqref="F3:F12" xr:uid="{00000000-0002-0000-0400-000000000000}">
      <formula1>"To Do,In Progress,Review,Completed"</formula1>
    </dataValidation>
    <dataValidation type="list" showErrorMessage="1" errorTitle="Invalid owner" error="Choose Copy Writer, Developer, or Server/Host." sqref="G3:G12" xr:uid="{00000000-0002-0000-0400-000001000000}">
      <formula1>"Copy Writer,Developer,Server/Host"</formula1>
    </dataValidation>
  </dataValidations>
  <hyperlinks>
    <hyperlink ref="AD1" location="'Dashboard'!A1" display="BACK TO DASHBOARD" xr:uid="{00000000-0004-0000-0400-000000000000}"/>
  </hyperlink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48"/>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4" customWidth="1"/>
    <col min="3" max="3" width="60" customWidth="1"/>
    <col min="4" max="4" width="13" customWidth="1"/>
    <col min="5" max="5" width="20" customWidth="1"/>
    <col min="6" max="6" width="30" customWidth="1"/>
    <col min="7" max="7" width="60" customWidth="1"/>
    <col min="8" max="8" width="13" customWidth="1"/>
    <col min="9" max="10" width="8" customWidth="1"/>
    <col min="11" max="11" width="60" customWidth="1"/>
    <col min="12" max="12" width="19" customWidth="1"/>
    <col min="13" max="13" width="15" customWidth="1"/>
  </cols>
  <sheetData>
    <row r="1" spans="1:16" ht="45" x14ac:dyDescent="0.25">
      <c r="A1" s="26" t="s">
        <v>70</v>
      </c>
      <c r="B1" s="26" t="s">
        <v>1</v>
      </c>
      <c r="C1" s="26" t="s">
        <v>279</v>
      </c>
      <c r="D1" s="26" t="s">
        <v>46</v>
      </c>
      <c r="E1" s="26" t="s">
        <v>280</v>
      </c>
      <c r="F1" s="26" t="s">
        <v>281</v>
      </c>
      <c r="G1" s="26" t="s">
        <v>282</v>
      </c>
      <c r="H1" s="26" t="s">
        <v>63</v>
      </c>
      <c r="I1" s="26" t="s">
        <v>83</v>
      </c>
      <c r="J1" s="26" t="s">
        <v>24</v>
      </c>
      <c r="K1" s="26" t="s">
        <v>283</v>
      </c>
      <c r="L1" s="26" t="s">
        <v>284</v>
      </c>
      <c r="M1" s="26" t="s">
        <v>285</v>
      </c>
      <c r="N1" s="26" t="s">
        <v>85</v>
      </c>
      <c r="O1" s="26" t="s">
        <v>286</v>
      </c>
      <c r="P1" s="27" t="s">
        <v>87</v>
      </c>
    </row>
    <row r="2" spans="1:16" ht="240" x14ac:dyDescent="0.25">
      <c r="A2" s="32"/>
      <c r="B2" s="28" t="s">
        <v>60</v>
      </c>
      <c r="C2" s="54" t="s">
        <v>139</v>
      </c>
      <c r="D2" s="42" t="s">
        <v>50</v>
      </c>
      <c r="E2" s="32">
        <v>10</v>
      </c>
      <c r="F2" s="33" t="s">
        <v>126</v>
      </c>
      <c r="G2" s="28"/>
      <c r="H2" s="28"/>
      <c r="I2" s="28"/>
      <c r="J2" s="29" t="s">
        <v>2</v>
      </c>
      <c r="K2" s="32" t="s">
        <v>287</v>
      </c>
      <c r="L2" s="28" t="s">
        <v>288</v>
      </c>
      <c r="M2" s="28">
        <v>2</v>
      </c>
      <c r="N2" s="36" t="str">
        <f>IFERROR(HYPERLINK("#'Main'!B"&amp;MATCH(TRIM(A2),Main!B:B,0),"Open"),HYPERLINK("#'Main'!B1","Open"))</f>
        <v>Open</v>
      </c>
      <c r="O2" s="36" t="str">
        <f t="shared" ref="O2:O33" ca="1" si="0">IFERROR(HYPERLINK("#"&amp;F2&amp;"!A"&amp;MATCH(A2,INDIRECT("'"&amp;F2&amp;"'!A:A"),0),"Open"),HYPERLINK("#"&amp;F2&amp;"!A1","Open"))</f>
        <v>Open</v>
      </c>
      <c r="P2" s="36"/>
    </row>
    <row r="3" spans="1:16" ht="15.75" x14ac:dyDescent="0.25">
      <c r="A3" s="39"/>
      <c r="B3" s="37" t="s">
        <v>60</v>
      </c>
      <c r="C3" s="55" t="s">
        <v>125</v>
      </c>
      <c r="D3" s="42" t="s">
        <v>50</v>
      </c>
      <c r="E3" s="39">
        <v>0</v>
      </c>
      <c r="F3" s="40" t="s">
        <v>126</v>
      </c>
      <c r="G3" s="37"/>
      <c r="H3" s="37"/>
      <c r="I3" s="37"/>
      <c r="J3" s="29" t="s">
        <v>2</v>
      </c>
      <c r="K3" s="39" t="s">
        <v>289</v>
      </c>
      <c r="L3" s="37" t="s">
        <v>288</v>
      </c>
      <c r="M3" s="37">
        <v>3</v>
      </c>
      <c r="N3" t="str">
        <f>IFERROR(HYPERLINK("#'Main'!B"&amp;MATCH(TRIM(A3),Main!B:B,0),"Open"),HYPERLINK("#'Main'!B1","Open"))</f>
        <v>Open</v>
      </c>
      <c r="O3" t="str">
        <f t="shared" ca="1" si="0"/>
        <v>Open</v>
      </c>
    </row>
    <row r="4" spans="1:16" ht="240" x14ac:dyDescent="0.25">
      <c r="A4" s="32"/>
      <c r="B4" s="28" t="s">
        <v>60</v>
      </c>
      <c r="C4" s="54" t="s">
        <v>176</v>
      </c>
      <c r="D4" s="48" t="s">
        <v>152</v>
      </c>
      <c r="E4" s="32">
        <v>10</v>
      </c>
      <c r="F4" s="33" t="s">
        <v>126</v>
      </c>
      <c r="G4" s="28"/>
      <c r="H4" s="28"/>
      <c r="I4" s="28"/>
      <c r="J4" s="29" t="s">
        <v>2</v>
      </c>
      <c r="K4" s="32" t="s">
        <v>287</v>
      </c>
      <c r="L4" s="28" t="s">
        <v>288</v>
      </c>
      <c r="M4" s="28">
        <v>4</v>
      </c>
      <c r="N4" s="36" t="str">
        <f>IFERROR(HYPERLINK("#'Main'!B"&amp;MATCH(TRIM(A4),Main!B:B,0),"Open"),HYPERLINK("#'Main'!B1","Open"))</f>
        <v>Open</v>
      </c>
      <c r="O4" s="36" t="str">
        <f t="shared" ca="1" si="0"/>
        <v>Open</v>
      </c>
      <c r="P4" s="36"/>
    </row>
    <row r="5" spans="1:16" ht="240" x14ac:dyDescent="0.25">
      <c r="A5" s="39"/>
      <c r="B5" s="37" t="s">
        <v>60</v>
      </c>
      <c r="C5" s="55" t="s">
        <v>173</v>
      </c>
      <c r="D5" s="48" t="s">
        <v>152</v>
      </c>
      <c r="E5" s="39">
        <v>10</v>
      </c>
      <c r="F5" s="40" t="s">
        <v>126</v>
      </c>
      <c r="G5" s="37"/>
      <c r="H5" s="37"/>
      <c r="I5" s="37"/>
      <c r="J5" s="29" t="s">
        <v>2</v>
      </c>
      <c r="K5" s="39" t="s">
        <v>287</v>
      </c>
      <c r="L5" s="37" t="s">
        <v>288</v>
      </c>
      <c r="M5" s="37">
        <v>5</v>
      </c>
      <c r="N5" t="str">
        <f>IFERROR(HYPERLINK("#'Main'!B"&amp;MATCH(TRIM(A5),Main!B:B,0),"Open"),HYPERLINK("#'Main'!B1","Open"))</f>
        <v>Open</v>
      </c>
      <c r="O5" t="str">
        <f t="shared" ca="1" si="0"/>
        <v>Open</v>
      </c>
    </row>
    <row r="6" spans="1:16" ht="240" x14ac:dyDescent="0.25">
      <c r="A6" s="32"/>
      <c r="B6" s="28" t="s">
        <v>60</v>
      </c>
      <c r="C6" s="54" t="s">
        <v>170</v>
      </c>
      <c r="D6" s="48" t="s">
        <v>152</v>
      </c>
      <c r="E6" s="32">
        <v>10</v>
      </c>
      <c r="F6" s="33" t="s">
        <v>126</v>
      </c>
      <c r="G6" s="28"/>
      <c r="H6" s="28"/>
      <c r="I6" s="28"/>
      <c r="J6" s="29" t="s">
        <v>2</v>
      </c>
      <c r="K6" s="32" t="s">
        <v>287</v>
      </c>
      <c r="L6" s="28" t="s">
        <v>288</v>
      </c>
      <c r="M6" s="28">
        <v>6</v>
      </c>
      <c r="N6" s="36" t="str">
        <f>IFERROR(HYPERLINK("#'Main'!B"&amp;MATCH(TRIM(A6),Main!B:B,0),"Open"),HYPERLINK("#'Main'!B1","Open"))</f>
        <v>Open</v>
      </c>
      <c r="O6" s="36" t="str">
        <f t="shared" ca="1" si="0"/>
        <v>Open</v>
      </c>
      <c r="P6" s="36"/>
    </row>
    <row r="7" spans="1:16" x14ac:dyDescent="0.25">
      <c r="A7" s="39"/>
      <c r="B7" s="37" t="s">
        <v>60</v>
      </c>
      <c r="C7" s="37"/>
      <c r="D7" s="37"/>
      <c r="E7" s="39">
        <v>0</v>
      </c>
      <c r="F7" s="37"/>
      <c r="G7" s="37"/>
      <c r="H7" s="37"/>
      <c r="I7" s="37"/>
      <c r="J7" s="29" t="s">
        <v>2</v>
      </c>
      <c r="K7" s="39" t="s">
        <v>290</v>
      </c>
      <c r="L7" s="37" t="s">
        <v>288</v>
      </c>
      <c r="M7" s="37">
        <v>7</v>
      </c>
      <c r="N7" t="str">
        <f>IFERROR(HYPERLINK("#'Main'!B"&amp;MATCH(TRIM(A7),Main!B:B,0),"Open"),HYPERLINK("#'Main'!B1","Open"))</f>
        <v>Open</v>
      </c>
      <c r="O7" t="str">
        <f t="shared" ca="1" si="0"/>
        <v>Open</v>
      </c>
    </row>
    <row r="8" spans="1:16" ht="15.75" x14ac:dyDescent="0.25">
      <c r="A8" s="32"/>
      <c r="B8" s="28" t="s">
        <v>291</v>
      </c>
      <c r="C8" s="54" t="s">
        <v>116</v>
      </c>
      <c r="D8" s="29" t="s">
        <v>48</v>
      </c>
      <c r="E8" s="32">
        <v>0</v>
      </c>
      <c r="F8" s="33" t="s">
        <v>117</v>
      </c>
      <c r="G8" s="28"/>
      <c r="H8" s="28"/>
      <c r="I8" s="28"/>
      <c r="J8" s="29" t="s">
        <v>2</v>
      </c>
      <c r="K8" s="32" t="s">
        <v>292</v>
      </c>
      <c r="L8" s="28" t="s">
        <v>288</v>
      </c>
      <c r="M8" s="28">
        <v>8</v>
      </c>
      <c r="N8" s="36" t="str">
        <f>IFERROR(HYPERLINK("#'Main'!B"&amp;MATCH(TRIM(A8),Main!B:B,0),"Open"),HYPERLINK("#'Main'!B1","Open"))</f>
        <v>Open</v>
      </c>
      <c r="O8" s="36" t="str">
        <f t="shared" ca="1" si="0"/>
        <v>Open</v>
      </c>
      <c r="P8" s="36"/>
    </row>
    <row r="9" spans="1:16" ht="15.75" x14ac:dyDescent="0.25">
      <c r="A9" s="39"/>
      <c r="B9" s="37" t="s">
        <v>291</v>
      </c>
      <c r="C9" s="55" t="s">
        <v>115</v>
      </c>
      <c r="D9" s="29" t="s">
        <v>48</v>
      </c>
      <c r="E9" s="39">
        <v>0</v>
      </c>
      <c r="F9" s="40" t="s">
        <v>56</v>
      </c>
      <c r="G9" s="37"/>
      <c r="H9" s="37"/>
      <c r="I9" s="37"/>
      <c r="J9" s="29" t="s">
        <v>2</v>
      </c>
      <c r="K9" s="39" t="s">
        <v>292</v>
      </c>
      <c r="L9" s="37" t="s">
        <v>288</v>
      </c>
      <c r="M9" s="37">
        <v>9</v>
      </c>
      <c r="N9" t="str">
        <f>IFERROR(HYPERLINK("#'Main'!B"&amp;MATCH(TRIM(A9),Main!B:B,0),"Open"),HYPERLINK("#'Main'!B1","Open"))</f>
        <v>Open</v>
      </c>
      <c r="O9" t="str">
        <f t="shared" ca="1" si="0"/>
        <v>Open</v>
      </c>
    </row>
    <row r="10" spans="1:16" ht="15.75" x14ac:dyDescent="0.25">
      <c r="A10" s="32"/>
      <c r="B10" s="28" t="s">
        <v>291</v>
      </c>
      <c r="C10" s="54" t="s">
        <v>108</v>
      </c>
      <c r="D10" s="29" t="s">
        <v>48</v>
      </c>
      <c r="E10" s="32">
        <v>0</v>
      </c>
      <c r="F10" s="33" t="s">
        <v>56</v>
      </c>
      <c r="G10" s="28"/>
      <c r="H10" s="28"/>
      <c r="I10" s="28"/>
      <c r="J10" s="29" t="s">
        <v>2</v>
      </c>
      <c r="K10" s="32" t="s">
        <v>292</v>
      </c>
      <c r="L10" s="28" t="s">
        <v>288</v>
      </c>
      <c r="M10" s="28">
        <v>10</v>
      </c>
      <c r="N10" s="36" t="str">
        <f>IFERROR(HYPERLINK("#'Main'!B"&amp;MATCH(TRIM(A10),Main!B:B,0),"Open"),HYPERLINK("#'Main'!B1","Open"))</f>
        <v>Open</v>
      </c>
      <c r="O10" s="36" t="str">
        <f t="shared" ca="1" si="0"/>
        <v>Open</v>
      </c>
      <c r="P10" s="36"/>
    </row>
    <row r="11" spans="1:16" ht="15.75" x14ac:dyDescent="0.25">
      <c r="A11" s="39"/>
      <c r="B11" s="37" t="s">
        <v>291</v>
      </c>
      <c r="C11" s="55" t="s">
        <v>100</v>
      </c>
      <c r="D11" s="29" t="s">
        <v>48</v>
      </c>
      <c r="E11" s="39">
        <v>0</v>
      </c>
      <c r="F11" s="40" t="s">
        <v>56</v>
      </c>
      <c r="G11" s="37"/>
      <c r="H11" s="37"/>
      <c r="I11" s="37"/>
      <c r="J11" s="29" t="s">
        <v>2</v>
      </c>
      <c r="K11" s="39" t="s">
        <v>292</v>
      </c>
      <c r="L11" s="37" t="s">
        <v>288</v>
      </c>
      <c r="M11" s="37">
        <v>11</v>
      </c>
      <c r="N11" t="str">
        <f>IFERROR(HYPERLINK("#'Main'!B"&amp;MATCH(TRIM(A11),Main!B:B,0),"Open"),HYPERLINK("#'Main'!B1","Open"))</f>
        <v>Open</v>
      </c>
      <c r="O11" t="str">
        <f t="shared" ca="1" si="0"/>
        <v>Open</v>
      </c>
    </row>
    <row r="12" spans="1:16" ht="15.75" x14ac:dyDescent="0.25">
      <c r="A12" s="32"/>
      <c r="B12" s="28" t="s">
        <v>291</v>
      </c>
      <c r="C12" s="54" t="s">
        <v>104</v>
      </c>
      <c r="D12" s="29" t="s">
        <v>48</v>
      </c>
      <c r="E12" s="32">
        <v>0</v>
      </c>
      <c r="F12" s="33" t="s">
        <v>56</v>
      </c>
      <c r="G12" s="28"/>
      <c r="H12" s="28"/>
      <c r="I12" s="28"/>
      <c r="J12" s="29" t="s">
        <v>2</v>
      </c>
      <c r="K12" s="32" t="s">
        <v>292</v>
      </c>
      <c r="L12" s="28" t="s">
        <v>288</v>
      </c>
      <c r="M12" s="28">
        <v>12</v>
      </c>
      <c r="N12" s="36" t="str">
        <f>IFERROR(HYPERLINK("#'Main'!B"&amp;MATCH(TRIM(A12),Main!B:B,0),"Open"),HYPERLINK("#'Main'!B1","Open"))</f>
        <v>Open</v>
      </c>
      <c r="O12" s="36" t="str">
        <f t="shared" ca="1" si="0"/>
        <v>Open</v>
      </c>
      <c r="P12" s="36"/>
    </row>
    <row r="13" spans="1:16" ht="15.75" x14ac:dyDescent="0.25">
      <c r="A13" s="39"/>
      <c r="B13" s="37" t="s">
        <v>291</v>
      </c>
      <c r="C13" s="55" t="s">
        <v>88</v>
      </c>
      <c r="D13" s="29" t="s">
        <v>48</v>
      </c>
      <c r="E13" s="39">
        <v>0</v>
      </c>
      <c r="F13" s="40" t="s">
        <v>56</v>
      </c>
      <c r="G13" s="37"/>
      <c r="H13" s="37"/>
      <c r="I13" s="37"/>
      <c r="J13" s="29" t="s">
        <v>2</v>
      </c>
      <c r="K13" s="39" t="s">
        <v>292</v>
      </c>
      <c r="L13" s="37" t="s">
        <v>288</v>
      </c>
      <c r="M13" s="37">
        <v>13</v>
      </c>
      <c r="N13" t="str">
        <f>IFERROR(HYPERLINK("#'Main'!B"&amp;MATCH(TRIM(A13),Main!B:B,0),"Open"),HYPERLINK("#'Main'!B1","Open"))</f>
        <v>Open</v>
      </c>
      <c r="O13" t="str">
        <f t="shared" ca="1" si="0"/>
        <v>Open</v>
      </c>
    </row>
    <row r="14" spans="1:16" ht="15.75" x14ac:dyDescent="0.25">
      <c r="A14" s="32"/>
      <c r="B14" s="28" t="s">
        <v>291</v>
      </c>
      <c r="C14" s="54" t="s">
        <v>112</v>
      </c>
      <c r="D14" s="29" t="s">
        <v>48</v>
      </c>
      <c r="E14" s="32">
        <v>0</v>
      </c>
      <c r="F14" s="33" t="s">
        <v>56</v>
      </c>
      <c r="G14" s="28"/>
      <c r="H14" s="28"/>
      <c r="I14" s="28"/>
      <c r="J14" s="29" t="s">
        <v>2</v>
      </c>
      <c r="K14" s="32" t="s">
        <v>292</v>
      </c>
      <c r="L14" s="28" t="s">
        <v>288</v>
      </c>
      <c r="M14" s="28">
        <v>14</v>
      </c>
      <c r="N14" s="36" t="str">
        <f>IFERROR(HYPERLINK("#'Main'!B"&amp;MATCH(TRIM(A14),Main!B:B,0),"Open"),HYPERLINK("#'Main'!B1","Open"))</f>
        <v>Open</v>
      </c>
      <c r="O14" s="36" t="str">
        <f t="shared" ca="1" si="0"/>
        <v>Open</v>
      </c>
      <c r="P14" s="36"/>
    </row>
    <row r="15" spans="1:16" ht="255" x14ac:dyDescent="0.25">
      <c r="A15" s="39"/>
      <c r="B15" s="37" t="s">
        <v>291</v>
      </c>
      <c r="C15" s="55" t="s">
        <v>139</v>
      </c>
      <c r="D15" s="42" t="s">
        <v>50</v>
      </c>
      <c r="E15" s="39">
        <v>10</v>
      </c>
      <c r="F15" s="40" t="s">
        <v>126</v>
      </c>
      <c r="G15" s="37"/>
      <c r="H15" s="37"/>
      <c r="I15" s="37"/>
      <c r="J15" s="29" t="s">
        <v>2</v>
      </c>
      <c r="K15" s="39" t="s">
        <v>293</v>
      </c>
      <c r="L15" s="37" t="s">
        <v>288</v>
      </c>
      <c r="M15" s="37">
        <v>15</v>
      </c>
      <c r="N15" t="str">
        <f>IFERROR(HYPERLINK("#'Main'!B"&amp;MATCH(TRIM(A15),Main!B:B,0),"Open"),HYPERLINK("#'Main'!B1","Open"))</f>
        <v>Open</v>
      </c>
      <c r="O15" t="str">
        <f t="shared" ca="1" si="0"/>
        <v>Open</v>
      </c>
    </row>
    <row r="16" spans="1:16" ht="255" x14ac:dyDescent="0.25">
      <c r="A16" s="32"/>
      <c r="B16" s="28" t="s">
        <v>291</v>
      </c>
      <c r="C16" s="54" t="s">
        <v>136</v>
      </c>
      <c r="D16" s="42" t="s">
        <v>50</v>
      </c>
      <c r="E16" s="32">
        <v>10</v>
      </c>
      <c r="F16" s="33" t="s">
        <v>56</v>
      </c>
      <c r="G16" s="28"/>
      <c r="H16" s="28"/>
      <c r="I16" s="28"/>
      <c r="J16" s="29" t="s">
        <v>2</v>
      </c>
      <c r="K16" s="32" t="s">
        <v>293</v>
      </c>
      <c r="L16" s="28" t="s">
        <v>288</v>
      </c>
      <c r="M16" s="28">
        <v>16</v>
      </c>
      <c r="N16" s="36" t="str">
        <f>IFERROR(HYPERLINK("#'Main'!B"&amp;MATCH(TRIM(A16),Main!B:B,0),"Open"),HYPERLINK("#'Main'!B1","Open"))</f>
        <v>Open</v>
      </c>
      <c r="O16" s="36" t="str">
        <f t="shared" ca="1" si="0"/>
        <v>Open</v>
      </c>
      <c r="P16" s="36"/>
    </row>
    <row r="17" spans="1:16" ht="120" x14ac:dyDescent="0.25">
      <c r="A17" s="39"/>
      <c r="B17" s="37" t="s">
        <v>291</v>
      </c>
      <c r="C17" s="55" t="s">
        <v>144</v>
      </c>
      <c r="D17" s="42" t="s">
        <v>50</v>
      </c>
      <c r="E17" s="39">
        <v>4</v>
      </c>
      <c r="F17" s="40" t="s">
        <v>56</v>
      </c>
      <c r="G17" s="37"/>
      <c r="H17" s="37"/>
      <c r="I17" s="37"/>
      <c r="J17" s="29" t="s">
        <v>2</v>
      </c>
      <c r="K17" s="39" t="s">
        <v>294</v>
      </c>
      <c r="L17" s="37" t="s">
        <v>288</v>
      </c>
      <c r="M17" s="37">
        <v>17</v>
      </c>
      <c r="N17" t="str">
        <f>IFERROR(HYPERLINK("#'Main'!B"&amp;MATCH(TRIM(A17),Main!B:B,0),"Open"),HYPERLINK("#'Main'!B1","Open"))</f>
        <v>Open</v>
      </c>
      <c r="O17" t="str">
        <f t="shared" ca="1" si="0"/>
        <v>Open</v>
      </c>
    </row>
    <row r="18" spans="1:16" ht="75" x14ac:dyDescent="0.25">
      <c r="A18" s="32"/>
      <c r="B18" s="28" t="s">
        <v>291</v>
      </c>
      <c r="C18" s="54" t="s">
        <v>142</v>
      </c>
      <c r="D18" s="42" t="s">
        <v>50</v>
      </c>
      <c r="E18" s="32">
        <v>3</v>
      </c>
      <c r="F18" s="33" t="s">
        <v>56</v>
      </c>
      <c r="G18" s="28"/>
      <c r="H18" s="28"/>
      <c r="I18" s="28"/>
      <c r="J18" s="29" t="s">
        <v>2</v>
      </c>
      <c r="K18" s="32" t="s">
        <v>295</v>
      </c>
      <c r="L18" s="28" t="s">
        <v>288</v>
      </c>
      <c r="M18" s="28">
        <v>18</v>
      </c>
      <c r="N18" s="36" t="str">
        <f>IFERROR(HYPERLINK("#'Main'!B"&amp;MATCH(TRIM(A18),Main!B:B,0),"Open"),HYPERLINK("#'Main'!B1","Open"))</f>
        <v>Open</v>
      </c>
      <c r="O18" s="36" t="str">
        <f t="shared" ca="1" si="0"/>
        <v>Open</v>
      </c>
      <c r="P18" s="36"/>
    </row>
    <row r="19" spans="1:16" ht="45" x14ac:dyDescent="0.25">
      <c r="A19" s="39"/>
      <c r="B19" s="37" t="s">
        <v>291</v>
      </c>
      <c r="C19" s="55" t="s">
        <v>147</v>
      </c>
      <c r="D19" s="42" t="s">
        <v>50</v>
      </c>
      <c r="E19" s="39">
        <v>1</v>
      </c>
      <c r="F19" s="40" t="s">
        <v>56</v>
      </c>
      <c r="G19" s="37"/>
      <c r="H19" s="37"/>
      <c r="I19" s="37"/>
      <c r="J19" s="29" t="s">
        <v>2</v>
      </c>
      <c r="K19" s="39" t="s">
        <v>296</v>
      </c>
      <c r="L19" s="37" t="s">
        <v>288</v>
      </c>
      <c r="M19" s="37">
        <v>19</v>
      </c>
      <c r="N19" t="str">
        <f>IFERROR(HYPERLINK("#'Main'!B"&amp;MATCH(TRIM(A19),Main!B:B,0),"Open"),HYPERLINK("#'Main'!B1","Open"))</f>
        <v>Open</v>
      </c>
      <c r="O19" t="str">
        <f t="shared" ca="1" si="0"/>
        <v>Open</v>
      </c>
    </row>
    <row r="20" spans="1:16" ht="15.75" x14ac:dyDescent="0.25">
      <c r="A20" s="32"/>
      <c r="B20" s="28" t="s">
        <v>291</v>
      </c>
      <c r="C20" s="54" t="s">
        <v>124</v>
      </c>
      <c r="D20" s="42" t="s">
        <v>50</v>
      </c>
      <c r="E20" s="32">
        <v>0</v>
      </c>
      <c r="F20" s="33" t="s">
        <v>56</v>
      </c>
      <c r="G20" s="28"/>
      <c r="H20" s="28"/>
      <c r="I20" s="28"/>
      <c r="J20" s="29" t="s">
        <v>2</v>
      </c>
      <c r="K20" s="32" t="s">
        <v>292</v>
      </c>
      <c r="L20" s="28" t="s">
        <v>288</v>
      </c>
      <c r="M20" s="28">
        <v>20</v>
      </c>
      <c r="N20" s="36" t="str">
        <f>IFERROR(HYPERLINK("#'Main'!B"&amp;MATCH(TRIM(A20),Main!B:B,0),"Open"),HYPERLINK("#'Main'!B1","Open"))</f>
        <v>Open</v>
      </c>
      <c r="O20" s="36" t="str">
        <f t="shared" ca="1" si="0"/>
        <v>Open</v>
      </c>
      <c r="P20" s="36"/>
    </row>
    <row r="21" spans="1:16" ht="15.75" x14ac:dyDescent="0.25">
      <c r="A21" s="39"/>
      <c r="B21" s="37" t="s">
        <v>291</v>
      </c>
      <c r="C21" s="55" t="s">
        <v>134</v>
      </c>
      <c r="D21" s="42" t="s">
        <v>50</v>
      </c>
      <c r="E21" s="39">
        <v>0</v>
      </c>
      <c r="F21" s="40" t="s">
        <v>56</v>
      </c>
      <c r="G21" s="37"/>
      <c r="H21" s="37"/>
      <c r="I21" s="37"/>
      <c r="J21" s="29" t="s">
        <v>2</v>
      </c>
      <c r="K21" s="39" t="s">
        <v>292</v>
      </c>
      <c r="L21" s="37" t="s">
        <v>288</v>
      </c>
      <c r="M21" s="37">
        <v>21</v>
      </c>
      <c r="N21" t="str">
        <f>IFERROR(HYPERLINK("#'Main'!B"&amp;MATCH(TRIM(A21),Main!B:B,0),"Open"),HYPERLINK("#'Main'!B1","Open"))</f>
        <v>Open</v>
      </c>
      <c r="O21" t="str">
        <f t="shared" ca="1" si="0"/>
        <v>Open</v>
      </c>
    </row>
    <row r="22" spans="1:16" ht="15.75" x14ac:dyDescent="0.25">
      <c r="A22" s="32"/>
      <c r="B22" s="28" t="s">
        <v>291</v>
      </c>
      <c r="C22" s="54" t="s">
        <v>130</v>
      </c>
      <c r="D22" s="42" t="s">
        <v>50</v>
      </c>
      <c r="E22" s="32">
        <v>0</v>
      </c>
      <c r="F22" s="33" t="s">
        <v>56</v>
      </c>
      <c r="G22" s="28"/>
      <c r="H22" s="28"/>
      <c r="I22" s="28"/>
      <c r="J22" s="29" t="s">
        <v>2</v>
      </c>
      <c r="K22" s="32" t="s">
        <v>292</v>
      </c>
      <c r="L22" s="28" t="s">
        <v>288</v>
      </c>
      <c r="M22" s="28">
        <v>22</v>
      </c>
      <c r="N22" s="36" t="str">
        <f>IFERROR(HYPERLINK("#'Main'!B"&amp;MATCH(TRIM(A22),Main!B:B,0),"Open"),HYPERLINK("#'Main'!B1","Open"))</f>
        <v>Open</v>
      </c>
      <c r="O22" s="36" t="str">
        <f t="shared" ca="1" si="0"/>
        <v>Open</v>
      </c>
      <c r="P22" s="36"/>
    </row>
    <row r="23" spans="1:16" ht="15.75" x14ac:dyDescent="0.25">
      <c r="A23" s="39"/>
      <c r="B23" s="37" t="s">
        <v>291</v>
      </c>
      <c r="C23" s="55" t="s">
        <v>135</v>
      </c>
      <c r="D23" s="42" t="s">
        <v>50</v>
      </c>
      <c r="E23" s="39">
        <v>0</v>
      </c>
      <c r="F23" s="40" t="s">
        <v>56</v>
      </c>
      <c r="G23" s="37"/>
      <c r="H23" s="37"/>
      <c r="I23" s="37"/>
      <c r="J23" s="29" t="s">
        <v>2</v>
      </c>
      <c r="K23" s="39" t="s">
        <v>292</v>
      </c>
      <c r="L23" s="37" t="s">
        <v>288</v>
      </c>
      <c r="M23" s="37">
        <v>23</v>
      </c>
      <c r="N23" t="str">
        <f>IFERROR(HYPERLINK("#'Main'!B"&amp;MATCH(TRIM(A23),Main!B:B,0),"Open"),HYPERLINK("#'Main'!B1","Open"))</f>
        <v>Open</v>
      </c>
      <c r="O23" t="str">
        <f t="shared" ca="1" si="0"/>
        <v>Open</v>
      </c>
    </row>
    <row r="24" spans="1:16" ht="15.75" x14ac:dyDescent="0.25">
      <c r="A24" s="32"/>
      <c r="B24" s="28" t="s">
        <v>291</v>
      </c>
      <c r="C24" s="54" t="s">
        <v>125</v>
      </c>
      <c r="D24" s="42" t="s">
        <v>50</v>
      </c>
      <c r="E24" s="32">
        <v>0</v>
      </c>
      <c r="F24" s="33" t="s">
        <v>126</v>
      </c>
      <c r="G24" s="28"/>
      <c r="H24" s="28"/>
      <c r="I24" s="28"/>
      <c r="J24" s="29" t="s">
        <v>2</v>
      </c>
      <c r="K24" s="32" t="s">
        <v>292</v>
      </c>
      <c r="L24" s="28" t="s">
        <v>288</v>
      </c>
      <c r="M24" s="28">
        <v>24</v>
      </c>
      <c r="N24" s="36" t="str">
        <f>IFERROR(HYPERLINK("#'Main'!B"&amp;MATCH(TRIM(A24),Main!B:B,0),"Open"),HYPERLINK("#'Main'!B1","Open"))</f>
        <v>Open</v>
      </c>
      <c r="O24" s="36" t="str">
        <f t="shared" ca="1" si="0"/>
        <v>Open</v>
      </c>
      <c r="P24" s="36"/>
    </row>
    <row r="25" spans="1:16" ht="15.75" x14ac:dyDescent="0.25">
      <c r="A25" s="39"/>
      <c r="B25" s="37" t="s">
        <v>291</v>
      </c>
      <c r="C25" s="55" t="s">
        <v>131</v>
      </c>
      <c r="D25" s="42" t="s">
        <v>50</v>
      </c>
      <c r="E25" s="39">
        <v>0</v>
      </c>
      <c r="F25" s="40" t="s">
        <v>56</v>
      </c>
      <c r="G25" s="37"/>
      <c r="H25" s="37"/>
      <c r="I25" s="37"/>
      <c r="J25" s="29" t="s">
        <v>2</v>
      </c>
      <c r="K25" s="39" t="s">
        <v>292</v>
      </c>
      <c r="L25" s="37" t="s">
        <v>288</v>
      </c>
      <c r="M25" s="37">
        <v>25</v>
      </c>
      <c r="N25" t="str">
        <f>IFERROR(HYPERLINK("#'Main'!B"&amp;MATCH(TRIM(A25),Main!B:B,0),"Open"),HYPERLINK("#'Main'!B1","Open"))</f>
        <v>Open</v>
      </c>
      <c r="O25" t="str">
        <f t="shared" ca="1" si="0"/>
        <v>Open</v>
      </c>
    </row>
    <row r="26" spans="1:16" ht="15.75" x14ac:dyDescent="0.25">
      <c r="A26" s="32"/>
      <c r="B26" s="28" t="s">
        <v>291</v>
      </c>
      <c r="C26" s="54" t="s">
        <v>120</v>
      </c>
      <c r="D26" s="42" t="s">
        <v>50</v>
      </c>
      <c r="E26" s="32">
        <v>0</v>
      </c>
      <c r="F26" s="33" t="s">
        <v>56</v>
      </c>
      <c r="G26" s="28"/>
      <c r="H26" s="28"/>
      <c r="I26" s="28"/>
      <c r="J26" s="29" t="s">
        <v>2</v>
      </c>
      <c r="K26" s="32" t="s">
        <v>292</v>
      </c>
      <c r="L26" s="28" t="s">
        <v>288</v>
      </c>
      <c r="M26" s="28">
        <v>26</v>
      </c>
      <c r="N26" s="36" t="str">
        <f>IFERROR(HYPERLINK("#'Main'!B"&amp;MATCH(TRIM(A26),Main!B:B,0),"Open"),HYPERLINK("#'Main'!B1","Open"))</f>
        <v>Open</v>
      </c>
      <c r="O26" s="36" t="str">
        <f t="shared" ca="1" si="0"/>
        <v>Open</v>
      </c>
      <c r="P26" s="36"/>
    </row>
    <row r="27" spans="1:16" ht="255" x14ac:dyDescent="0.25">
      <c r="A27" s="39"/>
      <c r="B27" s="37" t="s">
        <v>291</v>
      </c>
      <c r="C27" s="55" t="s">
        <v>179</v>
      </c>
      <c r="D27" s="48" t="s">
        <v>152</v>
      </c>
      <c r="E27" s="39">
        <v>10</v>
      </c>
      <c r="F27" s="40" t="s">
        <v>56</v>
      </c>
      <c r="G27" s="37"/>
      <c r="H27" s="37"/>
      <c r="I27" s="37"/>
      <c r="J27" s="29" t="s">
        <v>2</v>
      </c>
      <c r="K27" s="39" t="s">
        <v>293</v>
      </c>
      <c r="L27" s="37" t="s">
        <v>288</v>
      </c>
      <c r="M27" s="37">
        <v>27</v>
      </c>
      <c r="N27" t="str">
        <f>IFERROR(HYPERLINK("#'Main'!B"&amp;MATCH(TRIM(A27),Main!B:B,0),"Open"),HYPERLINK("#'Main'!B1","Open"))</f>
        <v>Open</v>
      </c>
      <c r="O27" t="str">
        <f t="shared" ca="1" si="0"/>
        <v>Open</v>
      </c>
    </row>
    <row r="28" spans="1:16" ht="255" x14ac:dyDescent="0.25">
      <c r="A28" s="32"/>
      <c r="B28" s="28" t="s">
        <v>291</v>
      </c>
      <c r="C28" s="54" t="s">
        <v>176</v>
      </c>
      <c r="D28" s="48" t="s">
        <v>152</v>
      </c>
      <c r="E28" s="32">
        <v>10</v>
      </c>
      <c r="F28" s="33" t="s">
        <v>56</v>
      </c>
      <c r="G28" s="28"/>
      <c r="H28" s="28"/>
      <c r="I28" s="28"/>
      <c r="J28" s="29" t="s">
        <v>2</v>
      </c>
      <c r="K28" s="32" t="s">
        <v>293</v>
      </c>
      <c r="L28" s="28" t="s">
        <v>288</v>
      </c>
      <c r="M28" s="28">
        <v>28</v>
      </c>
      <c r="N28" s="36" t="str">
        <f>IFERROR(HYPERLINK("#'Main'!B"&amp;MATCH(TRIM(A28),Main!B:B,0),"Open"),HYPERLINK("#'Main'!B1","Open"))</f>
        <v>Open</v>
      </c>
      <c r="O28" s="36" t="str">
        <f t="shared" ca="1" si="0"/>
        <v>Open</v>
      </c>
      <c r="P28" s="36"/>
    </row>
    <row r="29" spans="1:16" ht="255" x14ac:dyDescent="0.25">
      <c r="A29" s="39"/>
      <c r="B29" s="37" t="s">
        <v>291</v>
      </c>
      <c r="C29" s="55" t="s">
        <v>173</v>
      </c>
      <c r="D29" s="48" t="s">
        <v>152</v>
      </c>
      <c r="E29" s="39">
        <v>10</v>
      </c>
      <c r="F29" s="40" t="s">
        <v>56</v>
      </c>
      <c r="G29" s="37"/>
      <c r="H29" s="37"/>
      <c r="I29" s="37"/>
      <c r="J29" s="29" t="s">
        <v>2</v>
      </c>
      <c r="K29" s="39" t="s">
        <v>293</v>
      </c>
      <c r="L29" s="37" t="s">
        <v>288</v>
      </c>
      <c r="M29" s="37">
        <v>29</v>
      </c>
      <c r="N29" t="str">
        <f>IFERROR(HYPERLINK("#'Main'!B"&amp;MATCH(TRIM(A29),Main!B:B,0),"Open"),HYPERLINK("#'Main'!B1","Open"))</f>
        <v>Open</v>
      </c>
      <c r="O29" t="str">
        <f t="shared" ca="1" si="0"/>
        <v>Open</v>
      </c>
    </row>
    <row r="30" spans="1:16" ht="255" x14ac:dyDescent="0.25">
      <c r="A30" s="32"/>
      <c r="B30" s="28" t="s">
        <v>291</v>
      </c>
      <c r="C30" s="54" t="s">
        <v>34</v>
      </c>
      <c r="D30" s="48" t="s">
        <v>152</v>
      </c>
      <c r="E30" s="32">
        <v>10</v>
      </c>
      <c r="F30" s="33" t="s">
        <v>56</v>
      </c>
      <c r="G30" s="28"/>
      <c r="H30" s="28"/>
      <c r="I30" s="28"/>
      <c r="J30" s="29" t="s">
        <v>2</v>
      </c>
      <c r="K30" s="32" t="s">
        <v>293</v>
      </c>
      <c r="L30" s="28" t="s">
        <v>288</v>
      </c>
      <c r="M30" s="28">
        <v>30</v>
      </c>
      <c r="N30" s="36" t="str">
        <f>IFERROR(HYPERLINK("#'Main'!B"&amp;MATCH(TRIM(A30),Main!B:B,0),"Open"),HYPERLINK("#'Main'!B1","Open"))</f>
        <v>Open</v>
      </c>
      <c r="O30" s="36" t="str">
        <f t="shared" ca="1" si="0"/>
        <v>Open</v>
      </c>
      <c r="P30" s="36"/>
    </row>
    <row r="31" spans="1:16" ht="255" x14ac:dyDescent="0.25">
      <c r="A31" s="39"/>
      <c r="B31" s="37" t="s">
        <v>291</v>
      </c>
      <c r="C31" s="55" t="s">
        <v>170</v>
      </c>
      <c r="D31" s="48" t="s">
        <v>152</v>
      </c>
      <c r="E31" s="39">
        <v>10</v>
      </c>
      <c r="F31" s="40" t="s">
        <v>126</v>
      </c>
      <c r="G31" s="37"/>
      <c r="H31" s="37"/>
      <c r="I31" s="37"/>
      <c r="J31" s="29" t="s">
        <v>2</v>
      </c>
      <c r="K31" s="39" t="s">
        <v>293</v>
      </c>
      <c r="L31" s="37" t="s">
        <v>288</v>
      </c>
      <c r="M31" s="37">
        <v>31</v>
      </c>
      <c r="N31" t="str">
        <f>IFERROR(HYPERLINK("#'Main'!B"&amp;MATCH(TRIM(A31),Main!B:B,0),"Open"),HYPERLINK("#'Main'!B1","Open"))</f>
        <v>Open</v>
      </c>
      <c r="O31" t="str">
        <f t="shared" ca="1" si="0"/>
        <v>Open</v>
      </c>
    </row>
    <row r="32" spans="1:16" ht="120" x14ac:dyDescent="0.25">
      <c r="A32" s="32"/>
      <c r="B32" s="28" t="s">
        <v>291</v>
      </c>
      <c r="C32" s="54" t="s">
        <v>164</v>
      </c>
      <c r="D32" s="48" t="s">
        <v>152</v>
      </c>
      <c r="E32" s="32">
        <v>5</v>
      </c>
      <c r="F32" s="33" t="s">
        <v>56</v>
      </c>
      <c r="G32" s="28"/>
      <c r="H32" s="28"/>
      <c r="I32" s="28"/>
      <c r="J32" s="29" t="s">
        <v>2</v>
      </c>
      <c r="K32" s="32" t="s">
        <v>297</v>
      </c>
      <c r="L32" s="28" t="s">
        <v>288</v>
      </c>
      <c r="M32" s="28">
        <v>32</v>
      </c>
      <c r="N32" s="36" t="str">
        <f>IFERROR(HYPERLINK("#'Main'!B"&amp;MATCH(TRIM(A32),Main!B:B,0),"Open"),HYPERLINK("#'Main'!B1","Open"))</f>
        <v>Open</v>
      </c>
      <c r="O32" s="36" t="str">
        <f t="shared" ca="1" si="0"/>
        <v>Open</v>
      </c>
      <c r="P32" s="36"/>
    </row>
    <row r="33" spans="1:16" ht="30" x14ac:dyDescent="0.25">
      <c r="A33" s="39"/>
      <c r="B33" s="37" t="s">
        <v>291</v>
      </c>
      <c r="C33" s="55" t="s">
        <v>169</v>
      </c>
      <c r="D33" s="48" t="s">
        <v>152</v>
      </c>
      <c r="E33" s="39">
        <v>1</v>
      </c>
      <c r="F33" s="40" t="s">
        <v>56</v>
      </c>
      <c r="G33" s="37"/>
      <c r="H33" s="37"/>
      <c r="I33" s="37"/>
      <c r="J33" s="29" t="s">
        <v>2</v>
      </c>
      <c r="K33" s="39" t="s">
        <v>298</v>
      </c>
      <c r="L33" s="37" t="s">
        <v>288</v>
      </c>
      <c r="M33" s="37">
        <v>33</v>
      </c>
      <c r="N33" t="str">
        <f>IFERROR(HYPERLINK("#'Main'!B"&amp;MATCH(TRIM(A33),Main!B:B,0),"Open"),HYPERLINK("#'Main'!B1","Open"))</f>
        <v>Open</v>
      </c>
      <c r="O33" t="str">
        <f t="shared" ca="1" si="0"/>
        <v>Open</v>
      </c>
    </row>
    <row r="34" spans="1:16" ht="15.75" x14ac:dyDescent="0.25">
      <c r="A34" s="32"/>
      <c r="B34" s="28" t="s">
        <v>291</v>
      </c>
      <c r="C34" s="54" t="s">
        <v>161</v>
      </c>
      <c r="D34" s="48" t="s">
        <v>152</v>
      </c>
      <c r="E34" s="32">
        <v>0</v>
      </c>
      <c r="F34" s="33" t="s">
        <v>56</v>
      </c>
      <c r="G34" s="28"/>
      <c r="H34" s="28"/>
      <c r="I34" s="28"/>
      <c r="J34" s="29" t="s">
        <v>2</v>
      </c>
      <c r="K34" s="32" t="s">
        <v>292</v>
      </c>
      <c r="L34" s="28" t="s">
        <v>288</v>
      </c>
      <c r="M34" s="28">
        <v>34</v>
      </c>
      <c r="N34" s="36" t="str">
        <f>IFERROR(HYPERLINK("#'Main'!B"&amp;MATCH(TRIM(A34),Main!B:B,0),"Open"),HYPERLINK("#'Main'!B1","Open"))</f>
        <v>Open</v>
      </c>
      <c r="O34" s="36" t="str">
        <f t="shared" ref="O34:O65" ca="1" si="1">IFERROR(HYPERLINK("#"&amp;F34&amp;"!A"&amp;MATCH(A34,INDIRECT("'"&amp;F34&amp;"'!A:A"),0),"Open"),HYPERLINK("#"&amp;F34&amp;"!A1","Open"))</f>
        <v>Open</v>
      </c>
      <c r="P34" s="36"/>
    </row>
    <row r="35" spans="1:16" ht="15.75" x14ac:dyDescent="0.25">
      <c r="A35" s="39"/>
      <c r="B35" s="37" t="s">
        <v>291</v>
      </c>
      <c r="C35" s="55" t="s">
        <v>160</v>
      </c>
      <c r="D35" s="48" t="s">
        <v>152</v>
      </c>
      <c r="E35" s="39">
        <v>0</v>
      </c>
      <c r="F35" s="40" t="s">
        <v>56</v>
      </c>
      <c r="G35" s="37"/>
      <c r="H35" s="37"/>
      <c r="I35" s="37"/>
      <c r="J35" s="29" t="s">
        <v>2</v>
      </c>
      <c r="K35" s="39" t="s">
        <v>292</v>
      </c>
      <c r="L35" s="37" t="s">
        <v>288</v>
      </c>
      <c r="M35" s="37">
        <v>35</v>
      </c>
      <c r="N35" t="str">
        <f>IFERROR(HYPERLINK("#'Main'!B"&amp;MATCH(TRIM(A35),Main!B:B,0),"Open"),HYPERLINK("#'Main'!B1","Open"))</f>
        <v>Open</v>
      </c>
      <c r="O35" t="str">
        <f t="shared" ca="1" si="1"/>
        <v>Open</v>
      </c>
    </row>
    <row r="36" spans="1:16" ht="15.75" x14ac:dyDescent="0.25">
      <c r="A36" s="32"/>
      <c r="B36" s="28" t="s">
        <v>291</v>
      </c>
      <c r="C36" s="54" t="s">
        <v>157</v>
      </c>
      <c r="D36" s="48" t="s">
        <v>152</v>
      </c>
      <c r="E36" s="32">
        <v>0</v>
      </c>
      <c r="F36" s="33" t="s">
        <v>56</v>
      </c>
      <c r="G36" s="28"/>
      <c r="H36" s="28"/>
      <c r="I36" s="28"/>
      <c r="J36" s="29" t="s">
        <v>2</v>
      </c>
      <c r="K36" s="32" t="s">
        <v>292</v>
      </c>
      <c r="L36" s="28" t="s">
        <v>288</v>
      </c>
      <c r="M36" s="28">
        <v>36</v>
      </c>
      <c r="N36" s="36" t="str">
        <f>IFERROR(HYPERLINK("#'Main'!B"&amp;MATCH(TRIM(A36),Main!B:B,0),"Open"),HYPERLINK("#'Main'!B1","Open"))</f>
        <v>Open</v>
      </c>
      <c r="O36" s="36" t="str">
        <f t="shared" ca="1" si="1"/>
        <v>Open</v>
      </c>
      <c r="P36" s="36"/>
    </row>
    <row r="37" spans="1:16" ht="15.75" x14ac:dyDescent="0.25">
      <c r="A37" s="39"/>
      <c r="B37" s="37" t="s">
        <v>291</v>
      </c>
      <c r="C37" s="55" t="s">
        <v>162</v>
      </c>
      <c r="D37" s="48" t="s">
        <v>152</v>
      </c>
      <c r="E37" s="39">
        <v>0</v>
      </c>
      <c r="F37" s="40" t="s">
        <v>56</v>
      </c>
      <c r="G37" s="37"/>
      <c r="H37" s="37"/>
      <c r="I37" s="37"/>
      <c r="J37" s="29" t="s">
        <v>2</v>
      </c>
      <c r="K37" s="39" t="s">
        <v>292</v>
      </c>
      <c r="L37" s="37" t="s">
        <v>288</v>
      </c>
      <c r="M37" s="37">
        <v>37</v>
      </c>
      <c r="N37" t="str">
        <f>IFERROR(HYPERLINK("#'Main'!B"&amp;MATCH(TRIM(A37),Main!B:B,0),"Open"),HYPERLINK("#'Main'!B1","Open"))</f>
        <v>Open</v>
      </c>
      <c r="O37" t="str">
        <f t="shared" ca="1" si="1"/>
        <v>Open</v>
      </c>
    </row>
    <row r="38" spans="1:16" ht="15.75" x14ac:dyDescent="0.25">
      <c r="A38" s="32"/>
      <c r="B38" s="28" t="s">
        <v>291</v>
      </c>
      <c r="C38" s="54" t="s">
        <v>159</v>
      </c>
      <c r="D38" s="48" t="s">
        <v>152</v>
      </c>
      <c r="E38" s="32">
        <v>0</v>
      </c>
      <c r="F38" s="33" t="s">
        <v>56</v>
      </c>
      <c r="G38" s="28"/>
      <c r="H38" s="28"/>
      <c r="I38" s="28"/>
      <c r="J38" s="29" t="s">
        <v>2</v>
      </c>
      <c r="K38" s="32" t="s">
        <v>292</v>
      </c>
      <c r="L38" s="28" t="s">
        <v>288</v>
      </c>
      <c r="M38" s="28">
        <v>38</v>
      </c>
      <c r="N38" s="36" t="str">
        <f>IFERROR(HYPERLINK("#'Main'!B"&amp;MATCH(TRIM(A38),Main!B:B,0),"Open"),HYPERLINK("#'Main'!B1","Open"))</f>
        <v>Open</v>
      </c>
      <c r="O38" s="36" t="str">
        <f t="shared" ca="1" si="1"/>
        <v>Open</v>
      </c>
      <c r="P38" s="36"/>
    </row>
    <row r="39" spans="1:16" ht="15.75" x14ac:dyDescent="0.25">
      <c r="A39" s="39"/>
      <c r="B39" s="37" t="s">
        <v>291</v>
      </c>
      <c r="C39" s="55" t="s">
        <v>158</v>
      </c>
      <c r="D39" s="48" t="s">
        <v>152</v>
      </c>
      <c r="E39" s="39">
        <v>0</v>
      </c>
      <c r="F39" s="40" t="s">
        <v>56</v>
      </c>
      <c r="G39" s="37"/>
      <c r="H39" s="37"/>
      <c r="I39" s="37"/>
      <c r="J39" s="29" t="s">
        <v>2</v>
      </c>
      <c r="K39" s="39" t="s">
        <v>292</v>
      </c>
      <c r="L39" s="37" t="s">
        <v>288</v>
      </c>
      <c r="M39" s="37">
        <v>39</v>
      </c>
      <c r="N39" t="str">
        <f>IFERROR(HYPERLINK("#'Main'!B"&amp;MATCH(TRIM(A39),Main!B:B,0),"Open"),HYPERLINK("#'Main'!B1","Open"))</f>
        <v>Open</v>
      </c>
      <c r="O39" t="str">
        <f t="shared" ca="1" si="1"/>
        <v>Open</v>
      </c>
    </row>
    <row r="40" spans="1:16" ht="15.75" x14ac:dyDescent="0.25">
      <c r="A40" s="32"/>
      <c r="B40" s="28" t="s">
        <v>291</v>
      </c>
      <c r="C40" s="54" t="s">
        <v>151</v>
      </c>
      <c r="D40" s="48" t="s">
        <v>152</v>
      </c>
      <c r="E40" s="32">
        <v>0</v>
      </c>
      <c r="F40" s="33" t="s">
        <v>56</v>
      </c>
      <c r="G40" s="28"/>
      <c r="H40" s="28"/>
      <c r="I40" s="28"/>
      <c r="J40" s="29" t="s">
        <v>2</v>
      </c>
      <c r="K40" s="32" t="s">
        <v>292</v>
      </c>
      <c r="L40" s="28" t="s">
        <v>288</v>
      </c>
      <c r="M40" s="28">
        <v>40</v>
      </c>
      <c r="N40" s="36" t="str">
        <f>IFERROR(HYPERLINK("#'Main'!B"&amp;MATCH(TRIM(A40),Main!B:B,0),"Open"),HYPERLINK("#'Main'!B1","Open"))</f>
        <v>Open</v>
      </c>
      <c r="O40" s="36" t="str">
        <f t="shared" ca="1" si="1"/>
        <v>Open</v>
      </c>
      <c r="P40" s="36"/>
    </row>
    <row r="41" spans="1:16" ht="15.75" x14ac:dyDescent="0.25">
      <c r="A41" s="39"/>
      <c r="B41" s="37" t="s">
        <v>291</v>
      </c>
      <c r="C41" s="55" t="s">
        <v>163</v>
      </c>
      <c r="D41" s="48" t="s">
        <v>152</v>
      </c>
      <c r="E41" s="39">
        <v>0</v>
      </c>
      <c r="F41" s="40" t="s">
        <v>56</v>
      </c>
      <c r="G41" s="37"/>
      <c r="H41" s="37"/>
      <c r="I41" s="37"/>
      <c r="J41" s="29" t="s">
        <v>2</v>
      </c>
      <c r="K41" s="39" t="s">
        <v>292</v>
      </c>
      <c r="L41" s="37" t="s">
        <v>288</v>
      </c>
      <c r="M41" s="37">
        <v>41</v>
      </c>
      <c r="N41" t="str">
        <f>IFERROR(HYPERLINK("#'Main'!B"&amp;MATCH(TRIM(A41),Main!B:B,0),"Open"),HYPERLINK("#'Main'!B1","Open"))</f>
        <v>Open</v>
      </c>
      <c r="O41" t="str">
        <f t="shared" ca="1" si="1"/>
        <v>Open</v>
      </c>
    </row>
    <row r="42" spans="1:16" x14ac:dyDescent="0.25">
      <c r="A42" s="32"/>
      <c r="B42" s="28" t="s">
        <v>291</v>
      </c>
      <c r="C42" s="28"/>
      <c r="D42" s="28"/>
      <c r="E42" s="32">
        <v>0</v>
      </c>
      <c r="F42" s="28"/>
      <c r="G42" s="28"/>
      <c r="H42" s="28"/>
      <c r="I42" s="28"/>
      <c r="J42" s="29" t="s">
        <v>2</v>
      </c>
      <c r="K42" s="32"/>
      <c r="L42" s="28" t="s">
        <v>288</v>
      </c>
      <c r="M42" s="28">
        <v>42</v>
      </c>
      <c r="N42" s="36" t="str">
        <f>IFERROR(HYPERLINK("#'Main'!B"&amp;MATCH(TRIM(A42),Main!B:B,0),"Open"),HYPERLINK("#'Main'!B1","Open"))</f>
        <v>Open</v>
      </c>
      <c r="O42" s="36" t="str">
        <f t="shared" ca="1" si="1"/>
        <v>Open</v>
      </c>
      <c r="P42" s="36"/>
    </row>
    <row r="43" spans="1:16" x14ac:dyDescent="0.25">
      <c r="A43" s="39"/>
      <c r="B43" s="37" t="s">
        <v>299</v>
      </c>
      <c r="C43" s="37"/>
      <c r="D43" s="37"/>
      <c r="E43" s="39">
        <v>0</v>
      </c>
      <c r="F43" s="37"/>
      <c r="G43" s="37"/>
      <c r="H43" s="37"/>
      <c r="I43" s="37"/>
      <c r="J43" s="29" t="s">
        <v>2</v>
      </c>
      <c r="K43" s="39"/>
      <c r="L43" s="37" t="s">
        <v>288</v>
      </c>
      <c r="M43" s="37">
        <v>43</v>
      </c>
      <c r="N43" t="str">
        <f>IFERROR(HYPERLINK("#'Main'!B"&amp;MATCH(TRIM(A43),Main!B:B,0),"Open"),HYPERLINK("#'Main'!B1","Open"))</f>
        <v>Open</v>
      </c>
      <c r="O43" t="str">
        <f t="shared" ca="1" si="1"/>
        <v>Open</v>
      </c>
    </row>
    <row r="44" spans="1:16" x14ac:dyDescent="0.25">
      <c r="A44" s="32"/>
      <c r="B44" s="28" t="s">
        <v>300</v>
      </c>
      <c r="C44" s="28"/>
      <c r="D44" s="28"/>
      <c r="E44" s="32">
        <v>0</v>
      </c>
      <c r="F44" s="28"/>
      <c r="G44" s="28"/>
      <c r="H44" s="28"/>
      <c r="I44" s="28"/>
      <c r="J44" s="29" t="s">
        <v>2</v>
      </c>
      <c r="K44" s="32"/>
      <c r="L44" s="28" t="s">
        <v>288</v>
      </c>
      <c r="M44" s="28">
        <v>44</v>
      </c>
      <c r="N44" s="36" t="str">
        <f>IFERROR(HYPERLINK("#'Main'!B"&amp;MATCH(TRIM(A44),Main!B:B,0),"Open"),HYPERLINK("#'Main'!B1","Open"))</f>
        <v>Open</v>
      </c>
      <c r="O44" s="36" t="str">
        <f t="shared" ca="1" si="1"/>
        <v>Open</v>
      </c>
      <c r="P44" s="36"/>
    </row>
    <row r="45" spans="1:16" ht="15.75" x14ac:dyDescent="0.25">
      <c r="A45" s="39"/>
      <c r="B45" s="37" t="s">
        <v>300</v>
      </c>
      <c r="C45" s="37" t="s">
        <v>301</v>
      </c>
      <c r="D45" s="48" t="s">
        <v>152</v>
      </c>
      <c r="E45" s="39">
        <v>3</v>
      </c>
      <c r="F45" s="40" t="s">
        <v>302</v>
      </c>
      <c r="G45" s="37"/>
      <c r="H45" s="37"/>
      <c r="I45" s="37"/>
      <c r="J45" s="29" t="s">
        <v>2</v>
      </c>
      <c r="K45" s="39"/>
      <c r="L45" s="37" t="s">
        <v>288</v>
      </c>
      <c r="M45" s="37">
        <v>45</v>
      </c>
      <c r="N45" t="str">
        <f>IFERROR(HYPERLINK("#'Main'!B"&amp;MATCH(TRIM(A45),Main!B:B,0),"Open"),HYPERLINK("#'Main'!B1","Open"))</f>
        <v>Open</v>
      </c>
      <c r="O45" t="str">
        <f t="shared" ca="1" si="1"/>
        <v>Open</v>
      </c>
    </row>
    <row r="46" spans="1:16" ht="15.75" x14ac:dyDescent="0.25">
      <c r="A46" s="32"/>
      <c r="B46" s="28" t="s">
        <v>300</v>
      </c>
      <c r="C46" s="28" t="s">
        <v>303</v>
      </c>
      <c r="D46" s="48" t="s">
        <v>152</v>
      </c>
      <c r="E46" s="32">
        <v>3</v>
      </c>
      <c r="F46" s="33" t="s">
        <v>302</v>
      </c>
      <c r="G46" s="28"/>
      <c r="H46" s="28"/>
      <c r="I46" s="28"/>
      <c r="J46" s="29" t="s">
        <v>2</v>
      </c>
      <c r="K46" s="32"/>
      <c r="L46" s="28" t="s">
        <v>288</v>
      </c>
      <c r="M46" s="28">
        <v>46</v>
      </c>
      <c r="N46" s="36" t="str">
        <f>IFERROR(HYPERLINK("#'Main'!B"&amp;MATCH(TRIM(A46),Main!B:B,0),"Open"),HYPERLINK("#'Main'!B1","Open"))</f>
        <v>Open</v>
      </c>
      <c r="O46" s="36" t="str">
        <f t="shared" ca="1" si="1"/>
        <v>Open</v>
      </c>
      <c r="P46" s="36"/>
    </row>
    <row r="47" spans="1:16" ht="15.75" x14ac:dyDescent="0.25">
      <c r="A47" s="39"/>
      <c r="B47" s="37" t="s">
        <v>300</v>
      </c>
      <c r="C47" s="37" t="s">
        <v>304</v>
      </c>
      <c r="D47" s="48" t="s">
        <v>152</v>
      </c>
      <c r="E47" s="39">
        <v>3</v>
      </c>
      <c r="F47" s="40" t="s">
        <v>302</v>
      </c>
      <c r="G47" s="37"/>
      <c r="H47" s="37"/>
      <c r="I47" s="37"/>
      <c r="J47" s="29" t="s">
        <v>2</v>
      </c>
      <c r="K47" s="39"/>
      <c r="L47" s="37" t="s">
        <v>288</v>
      </c>
      <c r="M47" s="37">
        <v>47</v>
      </c>
      <c r="N47" t="str">
        <f>IFERROR(HYPERLINK("#'Main'!B"&amp;MATCH(TRIM(A47),Main!B:B,0),"Open"),HYPERLINK("#'Main'!B1","Open"))</f>
        <v>Open</v>
      </c>
      <c r="O47" t="str">
        <f t="shared" ca="1" si="1"/>
        <v>Open</v>
      </c>
    </row>
    <row r="48" spans="1:16" ht="15.75" x14ac:dyDescent="0.25">
      <c r="A48" s="32"/>
      <c r="B48" s="28" t="s">
        <v>300</v>
      </c>
      <c r="C48" s="28" t="s">
        <v>305</v>
      </c>
      <c r="D48" s="48" t="s">
        <v>152</v>
      </c>
      <c r="E48" s="32">
        <v>3</v>
      </c>
      <c r="F48" s="33" t="s">
        <v>302</v>
      </c>
      <c r="G48" s="28"/>
      <c r="H48" s="28"/>
      <c r="I48" s="28"/>
      <c r="J48" s="29" t="s">
        <v>2</v>
      </c>
      <c r="K48" s="32"/>
      <c r="L48" s="28" t="s">
        <v>288</v>
      </c>
      <c r="M48" s="28">
        <v>48</v>
      </c>
      <c r="N48" s="36" t="str">
        <f>IFERROR(HYPERLINK("#'Main'!B"&amp;MATCH(TRIM(A48),Main!B:B,0),"Open"),HYPERLINK("#'Main'!B1","Open"))</f>
        <v>Open</v>
      </c>
      <c r="O48" s="36" t="str">
        <f t="shared" ca="1" si="1"/>
        <v>Open</v>
      </c>
      <c r="P48" s="36"/>
    </row>
    <row r="49" spans="1:16" ht="15.75" x14ac:dyDescent="0.25">
      <c r="A49" s="39"/>
      <c r="B49" s="37" t="s">
        <v>300</v>
      </c>
      <c r="C49" s="37" t="s">
        <v>306</v>
      </c>
      <c r="D49" s="48" t="s">
        <v>152</v>
      </c>
      <c r="E49" s="39">
        <v>3</v>
      </c>
      <c r="F49" s="40" t="s">
        <v>302</v>
      </c>
      <c r="G49" s="37"/>
      <c r="H49" s="37"/>
      <c r="I49" s="37"/>
      <c r="J49" s="29" t="s">
        <v>2</v>
      </c>
      <c r="K49" s="39"/>
      <c r="L49" s="37" t="s">
        <v>288</v>
      </c>
      <c r="M49" s="37">
        <v>49</v>
      </c>
      <c r="N49" t="str">
        <f>IFERROR(HYPERLINK("#'Main'!B"&amp;MATCH(TRIM(A49),Main!B:B,0),"Open"),HYPERLINK("#'Main'!B1","Open"))</f>
        <v>Open</v>
      </c>
      <c r="O49" t="str">
        <f t="shared" ca="1" si="1"/>
        <v>Open</v>
      </c>
    </row>
    <row r="50" spans="1:16" ht="15.75" x14ac:dyDescent="0.25">
      <c r="A50" s="32"/>
      <c r="B50" s="28" t="s">
        <v>300</v>
      </c>
      <c r="C50" s="28" t="s">
        <v>307</v>
      </c>
      <c r="D50" s="48" t="s">
        <v>152</v>
      </c>
      <c r="E50" s="32">
        <v>3</v>
      </c>
      <c r="F50" s="33" t="s">
        <v>302</v>
      </c>
      <c r="G50" s="28"/>
      <c r="H50" s="28"/>
      <c r="I50" s="28"/>
      <c r="J50" s="29" t="s">
        <v>2</v>
      </c>
      <c r="K50" s="32"/>
      <c r="L50" s="28" t="s">
        <v>288</v>
      </c>
      <c r="M50" s="28">
        <v>50</v>
      </c>
      <c r="N50" s="36" t="str">
        <f>IFERROR(HYPERLINK("#'Main'!B"&amp;MATCH(TRIM(A50),Main!B:B,0),"Open"),HYPERLINK("#'Main'!B1","Open"))</f>
        <v>Open</v>
      </c>
      <c r="O50" s="36" t="str">
        <f t="shared" ca="1" si="1"/>
        <v>Open</v>
      </c>
      <c r="P50" s="36"/>
    </row>
    <row r="51" spans="1:16" ht="15.75" x14ac:dyDescent="0.25">
      <c r="A51" s="39"/>
      <c r="B51" s="37" t="s">
        <v>300</v>
      </c>
      <c r="C51" s="37" t="s">
        <v>308</v>
      </c>
      <c r="D51" s="48" t="s">
        <v>152</v>
      </c>
      <c r="E51" s="39">
        <v>3</v>
      </c>
      <c r="F51" s="40" t="s">
        <v>302</v>
      </c>
      <c r="G51" s="37"/>
      <c r="H51" s="37"/>
      <c r="I51" s="37"/>
      <c r="J51" s="29" t="s">
        <v>2</v>
      </c>
      <c r="K51" s="39"/>
      <c r="L51" s="37" t="s">
        <v>288</v>
      </c>
      <c r="M51" s="37">
        <v>51</v>
      </c>
      <c r="N51" t="str">
        <f>IFERROR(HYPERLINK("#'Main'!B"&amp;MATCH(TRIM(A51),Main!B:B,0),"Open"),HYPERLINK("#'Main'!B1","Open"))</f>
        <v>Open</v>
      </c>
      <c r="O51" t="str">
        <f t="shared" ca="1" si="1"/>
        <v>Open</v>
      </c>
    </row>
    <row r="52" spans="1:16" ht="15.75" x14ac:dyDescent="0.25">
      <c r="A52" s="32"/>
      <c r="B52" s="28" t="s">
        <v>300</v>
      </c>
      <c r="C52" s="28" t="s">
        <v>309</v>
      </c>
      <c r="D52" s="48" t="s">
        <v>152</v>
      </c>
      <c r="E52" s="32">
        <v>1</v>
      </c>
      <c r="F52" s="33" t="s">
        <v>302</v>
      </c>
      <c r="G52" s="28"/>
      <c r="H52" s="28"/>
      <c r="I52" s="28"/>
      <c r="J52" s="29" t="s">
        <v>2</v>
      </c>
      <c r="K52" s="32"/>
      <c r="L52" s="28" t="s">
        <v>288</v>
      </c>
      <c r="M52" s="28">
        <v>52</v>
      </c>
      <c r="N52" s="36" t="str">
        <f>IFERROR(HYPERLINK("#'Main'!B"&amp;MATCH(TRIM(A52),Main!B:B,0),"Open"),HYPERLINK("#'Main'!B1","Open"))</f>
        <v>Open</v>
      </c>
      <c r="O52" s="36" t="str">
        <f t="shared" ca="1" si="1"/>
        <v>Open</v>
      </c>
      <c r="P52" s="36"/>
    </row>
    <row r="53" spans="1:16" ht="15.75" x14ac:dyDescent="0.25">
      <c r="A53" s="39"/>
      <c r="B53" s="37" t="s">
        <v>300</v>
      </c>
      <c r="C53" s="37" t="s">
        <v>310</v>
      </c>
      <c r="D53" s="48" t="s">
        <v>152</v>
      </c>
      <c r="E53" s="39">
        <v>1</v>
      </c>
      <c r="F53" s="40" t="s">
        <v>302</v>
      </c>
      <c r="G53" s="37"/>
      <c r="H53" s="37"/>
      <c r="I53" s="37"/>
      <c r="J53" s="29" t="s">
        <v>2</v>
      </c>
      <c r="K53" s="39"/>
      <c r="L53" s="37" t="s">
        <v>288</v>
      </c>
      <c r="M53" s="37">
        <v>53</v>
      </c>
      <c r="N53" t="str">
        <f>IFERROR(HYPERLINK("#'Main'!B"&amp;MATCH(TRIM(A53),Main!B:B,0),"Open"),HYPERLINK("#'Main'!B1","Open"))</f>
        <v>Open</v>
      </c>
      <c r="O53" t="str">
        <f t="shared" ca="1" si="1"/>
        <v>Open</v>
      </c>
    </row>
    <row r="54" spans="1:16" ht="15.75" x14ac:dyDescent="0.25">
      <c r="A54" s="32"/>
      <c r="B54" s="28" t="s">
        <v>300</v>
      </c>
      <c r="C54" s="28" t="s">
        <v>311</v>
      </c>
      <c r="D54" s="48" t="s">
        <v>152</v>
      </c>
      <c r="E54" s="32">
        <v>1</v>
      </c>
      <c r="F54" s="33" t="s">
        <v>302</v>
      </c>
      <c r="G54" s="28"/>
      <c r="H54" s="28"/>
      <c r="I54" s="28"/>
      <c r="J54" s="29" t="s">
        <v>2</v>
      </c>
      <c r="K54" s="32"/>
      <c r="L54" s="28" t="s">
        <v>288</v>
      </c>
      <c r="M54" s="28">
        <v>54</v>
      </c>
      <c r="N54" s="36" t="str">
        <f>IFERROR(HYPERLINK("#'Main'!B"&amp;MATCH(TRIM(A54),Main!B:B,0),"Open"),HYPERLINK("#'Main'!B1","Open"))</f>
        <v>Open</v>
      </c>
      <c r="O54" s="36" t="str">
        <f t="shared" ca="1" si="1"/>
        <v>Open</v>
      </c>
      <c r="P54" s="36"/>
    </row>
    <row r="55" spans="1:16" ht="15.75" x14ac:dyDescent="0.25">
      <c r="A55" s="39"/>
      <c r="B55" s="37" t="s">
        <v>300</v>
      </c>
      <c r="C55" s="37" t="s">
        <v>312</v>
      </c>
      <c r="D55" s="48" t="s">
        <v>152</v>
      </c>
      <c r="E55" s="39">
        <v>1</v>
      </c>
      <c r="F55" s="40" t="s">
        <v>302</v>
      </c>
      <c r="G55" s="37"/>
      <c r="H55" s="37"/>
      <c r="I55" s="37"/>
      <c r="J55" s="29" t="s">
        <v>2</v>
      </c>
      <c r="K55" s="39"/>
      <c r="L55" s="37" t="s">
        <v>288</v>
      </c>
      <c r="M55" s="37">
        <v>55</v>
      </c>
      <c r="N55" t="str">
        <f>IFERROR(HYPERLINK("#'Main'!B"&amp;MATCH(TRIM(A55),Main!B:B,0),"Open"),HYPERLINK("#'Main'!B1","Open"))</f>
        <v>Open</v>
      </c>
      <c r="O55" t="str">
        <f t="shared" ca="1" si="1"/>
        <v>Open</v>
      </c>
    </row>
    <row r="56" spans="1:16" ht="15.75" x14ac:dyDescent="0.25">
      <c r="A56" s="32"/>
      <c r="B56" s="28" t="s">
        <v>300</v>
      </c>
      <c r="C56" s="28" t="s">
        <v>313</v>
      </c>
      <c r="D56" s="48" t="s">
        <v>152</v>
      </c>
      <c r="E56" s="32">
        <v>1</v>
      </c>
      <c r="F56" s="33" t="s">
        <v>302</v>
      </c>
      <c r="G56" s="28"/>
      <c r="H56" s="28"/>
      <c r="I56" s="28"/>
      <c r="J56" s="29" t="s">
        <v>2</v>
      </c>
      <c r="K56" s="32"/>
      <c r="L56" s="28" t="s">
        <v>288</v>
      </c>
      <c r="M56" s="28">
        <v>56</v>
      </c>
      <c r="N56" s="36" t="str">
        <f>IFERROR(HYPERLINK("#'Main'!B"&amp;MATCH(TRIM(A56),Main!B:B,0),"Open"),HYPERLINK("#'Main'!B1","Open"))</f>
        <v>Open</v>
      </c>
      <c r="O56" s="36" t="str">
        <f t="shared" ca="1" si="1"/>
        <v>Open</v>
      </c>
      <c r="P56" s="36"/>
    </row>
    <row r="57" spans="1:16" ht="15.75" x14ac:dyDescent="0.25">
      <c r="A57" s="39"/>
      <c r="B57" s="37" t="s">
        <v>300</v>
      </c>
      <c r="C57" s="37" t="s">
        <v>314</v>
      </c>
      <c r="D57" s="48" t="s">
        <v>152</v>
      </c>
      <c r="E57" s="39">
        <v>1</v>
      </c>
      <c r="F57" s="40" t="s">
        <v>302</v>
      </c>
      <c r="G57" s="37"/>
      <c r="H57" s="37"/>
      <c r="I57" s="37"/>
      <c r="J57" s="29" t="s">
        <v>2</v>
      </c>
      <c r="K57" s="39"/>
      <c r="L57" s="37" t="s">
        <v>288</v>
      </c>
      <c r="M57" s="37">
        <v>57</v>
      </c>
      <c r="N57" t="str">
        <f>IFERROR(HYPERLINK("#'Main'!B"&amp;MATCH(TRIM(A57),Main!B:B,0),"Open"),HYPERLINK("#'Main'!B1","Open"))</f>
        <v>Open</v>
      </c>
      <c r="O57" t="str">
        <f t="shared" ca="1" si="1"/>
        <v>Open</v>
      </c>
    </row>
    <row r="58" spans="1:16" ht="15.75" x14ac:dyDescent="0.25">
      <c r="A58" s="32"/>
      <c r="B58" s="28" t="s">
        <v>300</v>
      </c>
      <c r="C58" s="28" t="s">
        <v>315</v>
      </c>
      <c r="D58" s="48" t="s">
        <v>152</v>
      </c>
      <c r="E58" s="32">
        <v>1</v>
      </c>
      <c r="F58" s="33" t="s">
        <v>302</v>
      </c>
      <c r="G58" s="28"/>
      <c r="H58" s="28"/>
      <c r="I58" s="28"/>
      <c r="J58" s="29" t="s">
        <v>2</v>
      </c>
      <c r="K58" s="32"/>
      <c r="L58" s="28" t="s">
        <v>288</v>
      </c>
      <c r="M58" s="28">
        <v>58</v>
      </c>
      <c r="N58" s="36" t="str">
        <f>IFERROR(HYPERLINK("#'Main'!B"&amp;MATCH(TRIM(A58),Main!B:B,0),"Open"),HYPERLINK("#'Main'!B1","Open"))</f>
        <v>Open</v>
      </c>
      <c r="O58" s="36" t="str">
        <f t="shared" ca="1" si="1"/>
        <v>Open</v>
      </c>
      <c r="P58" s="36"/>
    </row>
    <row r="59" spans="1:16" ht="15.75" x14ac:dyDescent="0.25">
      <c r="A59" s="39"/>
      <c r="B59" s="37" t="s">
        <v>300</v>
      </c>
      <c r="C59" s="37" t="s">
        <v>316</v>
      </c>
      <c r="D59" s="48" t="s">
        <v>152</v>
      </c>
      <c r="E59" s="39">
        <v>1</v>
      </c>
      <c r="F59" s="40" t="s">
        <v>302</v>
      </c>
      <c r="G59" s="37"/>
      <c r="H59" s="37"/>
      <c r="I59" s="37"/>
      <c r="J59" s="29" t="s">
        <v>2</v>
      </c>
      <c r="K59" s="39"/>
      <c r="L59" s="37" t="s">
        <v>288</v>
      </c>
      <c r="M59" s="37">
        <v>59</v>
      </c>
      <c r="N59" t="str">
        <f>IFERROR(HYPERLINK("#'Main'!B"&amp;MATCH(TRIM(A59),Main!B:B,0),"Open"),HYPERLINK("#'Main'!B1","Open"))</f>
        <v>Open</v>
      </c>
      <c r="O59" t="str">
        <f t="shared" ca="1" si="1"/>
        <v>Open</v>
      </c>
    </row>
    <row r="60" spans="1:16" ht="15.75" x14ac:dyDescent="0.25">
      <c r="A60" s="32"/>
      <c r="B60" s="28" t="s">
        <v>300</v>
      </c>
      <c r="C60" s="28" t="s">
        <v>317</v>
      </c>
      <c r="D60" s="48" t="s">
        <v>152</v>
      </c>
      <c r="E60" s="32">
        <v>1</v>
      </c>
      <c r="F60" s="33" t="s">
        <v>302</v>
      </c>
      <c r="G60" s="28"/>
      <c r="H60" s="28"/>
      <c r="I60" s="28"/>
      <c r="J60" s="29" t="s">
        <v>2</v>
      </c>
      <c r="K60" s="32"/>
      <c r="L60" s="28" t="s">
        <v>288</v>
      </c>
      <c r="M60" s="28">
        <v>60</v>
      </c>
      <c r="N60" s="36" t="str">
        <f>IFERROR(HYPERLINK("#'Main'!B"&amp;MATCH(TRIM(A60),Main!B:B,0),"Open"),HYPERLINK("#'Main'!B1","Open"))</f>
        <v>Open</v>
      </c>
      <c r="O60" s="36" t="str">
        <f t="shared" ca="1" si="1"/>
        <v>Open</v>
      </c>
      <c r="P60" s="36"/>
    </row>
    <row r="61" spans="1:16" ht="15.75" x14ac:dyDescent="0.25">
      <c r="A61" s="39"/>
      <c r="B61" s="37" t="s">
        <v>300</v>
      </c>
      <c r="C61" s="37" t="s">
        <v>318</v>
      </c>
      <c r="D61" s="48" t="s">
        <v>152</v>
      </c>
      <c r="E61" s="39">
        <v>1</v>
      </c>
      <c r="F61" s="40" t="s">
        <v>302</v>
      </c>
      <c r="G61" s="37"/>
      <c r="H61" s="37"/>
      <c r="I61" s="37"/>
      <c r="J61" s="29" t="s">
        <v>2</v>
      </c>
      <c r="K61" s="39"/>
      <c r="L61" s="37" t="s">
        <v>288</v>
      </c>
      <c r="M61" s="37">
        <v>61</v>
      </c>
      <c r="N61" t="str">
        <f>IFERROR(HYPERLINK("#'Main'!B"&amp;MATCH(TRIM(A61),Main!B:B,0),"Open"),HYPERLINK("#'Main'!B1","Open"))</f>
        <v>Open</v>
      </c>
      <c r="O61" t="str">
        <f t="shared" ca="1" si="1"/>
        <v>Open</v>
      </c>
    </row>
    <row r="62" spans="1:16" ht="15.75" x14ac:dyDescent="0.25">
      <c r="A62" s="32"/>
      <c r="B62" s="28" t="s">
        <v>300</v>
      </c>
      <c r="C62" s="28" t="s">
        <v>319</v>
      </c>
      <c r="D62" s="48" t="s">
        <v>152</v>
      </c>
      <c r="E62" s="32">
        <v>1</v>
      </c>
      <c r="F62" s="33" t="s">
        <v>302</v>
      </c>
      <c r="G62" s="28"/>
      <c r="H62" s="28"/>
      <c r="I62" s="28"/>
      <c r="J62" s="29" t="s">
        <v>2</v>
      </c>
      <c r="K62" s="32"/>
      <c r="L62" s="28" t="s">
        <v>288</v>
      </c>
      <c r="M62" s="28">
        <v>62</v>
      </c>
      <c r="N62" s="36" t="str">
        <f>IFERROR(HYPERLINK("#'Main'!B"&amp;MATCH(TRIM(A62),Main!B:B,0),"Open"),HYPERLINK("#'Main'!B1","Open"))</f>
        <v>Open</v>
      </c>
      <c r="O62" s="36" t="str">
        <f t="shared" ca="1" si="1"/>
        <v>Open</v>
      </c>
      <c r="P62" s="36"/>
    </row>
    <row r="63" spans="1:16" ht="15.75" x14ac:dyDescent="0.25">
      <c r="A63" s="39"/>
      <c r="B63" s="37" t="s">
        <v>300</v>
      </c>
      <c r="C63" s="37" t="s">
        <v>320</v>
      </c>
      <c r="D63" s="48" t="s">
        <v>152</v>
      </c>
      <c r="E63" s="39">
        <v>1</v>
      </c>
      <c r="F63" s="40" t="s">
        <v>302</v>
      </c>
      <c r="G63" s="37"/>
      <c r="H63" s="37"/>
      <c r="I63" s="37"/>
      <c r="J63" s="29" t="s">
        <v>2</v>
      </c>
      <c r="K63" s="39"/>
      <c r="L63" s="37" t="s">
        <v>288</v>
      </c>
      <c r="M63" s="37">
        <v>63</v>
      </c>
      <c r="N63" t="str">
        <f>IFERROR(HYPERLINK("#'Main'!B"&amp;MATCH(TRIM(A63),Main!B:B,0),"Open"),HYPERLINK("#'Main'!B1","Open"))</f>
        <v>Open</v>
      </c>
      <c r="O63" t="str">
        <f t="shared" ca="1" si="1"/>
        <v>Open</v>
      </c>
    </row>
    <row r="64" spans="1:16" ht="15.75" x14ac:dyDescent="0.25">
      <c r="A64" s="32"/>
      <c r="B64" s="28" t="s">
        <v>300</v>
      </c>
      <c r="C64" s="28" t="s">
        <v>321</v>
      </c>
      <c r="D64" s="48" t="s">
        <v>152</v>
      </c>
      <c r="E64" s="32">
        <v>1</v>
      </c>
      <c r="F64" s="33" t="s">
        <v>302</v>
      </c>
      <c r="G64" s="28"/>
      <c r="H64" s="28"/>
      <c r="I64" s="28"/>
      <c r="J64" s="29" t="s">
        <v>2</v>
      </c>
      <c r="K64" s="32"/>
      <c r="L64" s="28" t="s">
        <v>288</v>
      </c>
      <c r="M64" s="28">
        <v>64</v>
      </c>
      <c r="N64" s="36" t="str">
        <f>IFERROR(HYPERLINK("#'Main'!B"&amp;MATCH(TRIM(A64),Main!B:B,0),"Open"),HYPERLINK("#'Main'!B1","Open"))</f>
        <v>Open</v>
      </c>
      <c r="O64" s="36" t="str">
        <f t="shared" ca="1" si="1"/>
        <v>Open</v>
      </c>
      <c r="P64" s="36"/>
    </row>
    <row r="65" spans="1:16" ht="30" customHeight="1" x14ac:dyDescent="0.25">
      <c r="A65" s="46" t="s">
        <v>138</v>
      </c>
      <c r="B65" s="37" t="s">
        <v>322</v>
      </c>
      <c r="C65" s="55" t="s">
        <v>142</v>
      </c>
      <c r="D65" s="42" t="s">
        <v>50</v>
      </c>
      <c r="E65" s="39">
        <v>1</v>
      </c>
      <c r="F65" s="40" t="s">
        <v>56</v>
      </c>
      <c r="G65" s="37" t="s">
        <v>323</v>
      </c>
      <c r="H65" s="37" t="s">
        <v>103</v>
      </c>
      <c r="I65" s="37"/>
      <c r="J65" s="29" t="s">
        <v>2</v>
      </c>
      <c r="K65" s="39" t="s">
        <v>138</v>
      </c>
      <c r="L65" s="37" t="s">
        <v>324</v>
      </c>
      <c r="M65" s="37">
        <v>2</v>
      </c>
      <c r="N65" t="str">
        <f>IFERROR(HYPERLINK("#'Main'!B"&amp;MATCH(TRIM(A65),Main!B:B,0),"Open"),HYPERLINK("#'Main'!B1","Open"))</f>
        <v>Open</v>
      </c>
      <c r="O65" t="str">
        <f t="shared" ca="1" si="1"/>
        <v>Open</v>
      </c>
    </row>
    <row r="66" spans="1:16" ht="30" customHeight="1" x14ac:dyDescent="0.25">
      <c r="A66" s="45" t="s">
        <v>138</v>
      </c>
      <c r="B66" s="28" t="s">
        <v>322</v>
      </c>
      <c r="C66" s="54" t="s">
        <v>136</v>
      </c>
      <c r="D66" s="42" t="s">
        <v>50</v>
      </c>
      <c r="E66" s="32">
        <v>1</v>
      </c>
      <c r="F66" s="33" t="s">
        <v>56</v>
      </c>
      <c r="G66" s="28" t="s">
        <v>325</v>
      </c>
      <c r="H66" s="28" t="s">
        <v>103</v>
      </c>
      <c r="I66" s="28"/>
      <c r="J66" s="29" t="s">
        <v>2</v>
      </c>
      <c r="K66" s="32" t="s">
        <v>138</v>
      </c>
      <c r="L66" s="28" t="s">
        <v>324</v>
      </c>
      <c r="M66" s="28">
        <v>3</v>
      </c>
      <c r="N66" s="36" t="str">
        <f>IFERROR(HYPERLINK("#'Main'!B"&amp;MATCH(TRIM(A66),Main!B:B,0),"Open"),HYPERLINK("#'Main'!B1","Open"))</f>
        <v>Open</v>
      </c>
      <c r="O66" s="36" t="str">
        <f t="shared" ref="O66:O97" ca="1" si="2">IFERROR(HYPERLINK("#"&amp;F66&amp;"!A"&amp;MATCH(A66,INDIRECT("'"&amp;F66&amp;"'!A:A"),0),"Open"),HYPERLINK("#"&amp;F66&amp;"!A1","Open"))</f>
        <v>Open</v>
      </c>
      <c r="P66" s="36"/>
    </row>
    <row r="67" spans="1:16" ht="30" customHeight="1" x14ac:dyDescent="0.25">
      <c r="A67" s="46" t="s">
        <v>138</v>
      </c>
      <c r="B67" s="37" t="s">
        <v>322</v>
      </c>
      <c r="C67" s="55" t="s">
        <v>139</v>
      </c>
      <c r="D67" s="42" t="s">
        <v>50</v>
      </c>
      <c r="E67" s="39">
        <v>1</v>
      </c>
      <c r="F67" s="40" t="s">
        <v>126</v>
      </c>
      <c r="G67" s="37" t="s">
        <v>326</v>
      </c>
      <c r="H67" s="37" t="s">
        <v>103</v>
      </c>
      <c r="I67" s="37"/>
      <c r="J67" s="29" t="s">
        <v>2</v>
      </c>
      <c r="K67" s="39" t="s">
        <v>138</v>
      </c>
      <c r="L67" s="37" t="s">
        <v>324</v>
      </c>
      <c r="M67" s="37">
        <v>4</v>
      </c>
      <c r="N67" t="str">
        <f>IFERROR(HYPERLINK("#'Main'!B"&amp;MATCH(TRIM(A67),Main!B:B,0),"Open"),HYPERLINK("#'Main'!B1","Open"))</f>
        <v>Open</v>
      </c>
      <c r="O67" t="str">
        <f t="shared" ca="1" si="2"/>
        <v>Open</v>
      </c>
    </row>
    <row r="68" spans="1:16" ht="30" customHeight="1" x14ac:dyDescent="0.25">
      <c r="A68" s="45" t="s">
        <v>138</v>
      </c>
      <c r="B68" s="28" t="s">
        <v>322</v>
      </c>
      <c r="C68" s="54" t="s">
        <v>34</v>
      </c>
      <c r="D68" s="48" t="s">
        <v>152</v>
      </c>
      <c r="E68" s="32">
        <v>1</v>
      </c>
      <c r="F68" s="33" t="s">
        <v>56</v>
      </c>
      <c r="G68" s="28" t="s">
        <v>327</v>
      </c>
      <c r="H68" s="28" t="s">
        <v>92</v>
      </c>
      <c r="I68" s="28"/>
      <c r="J68" s="29" t="s">
        <v>2</v>
      </c>
      <c r="K68" s="32" t="s">
        <v>138</v>
      </c>
      <c r="L68" s="28" t="s">
        <v>324</v>
      </c>
      <c r="M68" s="28">
        <v>5</v>
      </c>
      <c r="N68" s="36" t="str">
        <f>IFERROR(HYPERLINK("#'Main'!B"&amp;MATCH(TRIM(A68),Main!B:B,0),"Open"),HYPERLINK("#'Main'!B1","Open"))</f>
        <v>Open</v>
      </c>
      <c r="O68" s="36" t="str">
        <f t="shared" ca="1" si="2"/>
        <v>Open</v>
      </c>
      <c r="P68" s="36"/>
    </row>
    <row r="69" spans="1:16" ht="30" customHeight="1" x14ac:dyDescent="0.25">
      <c r="A69" s="46" t="s">
        <v>138</v>
      </c>
      <c r="B69" s="37" t="s">
        <v>322</v>
      </c>
      <c r="C69" s="55" t="s">
        <v>170</v>
      </c>
      <c r="D69" s="48" t="s">
        <v>152</v>
      </c>
      <c r="E69" s="39">
        <v>1</v>
      </c>
      <c r="F69" s="40" t="s">
        <v>126</v>
      </c>
      <c r="G69" s="37" t="s">
        <v>328</v>
      </c>
      <c r="H69" s="37" t="s">
        <v>103</v>
      </c>
      <c r="I69" s="37"/>
      <c r="J69" s="29" t="s">
        <v>2</v>
      </c>
      <c r="K69" s="39" t="s">
        <v>138</v>
      </c>
      <c r="L69" s="37" t="s">
        <v>324</v>
      </c>
      <c r="M69" s="37">
        <v>6</v>
      </c>
      <c r="N69" t="str">
        <f>IFERROR(HYPERLINK("#'Main'!B"&amp;MATCH(TRIM(A69),Main!B:B,0),"Open"),HYPERLINK("#'Main'!B1","Open"))</f>
        <v>Open</v>
      </c>
      <c r="O69" t="str">
        <f t="shared" ca="1" si="2"/>
        <v>Open</v>
      </c>
    </row>
    <row r="70" spans="1:16" ht="30" customHeight="1" x14ac:dyDescent="0.25">
      <c r="A70" s="45" t="s">
        <v>138</v>
      </c>
      <c r="B70" s="28" t="s">
        <v>322</v>
      </c>
      <c r="C70" s="54" t="s">
        <v>173</v>
      </c>
      <c r="D70" s="48" t="s">
        <v>152</v>
      </c>
      <c r="E70" s="32">
        <v>1</v>
      </c>
      <c r="F70" s="33" t="s">
        <v>56</v>
      </c>
      <c r="G70" s="28" t="s">
        <v>329</v>
      </c>
      <c r="H70" s="28" t="s">
        <v>103</v>
      </c>
      <c r="I70" s="28"/>
      <c r="J70" s="29" t="s">
        <v>2</v>
      </c>
      <c r="K70" s="32" t="s">
        <v>138</v>
      </c>
      <c r="L70" s="28" t="s">
        <v>324</v>
      </c>
      <c r="M70" s="28">
        <v>7</v>
      </c>
      <c r="N70" s="36" t="str">
        <f>IFERROR(HYPERLINK("#'Main'!B"&amp;MATCH(TRIM(A70),Main!B:B,0),"Open"),HYPERLINK("#'Main'!B1","Open"))</f>
        <v>Open</v>
      </c>
      <c r="O70" s="36" t="str">
        <f t="shared" ca="1" si="2"/>
        <v>Open</v>
      </c>
      <c r="P70" s="36"/>
    </row>
    <row r="71" spans="1:16" ht="30" customHeight="1" x14ac:dyDescent="0.25">
      <c r="A71" s="46" t="s">
        <v>138</v>
      </c>
      <c r="B71" s="37" t="s">
        <v>322</v>
      </c>
      <c r="C71" s="55" t="s">
        <v>176</v>
      </c>
      <c r="D71" s="48" t="s">
        <v>152</v>
      </c>
      <c r="E71" s="39">
        <v>1</v>
      </c>
      <c r="F71" s="40" t="s">
        <v>56</v>
      </c>
      <c r="G71" s="37" t="s">
        <v>330</v>
      </c>
      <c r="H71" s="37" t="s">
        <v>103</v>
      </c>
      <c r="I71" s="37"/>
      <c r="J71" s="29" t="s">
        <v>2</v>
      </c>
      <c r="K71" s="39" t="s">
        <v>138</v>
      </c>
      <c r="L71" s="37" t="s">
        <v>324</v>
      </c>
      <c r="M71" s="37">
        <v>8</v>
      </c>
      <c r="N71" t="str">
        <f>IFERROR(HYPERLINK("#'Main'!B"&amp;MATCH(TRIM(A71),Main!B:B,0),"Open"),HYPERLINK("#'Main'!B1","Open"))</f>
        <v>Open</v>
      </c>
      <c r="O71" t="str">
        <f t="shared" ca="1" si="2"/>
        <v>Open</v>
      </c>
    </row>
    <row r="72" spans="1:16" ht="30" customHeight="1" x14ac:dyDescent="0.25">
      <c r="A72" s="45" t="s">
        <v>138</v>
      </c>
      <c r="B72" s="28" t="s">
        <v>322</v>
      </c>
      <c r="C72" s="54" t="s">
        <v>179</v>
      </c>
      <c r="D72" s="48" t="s">
        <v>152</v>
      </c>
      <c r="E72" s="32">
        <v>1</v>
      </c>
      <c r="F72" s="33" t="s">
        <v>56</v>
      </c>
      <c r="G72" s="28" t="s">
        <v>331</v>
      </c>
      <c r="H72" s="28" t="s">
        <v>103</v>
      </c>
      <c r="I72" s="28"/>
      <c r="J72" s="29" t="s">
        <v>2</v>
      </c>
      <c r="K72" s="32" t="s">
        <v>138</v>
      </c>
      <c r="L72" s="28" t="s">
        <v>324</v>
      </c>
      <c r="M72" s="28">
        <v>9</v>
      </c>
      <c r="N72" s="36" t="str">
        <f>IFERROR(HYPERLINK("#'Main'!B"&amp;MATCH(TRIM(A72),Main!B:B,0),"Open"),HYPERLINK("#'Main'!B1","Open"))</f>
        <v>Open</v>
      </c>
      <c r="O72" s="36" t="str">
        <f t="shared" ca="1" si="2"/>
        <v>Open</v>
      </c>
      <c r="P72" s="36"/>
    </row>
    <row r="73" spans="1:16" ht="30" customHeight="1" x14ac:dyDescent="0.25">
      <c r="A73" s="46" t="s">
        <v>196</v>
      </c>
      <c r="B73" s="37" t="s">
        <v>322</v>
      </c>
      <c r="C73" s="55" t="s">
        <v>142</v>
      </c>
      <c r="D73" s="42" t="s">
        <v>50</v>
      </c>
      <c r="E73" s="39">
        <v>1</v>
      </c>
      <c r="F73" s="40" t="s">
        <v>56</v>
      </c>
      <c r="G73" s="37" t="s">
        <v>332</v>
      </c>
      <c r="H73" s="37" t="s">
        <v>103</v>
      </c>
      <c r="I73" s="37"/>
      <c r="J73" s="29" t="s">
        <v>2</v>
      </c>
      <c r="K73" s="39" t="s">
        <v>196</v>
      </c>
      <c r="L73" s="37" t="s">
        <v>324</v>
      </c>
      <c r="M73" s="37">
        <v>10</v>
      </c>
      <c r="N73" t="str">
        <f>IFERROR(HYPERLINK("#'Main'!B"&amp;MATCH(TRIM(A73),Main!B:B,0),"Open"),HYPERLINK("#'Main'!B1","Open"))</f>
        <v>Open</v>
      </c>
      <c r="O73" t="str">
        <f t="shared" ca="1" si="2"/>
        <v>Open</v>
      </c>
    </row>
    <row r="74" spans="1:16" ht="30" customHeight="1" x14ac:dyDescent="0.25">
      <c r="A74" s="45" t="s">
        <v>196</v>
      </c>
      <c r="B74" s="28" t="s">
        <v>322</v>
      </c>
      <c r="C74" s="54" t="s">
        <v>136</v>
      </c>
      <c r="D74" s="42" t="s">
        <v>50</v>
      </c>
      <c r="E74" s="32">
        <v>1</v>
      </c>
      <c r="F74" s="33" t="s">
        <v>56</v>
      </c>
      <c r="G74" s="28" t="s">
        <v>333</v>
      </c>
      <c r="H74" s="28" t="s">
        <v>103</v>
      </c>
      <c r="I74" s="28"/>
      <c r="J74" s="29" t="s">
        <v>2</v>
      </c>
      <c r="K74" s="32" t="s">
        <v>196</v>
      </c>
      <c r="L74" s="28" t="s">
        <v>324</v>
      </c>
      <c r="M74" s="28">
        <v>11</v>
      </c>
      <c r="N74" s="36" t="str">
        <f>IFERROR(HYPERLINK("#'Main'!B"&amp;MATCH(TRIM(A74),Main!B:B,0),"Open"),HYPERLINK("#'Main'!B1","Open"))</f>
        <v>Open</v>
      </c>
      <c r="O74" s="36" t="str">
        <f t="shared" ca="1" si="2"/>
        <v>Open</v>
      </c>
      <c r="P74" s="36"/>
    </row>
    <row r="75" spans="1:16" ht="30" customHeight="1" x14ac:dyDescent="0.25">
      <c r="A75" s="46" t="s">
        <v>196</v>
      </c>
      <c r="B75" s="37" t="s">
        <v>322</v>
      </c>
      <c r="C75" s="55" t="s">
        <v>139</v>
      </c>
      <c r="D75" s="42" t="s">
        <v>50</v>
      </c>
      <c r="E75" s="39">
        <v>1</v>
      </c>
      <c r="F75" s="40" t="s">
        <v>126</v>
      </c>
      <c r="G75" s="37" t="s">
        <v>334</v>
      </c>
      <c r="H75" s="37" t="s">
        <v>103</v>
      </c>
      <c r="I75" s="37"/>
      <c r="J75" s="29" t="s">
        <v>2</v>
      </c>
      <c r="K75" s="39" t="s">
        <v>196</v>
      </c>
      <c r="L75" s="37" t="s">
        <v>324</v>
      </c>
      <c r="M75" s="37">
        <v>12</v>
      </c>
      <c r="N75" t="str">
        <f>IFERROR(HYPERLINK("#'Main'!B"&amp;MATCH(TRIM(A75),Main!B:B,0),"Open"),HYPERLINK("#'Main'!B1","Open"))</f>
        <v>Open</v>
      </c>
      <c r="O75" t="str">
        <f t="shared" ca="1" si="2"/>
        <v>Open</v>
      </c>
    </row>
    <row r="76" spans="1:16" ht="30" customHeight="1" x14ac:dyDescent="0.25">
      <c r="A76" s="45" t="s">
        <v>196</v>
      </c>
      <c r="B76" s="28" t="s">
        <v>322</v>
      </c>
      <c r="C76" s="54" t="s">
        <v>34</v>
      </c>
      <c r="D76" s="48" t="s">
        <v>152</v>
      </c>
      <c r="E76" s="32">
        <v>1</v>
      </c>
      <c r="F76" s="33" t="s">
        <v>56</v>
      </c>
      <c r="G76" s="28" t="s">
        <v>335</v>
      </c>
      <c r="H76" s="28" t="s">
        <v>92</v>
      </c>
      <c r="I76" s="28"/>
      <c r="J76" s="29" t="s">
        <v>2</v>
      </c>
      <c r="K76" s="32" t="s">
        <v>196</v>
      </c>
      <c r="L76" s="28" t="s">
        <v>324</v>
      </c>
      <c r="M76" s="28">
        <v>13</v>
      </c>
      <c r="N76" s="36" t="str">
        <f>IFERROR(HYPERLINK("#'Main'!B"&amp;MATCH(TRIM(A76),Main!B:B,0),"Open"),HYPERLINK("#'Main'!B1","Open"))</f>
        <v>Open</v>
      </c>
      <c r="O76" s="36" t="str">
        <f t="shared" ca="1" si="2"/>
        <v>Open</v>
      </c>
      <c r="P76" s="36"/>
    </row>
    <row r="77" spans="1:16" ht="30" customHeight="1" x14ac:dyDescent="0.25">
      <c r="A77" s="46" t="s">
        <v>196</v>
      </c>
      <c r="B77" s="37" t="s">
        <v>322</v>
      </c>
      <c r="C77" s="55" t="s">
        <v>170</v>
      </c>
      <c r="D77" s="48" t="s">
        <v>152</v>
      </c>
      <c r="E77" s="39">
        <v>1</v>
      </c>
      <c r="F77" s="40" t="s">
        <v>126</v>
      </c>
      <c r="G77" s="37" t="s">
        <v>336</v>
      </c>
      <c r="H77" s="37" t="s">
        <v>103</v>
      </c>
      <c r="I77" s="37"/>
      <c r="J77" s="29" t="s">
        <v>2</v>
      </c>
      <c r="K77" s="39" t="s">
        <v>196</v>
      </c>
      <c r="L77" s="37" t="s">
        <v>324</v>
      </c>
      <c r="M77" s="37">
        <v>14</v>
      </c>
      <c r="N77" t="str">
        <f>IFERROR(HYPERLINK("#'Main'!B"&amp;MATCH(TRIM(A77),Main!B:B,0),"Open"),HYPERLINK("#'Main'!B1","Open"))</f>
        <v>Open</v>
      </c>
      <c r="O77" t="str">
        <f t="shared" ca="1" si="2"/>
        <v>Open</v>
      </c>
    </row>
    <row r="78" spans="1:16" ht="30" customHeight="1" x14ac:dyDescent="0.25">
      <c r="A78" s="45" t="s">
        <v>196</v>
      </c>
      <c r="B78" s="28" t="s">
        <v>322</v>
      </c>
      <c r="C78" s="54" t="s">
        <v>173</v>
      </c>
      <c r="D78" s="48" t="s">
        <v>152</v>
      </c>
      <c r="E78" s="32">
        <v>1</v>
      </c>
      <c r="F78" s="33" t="s">
        <v>56</v>
      </c>
      <c r="G78" s="28" t="s">
        <v>337</v>
      </c>
      <c r="H78" s="28" t="s">
        <v>103</v>
      </c>
      <c r="I78" s="28"/>
      <c r="J78" s="29" t="s">
        <v>2</v>
      </c>
      <c r="K78" s="32" t="s">
        <v>196</v>
      </c>
      <c r="L78" s="28" t="s">
        <v>324</v>
      </c>
      <c r="M78" s="28">
        <v>15</v>
      </c>
      <c r="N78" s="36" t="str">
        <f>IFERROR(HYPERLINK("#'Main'!B"&amp;MATCH(TRIM(A78),Main!B:B,0),"Open"),HYPERLINK("#'Main'!B1","Open"))</f>
        <v>Open</v>
      </c>
      <c r="O78" s="36" t="str">
        <f t="shared" ca="1" si="2"/>
        <v>Open</v>
      </c>
      <c r="P78" s="36"/>
    </row>
    <row r="79" spans="1:16" ht="30" customHeight="1" x14ac:dyDescent="0.25">
      <c r="A79" s="46" t="s">
        <v>196</v>
      </c>
      <c r="B79" s="37" t="s">
        <v>322</v>
      </c>
      <c r="C79" s="55" t="s">
        <v>176</v>
      </c>
      <c r="D79" s="48" t="s">
        <v>152</v>
      </c>
      <c r="E79" s="39">
        <v>1</v>
      </c>
      <c r="F79" s="40" t="s">
        <v>56</v>
      </c>
      <c r="G79" s="37" t="s">
        <v>338</v>
      </c>
      <c r="H79" s="37" t="s">
        <v>103</v>
      </c>
      <c r="I79" s="37"/>
      <c r="J79" s="29" t="s">
        <v>2</v>
      </c>
      <c r="K79" s="39" t="s">
        <v>196</v>
      </c>
      <c r="L79" s="37" t="s">
        <v>324</v>
      </c>
      <c r="M79" s="37">
        <v>16</v>
      </c>
      <c r="N79" t="str">
        <f>IFERROR(HYPERLINK("#'Main'!B"&amp;MATCH(TRIM(A79),Main!B:B,0),"Open"),HYPERLINK("#'Main'!B1","Open"))</f>
        <v>Open</v>
      </c>
      <c r="O79" t="str">
        <f t="shared" ca="1" si="2"/>
        <v>Open</v>
      </c>
    </row>
    <row r="80" spans="1:16" ht="30" customHeight="1" x14ac:dyDescent="0.25">
      <c r="A80" s="45" t="s">
        <v>196</v>
      </c>
      <c r="B80" s="28" t="s">
        <v>322</v>
      </c>
      <c r="C80" s="54" t="s">
        <v>179</v>
      </c>
      <c r="D80" s="48" t="s">
        <v>152</v>
      </c>
      <c r="E80" s="32">
        <v>1</v>
      </c>
      <c r="F80" s="33" t="s">
        <v>56</v>
      </c>
      <c r="G80" s="28" t="s">
        <v>339</v>
      </c>
      <c r="H80" s="28" t="s">
        <v>103</v>
      </c>
      <c r="I80" s="28"/>
      <c r="J80" s="29" t="s">
        <v>2</v>
      </c>
      <c r="K80" s="32" t="s">
        <v>196</v>
      </c>
      <c r="L80" s="28" t="s">
        <v>324</v>
      </c>
      <c r="M80" s="28">
        <v>17</v>
      </c>
      <c r="N80" s="36" t="str">
        <f>IFERROR(HYPERLINK("#'Main'!B"&amp;MATCH(TRIM(A80),Main!B:B,0),"Open"),HYPERLINK("#'Main'!B1","Open"))</f>
        <v>Open</v>
      </c>
      <c r="O80" s="36" t="str">
        <f t="shared" ca="1" si="2"/>
        <v>Open</v>
      </c>
      <c r="P80" s="36"/>
    </row>
    <row r="81" spans="1:16" ht="15.75" x14ac:dyDescent="0.25">
      <c r="A81" s="46" t="s">
        <v>166</v>
      </c>
      <c r="B81" s="37" t="s">
        <v>322</v>
      </c>
      <c r="C81" s="55" t="s">
        <v>142</v>
      </c>
      <c r="D81" s="42" t="s">
        <v>50</v>
      </c>
      <c r="E81" s="39">
        <v>1</v>
      </c>
      <c r="F81" s="40" t="s">
        <v>56</v>
      </c>
      <c r="G81" s="37" t="s">
        <v>340</v>
      </c>
      <c r="H81" s="37" t="s">
        <v>103</v>
      </c>
      <c r="I81" s="37"/>
      <c r="J81" s="29" t="s">
        <v>2</v>
      </c>
      <c r="K81" s="39" t="s">
        <v>166</v>
      </c>
      <c r="L81" s="37" t="s">
        <v>324</v>
      </c>
      <c r="M81" s="37">
        <v>18</v>
      </c>
      <c r="N81" t="str">
        <f>IFERROR(HYPERLINK("#'Main'!B"&amp;MATCH(TRIM(A81),Main!B:B,0),"Open"),HYPERLINK("#'Main'!B1","Open"))</f>
        <v>Open</v>
      </c>
      <c r="O81" t="str">
        <f t="shared" ca="1" si="2"/>
        <v>Open</v>
      </c>
    </row>
    <row r="82" spans="1:16" ht="15.75" x14ac:dyDescent="0.25">
      <c r="A82" s="45" t="s">
        <v>166</v>
      </c>
      <c r="B82" s="28" t="s">
        <v>322</v>
      </c>
      <c r="C82" s="54" t="s">
        <v>136</v>
      </c>
      <c r="D82" s="42" t="s">
        <v>50</v>
      </c>
      <c r="E82" s="32">
        <v>1</v>
      </c>
      <c r="F82" s="33" t="s">
        <v>56</v>
      </c>
      <c r="G82" s="28" t="s">
        <v>341</v>
      </c>
      <c r="H82" s="28" t="s">
        <v>103</v>
      </c>
      <c r="I82" s="28"/>
      <c r="J82" s="29" t="s">
        <v>2</v>
      </c>
      <c r="K82" s="32" t="s">
        <v>166</v>
      </c>
      <c r="L82" s="28" t="s">
        <v>324</v>
      </c>
      <c r="M82" s="28">
        <v>19</v>
      </c>
      <c r="N82" s="36" t="str">
        <f>IFERROR(HYPERLINK("#'Main'!B"&amp;MATCH(TRIM(A82),Main!B:B,0),"Open"),HYPERLINK("#'Main'!B1","Open"))</f>
        <v>Open</v>
      </c>
      <c r="O82" s="36" t="str">
        <f t="shared" ca="1" si="2"/>
        <v>Open</v>
      </c>
      <c r="P82" s="36"/>
    </row>
    <row r="83" spans="1:16" ht="15.75" x14ac:dyDescent="0.25">
      <c r="A83" s="46" t="s">
        <v>166</v>
      </c>
      <c r="B83" s="37" t="s">
        <v>322</v>
      </c>
      <c r="C83" s="55" t="s">
        <v>139</v>
      </c>
      <c r="D83" s="42" t="s">
        <v>50</v>
      </c>
      <c r="E83" s="39">
        <v>1</v>
      </c>
      <c r="F83" s="40" t="s">
        <v>126</v>
      </c>
      <c r="G83" s="37" t="s">
        <v>342</v>
      </c>
      <c r="H83" s="37" t="s">
        <v>103</v>
      </c>
      <c r="I83" s="37"/>
      <c r="J83" s="29" t="s">
        <v>2</v>
      </c>
      <c r="K83" s="39" t="s">
        <v>166</v>
      </c>
      <c r="L83" s="37" t="s">
        <v>324</v>
      </c>
      <c r="M83" s="37">
        <v>20</v>
      </c>
      <c r="N83" t="str">
        <f>IFERROR(HYPERLINK("#'Main'!B"&amp;MATCH(TRIM(A83),Main!B:B,0),"Open"),HYPERLINK("#'Main'!B1","Open"))</f>
        <v>Open</v>
      </c>
      <c r="O83" t="str">
        <f t="shared" ca="1" si="2"/>
        <v>Open</v>
      </c>
    </row>
    <row r="84" spans="1:16" ht="15.75" x14ac:dyDescent="0.25">
      <c r="A84" s="45" t="s">
        <v>166</v>
      </c>
      <c r="B84" s="28" t="s">
        <v>322</v>
      </c>
      <c r="C84" s="54" t="s">
        <v>169</v>
      </c>
      <c r="D84" s="48" t="s">
        <v>152</v>
      </c>
      <c r="E84" s="32">
        <v>1</v>
      </c>
      <c r="F84" s="33" t="s">
        <v>117</v>
      </c>
      <c r="G84" s="28" t="s">
        <v>343</v>
      </c>
      <c r="H84" s="28" t="s">
        <v>103</v>
      </c>
      <c r="I84" s="28"/>
      <c r="J84" s="29" t="s">
        <v>2</v>
      </c>
      <c r="K84" s="32" t="s">
        <v>166</v>
      </c>
      <c r="L84" s="28" t="s">
        <v>324</v>
      </c>
      <c r="M84" s="28">
        <v>21</v>
      </c>
      <c r="N84" s="36" t="str">
        <f>IFERROR(HYPERLINK("#'Main'!B"&amp;MATCH(TRIM(A84),Main!B:B,0),"Open"),HYPERLINK("#'Main'!B1","Open"))</f>
        <v>Open</v>
      </c>
      <c r="O84" s="36" t="str">
        <f t="shared" ca="1" si="2"/>
        <v>Open</v>
      </c>
      <c r="P84" s="36"/>
    </row>
    <row r="85" spans="1:16" ht="15.75" x14ac:dyDescent="0.25">
      <c r="A85" s="46" t="s">
        <v>166</v>
      </c>
      <c r="B85" s="37" t="s">
        <v>322</v>
      </c>
      <c r="C85" s="55" t="s">
        <v>34</v>
      </c>
      <c r="D85" s="48" t="s">
        <v>152</v>
      </c>
      <c r="E85" s="39">
        <v>1</v>
      </c>
      <c r="F85" s="40" t="s">
        <v>56</v>
      </c>
      <c r="G85" s="37" t="s">
        <v>344</v>
      </c>
      <c r="H85" s="37" t="s">
        <v>92</v>
      </c>
      <c r="I85" s="37"/>
      <c r="J85" s="29" t="s">
        <v>2</v>
      </c>
      <c r="K85" s="39" t="s">
        <v>166</v>
      </c>
      <c r="L85" s="37" t="s">
        <v>324</v>
      </c>
      <c r="M85" s="37">
        <v>22</v>
      </c>
      <c r="N85" t="str">
        <f>IFERROR(HYPERLINK("#'Main'!B"&amp;MATCH(TRIM(A85),Main!B:B,0),"Open"),HYPERLINK("#'Main'!B1","Open"))</f>
        <v>Open</v>
      </c>
      <c r="O85" t="str">
        <f t="shared" ca="1" si="2"/>
        <v>Open</v>
      </c>
    </row>
    <row r="86" spans="1:16" ht="15.75" x14ac:dyDescent="0.25">
      <c r="A86" s="45" t="s">
        <v>166</v>
      </c>
      <c r="B86" s="28" t="s">
        <v>322</v>
      </c>
      <c r="C86" s="54" t="s">
        <v>164</v>
      </c>
      <c r="D86" s="48" t="s">
        <v>152</v>
      </c>
      <c r="E86" s="32">
        <v>1</v>
      </c>
      <c r="F86" s="33" t="s">
        <v>56</v>
      </c>
      <c r="G86" s="28" t="s">
        <v>345</v>
      </c>
      <c r="H86" s="28" t="s">
        <v>103</v>
      </c>
      <c r="I86" s="28"/>
      <c r="J86" s="29" t="s">
        <v>2</v>
      </c>
      <c r="K86" s="32" t="s">
        <v>166</v>
      </c>
      <c r="L86" s="28" t="s">
        <v>324</v>
      </c>
      <c r="M86" s="28">
        <v>23</v>
      </c>
      <c r="N86" s="36" t="str">
        <f>IFERROR(HYPERLINK("#'Main'!B"&amp;MATCH(TRIM(A86),Main!B:B,0),"Open"),HYPERLINK("#'Main'!B1","Open"))</f>
        <v>Open</v>
      </c>
      <c r="O86" s="36" t="str">
        <f t="shared" ca="1" si="2"/>
        <v>Open</v>
      </c>
      <c r="P86" s="36"/>
    </row>
    <row r="87" spans="1:16" ht="15.75" x14ac:dyDescent="0.25">
      <c r="A87" s="46" t="s">
        <v>166</v>
      </c>
      <c r="B87" s="37" t="s">
        <v>322</v>
      </c>
      <c r="C87" s="55" t="s">
        <v>170</v>
      </c>
      <c r="D87" s="48" t="s">
        <v>152</v>
      </c>
      <c r="E87" s="39">
        <v>1</v>
      </c>
      <c r="F87" s="40" t="s">
        <v>126</v>
      </c>
      <c r="G87" s="37" t="s">
        <v>346</v>
      </c>
      <c r="H87" s="37" t="s">
        <v>103</v>
      </c>
      <c r="I87" s="37"/>
      <c r="J87" s="29" t="s">
        <v>2</v>
      </c>
      <c r="K87" s="39" t="s">
        <v>166</v>
      </c>
      <c r="L87" s="37" t="s">
        <v>324</v>
      </c>
      <c r="M87" s="37">
        <v>24</v>
      </c>
      <c r="N87" t="str">
        <f>IFERROR(HYPERLINK("#'Main'!B"&amp;MATCH(TRIM(A87),Main!B:B,0),"Open"),HYPERLINK("#'Main'!B1","Open"))</f>
        <v>Open</v>
      </c>
      <c r="O87" t="str">
        <f t="shared" ca="1" si="2"/>
        <v>Open</v>
      </c>
    </row>
    <row r="88" spans="1:16" ht="15.75" x14ac:dyDescent="0.25">
      <c r="A88" s="45" t="s">
        <v>166</v>
      </c>
      <c r="B88" s="28" t="s">
        <v>322</v>
      </c>
      <c r="C88" s="54" t="s">
        <v>173</v>
      </c>
      <c r="D88" s="48" t="s">
        <v>152</v>
      </c>
      <c r="E88" s="32">
        <v>1</v>
      </c>
      <c r="F88" s="33" t="s">
        <v>56</v>
      </c>
      <c r="G88" s="28" t="s">
        <v>347</v>
      </c>
      <c r="H88" s="28" t="s">
        <v>103</v>
      </c>
      <c r="I88" s="28"/>
      <c r="J88" s="29" t="s">
        <v>2</v>
      </c>
      <c r="K88" s="32" t="s">
        <v>166</v>
      </c>
      <c r="L88" s="28" t="s">
        <v>324</v>
      </c>
      <c r="M88" s="28">
        <v>25</v>
      </c>
      <c r="N88" s="36" t="str">
        <f>IFERROR(HYPERLINK("#'Main'!B"&amp;MATCH(TRIM(A88),Main!B:B,0),"Open"),HYPERLINK("#'Main'!B1","Open"))</f>
        <v>Open</v>
      </c>
      <c r="O88" s="36" t="str">
        <f t="shared" ca="1" si="2"/>
        <v>Open</v>
      </c>
      <c r="P88" s="36"/>
    </row>
    <row r="89" spans="1:16" ht="15.75" x14ac:dyDescent="0.25">
      <c r="A89" s="46" t="s">
        <v>166</v>
      </c>
      <c r="B89" s="37" t="s">
        <v>322</v>
      </c>
      <c r="C89" s="55" t="s">
        <v>176</v>
      </c>
      <c r="D89" s="48" t="s">
        <v>152</v>
      </c>
      <c r="E89" s="39">
        <v>1</v>
      </c>
      <c r="F89" s="40" t="s">
        <v>56</v>
      </c>
      <c r="G89" s="37" t="s">
        <v>348</v>
      </c>
      <c r="H89" s="37" t="s">
        <v>103</v>
      </c>
      <c r="I89" s="37"/>
      <c r="J89" s="29" t="s">
        <v>2</v>
      </c>
      <c r="K89" s="39" t="s">
        <v>166</v>
      </c>
      <c r="L89" s="37" t="s">
        <v>324</v>
      </c>
      <c r="M89" s="37">
        <v>26</v>
      </c>
      <c r="N89" t="str">
        <f>IFERROR(HYPERLINK("#'Main'!B"&amp;MATCH(TRIM(A89),Main!B:B,0),"Open"),HYPERLINK("#'Main'!B1","Open"))</f>
        <v>Open</v>
      </c>
      <c r="O89" t="str">
        <f t="shared" ca="1" si="2"/>
        <v>Open</v>
      </c>
    </row>
    <row r="90" spans="1:16" ht="15.75" x14ac:dyDescent="0.25">
      <c r="A90" s="45" t="s">
        <v>166</v>
      </c>
      <c r="B90" s="28" t="s">
        <v>322</v>
      </c>
      <c r="C90" s="54" t="s">
        <v>179</v>
      </c>
      <c r="D90" s="48" t="s">
        <v>152</v>
      </c>
      <c r="E90" s="32">
        <v>1</v>
      </c>
      <c r="F90" s="33" t="s">
        <v>56</v>
      </c>
      <c r="G90" s="28" t="s">
        <v>349</v>
      </c>
      <c r="H90" s="28" t="s">
        <v>103</v>
      </c>
      <c r="I90" s="28"/>
      <c r="J90" s="29" t="s">
        <v>2</v>
      </c>
      <c r="K90" s="32" t="s">
        <v>166</v>
      </c>
      <c r="L90" s="28" t="s">
        <v>324</v>
      </c>
      <c r="M90" s="28">
        <v>27</v>
      </c>
      <c r="N90" s="36" t="str">
        <f>IFERROR(HYPERLINK("#'Main'!B"&amp;MATCH(TRIM(A90),Main!B:B,0),"Open"),HYPERLINK("#'Main'!B1","Open"))</f>
        <v>Open</v>
      </c>
      <c r="O90" s="36" t="str">
        <f t="shared" ca="1" si="2"/>
        <v>Open</v>
      </c>
      <c r="P90" s="36"/>
    </row>
    <row r="91" spans="1:16" ht="30" customHeight="1" x14ac:dyDescent="0.25">
      <c r="A91" s="46" t="s">
        <v>199</v>
      </c>
      <c r="B91" s="37" t="s">
        <v>322</v>
      </c>
      <c r="C91" s="55" t="s">
        <v>136</v>
      </c>
      <c r="D91" s="42" t="s">
        <v>50</v>
      </c>
      <c r="E91" s="39">
        <v>1</v>
      </c>
      <c r="F91" s="40" t="s">
        <v>56</v>
      </c>
      <c r="G91" s="37" t="s">
        <v>350</v>
      </c>
      <c r="H91" s="37" t="s">
        <v>103</v>
      </c>
      <c r="I91" s="37"/>
      <c r="J91" s="29" t="s">
        <v>2</v>
      </c>
      <c r="K91" s="39" t="s">
        <v>199</v>
      </c>
      <c r="L91" s="37" t="s">
        <v>324</v>
      </c>
      <c r="M91" s="37">
        <v>28</v>
      </c>
      <c r="N91" t="str">
        <f>IFERROR(HYPERLINK("#'Main'!B"&amp;MATCH(TRIM(A91),Main!B:B,0),"Open"),HYPERLINK("#'Main'!B1","Open"))</f>
        <v>Open</v>
      </c>
      <c r="O91" t="str">
        <f t="shared" ca="1" si="2"/>
        <v>Open</v>
      </c>
    </row>
    <row r="92" spans="1:16" ht="30" customHeight="1" x14ac:dyDescent="0.25">
      <c r="A92" s="45" t="s">
        <v>199</v>
      </c>
      <c r="B92" s="28" t="s">
        <v>322</v>
      </c>
      <c r="C92" s="54" t="s">
        <v>139</v>
      </c>
      <c r="D92" s="42" t="s">
        <v>50</v>
      </c>
      <c r="E92" s="32">
        <v>1</v>
      </c>
      <c r="F92" s="33" t="s">
        <v>126</v>
      </c>
      <c r="G92" s="28" t="s">
        <v>351</v>
      </c>
      <c r="H92" s="28" t="s">
        <v>103</v>
      </c>
      <c r="I92" s="28"/>
      <c r="J92" s="29" t="s">
        <v>2</v>
      </c>
      <c r="K92" s="32" t="s">
        <v>199</v>
      </c>
      <c r="L92" s="28" t="s">
        <v>324</v>
      </c>
      <c r="M92" s="28">
        <v>29</v>
      </c>
      <c r="N92" s="36" t="str">
        <f>IFERROR(HYPERLINK("#'Main'!B"&amp;MATCH(TRIM(A92),Main!B:B,0),"Open"),HYPERLINK("#'Main'!B1","Open"))</f>
        <v>Open</v>
      </c>
      <c r="O92" s="36" t="str">
        <f t="shared" ca="1" si="2"/>
        <v>Open</v>
      </c>
      <c r="P92" s="36"/>
    </row>
    <row r="93" spans="1:16" ht="30" customHeight="1" x14ac:dyDescent="0.25">
      <c r="A93" s="46" t="s">
        <v>199</v>
      </c>
      <c r="B93" s="37" t="s">
        <v>322</v>
      </c>
      <c r="C93" s="55" t="s">
        <v>34</v>
      </c>
      <c r="D93" s="48" t="s">
        <v>152</v>
      </c>
      <c r="E93" s="39">
        <v>1</v>
      </c>
      <c r="F93" s="40" t="s">
        <v>56</v>
      </c>
      <c r="G93" s="37" t="s">
        <v>352</v>
      </c>
      <c r="H93" s="37" t="s">
        <v>92</v>
      </c>
      <c r="I93" s="37"/>
      <c r="J93" s="29" t="s">
        <v>2</v>
      </c>
      <c r="K93" s="39" t="s">
        <v>199</v>
      </c>
      <c r="L93" s="37" t="s">
        <v>324</v>
      </c>
      <c r="M93" s="37">
        <v>30</v>
      </c>
      <c r="N93" t="str">
        <f>IFERROR(HYPERLINK("#'Main'!B"&amp;MATCH(TRIM(A93),Main!B:B,0),"Open"),HYPERLINK("#'Main'!B1","Open"))</f>
        <v>Open</v>
      </c>
      <c r="O93" t="str">
        <f t="shared" ca="1" si="2"/>
        <v>Open</v>
      </c>
    </row>
    <row r="94" spans="1:16" ht="30" customHeight="1" x14ac:dyDescent="0.25">
      <c r="A94" s="45" t="s">
        <v>199</v>
      </c>
      <c r="B94" s="28" t="s">
        <v>322</v>
      </c>
      <c r="C94" s="54" t="s">
        <v>164</v>
      </c>
      <c r="D94" s="48" t="s">
        <v>152</v>
      </c>
      <c r="E94" s="32">
        <v>1</v>
      </c>
      <c r="F94" s="33" t="s">
        <v>56</v>
      </c>
      <c r="G94" s="28" t="s">
        <v>353</v>
      </c>
      <c r="H94" s="28" t="s">
        <v>103</v>
      </c>
      <c r="I94" s="28"/>
      <c r="J94" s="29" t="s">
        <v>2</v>
      </c>
      <c r="K94" s="32" t="s">
        <v>199</v>
      </c>
      <c r="L94" s="28" t="s">
        <v>324</v>
      </c>
      <c r="M94" s="28">
        <v>31</v>
      </c>
      <c r="N94" s="36" t="str">
        <f>IFERROR(HYPERLINK("#'Main'!B"&amp;MATCH(TRIM(A94),Main!B:B,0),"Open"),HYPERLINK("#'Main'!B1","Open"))</f>
        <v>Open</v>
      </c>
      <c r="O94" s="36" t="str">
        <f t="shared" ca="1" si="2"/>
        <v>Open</v>
      </c>
      <c r="P94" s="36"/>
    </row>
    <row r="95" spans="1:16" ht="30" customHeight="1" x14ac:dyDescent="0.25">
      <c r="A95" s="46" t="s">
        <v>199</v>
      </c>
      <c r="B95" s="37" t="s">
        <v>322</v>
      </c>
      <c r="C95" s="55" t="s">
        <v>170</v>
      </c>
      <c r="D95" s="48" t="s">
        <v>152</v>
      </c>
      <c r="E95" s="39">
        <v>1</v>
      </c>
      <c r="F95" s="40" t="s">
        <v>126</v>
      </c>
      <c r="G95" s="37" t="s">
        <v>354</v>
      </c>
      <c r="H95" s="37" t="s">
        <v>103</v>
      </c>
      <c r="I95" s="37"/>
      <c r="J95" s="29" t="s">
        <v>2</v>
      </c>
      <c r="K95" s="39" t="s">
        <v>199</v>
      </c>
      <c r="L95" s="37" t="s">
        <v>324</v>
      </c>
      <c r="M95" s="37">
        <v>32</v>
      </c>
      <c r="N95" t="str">
        <f>IFERROR(HYPERLINK("#'Main'!B"&amp;MATCH(TRIM(A95),Main!B:B,0),"Open"),HYPERLINK("#'Main'!B1","Open"))</f>
        <v>Open</v>
      </c>
      <c r="O95" t="str">
        <f t="shared" ca="1" si="2"/>
        <v>Open</v>
      </c>
    </row>
    <row r="96" spans="1:16" ht="30" customHeight="1" x14ac:dyDescent="0.25">
      <c r="A96" s="45" t="s">
        <v>199</v>
      </c>
      <c r="B96" s="28" t="s">
        <v>322</v>
      </c>
      <c r="C96" s="54" t="s">
        <v>173</v>
      </c>
      <c r="D96" s="48" t="s">
        <v>152</v>
      </c>
      <c r="E96" s="32">
        <v>1</v>
      </c>
      <c r="F96" s="33" t="s">
        <v>56</v>
      </c>
      <c r="G96" s="28" t="s">
        <v>355</v>
      </c>
      <c r="H96" s="28" t="s">
        <v>103</v>
      </c>
      <c r="I96" s="28"/>
      <c r="J96" s="29" t="s">
        <v>2</v>
      </c>
      <c r="K96" s="32" t="s">
        <v>199</v>
      </c>
      <c r="L96" s="28" t="s">
        <v>324</v>
      </c>
      <c r="M96" s="28">
        <v>33</v>
      </c>
      <c r="N96" s="36" t="str">
        <f>IFERROR(HYPERLINK("#'Main'!B"&amp;MATCH(TRIM(A96),Main!B:B,0),"Open"),HYPERLINK("#'Main'!B1","Open"))</f>
        <v>Open</v>
      </c>
      <c r="O96" s="36" t="str">
        <f t="shared" ca="1" si="2"/>
        <v>Open</v>
      </c>
      <c r="P96" s="36"/>
    </row>
    <row r="97" spans="1:16" ht="30" customHeight="1" x14ac:dyDescent="0.25">
      <c r="A97" s="46" t="s">
        <v>199</v>
      </c>
      <c r="B97" s="37" t="s">
        <v>322</v>
      </c>
      <c r="C97" s="55" t="s">
        <v>176</v>
      </c>
      <c r="D97" s="48" t="s">
        <v>152</v>
      </c>
      <c r="E97" s="39">
        <v>1</v>
      </c>
      <c r="F97" s="40" t="s">
        <v>56</v>
      </c>
      <c r="G97" s="37" t="s">
        <v>356</v>
      </c>
      <c r="H97" s="37" t="s">
        <v>103</v>
      </c>
      <c r="I97" s="37"/>
      <c r="J97" s="29" t="s">
        <v>2</v>
      </c>
      <c r="K97" s="39" t="s">
        <v>199</v>
      </c>
      <c r="L97" s="37" t="s">
        <v>324</v>
      </c>
      <c r="M97" s="37">
        <v>34</v>
      </c>
      <c r="N97" t="str">
        <f>IFERROR(HYPERLINK("#'Main'!B"&amp;MATCH(TRIM(A97),Main!B:B,0),"Open"),HYPERLINK("#'Main'!B1","Open"))</f>
        <v>Open</v>
      </c>
      <c r="O97" t="str">
        <f t="shared" ca="1" si="2"/>
        <v>Open</v>
      </c>
    </row>
    <row r="98" spans="1:16" ht="30" customHeight="1" x14ac:dyDescent="0.25">
      <c r="A98" s="45" t="s">
        <v>199</v>
      </c>
      <c r="B98" s="28" t="s">
        <v>322</v>
      </c>
      <c r="C98" s="54" t="s">
        <v>179</v>
      </c>
      <c r="D98" s="48" t="s">
        <v>152</v>
      </c>
      <c r="E98" s="32">
        <v>1</v>
      </c>
      <c r="F98" s="33" t="s">
        <v>56</v>
      </c>
      <c r="G98" s="28" t="s">
        <v>357</v>
      </c>
      <c r="H98" s="28" t="s">
        <v>103</v>
      </c>
      <c r="I98" s="28"/>
      <c r="J98" s="29" t="s">
        <v>2</v>
      </c>
      <c r="K98" s="32" t="s">
        <v>199</v>
      </c>
      <c r="L98" s="28" t="s">
        <v>324</v>
      </c>
      <c r="M98" s="28">
        <v>35</v>
      </c>
      <c r="N98" s="36" t="str">
        <f>IFERROR(HYPERLINK("#'Main'!B"&amp;MATCH(TRIM(A98),Main!B:B,0),"Open"),HYPERLINK("#'Main'!B1","Open"))</f>
        <v>Open</v>
      </c>
      <c r="O98" s="36" t="str">
        <f t="shared" ref="O98:O129" ca="1" si="3">IFERROR(HYPERLINK("#"&amp;F98&amp;"!A"&amp;MATCH(A98,INDIRECT("'"&amp;F98&amp;"'!A:A"),0),"Open"),HYPERLINK("#"&amp;F98&amp;"!A1","Open"))</f>
        <v>Open</v>
      </c>
      <c r="P98" s="36"/>
    </row>
    <row r="99" spans="1:16" ht="30" customHeight="1" x14ac:dyDescent="0.25">
      <c r="A99" s="46" t="s">
        <v>146</v>
      </c>
      <c r="B99" s="37" t="s">
        <v>322</v>
      </c>
      <c r="C99" s="55" t="s">
        <v>144</v>
      </c>
      <c r="D99" s="42" t="s">
        <v>50</v>
      </c>
      <c r="E99" s="39">
        <v>1</v>
      </c>
      <c r="F99" s="40" t="s">
        <v>56</v>
      </c>
      <c r="G99" s="37" t="s">
        <v>358</v>
      </c>
      <c r="H99" s="37" t="s">
        <v>103</v>
      </c>
      <c r="I99" s="37"/>
      <c r="J99" s="29" t="s">
        <v>2</v>
      </c>
      <c r="K99" s="39" t="s">
        <v>146</v>
      </c>
      <c r="L99" s="37" t="s">
        <v>324</v>
      </c>
      <c r="M99" s="37">
        <v>36</v>
      </c>
      <c r="N99" t="str">
        <f>IFERROR(HYPERLINK("#'Main'!B"&amp;MATCH(TRIM(A99),Main!B:B,0),"Open"),HYPERLINK("#'Main'!B1","Open"))</f>
        <v>Open</v>
      </c>
      <c r="O99" t="str">
        <f t="shared" ca="1" si="3"/>
        <v>Open</v>
      </c>
    </row>
    <row r="100" spans="1:16" ht="30" customHeight="1" x14ac:dyDescent="0.25">
      <c r="A100" s="45" t="s">
        <v>146</v>
      </c>
      <c r="B100" s="28" t="s">
        <v>322</v>
      </c>
      <c r="C100" s="54" t="s">
        <v>136</v>
      </c>
      <c r="D100" s="42" t="s">
        <v>50</v>
      </c>
      <c r="E100" s="32">
        <v>1</v>
      </c>
      <c r="F100" s="33" t="s">
        <v>56</v>
      </c>
      <c r="G100" s="28" t="s">
        <v>359</v>
      </c>
      <c r="H100" s="28" t="s">
        <v>103</v>
      </c>
      <c r="I100" s="28"/>
      <c r="J100" s="29" t="s">
        <v>2</v>
      </c>
      <c r="K100" s="32" t="s">
        <v>146</v>
      </c>
      <c r="L100" s="28" t="s">
        <v>324</v>
      </c>
      <c r="M100" s="28">
        <v>37</v>
      </c>
      <c r="N100" s="36" t="str">
        <f>IFERROR(HYPERLINK("#'Main'!B"&amp;MATCH(TRIM(A100),Main!B:B,0),"Open"),HYPERLINK("#'Main'!B1","Open"))</f>
        <v>Open</v>
      </c>
      <c r="O100" s="36" t="str">
        <f t="shared" ca="1" si="3"/>
        <v>Open</v>
      </c>
      <c r="P100" s="36"/>
    </row>
    <row r="101" spans="1:16" ht="30" customHeight="1" x14ac:dyDescent="0.25">
      <c r="A101" s="46" t="s">
        <v>146</v>
      </c>
      <c r="B101" s="37" t="s">
        <v>322</v>
      </c>
      <c r="C101" s="55" t="s">
        <v>139</v>
      </c>
      <c r="D101" s="42" t="s">
        <v>50</v>
      </c>
      <c r="E101" s="39">
        <v>1</v>
      </c>
      <c r="F101" s="40" t="s">
        <v>126</v>
      </c>
      <c r="G101" s="37" t="s">
        <v>360</v>
      </c>
      <c r="H101" s="37" t="s">
        <v>103</v>
      </c>
      <c r="I101" s="37"/>
      <c r="J101" s="29" t="s">
        <v>2</v>
      </c>
      <c r="K101" s="39" t="s">
        <v>146</v>
      </c>
      <c r="L101" s="37" t="s">
        <v>324</v>
      </c>
      <c r="M101" s="37">
        <v>38</v>
      </c>
      <c r="N101" t="str">
        <f>IFERROR(HYPERLINK("#'Main'!B"&amp;MATCH(TRIM(A101),Main!B:B,0),"Open"),HYPERLINK("#'Main'!B1","Open"))</f>
        <v>Open</v>
      </c>
      <c r="O101" t="str">
        <f t="shared" ca="1" si="3"/>
        <v>Open</v>
      </c>
    </row>
    <row r="102" spans="1:16" ht="30" customHeight="1" x14ac:dyDescent="0.25">
      <c r="A102" s="45" t="s">
        <v>146</v>
      </c>
      <c r="B102" s="28" t="s">
        <v>322</v>
      </c>
      <c r="C102" s="54" t="s">
        <v>34</v>
      </c>
      <c r="D102" s="48" t="s">
        <v>152</v>
      </c>
      <c r="E102" s="32">
        <v>1</v>
      </c>
      <c r="F102" s="33" t="s">
        <v>56</v>
      </c>
      <c r="G102" s="28" t="s">
        <v>361</v>
      </c>
      <c r="H102" s="28" t="s">
        <v>92</v>
      </c>
      <c r="I102" s="28"/>
      <c r="J102" s="29" t="s">
        <v>2</v>
      </c>
      <c r="K102" s="32" t="s">
        <v>146</v>
      </c>
      <c r="L102" s="28" t="s">
        <v>324</v>
      </c>
      <c r="M102" s="28">
        <v>39</v>
      </c>
      <c r="N102" s="36" t="str">
        <f>IFERROR(HYPERLINK("#'Main'!B"&amp;MATCH(TRIM(A102),Main!B:B,0),"Open"),HYPERLINK("#'Main'!B1","Open"))</f>
        <v>Open</v>
      </c>
      <c r="O102" s="36" t="str">
        <f t="shared" ca="1" si="3"/>
        <v>Open</v>
      </c>
      <c r="P102" s="36"/>
    </row>
    <row r="103" spans="1:16" ht="30" customHeight="1" x14ac:dyDescent="0.25">
      <c r="A103" s="46" t="s">
        <v>146</v>
      </c>
      <c r="B103" s="37" t="s">
        <v>322</v>
      </c>
      <c r="C103" s="55" t="s">
        <v>164</v>
      </c>
      <c r="D103" s="48" t="s">
        <v>152</v>
      </c>
      <c r="E103" s="39">
        <v>1</v>
      </c>
      <c r="F103" s="40" t="s">
        <v>56</v>
      </c>
      <c r="G103" s="37" t="s">
        <v>362</v>
      </c>
      <c r="H103" s="37" t="s">
        <v>103</v>
      </c>
      <c r="I103" s="37"/>
      <c r="J103" s="29" t="s">
        <v>2</v>
      </c>
      <c r="K103" s="39" t="s">
        <v>146</v>
      </c>
      <c r="L103" s="37" t="s">
        <v>324</v>
      </c>
      <c r="M103" s="37">
        <v>40</v>
      </c>
      <c r="N103" t="str">
        <f>IFERROR(HYPERLINK("#'Main'!B"&amp;MATCH(TRIM(A103),Main!B:B,0),"Open"),HYPERLINK("#'Main'!B1","Open"))</f>
        <v>Open</v>
      </c>
      <c r="O103" t="str">
        <f t="shared" ca="1" si="3"/>
        <v>Open</v>
      </c>
    </row>
    <row r="104" spans="1:16" ht="30" customHeight="1" x14ac:dyDescent="0.25">
      <c r="A104" s="45" t="s">
        <v>146</v>
      </c>
      <c r="B104" s="28" t="s">
        <v>322</v>
      </c>
      <c r="C104" s="54" t="s">
        <v>170</v>
      </c>
      <c r="D104" s="48" t="s">
        <v>152</v>
      </c>
      <c r="E104" s="32">
        <v>1</v>
      </c>
      <c r="F104" s="33" t="s">
        <v>126</v>
      </c>
      <c r="G104" s="28" t="s">
        <v>363</v>
      </c>
      <c r="H104" s="28" t="s">
        <v>103</v>
      </c>
      <c r="I104" s="28"/>
      <c r="J104" s="29" t="s">
        <v>2</v>
      </c>
      <c r="K104" s="32" t="s">
        <v>146</v>
      </c>
      <c r="L104" s="28" t="s">
        <v>324</v>
      </c>
      <c r="M104" s="28">
        <v>41</v>
      </c>
      <c r="N104" s="36" t="str">
        <f>IFERROR(HYPERLINK("#'Main'!B"&amp;MATCH(TRIM(A104),Main!B:B,0),"Open"),HYPERLINK("#'Main'!B1","Open"))</f>
        <v>Open</v>
      </c>
      <c r="O104" s="36" t="str">
        <f t="shared" ca="1" si="3"/>
        <v>Open</v>
      </c>
      <c r="P104" s="36"/>
    </row>
    <row r="105" spans="1:16" ht="30" customHeight="1" x14ac:dyDescent="0.25">
      <c r="A105" s="46" t="s">
        <v>146</v>
      </c>
      <c r="B105" s="37" t="s">
        <v>322</v>
      </c>
      <c r="C105" s="55" t="s">
        <v>173</v>
      </c>
      <c r="D105" s="48" t="s">
        <v>152</v>
      </c>
      <c r="E105" s="39">
        <v>1</v>
      </c>
      <c r="F105" s="40" t="s">
        <v>56</v>
      </c>
      <c r="G105" s="37" t="s">
        <v>364</v>
      </c>
      <c r="H105" s="37" t="s">
        <v>103</v>
      </c>
      <c r="I105" s="37"/>
      <c r="J105" s="29" t="s">
        <v>2</v>
      </c>
      <c r="K105" s="39" t="s">
        <v>146</v>
      </c>
      <c r="L105" s="37" t="s">
        <v>324</v>
      </c>
      <c r="M105" s="37">
        <v>42</v>
      </c>
      <c r="N105" t="str">
        <f>IFERROR(HYPERLINK("#'Main'!B"&amp;MATCH(TRIM(A105),Main!B:B,0),"Open"),HYPERLINK("#'Main'!B1","Open"))</f>
        <v>Open</v>
      </c>
      <c r="O105" t="str">
        <f t="shared" ca="1" si="3"/>
        <v>Open</v>
      </c>
    </row>
    <row r="106" spans="1:16" ht="30" customHeight="1" x14ac:dyDescent="0.25">
      <c r="A106" s="45" t="s">
        <v>146</v>
      </c>
      <c r="B106" s="28" t="s">
        <v>322</v>
      </c>
      <c r="C106" s="54" t="s">
        <v>176</v>
      </c>
      <c r="D106" s="48" t="s">
        <v>152</v>
      </c>
      <c r="E106" s="32">
        <v>1</v>
      </c>
      <c r="F106" s="33" t="s">
        <v>56</v>
      </c>
      <c r="G106" s="28" t="s">
        <v>365</v>
      </c>
      <c r="H106" s="28" t="s">
        <v>103</v>
      </c>
      <c r="I106" s="28"/>
      <c r="J106" s="29" t="s">
        <v>2</v>
      </c>
      <c r="K106" s="32" t="s">
        <v>146</v>
      </c>
      <c r="L106" s="28" t="s">
        <v>324</v>
      </c>
      <c r="M106" s="28">
        <v>43</v>
      </c>
      <c r="N106" s="36" t="str">
        <f>IFERROR(HYPERLINK("#'Main'!B"&amp;MATCH(TRIM(A106),Main!B:B,0),"Open"),HYPERLINK("#'Main'!B1","Open"))</f>
        <v>Open</v>
      </c>
      <c r="O106" s="36" t="str">
        <f t="shared" ca="1" si="3"/>
        <v>Open</v>
      </c>
      <c r="P106" s="36"/>
    </row>
    <row r="107" spans="1:16" ht="30" customHeight="1" x14ac:dyDescent="0.25">
      <c r="A107" s="46" t="s">
        <v>146</v>
      </c>
      <c r="B107" s="37" t="s">
        <v>322</v>
      </c>
      <c r="C107" s="55" t="s">
        <v>179</v>
      </c>
      <c r="D107" s="48" t="s">
        <v>152</v>
      </c>
      <c r="E107" s="39">
        <v>1</v>
      </c>
      <c r="F107" s="40" t="s">
        <v>56</v>
      </c>
      <c r="G107" s="37" t="s">
        <v>366</v>
      </c>
      <c r="H107" s="37" t="s">
        <v>103</v>
      </c>
      <c r="I107" s="37"/>
      <c r="J107" s="29" t="s">
        <v>2</v>
      </c>
      <c r="K107" s="39" t="s">
        <v>146</v>
      </c>
      <c r="L107" s="37" t="s">
        <v>324</v>
      </c>
      <c r="M107" s="37">
        <v>44</v>
      </c>
      <c r="N107" t="str">
        <f>IFERROR(HYPERLINK("#'Main'!B"&amp;MATCH(TRIM(A107),Main!B:B,0),"Open"),HYPERLINK("#'Main'!B1","Open"))</f>
        <v>Open</v>
      </c>
      <c r="O107" t="str">
        <f t="shared" ca="1" si="3"/>
        <v>Open</v>
      </c>
    </row>
    <row r="108" spans="1:16" ht="30" customHeight="1" x14ac:dyDescent="0.25">
      <c r="A108" s="45" t="s">
        <v>197</v>
      </c>
      <c r="B108" s="28" t="s">
        <v>322</v>
      </c>
      <c r="C108" s="54" t="s">
        <v>144</v>
      </c>
      <c r="D108" s="42" t="s">
        <v>50</v>
      </c>
      <c r="E108" s="32">
        <v>1</v>
      </c>
      <c r="F108" s="33" t="s">
        <v>56</v>
      </c>
      <c r="G108" s="28" t="s">
        <v>367</v>
      </c>
      <c r="H108" s="28" t="s">
        <v>103</v>
      </c>
      <c r="I108" s="28"/>
      <c r="J108" s="29" t="s">
        <v>2</v>
      </c>
      <c r="K108" s="32" t="s">
        <v>197</v>
      </c>
      <c r="L108" s="28" t="s">
        <v>324</v>
      </c>
      <c r="M108" s="28">
        <v>45</v>
      </c>
      <c r="N108" s="36" t="str">
        <f>IFERROR(HYPERLINK("#'Main'!B"&amp;MATCH(TRIM(A108),Main!B:B,0),"Open"),HYPERLINK("#'Main'!B1","Open"))</f>
        <v>Open</v>
      </c>
      <c r="O108" s="36" t="str">
        <f t="shared" ca="1" si="3"/>
        <v>Open</v>
      </c>
      <c r="P108" s="36"/>
    </row>
    <row r="109" spans="1:16" ht="30" customHeight="1" x14ac:dyDescent="0.25">
      <c r="A109" s="46" t="s">
        <v>197</v>
      </c>
      <c r="B109" s="37" t="s">
        <v>322</v>
      </c>
      <c r="C109" s="55" t="s">
        <v>136</v>
      </c>
      <c r="D109" s="42" t="s">
        <v>50</v>
      </c>
      <c r="E109" s="39">
        <v>1</v>
      </c>
      <c r="F109" s="40" t="s">
        <v>56</v>
      </c>
      <c r="G109" s="37" t="s">
        <v>368</v>
      </c>
      <c r="H109" s="37" t="s">
        <v>103</v>
      </c>
      <c r="I109" s="37"/>
      <c r="J109" s="29" t="s">
        <v>2</v>
      </c>
      <c r="K109" s="39" t="s">
        <v>197</v>
      </c>
      <c r="L109" s="37" t="s">
        <v>324</v>
      </c>
      <c r="M109" s="37">
        <v>46</v>
      </c>
      <c r="N109" t="str">
        <f>IFERROR(HYPERLINK("#'Main'!B"&amp;MATCH(TRIM(A109),Main!B:B,0),"Open"),HYPERLINK("#'Main'!B1","Open"))</f>
        <v>Open</v>
      </c>
      <c r="O109" t="str">
        <f t="shared" ca="1" si="3"/>
        <v>Open</v>
      </c>
    </row>
    <row r="110" spans="1:16" ht="30" customHeight="1" x14ac:dyDescent="0.25">
      <c r="A110" s="45" t="s">
        <v>197</v>
      </c>
      <c r="B110" s="28" t="s">
        <v>322</v>
      </c>
      <c r="C110" s="54" t="s">
        <v>139</v>
      </c>
      <c r="D110" s="42" t="s">
        <v>50</v>
      </c>
      <c r="E110" s="32">
        <v>1</v>
      </c>
      <c r="F110" s="33" t="s">
        <v>126</v>
      </c>
      <c r="G110" s="28" t="s">
        <v>369</v>
      </c>
      <c r="H110" s="28" t="s">
        <v>103</v>
      </c>
      <c r="I110" s="28"/>
      <c r="J110" s="29" t="s">
        <v>2</v>
      </c>
      <c r="K110" s="32" t="s">
        <v>197</v>
      </c>
      <c r="L110" s="28" t="s">
        <v>324</v>
      </c>
      <c r="M110" s="28">
        <v>47</v>
      </c>
      <c r="N110" s="36" t="str">
        <f>IFERROR(HYPERLINK("#'Main'!B"&amp;MATCH(TRIM(A110),Main!B:B,0),"Open"),HYPERLINK("#'Main'!B1","Open"))</f>
        <v>Open</v>
      </c>
      <c r="O110" s="36" t="str">
        <f t="shared" ca="1" si="3"/>
        <v>Open</v>
      </c>
      <c r="P110" s="36"/>
    </row>
    <row r="111" spans="1:16" ht="30" customHeight="1" x14ac:dyDescent="0.25">
      <c r="A111" s="46" t="s">
        <v>197</v>
      </c>
      <c r="B111" s="37" t="s">
        <v>322</v>
      </c>
      <c r="C111" s="55" t="s">
        <v>34</v>
      </c>
      <c r="D111" s="48" t="s">
        <v>152</v>
      </c>
      <c r="E111" s="39">
        <v>1</v>
      </c>
      <c r="F111" s="40" t="s">
        <v>56</v>
      </c>
      <c r="G111" s="37" t="s">
        <v>370</v>
      </c>
      <c r="H111" s="37" t="s">
        <v>92</v>
      </c>
      <c r="I111" s="37"/>
      <c r="J111" s="29" t="s">
        <v>2</v>
      </c>
      <c r="K111" s="39" t="s">
        <v>197</v>
      </c>
      <c r="L111" s="37" t="s">
        <v>324</v>
      </c>
      <c r="M111" s="37">
        <v>48</v>
      </c>
      <c r="N111" t="str">
        <f>IFERROR(HYPERLINK("#'Main'!B"&amp;MATCH(TRIM(A111),Main!B:B,0),"Open"),HYPERLINK("#'Main'!B1","Open"))</f>
        <v>Open</v>
      </c>
      <c r="O111" t="str">
        <f t="shared" ca="1" si="3"/>
        <v>Open</v>
      </c>
    </row>
    <row r="112" spans="1:16" ht="30" customHeight="1" x14ac:dyDescent="0.25">
      <c r="A112" s="45" t="s">
        <v>197</v>
      </c>
      <c r="B112" s="28" t="s">
        <v>322</v>
      </c>
      <c r="C112" s="54" t="s">
        <v>170</v>
      </c>
      <c r="D112" s="48" t="s">
        <v>152</v>
      </c>
      <c r="E112" s="32">
        <v>1</v>
      </c>
      <c r="F112" s="33" t="s">
        <v>126</v>
      </c>
      <c r="G112" s="28" t="s">
        <v>371</v>
      </c>
      <c r="H112" s="28" t="s">
        <v>103</v>
      </c>
      <c r="I112" s="28"/>
      <c r="J112" s="29" t="s">
        <v>2</v>
      </c>
      <c r="K112" s="32" t="s">
        <v>197</v>
      </c>
      <c r="L112" s="28" t="s">
        <v>324</v>
      </c>
      <c r="M112" s="28">
        <v>49</v>
      </c>
      <c r="N112" s="36" t="str">
        <f>IFERROR(HYPERLINK("#'Main'!B"&amp;MATCH(TRIM(A112),Main!B:B,0),"Open"),HYPERLINK("#'Main'!B1","Open"))</f>
        <v>Open</v>
      </c>
      <c r="O112" s="36" t="str">
        <f t="shared" ca="1" si="3"/>
        <v>Open</v>
      </c>
      <c r="P112" s="36"/>
    </row>
    <row r="113" spans="1:16" ht="30" customHeight="1" x14ac:dyDescent="0.25">
      <c r="A113" s="46" t="s">
        <v>197</v>
      </c>
      <c r="B113" s="37" t="s">
        <v>322</v>
      </c>
      <c r="C113" s="55" t="s">
        <v>173</v>
      </c>
      <c r="D113" s="48" t="s">
        <v>152</v>
      </c>
      <c r="E113" s="39">
        <v>1</v>
      </c>
      <c r="F113" s="40" t="s">
        <v>56</v>
      </c>
      <c r="G113" s="37" t="s">
        <v>372</v>
      </c>
      <c r="H113" s="37" t="s">
        <v>103</v>
      </c>
      <c r="I113" s="37"/>
      <c r="J113" s="29" t="s">
        <v>2</v>
      </c>
      <c r="K113" s="39" t="s">
        <v>197</v>
      </c>
      <c r="L113" s="37" t="s">
        <v>324</v>
      </c>
      <c r="M113" s="37">
        <v>50</v>
      </c>
      <c r="N113" t="str">
        <f>IFERROR(HYPERLINK("#'Main'!B"&amp;MATCH(TRIM(A113),Main!B:B,0),"Open"),HYPERLINK("#'Main'!B1","Open"))</f>
        <v>Open</v>
      </c>
      <c r="O113" t="str">
        <f t="shared" ca="1" si="3"/>
        <v>Open</v>
      </c>
    </row>
    <row r="114" spans="1:16" ht="30" customHeight="1" x14ac:dyDescent="0.25">
      <c r="A114" s="45" t="s">
        <v>197</v>
      </c>
      <c r="B114" s="28" t="s">
        <v>322</v>
      </c>
      <c r="C114" s="54" t="s">
        <v>176</v>
      </c>
      <c r="D114" s="48" t="s">
        <v>152</v>
      </c>
      <c r="E114" s="32">
        <v>1</v>
      </c>
      <c r="F114" s="33" t="s">
        <v>56</v>
      </c>
      <c r="G114" s="28" t="s">
        <v>373</v>
      </c>
      <c r="H114" s="28" t="s">
        <v>103</v>
      </c>
      <c r="I114" s="28"/>
      <c r="J114" s="29" t="s">
        <v>2</v>
      </c>
      <c r="K114" s="32" t="s">
        <v>197</v>
      </c>
      <c r="L114" s="28" t="s">
        <v>324</v>
      </c>
      <c r="M114" s="28">
        <v>51</v>
      </c>
      <c r="N114" s="36" t="str">
        <f>IFERROR(HYPERLINK("#'Main'!B"&amp;MATCH(TRIM(A114),Main!B:B,0),"Open"),HYPERLINK("#'Main'!B1","Open"))</f>
        <v>Open</v>
      </c>
      <c r="O114" s="36" t="str">
        <f t="shared" ca="1" si="3"/>
        <v>Open</v>
      </c>
      <c r="P114" s="36"/>
    </row>
    <row r="115" spans="1:16" ht="30" customHeight="1" x14ac:dyDescent="0.25">
      <c r="A115" s="46" t="s">
        <v>197</v>
      </c>
      <c r="B115" s="37" t="s">
        <v>322</v>
      </c>
      <c r="C115" s="55" t="s">
        <v>179</v>
      </c>
      <c r="D115" s="48" t="s">
        <v>152</v>
      </c>
      <c r="E115" s="39">
        <v>1</v>
      </c>
      <c r="F115" s="40" t="s">
        <v>56</v>
      </c>
      <c r="G115" s="37" t="s">
        <v>374</v>
      </c>
      <c r="H115" s="37" t="s">
        <v>103</v>
      </c>
      <c r="I115" s="37"/>
      <c r="J115" s="29" t="s">
        <v>2</v>
      </c>
      <c r="K115" s="39" t="s">
        <v>197</v>
      </c>
      <c r="L115" s="37" t="s">
        <v>324</v>
      </c>
      <c r="M115" s="37">
        <v>52</v>
      </c>
      <c r="N115" t="str">
        <f>IFERROR(HYPERLINK("#'Main'!B"&amp;MATCH(TRIM(A115),Main!B:B,0),"Open"),HYPERLINK("#'Main'!B1","Open"))</f>
        <v>Open</v>
      </c>
      <c r="O115" t="str">
        <f t="shared" ca="1" si="3"/>
        <v>Open</v>
      </c>
    </row>
    <row r="116" spans="1:16" ht="30" customHeight="1" x14ac:dyDescent="0.25">
      <c r="A116" s="45" t="s">
        <v>198</v>
      </c>
      <c r="B116" s="28" t="s">
        <v>322</v>
      </c>
      <c r="C116" s="54" t="s">
        <v>144</v>
      </c>
      <c r="D116" s="42" t="s">
        <v>50</v>
      </c>
      <c r="E116" s="32">
        <v>1</v>
      </c>
      <c r="F116" s="33" t="s">
        <v>56</v>
      </c>
      <c r="G116" s="28" t="s">
        <v>375</v>
      </c>
      <c r="H116" s="28" t="s">
        <v>103</v>
      </c>
      <c r="I116" s="28"/>
      <c r="J116" s="29" t="s">
        <v>2</v>
      </c>
      <c r="K116" s="32" t="s">
        <v>198</v>
      </c>
      <c r="L116" s="28" t="s">
        <v>324</v>
      </c>
      <c r="M116" s="28">
        <v>53</v>
      </c>
      <c r="N116" s="36" t="str">
        <f>IFERROR(HYPERLINK("#'Main'!B"&amp;MATCH(TRIM(A116),Main!B:B,0),"Open"),HYPERLINK("#'Main'!B1","Open"))</f>
        <v>Open</v>
      </c>
      <c r="O116" s="36" t="str">
        <f t="shared" ca="1" si="3"/>
        <v>Open</v>
      </c>
      <c r="P116" s="36"/>
    </row>
    <row r="117" spans="1:16" ht="30" customHeight="1" x14ac:dyDescent="0.25">
      <c r="A117" s="46" t="s">
        <v>198</v>
      </c>
      <c r="B117" s="37" t="s">
        <v>322</v>
      </c>
      <c r="C117" s="55" t="s">
        <v>136</v>
      </c>
      <c r="D117" s="42" t="s">
        <v>50</v>
      </c>
      <c r="E117" s="39">
        <v>1</v>
      </c>
      <c r="F117" s="40" t="s">
        <v>56</v>
      </c>
      <c r="G117" s="37" t="s">
        <v>376</v>
      </c>
      <c r="H117" s="37" t="s">
        <v>103</v>
      </c>
      <c r="I117" s="37"/>
      <c r="J117" s="29" t="s">
        <v>2</v>
      </c>
      <c r="K117" s="39" t="s">
        <v>198</v>
      </c>
      <c r="L117" s="37" t="s">
        <v>324</v>
      </c>
      <c r="M117" s="37">
        <v>54</v>
      </c>
      <c r="N117" t="str">
        <f>IFERROR(HYPERLINK("#'Main'!B"&amp;MATCH(TRIM(A117),Main!B:B,0),"Open"),HYPERLINK("#'Main'!B1","Open"))</f>
        <v>Open</v>
      </c>
      <c r="O117" t="str">
        <f t="shared" ca="1" si="3"/>
        <v>Open</v>
      </c>
    </row>
    <row r="118" spans="1:16" ht="30" customHeight="1" x14ac:dyDescent="0.25">
      <c r="A118" s="45" t="s">
        <v>198</v>
      </c>
      <c r="B118" s="28" t="s">
        <v>322</v>
      </c>
      <c r="C118" s="54" t="s">
        <v>139</v>
      </c>
      <c r="D118" s="42" t="s">
        <v>50</v>
      </c>
      <c r="E118" s="32">
        <v>1</v>
      </c>
      <c r="F118" s="33" t="s">
        <v>126</v>
      </c>
      <c r="G118" s="28" t="s">
        <v>377</v>
      </c>
      <c r="H118" s="28" t="s">
        <v>103</v>
      </c>
      <c r="I118" s="28"/>
      <c r="J118" s="29" t="s">
        <v>2</v>
      </c>
      <c r="K118" s="32" t="s">
        <v>198</v>
      </c>
      <c r="L118" s="28" t="s">
        <v>324</v>
      </c>
      <c r="M118" s="28">
        <v>55</v>
      </c>
      <c r="N118" s="36" t="str">
        <f>IFERROR(HYPERLINK("#'Main'!B"&amp;MATCH(TRIM(A118),Main!B:B,0),"Open"),HYPERLINK("#'Main'!B1","Open"))</f>
        <v>Open</v>
      </c>
      <c r="O118" s="36" t="str">
        <f t="shared" ca="1" si="3"/>
        <v>Open</v>
      </c>
      <c r="P118" s="36"/>
    </row>
    <row r="119" spans="1:16" ht="30" customHeight="1" x14ac:dyDescent="0.25">
      <c r="A119" s="46" t="s">
        <v>198</v>
      </c>
      <c r="B119" s="37" t="s">
        <v>322</v>
      </c>
      <c r="C119" s="55" t="s">
        <v>34</v>
      </c>
      <c r="D119" s="48" t="s">
        <v>152</v>
      </c>
      <c r="E119" s="39">
        <v>1</v>
      </c>
      <c r="F119" s="40" t="s">
        <v>56</v>
      </c>
      <c r="G119" s="37" t="s">
        <v>378</v>
      </c>
      <c r="H119" s="37" t="s">
        <v>92</v>
      </c>
      <c r="I119" s="37"/>
      <c r="J119" s="29" t="s">
        <v>2</v>
      </c>
      <c r="K119" s="39" t="s">
        <v>198</v>
      </c>
      <c r="L119" s="37" t="s">
        <v>324</v>
      </c>
      <c r="M119" s="37">
        <v>56</v>
      </c>
      <c r="N119" t="str">
        <f>IFERROR(HYPERLINK("#'Main'!B"&amp;MATCH(TRIM(A119),Main!B:B,0),"Open"),HYPERLINK("#'Main'!B1","Open"))</f>
        <v>Open</v>
      </c>
      <c r="O119" t="str">
        <f t="shared" ca="1" si="3"/>
        <v>Open</v>
      </c>
    </row>
    <row r="120" spans="1:16" ht="30" customHeight="1" x14ac:dyDescent="0.25">
      <c r="A120" s="45" t="s">
        <v>198</v>
      </c>
      <c r="B120" s="28" t="s">
        <v>322</v>
      </c>
      <c r="C120" s="54" t="s">
        <v>164</v>
      </c>
      <c r="D120" s="48" t="s">
        <v>152</v>
      </c>
      <c r="E120" s="32">
        <v>1</v>
      </c>
      <c r="F120" s="33" t="s">
        <v>56</v>
      </c>
      <c r="G120" s="28" t="s">
        <v>379</v>
      </c>
      <c r="H120" s="28" t="s">
        <v>103</v>
      </c>
      <c r="I120" s="28"/>
      <c r="J120" s="29" t="s">
        <v>2</v>
      </c>
      <c r="K120" s="32" t="s">
        <v>198</v>
      </c>
      <c r="L120" s="28" t="s">
        <v>324</v>
      </c>
      <c r="M120" s="28">
        <v>57</v>
      </c>
      <c r="N120" s="36" t="str">
        <f>IFERROR(HYPERLINK("#'Main'!B"&amp;MATCH(TRIM(A120),Main!B:B,0),"Open"),HYPERLINK("#'Main'!B1","Open"))</f>
        <v>Open</v>
      </c>
      <c r="O120" s="36" t="str">
        <f t="shared" ca="1" si="3"/>
        <v>Open</v>
      </c>
      <c r="P120" s="36"/>
    </row>
    <row r="121" spans="1:16" ht="30" customHeight="1" x14ac:dyDescent="0.25">
      <c r="A121" s="46" t="s">
        <v>198</v>
      </c>
      <c r="B121" s="37" t="s">
        <v>322</v>
      </c>
      <c r="C121" s="55" t="s">
        <v>170</v>
      </c>
      <c r="D121" s="48" t="s">
        <v>152</v>
      </c>
      <c r="E121" s="39">
        <v>1</v>
      </c>
      <c r="F121" s="40" t="s">
        <v>126</v>
      </c>
      <c r="G121" s="37" t="s">
        <v>380</v>
      </c>
      <c r="H121" s="37" t="s">
        <v>103</v>
      </c>
      <c r="I121" s="37"/>
      <c r="J121" s="29" t="s">
        <v>2</v>
      </c>
      <c r="K121" s="39" t="s">
        <v>198</v>
      </c>
      <c r="L121" s="37" t="s">
        <v>324</v>
      </c>
      <c r="M121" s="37">
        <v>58</v>
      </c>
      <c r="N121" t="str">
        <f>IFERROR(HYPERLINK("#'Main'!B"&amp;MATCH(TRIM(A121),Main!B:B,0),"Open"),HYPERLINK("#'Main'!B1","Open"))</f>
        <v>Open</v>
      </c>
      <c r="O121" t="str">
        <f t="shared" ca="1" si="3"/>
        <v>Open</v>
      </c>
    </row>
    <row r="122" spans="1:16" ht="30" customHeight="1" x14ac:dyDescent="0.25">
      <c r="A122" s="45" t="s">
        <v>198</v>
      </c>
      <c r="B122" s="28" t="s">
        <v>322</v>
      </c>
      <c r="C122" s="54" t="s">
        <v>173</v>
      </c>
      <c r="D122" s="48" t="s">
        <v>152</v>
      </c>
      <c r="E122" s="32">
        <v>1</v>
      </c>
      <c r="F122" s="33" t="s">
        <v>56</v>
      </c>
      <c r="G122" s="28" t="s">
        <v>381</v>
      </c>
      <c r="H122" s="28" t="s">
        <v>103</v>
      </c>
      <c r="I122" s="28"/>
      <c r="J122" s="29" t="s">
        <v>2</v>
      </c>
      <c r="K122" s="32" t="s">
        <v>198</v>
      </c>
      <c r="L122" s="28" t="s">
        <v>324</v>
      </c>
      <c r="M122" s="28">
        <v>59</v>
      </c>
      <c r="N122" s="36" t="str">
        <f>IFERROR(HYPERLINK("#'Main'!B"&amp;MATCH(TRIM(A122),Main!B:B,0),"Open"),HYPERLINK("#'Main'!B1","Open"))</f>
        <v>Open</v>
      </c>
      <c r="O122" s="36" t="str">
        <f t="shared" ca="1" si="3"/>
        <v>Open</v>
      </c>
      <c r="P122" s="36"/>
    </row>
    <row r="123" spans="1:16" ht="30" customHeight="1" x14ac:dyDescent="0.25">
      <c r="A123" s="46" t="s">
        <v>198</v>
      </c>
      <c r="B123" s="37" t="s">
        <v>322</v>
      </c>
      <c r="C123" s="55" t="s">
        <v>176</v>
      </c>
      <c r="D123" s="48" t="s">
        <v>152</v>
      </c>
      <c r="E123" s="39">
        <v>1</v>
      </c>
      <c r="F123" s="40" t="s">
        <v>56</v>
      </c>
      <c r="G123" s="37" t="s">
        <v>382</v>
      </c>
      <c r="H123" s="37" t="s">
        <v>103</v>
      </c>
      <c r="I123" s="37"/>
      <c r="J123" s="29" t="s">
        <v>2</v>
      </c>
      <c r="K123" s="39" t="s">
        <v>198</v>
      </c>
      <c r="L123" s="37" t="s">
        <v>324</v>
      </c>
      <c r="M123" s="37">
        <v>60</v>
      </c>
      <c r="N123" t="str">
        <f>IFERROR(HYPERLINK("#'Main'!B"&amp;MATCH(TRIM(A123),Main!B:B,0),"Open"),HYPERLINK("#'Main'!B1","Open"))</f>
        <v>Open</v>
      </c>
      <c r="O123" t="str">
        <f t="shared" ca="1" si="3"/>
        <v>Open</v>
      </c>
    </row>
    <row r="124" spans="1:16" ht="30" customHeight="1" x14ac:dyDescent="0.25">
      <c r="A124" s="45" t="s">
        <v>198</v>
      </c>
      <c r="B124" s="28" t="s">
        <v>322</v>
      </c>
      <c r="C124" s="54" t="s">
        <v>179</v>
      </c>
      <c r="D124" s="48" t="s">
        <v>152</v>
      </c>
      <c r="E124" s="32">
        <v>1</v>
      </c>
      <c r="F124" s="33" t="s">
        <v>56</v>
      </c>
      <c r="G124" s="28" t="s">
        <v>383</v>
      </c>
      <c r="H124" s="28" t="s">
        <v>103</v>
      </c>
      <c r="I124" s="28"/>
      <c r="J124" s="29" t="s">
        <v>2</v>
      </c>
      <c r="K124" s="32" t="s">
        <v>198</v>
      </c>
      <c r="L124" s="28" t="s">
        <v>324</v>
      </c>
      <c r="M124" s="28">
        <v>61</v>
      </c>
      <c r="N124" s="36" t="str">
        <f>IFERROR(HYPERLINK("#'Main'!B"&amp;MATCH(TRIM(A124),Main!B:B,0),"Open"),HYPERLINK("#'Main'!B1","Open"))</f>
        <v>Open</v>
      </c>
      <c r="O124" s="36" t="str">
        <f t="shared" ca="1" si="3"/>
        <v>Open</v>
      </c>
      <c r="P124" s="36"/>
    </row>
    <row r="125" spans="1:16" ht="30" customHeight="1" x14ac:dyDescent="0.25">
      <c r="A125" s="46" t="s">
        <v>200</v>
      </c>
      <c r="B125" s="37" t="s">
        <v>322</v>
      </c>
      <c r="C125" s="55" t="s">
        <v>136</v>
      </c>
      <c r="D125" s="42" t="s">
        <v>50</v>
      </c>
      <c r="E125" s="39">
        <v>1</v>
      </c>
      <c r="F125" s="40" t="s">
        <v>56</v>
      </c>
      <c r="G125" s="37" t="s">
        <v>384</v>
      </c>
      <c r="H125" s="37" t="s">
        <v>103</v>
      </c>
      <c r="I125" s="37"/>
      <c r="J125" s="29" t="s">
        <v>2</v>
      </c>
      <c r="K125" s="39" t="s">
        <v>200</v>
      </c>
      <c r="L125" s="37" t="s">
        <v>324</v>
      </c>
      <c r="M125" s="37">
        <v>62</v>
      </c>
      <c r="N125" t="str">
        <f>IFERROR(HYPERLINK("#'Main'!B"&amp;MATCH(TRIM(A125),Main!B:B,0),"Open"),HYPERLINK("#'Main'!B1","Open"))</f>
        <v>Open</v>
      </c>
      <c r="O125" t="str">
        <f t="shared" ca="1" si="3"/>
        <v>Open</v>
      </c>
    </row>
    <row r="126" spans="1:16" ht="30" customHeight="1" x14ac:dyDescent="0.25">
      <c r="A126" s="45" t="s">
        <v>200</v>
      </c>
      <c r="B126" s="28" t="s">
        <v>322</v>
      </c>
      <c r="C126" s="54" t="s">
        <v>139</v>
      </c>
      <c r="D126" s="42" t="s">
        <v>50</v>
      </c>
      <c r="E126" s="32">
        <v>1</v>
      </c>
      <c r="F126" s="33" t="s">
        <v>126</v>
      </c>
      <c r="G126" s="28" t="s">
        <v>385</v>
      </c>
      <c r="H126" s="28" t="s">
        <v>103</v>
      </c>
      <c r="I126" s="28"/>
      <c r="J126" s="29" t="s">
        <v>2</v>
      </c>
      <c r="K126" s="32" t="s">
        <v>200</v>
      </c>
      <c r="L126" s="28" t="s">
        <v>324</v>
      </c>
      <c r="M126" s="28">
        <v>63</v>
      </c>
      <c r="N126" s="36" t="str">
        <f>IFERROR(HYPERLINK("#'Main'!B"&amp;MATCH(TRIM(A126),Main!B:B,0),"Open"),HYPERLINK("#'Main'!B1","Open"))</f>
        <v>Open</v>
      </c>
      <c r="O126" s="36" t="str">
        <f t="shared" ca="1" si="3"/>
        <v>Open</v>
      </c>
      <c r="P126" s="36"/>
    </row>
    <row r="127" spans="1:16" ht="30" customHeight="1" x14ac:dyDescent="0.25">
      <c r="A127" s="46" t="s">
        <v>200</v>
      </c>
      <c r="B127" s="37" t="s">
        <v>322</v>
      </c>
      <c r="C127" s="55" t="s">
        <v>34</v>
      </c>
      <c r="D127" s="48" t="s">
        <v>152</v>
      </c>
      <c r="E127" s="39">
        <v>1</v>
      </c>
      <c r="F127" s="40" t="s">
        <v>56</v>
      </c>
      <c r="G127" s="37" t="s">
        <v>386</v>
      </c>
      <c r="H127" s="37" t="s">
        <v>92</v>
      </c>
      <c r="I127" s="37"/>
      <c r="J127" s="29" t="s">
        <v>2</v>
      </c>
      <c r="K127" s="39" t="s">
        <v>200</v>
      </c>
      <c r="L127" s="37" t="s">
        <v>324</v>
      </c>
      <c r="M127" s="37">
        <v>64</v>
      </c>
      <c r="N127" t="str">
        <f>IFERROR(HYPERLINK("#'Main'!B"&amp;MATCH(TRIM(A127),Main!B:B,0),"Open"),HYPERLINK("#'Main'!B1","Open"))</f>
        <v>Open</v>
      </c>
      <c r="O127" t="str">
        <f t="shared" ca="1" si="3"/>
        <v>Open</v>
      </c>
    </row>
    <row r="128" spans="1:16" ht="30" customHeight="1" x14ac:dyDescent="0.25">
      <c r="A128" s="45" t="s">
        <v>200</v>
      </c>
      <c r="B128" s="28" t="s">
        <v>322</v>
      </c>
      <c r="C128" s="54" t="s">
        <v>170</v>
      </c>
      <c r="D128" s="48" t="s">
        <v>152</v>
      </c>
      <c r="E128" s="32">
        <v>1</v>
      </c>
      <c r="F128" s="33" t="s">
        <v>126</v>
      </c>
      <c r="G128" s="28" t="s">
        <v>387</v>
      </c>
      <c r="H128" s="28" t="s">
        <v>103</v>
      </c>
      <c r="I128" s="28"/>
      <c r="J128" s="29" t="s">
        <v>2</v>
      </c>
      <c r="K128" s="32" t="s">
        <v>200</v>
      </c>
      <c r="L128" s="28" t="s">
        <v>324</v>
      </c>
      <c r="M128" s="28">
        <v>65</v>
      </c>
      <c r="N128" s="36" t="str">
        <f>IFERROR(HYPERLINK("#'Main'!B"&amp;MATCH(TRIM(A128),Main!B:B,0),"Open"),HYPERLINK("#'Main'!B1","Open"))</f>
        <v>Open</v>
      </c>
      <c r="O128" s="36" t="str">
        <f t="shared" ca="1" si="3"/>
        <v>Open</v>
      </c>
      <c r="P128" s="36"/>
    </row>
    <row r="129" spans="1:16" ht="30" customHeight="1" x14ac:dyDescent="0.25">
      <c r="A129" s="46" t="s">
        <v>200</v>
      </c>
      <c r="B129" s="37" t="s">
        <v>322</v>
      </c>
      <c r="C129" s="55" t="s">
        <v>173</v>
      </c>
      <c r="D129" s="48" t="s">
        <v>152</v>
      </c>
      <c r="E129" s="39">
        <v>1</v>
      </c>
      <c r="F129" s="40" t="s">
        <v>56</v>
      </c>
      <c r="G129" s="37" t="s">
        <v>388</v>
      </c>
      <c r="H129" s="37" t="s">
        <v>103</v>
      </c>
      <c r="I129" s="37"/>
      <c r="J129" s="29" t="s">
        <v>2</v>
      </c>
      <c r="K129" s="39" t="s">
        <v>200</v>
      </c>
      <c r="L129" s="37" t="s">
        <v>324</v>
      </c>
      <c r="M129" s="37">
        <v>66</v>
      </c>
      <c r="N129" t="str">
        <f>IFERROR(HYPERLINK("#'Main'!B"&amp;MATCH(TRIM(A129),Main!B:B,0),"Open"),HYPERLINK("#'Main'!B1","Open"))</f>
        <v>Open</v>
      </c>
      <c r="O129" t="str">
        <f t="shared" ca="1" si="3"/>
        <v>Open</v>
      </c>
    </row>
    <row r="130" spans="1:16" ht="30" customHeight="1" x14ac:dyDescent="0.25">
      <c r="A130" s="45" t="s">
        <v>200</v>
      </c>
      <c r="B130" s="28" t="s">
        <v>322</v>
      </c>
      <c r="C130" s="54" t="s">
        <v>176</v>
      </c>
      <c r="D130" s="48" t="s">
        <v>152</v>
      </c>
      <c r="E130" s="32">
        <v>1</v>
      </c>
      <c r="F130" s="33" t="s">
        <v>56</v>
      </c>
      <c r="G130" s="28" t="s">
        <v>389</v>
      </c>
      <c r="H130" s="28" t="s">
        <v>103</v>
      </c>
      <c r="I130" s="28"/>
      <c r="J130" s="29" t="s">
        <v>2</v>
      </c>
      <c r="K130" s="32" t="s">
        <v>200</v>
      </c>
      <c r="L130" s="28" t="s">
        <v>324</v>
      </c>
      <c r="M130" s="28">
        <v>67</v>
      </c>
      <c r="N130" s="36" t="str">
        <f>IFERROR(HYPERLINK("#'Main'!B"&amp;MATCH(TRIM(A130),Main!B:B,0),"Open"),HYPERLINK("#'Main'!B1","Open"))</f>
        <v>Open</v>
      </c>
      <c r="O130" s="36" t="str">
        <f t="shared" ref="O130:O148" ca="1" si="4">IFERROR(HYPERLINK("#"&amp;F130&amp;"!A"&amp;MATCH(A130,INDIRECT("'"&amp;F130&amp;"'!A:A"),0),"Open"),HYPERLINK("#"&amp;F130&amp;"!A1","Open"))</f>
        <v>Open</v>
      </c>
      <c r="P130" s="36"/>
    </row>
    <row r="131" spans="1:16" ht="30" customHeight="1" x14ac:dyDescent="0.25">
      <c r="A131" s="46" t="s">
        <v>200</v>
      </c>
      <c r="B131" s="37" t="s">
        <v>322</v>
      </c>
      <c r="C131" s="55" t="s">
        <v>179</v>
      </c>
      <c r="D131" s="48" t="s">
        <v>152</v>
      </c>
      <c r="E131" s="39">
        <v>1</v>
      </c>
      <c r="F131" s="40" t="s">
        <v>56</v>
      </c>
      <c r="G131" s="37" t="s">
        <v>390</v>
      </c>
      <c r="H131" s="37" t="s">
        <v>103</v>
      </c>
      <c r="I131" s="37"/>
      <c r="J131" s="29" t="s">
        <v>2</v>
      </c>
      <c r="K131" s="39" t="s">
        <v>200</v>
      </c>
      <c r="L131" s="37" t="s">
        <v>324</v>
      </c>
      <c r="M131" s="37">
        <v>68</v>
      </c>
      <c r="N131" t="str">
        <f>IFERROR(HYPERLINK("#'Main'!B"&amp;MATCH(TRIM(A131),Main!B:B,0),"Open"),HYPERLINK("#'Main'!B1","Open"))</f>
        <v>Open</v>
      </c>
      <c r="O131" t="str">
        <f t="shared" ca="1" si="4"/>
        <v>Open</v>
      </c>
    </row>
    <row r="132" spans="1:16" ht="30" customHeight="1" x14ac:dyDescent="0.25">
      <c r="A132" s="45" t="s">
        <v>148</v>
      </c>
      <c r="B132" s="28" t="s">
        <v>322</v>
      </c>
      <c r="C132" s="54" t="s">
        <v>147</v>
      </c>
      <c r="D132" s="42" t="s">
        <v>50</v>
      </c>
      <c r="E132" s="32">
        <v>1</v>
      </c>
      <c r="F132" s="33" t="s">
        <v>56</v>
      </c>
      <c r="G132" s="28" t="s">
        <v>391</v>
      </c>
      <c r="H132" s="28" t="s">
        <v>103</v>
      </c>
      <c r="I132" s="28"/>
      <c r="J132" s="29" t="s">
        <v>2</v>
      </c>
      <c r="K132" s="32" t="s">
        <v>148</v>
      </c>
      <c r="L132" s="28" t="s">
        <v>324</v>
      </c>
      <c r="M132" s="28">
        <v>69</v>
      </c>
      <c r="N132" s="36" t="str">
        <f>IFERROR(HYPERLINK("#'Main'!B"&amp;MATCH(TRIM(A132),Main!B:B,0),"Open"),HYPERLINK("#'Main'!B1","Open"))</f>
        <v>Open</v>
      </c>
      <c r="O132" s="36" t="str">
        <f t="shared" ca="1" si="4"/>
        <v>Open</v>
      </c>
      <c r="P132" s="36"/>
    </row>
    <row r="133" spans="1:16" ht="30" customHeight="1" x14ac:dyDescent="0.25">
      <c r="A133" s="46" t="s">
        <v>148</v>
      </c>
      <c r="B133" s="37" t="s">
        <v>322</v>
      </c>
      <c r="C133" s="55" t="s">
        <v>144</v>
      </c>
      <c r="D133" s="42" t="s">
        <v>50</v>
      </c>
      <c r="E133" s="39">
        <v>1</v>
      </c>
      <c r="F133" s="40" t="s">
        <v>56</v>
      </c>
      <c r="G133" s="37" t="s">
        <v>392</v>
      </c>
      <c r="H133" s="37" t="s">
        <v>103</v>
      </c>
      <c r="I133" s="37"/>
      <c r="J133" s="29" t="s">
        <v>2</v>
      </c>
      <c r="K133" s="39" t="s">
        <v>148</v>
      </c>
      <c r="L133" s="37" t="s">
        <v>324</v>
      </c>
      <c r="M133" s="37">
        <v>70</v>
      </c>
      <c r="N133" t="str">
        <f>IFERROR(HYPERLINK("#'Main'!B"&amp;MATCH(TRIM(A133),Main!B:B,0),"Open"),HYPERLINK("#'Main'!B1","Open"))</f>
        <v>Open</v>
      </c>
      <c r="O133" t="str">
        <f t="shared" ca="1" si="4"/>
        <v>Open</v>
      </c>
    </row>
    <row r="134" spans="1:16" ht="30" customHeight="1" x14ac:dyDescent="0.25">
      <c r="A134" s="45" t="s">
        <v>148</v>
      </c>
      <c r="B134" s="28" t="s">
        <v>322</v>
      </c>
      <c r="C134" s="54" t="s">
        <v>136</v>
      </c>
      <c r="D134" s="42" t="s">
        <v>50</v>
      </c>
      <c r="E134" s="32">
        <v>1</v>
      </c>
      <c r="F134" s="33" t="s">
        <v>56</v>
      </c>
      <c r="G134" s="28" t="s">
        <v>393</v>
      </c>
      <c r="H134" s="28" t="s">
        <v>103</v>
      </c>
      <c r="I134" s="28"/>
      <c r="J134" s="29" t="s">
        <v>2</v>
      </c>
      <c r="K134" s="32" t="s">
        <v>148</v>
      </c>
      <c r="L134" s="28" t="s">
        <v>324</v>
      </c>
      <c r="M134" s="28">
        <v>71</v>
      </c>
      <c r="N134" s="36" t="str">
        <f>IFERROR(HYPERLINK("#'Main'!B"&amp;MATCH(TRIM(A134),Main!B:B,0),"Open"),HYPERLINK("#'Main'!B1","Open"))</f>
        <v>Open</v>
      </c>
      <c r="O134" s="36" t="str">
        <f t="shared" ca="1" si="4"/>
        <v>Open</v>
      </c>
      <c r="P134" s="36"/>
    </row>
    <row r="135" spans="1:16" ht="30" customHeight="1" x14ac:dyDescent="0.25">
      <c r="A135" s="46" t="s">
        <v>148</v>
      </c>
      <c r="B135" s="37" t="s">
        <v>322</v>
      </c>
      <c r="C135" s="55" t="s">
        <v>139</v>
      </c>
      <c r="D135" s="42" t="s">
        <v>50</v>
      </c>
      <c r="E135" s="39">
        <v>1</v>
      </c>
      <c r="F135" s="40" t="s">
        <v>126</v>
      </c>
      <c r="G135" s="37" t="s">
        <v>394</v>
      </c>
      <c r="H135" s="37" t="s">
        <v>103</v>
      </c>
      <c r="I135" s="37"/>
      <c r="J135" s="29" t="s">
        <v>2</v>
      </c>
      <c r="K135" s="39" t="s">
        <v>148</v>
      </c>
      <c r="L135" s="37" t="s">
        <v>324</v>
      </c>
      <c r="M135" s="37">
        <v>72</v>
      </c>
      <c r="N135" t="str">
        <f>IFERROR(HYPERLINK("#'Main'!B"&amp;MATCH(TRIM(A135),Main!B:B,0),"Open"),HYPERLINK("#'Main'!B1","Open"))</f>
        <v>Open</v>
      </c>
      <c r="O135" t="str">
        <f t="shared" ca="1" si="4"/>
        <v>Open</v>
      </c>
    </row>
    <row r="136" spans="1:16" ht="30" customHeight="1" x14ac:dyDescent="0.25">
      <c r="A136" s="45" t="s">
        <v>148</v>
      </c>
      <c r="B136" s="28" t="s">
        <v>322</v>
      </c>
      <c r="C136" s="54" t="s">
        <v>34</v>
      </c>
      <c r="D136" s="48" t="s">
        <v>152</v>
      </c>
      <c r="E136" s="32">
        <v>1</v>
      </c>
      <c r="F136" s="33" t="s">
        <v>56</v>
      </c>
      <c r="G136" s="28" t="s">
        <v>395</v>
      </c>
      <c r="H136" s="28" t="s">
        <v>92</v>
      </c>
      <c r="I136" s="28"/>
      <c r="J136" s="29" t="s">
        <v>2</v>
      </c>
      <c r="K136" s="32" t="s">
        <v>148</v>
      </c>
      <c r="L136" s="28" t="s">
        <v>324</v>
      </c>
      <c r="M136" s="28">
        <v>73</v>
      </c>
      <c r="N136" s="36" t="str">
        <f>IFERROR(HYPERLINK("#'Main'!B"&amp;MATCH(TRIM(A136),Main!B:B,0),"Open"),HYPERLINK("#'Main'!B1","Open"))</f>
        <v>Open</v>
      </c>
      <c r="O136" s="36" t="str">
        <f t="shared" ca="1" si="4"/>
        <v>Open</v>
      </c>
      <c r="P136" s="36"/>
    </row>
    <row r="137" spans="1:16" ht="30" customHeight="1" x14ac:dyDescent="0.25">
      <c r="A137" s="46" t="s">
        <v>148</v>
      </c>
      <c r="B137" s="37" t="s">
        <v>322</v>
      </c>
      <c r="C137" s="55" t="s">
        <v>164</v>
      </c>
      <c r="D137" s="48" t="s">
        <v>152</v>
      </c>
      <c r="E137" s="39">
        <v>1</v>
      </c>
      <c r="F137" s="40" t="s">
        <v>56</v>
      </c>
      <c r="G137" s="37" t="s">
        <v>396</v>
      </c>
      <c r="H137" s="37" t="s">
        <v>103</v>
      </c>
      <c r="I137" s="37"/>
      <c r="J137" s="29" t="s">
        <v>2</v>
      </c>
      <c r="K137" s="39" t="s">
        <v>148</v>
      </c>
      <c r="L137" s="37" t="s">
        <v>324</v>
      </c>
      <c r="M137" s="37">
        <v>74</v>
      </c>
      <c r="N137" t="str">
        <f>IFERROR(HYPERLINK("#'Main'!B"&amp;MATCH(TRIM(A137),Main!B:B,0),"Open"),HYPERLINK("#'Main'!B1","Open"))</f>
        <v>Open</v>
      </c>
      <c r="O137" t="str">
        <f t="shared" ca="1" si="4"/>
        <v>Open</v>
      </c>
    </row>
    <row r="138" spans="1:16" ht="30" customHeight="1" x14ac:dyDescent="0.25">
      <c r="A138" s="45" t="s">
        <v>148</v>
      </c>
      <c r="B138" s="28" t="s">
        <v>322</v>
      </c>
      <c r="C138" s="54" t="s">
        <v>170</v>
      </c>
      <c r="D138" s="48" t="s">
        <v>152</v>
      </c>
      <c r="E138" s="32">
        <v>1</v>
      </c>
      <c r="F138" s="33" t="s">
        <v>126</v>
      </c>
      <c r="G138" s="28" t="s">
        <v>397</v>
      </c>
      <c r="H138" s="28" t="s">
        <v>103</v>
      </c>
      <c r="I138" s="28"/>
      <c r="J138" s="29" t="s">
        <v>2</v>
      </c>
      <c r="K138" s="32" t="s">
        <v>148</v>
      </c>
      <c r="L138" s="28" t="s">
        <v>324</v>
      </c>
      <c r="M138" s="28">
        <v>75</v>
      </c>
      <c r="N138" s="36" t="str">
        <f>IFERROR(HYPERLINK("#'Main'!B"&amp;MATCH(TRIM(A138),Main!B:B,0),"Open"),HYPERLINK("#'Main'!B1","Open"))</f>
        <v>Open</v>
      </c>
      <c r="O138" s="36" t="str">
        <f t="shared" ca="1" si="4"/>
        <v>Open</v>
      </c>
      <c r="P138" s="36"/>
    </row>
    <row r="139" spans="1:16" ht="30" customHeight="1" x14ac:dyDescent="0.25">
      <c r="A139" s="46" t="s">
        <v>148</v>
      </c>
      <c r="B139" s="37" t="s">
        <v>322</v>
      </c>
      <c r="C139" s="55" t="s">
        <v>173</v>
      </c>
      <c r="D139" s="48" t="s">
        <v>152</v>
      </c>
      <c r="E139" s="39">
        <v>1</v>
      </c>
      <c r="F139" s="40" t="s">
        <v>56</v>
      </c>
      <c r="G139" s="37" t="s">
        <v>398</v>
      </c>
      <c r="H139" s="37" t="s">
        <v>103</v>
      </c>
      <c r="I139" s="37"/>
      <c r="J139" s="29" t="s">
        <v>2</v>
      </c>
      <c r="K139" s="39" t="s">
        <v>148</v>
      </c>
      <c r="L139" s="37" t="s">
        <v>324</v>
      </c>
      <c r="M139" s="37">
        <v>76</v>
      </c>
      <c r="N139" t="str">
        <f>IFERROR(HYPERLINK("#'Main'!B"&amp;MATCH(TRIM(A139),Main!B:B,0),"Open"),HYPERLINK("#'Main'!B1","Open"))</f>
        <v>Open</v>
      </c>
      <c r="O139" t="str">
        <f t="shared" ca="1" si="4"/>
        <v>Open</v>
      </c>
    </row>
    <row r="140" spans="1:16" ht="30" customHeight="1" x14ac:dyDescent="0.25">
      <c r="A140" s="45" t="s">
        <v>148</v>
      </c>
      <c r="B140" s="28" t="s">
        <v>322</v>
      </c>
      <c r="C140" s="54" t="s">
        <v>176</v>
      </c>
      <c r="D140" s="48" t="s">
        <v>152</v>
      </c>
      <c r="E140" s="32">
        <v>1</v>
      </c>
      <c r="F140" s="33" t="s">
        <v>56</v>
      </c>
      <c r="G140" s="28" t="s">
        <v>399</v>
      </c>
      <c r="H140" s="28" t="s">
        <v>103</v>
      </c>
      <c r="I140" s="28"/>
      <c r="J140" s="29" t="s">
        <v>2</v>
      </c>
      <c r="K140" s="32" t="s">
        <v>148</v>
      </c>
      <c r="L140" s="28" t="s">
        <v>324</v>
      </c>
      <c r="M140" s="28">
        <v>77</v>
      </c>
      <c r="N140" s="36" t="str">
        <f>IFERROR(HYPERLINK("#'Main'!B"&amp;MATCH(TRIM(A140),Main!B:B,0),"Open"),HYPERLINK("#'Main'!B1","Open"))</f>
        <v>Open</v>
      </c>
      <c r="O140" s="36" t="str">
        <f t="shared" ca="1" si="4"/>
        <v>Open</v>
      </c>
      <c r="P140" s="36"/>
    </row>
    <row r="141" spans="1:16" ht="30" customHeight="1" x14ac:dyDescent="0.25">
      <c r="A141" s="46" t="s">
        <v>148</v>
      </c>
      <c r="B141" s="37" t="s">
        <v>322</v>
      </c>
      <c r="C141" s="55" t="s">
        <v>179</v>
      </c>
      <c r="D141" s="48" t="s">
        <v>152</v>
      </c>
      <c r="E141" s="39">
        <v>1</v>
      </c>
      <c r="F141" s="40" t="s">
        <v>56</v>
      </c>
      <c r="G141" s="37" t="s">
        <v>400</v>
      </c>
      <c r="H141" s="37" t="s">
        <v>103</v>
      </c>
      <c r="I141" s="37"/>
      <c r="J141" s="29" t="s">
        <v>2</v>
      </c>
      <c r="K141" s="39" t="s">
        <v>148</v>
      </c>
      <c r="L141" s="37" t="s">
        <v>324</v>
      </c>
      <c r="M141" s="37">
        <v>78</v>
      </c>
      <c r="N141" t="str">
        <f>IFERROR(HYPERLINK("#'Main'!B"&amp;MATCH(TRIM(A141),Main!B:B,0),"Open"),HYPERLINK("#'Main'!B1","Open"))</f>
        <v>Open</v>
      </c>
      <c r="O141" t="str">
        <f t="shared" ca="1" si="4"/>
        <v>Open</v>
      </c>
    </row>
    <row r="142" spans="1:16" ht="30" customHeight="1" x14ac:dyDescent="0.25">
      <c r="A142" s="45" t="s">
        <v>201</v>
      </c>
      <c r="B142" s="28" t="s">
        <v>322</v>
      </c>
      <c r="C142" s="54" t="s">
        <v>136</v>
      </c>
      <c r="D142" s="42" t="s">
        <v>50</v>
      </c>
      <c r="E142" s="32">
        <v>1</v>
      </c>
      <c r="F142" s="33" t="s">
        <v>56</v>
      </c>
      <c r="G142" s="28" t="s">
        <v>401</v>
      </c>
      <c r="H142" s="28" t="s">
        <v>103</v>
      </c>
      <c r="I142" s="28"/>
      <c r="J142" s="29" t="s">
        <v>2</v>
      </c>
      <c r="K142" s="32" t="s">
        <v>201</v>
      </c>
      <c r="L142" s="28" t="s">
        <v>324</v>
      </c>
      <c r="M142" s="28">
        <v>79</v>
      </c>
      <c r="N142" s="36" t="str">
        <f>IFERROR(HYPERLINK("#'Main'!B"&amp;MATCH(TRIM(A142),Main!B:B,0),"Open"),HYPERLINK("#'Main'!B1","Open"))</f>
        <v>Open</v>
      </c>
      <c r="O142" s="36" t="str">
        <f t="shared" ca="1" si="4"/>
        <v>Open</v>
      </c>
      <c r="P142" s="36"/>
    </row>
    <row r="143" spans="1:16" ht="30" customHeight="1" x14ac:dyDescent="0.25">
      <c r="A143" s="46" t="s">
        <v>201</v>
      </c>
      <c r="B143" s="37" t="s">
        <v>322</v>
      </c>
      <c r="C143" s="55" t="s">
        <v>139</v>
      </c>
      <c r="D143" s="42" t="s">
        <v>50</v>
      </c>
      <c r="E143" s="39">
        <v>1</v>
      </c>
      <c r="F143" s="40" t="s">
        <v>126</v>
      </c>
      <c r="G143" s="37" t="s">
        <v>402</v>
      </c>
      <c r="H143" s="37" t="s">
        <v>103</v>
      </c>
      <c r="I143" s="37"/>
      <c r="J143" s="29" t="s">
        <v>2</v>
      </c>
      <c r="K143" s="39" t="s">
        <v>201</v>
      </c>
      <c r="L143" s="37" t="s">
        <v>324</v>
      </c>
      <c r="M143" s="37">
        <v>80</v>
      </c>
      <c r="N143" t="str">
        <f>IFERROR(HYPERLINK("#'Main'!B"&amp;MATCH(TRIM(A143),Main!B:B,0),"Open"),HYPERLINK("#'Main'!B1","Open"))</f>
        <v>Open</v>
      </c>
      <c r="O143" t="str">
        <f t="shared" ca="1" si="4"/>
        <v>Open</v>
      </c>
    </row>
    <row r="144" spans="1:16" ht="30" customHeight="1" x14ac:dyDescent="0.25">
      <c r="A144" s="45" t="s">
        <v>201</v>
      </c>
      <c r="B144" s="28" t="s">
        <v>322</v>
      </c>
      <c r="C144" s="54" t="s">
        <v>34</v>
      </c>
      <c r="D144" s="48" t="s">
        <v>152</v>
      </c>
      <c r="E144" s="32">
        <v>1</v>
      </c>
      <c r="F144" s="33" t="s">
        <v>56</v>
      </c>
      <c r="G144" s="28" t="s">
        <v>403</v>
      </c>
      <c r="H144" s="28" t="s">
        <v>92</v>
      </c>
      <c r="I144" s="28"/>
      <c r="J144" s="29" t="s">
        <v>2</v>
      </c>
      <c r="K144" s="32" t="s">
        <v>201</v>
      </c>
      <c r="L144" s="28" t="s">
        <v>324</v>
      </c>
      <c r="M144" s="28">
        <v>81</v>
      </c>
      <c r="N144" s="36" t="str">
        <f>IFERROR(HYPERLINK("#'Main'!B"&amp;MATCH(TRIM(A144),Main!B:B,0),"Open"),HYPERLINK("#'Main'!B1","Open"))</f>
        <v>Open</v>
      </c>
      <c r="O144" s="36" t="str">
        <f t="shared" ca="1" si="4"/>
        <v>Open</v>
      </c>
      <c r="P144" s="36"/>
    </row>
    <row r="145" spans="1:16" ht="30" customHeight="1" x14ac:dyDescent="0.25">
      <c r="A145" s="46" t="s">
        <v>201</v>
      </c>
      <c r="B145" s="37" t="s">
        <v>322</v>
      </c>
      <c r="C145" s="55" t="s">
        <v>170</v>
      </c>
      <c r="D145" s="48" t="s">
        <v>152</v>
      </c>
      <c r="E145" s="39">
        <v>1</v>
      </c>
      <c r="F145" s="40" t="s">
        <v>126</v>
      </c>
      <c r="G145" s="37" t="s">
        <v>404</v>
      </c>
      <c r="H145" s="37" t="s">
        <v>103</v>
      </c>
      <c r="I145" s="37"/>
      <c r="J145" s="29" t="s">
        <v>2</v>
      </c>
      <c r="K145" s="39" t="s">
        <v>201</v>
      </c>
      <c r="L145" s="37" t="s">
        <v>324</v>
      </c>
      <c r="M145" s="37">
        <v>82</v>
      </c>
      <c r="N145" t="str">
        <f>IFERROR(HYPERLINK("#'Main'!B"&amp;MATCH(TRIM(A145),Main!B:B,0),"Open"),HYPERLINK("#'Main'!B1","Open"))</f>
        <v>Open</v>
      </c>
      <c r="O145" t="str">
        <f t="shared" ca="1" si="4"/>
        <v>Open</v>
      </c>
    </row>
    <row r="146" spans="1:16" ht="30" customHeight="1" x14ac:dyDescent="0.25">
      <c r="A146" s="45" t="s">
        <v>201</v>
      </c>
      <c r="B146" s="28" t="s">
        <v>322</v>
      </c>
      <c r="C146" s="54" t="s">
        <v>173</v>
      </c>
      <c r="D146" s="48" t="s">
        <v>152</v>
      </c>
      <c r="E146" s="32">
        <v>1</v>
      </c>
      <c r="F146" s="33" t="s">
        <v>56</v>
      </c>
      <c r="G146" s="28" t="s">
        <v>405</v>
      </c>
      <c r="H146" s="28" t="s">
        <v>103</v>
      </c>
      <c r="I146" s="28"/>
      <c r="J146" s="29" t="s">
        <v>2</v>
      </c>
      <c r="K146" s="32" t="s">
        <v>201</v>
      </c>
      <c r="L146" s="28" t="s">
        <v>324</v>
      </c>
      <c r="M146" s="28">
        <v>83</v>
      </c>
      <c r="N146" s="36" t="str">
        <f>IFERROR(HYPERLINK("#'Main'!B"&amp;MATCH(TRIM(A146),Main!B:B,0),"Open"),HYPERLINK("#'Main'!B1","Open"))</f>
        <v>Open</v>
      </c>
      <c r="O146" s="36" t="str">
        <f t="shared" ca="1" si="4"/>
        <v>Open</v>
      </c>
      <c r="P146" s="36"/>
    </row>
    <row r="147" spans="1:16" ht="30" customHeight="1" x14ac:dyDescent="0.25">
      <c r="A147" s="46" t="s">
        <v>201</v>
      </c>
      <c r="B147" s="37" t="s">
        <v>322</v>
      </c>
      <c r="C147" s="55" t="s">
        <v>176</v>
      </c>
      <c r="D147" s="48" t="s">
        <v>152</v>
      </c>
      <c r="E147" s="39">
        <v>1</v>
      </c>
      <c r="F147" s="40" t="s">
        <v>56</v>
      </c>
      <c r="G147" s="37" t="s">
        <v>406</v>
      </c>
      <c r="H147" s="37" t="s">
        <v>103</v>
      </c>
      <c r="I147" s="37"/>
      <c r="J147" s="29" t="s">
        <v>2</v>
      </c>
      <c r="K147" s="39" t="s">
        <v>201</v>
      </c>
      <c r="L147" s="37" t="s">
        <v>324</v>
      </c>
      <c r="M147" s="37">
        <v>84</v>
      </c>
      <c r="N147" t="str">
        <f>IFERROR(HYPERLINK("#'Main'!B"&amp;MATCH(TRIM(A147),Main!B:B,0),"Open"),HYPERLINK("#'Main'!B1","Open"))</f>
        <v>Open</v>
      </c>
      <c r="O147" t="str">
        <f t="shared" ca="1" si="4"/>
        <v>Open</v>
      </c>
    </row>
    <row r="148" spans="1:16" ht="30" customHeight="1" x14ac:dyDescent="0.25">
      <c r="A148" s="45" t="s">
        <v>201</v>
      </c>
      <c r="B148" s="28" t="s">
        <v>322</v>
      </c>
      <c r="C148" s="54" t="s">
        <v>179</v>
      </c>
      <c r="D148" s="48" t="s">
        <v>152</v>
      </c>
      <c r="E148" s="32">
        <v>1</v>
      </c>
      <c r="F148" s="33" t="s">
        <v>56</v>
      </c>
      <c r="G148" s="28" t="s">
        <v>407</v>
      </c>
      <c r="H148" s="28" t="s">
        <v>103</v>
      </c>
      <c r="I148" s="28"/>
      <c r="J148" s="29" t="s">
        <v>2</v>
      </c>
      <c r="K148" s="32" t="s">
        <v>201</v>
      </c>
      <c r="L148" s="28" t="s">
        <v>324</v>
      </c>
      <c r="M148" s="28">
        <v>85</v>
      </c>
      <c r="N148" s="36" t="str">
        <f>IFERROR(HYPERLINK("#'Main'!B"&amp;MATCH(TRIM(A148),Main!B:B,0),"Open"),HYPERLINK("#'Main'!B1","Open"))</f>
        <v>Open</v>
      </c>
      <c r="O148" s="36" t="str">
        <f t="shared" ca="1" si="4"/>
        <v>Open</v>
      </c>
      <c r="P148" s="36"/>
    </row>
  </sheetData>
  <autoFilter ref="A1:P148" xr:uid="{00000000-0009-0000-0000-000005000000}"/>
  <conditionalFormatting sqref="B2:D148">
    <cfRule type="expression" dxfId="59" priority="3" stopIfTrue="1">
      <formula>OR(NOT(ISERROR(SEARCH("Critical",B2))),NOT(ISERROR(SEARCH("Non-Pass",B2))),NOT(ISERROR(SEARCH("Error",B2))))</formula>
    </cfRule>
    <cfRule type="expression" dxfId="58" priority="4" stopIfTrue="1">
      <formula>OR(NOT(ISERROR(SEARCH("Warning",B2))),NOT(ISERROR(SEARCH("Needs Work",B2))))</formula>
    </cfRule>
  </conditionalFormatting>
  <conditionalFormatting sqref="J2:J148">
    <cfRule type="expression" dxfId="57" priority="1" stopIfTrue="1">
      <formula>LOWER(J2)="done"</formula>
    </cfRule>
    <cfRule type="expression" dxfId="56" priority="2" stopIfTrue="1">
      <formula>OR(LOWER(J2)="to do",LOWER(J2)="in progress",LOWER(J2)="in review")</formula>
    </cfRule>
    <cfRule type="expression" dxfId="55" priority="7" stopIfTrue="1">
      <formula>OR(NOT(ISERROR(SEARCH("Critical",J2))),NOT(ISERROR(SEARCH("Non-Pass",J2))),NOT(ISERROR(SEARCH("Error",J2))))</formula>
    </cfRule>
    <cfRule type="expression" dxfId="54" priority="8" stopIfTrue="1">
      <formula>OR(NOT(ISERROR(SEARCH("Warning",J2))),NOT(ISERROR(SEARCH("Needs Work",J2))))</formula>
    </cfRule>
  </conditionalFormatting>
  <hyperlinks>
    <hyperlink ref="P1" location="'Dashboard'!A1" display="BACK TO DASHBOARD" xr:uid="{00000000-0004-0000-0500-000000000000}"/>
    <hyperlink ref="C2" location="FixPlan!A17" display="Low AEO Readiness Score" xr:uid="{00000000-0004-0000-0500-000001000000}"/>
    <hyperlink ref="F2" location="'Content &amp; AI Readiness'!A1" display="Content &amp; AI Readiness" xr:uid="{00000000-0004-0000-0500-000002000000}"/>
    <hyperlink ref="C3" location="FixPlan!A11" display="Missing FAQ/QA Schema" xr:uid="{00000000-0004-0000-0500-000003000000}"/>
    <hyperlink ref="F3" location="'Content &amp; AI Readiness'!A1" display="Content &amp; AI Readiness" xr:uid="{00000000-0004-0000-0500-000004000000}"/>
    <hyperlink ref="C4" location="FixPlan!A34" display="No 40-60 Word Answer Paragraphs" xr:uid="{00000000-0004-0000-0500-000005000000}"/>
    <hyperlink ref="F4" location="'Content &amp; AI Readiness'!A1" display="Content &amp; AI Readiness" xr:uid="{00000000-0004-0000-0500-000006000000}"/>
    <hyperlink ref="C5" location="FixPlan!A33" display="No Answer-Friendly Structure" xr:uid="{00000000-0004-0000-0500-000007000000}"/>
    <hyperlink ref="F5" location="'Content &amp; AI Readiness'!A1" display="Content &amp; AI Readiness" xr:uid="{00000000-0004-0000-0500-000008000000}"/>
    <hyperlink ref="C6" location="FixPlan!A32" display="No Question Headings" xr:uid="{00000000-0004-0000-0500-000009000000}"/>
    <hyperlink ref="F6" location="'Content &amp; AI Readiness'!A1" display="Content &amp; AI Readiness" xr:uid="{00000000-0004-0000-0500-00000A000000}"/>
    <hyperlink ref="C8" location="FixPlan!A8" display="Broken Internal Links" xr:uid="{00000000-0004-0000-0500-00000B000000}"/>
    <hyperlink ref="F8" location="'Link Intelligence'!A1" display="Link Intelligence" xr:uid="{00000000-0004-0000-0500-00000C000000}"/>
    <hyperlink ref="C9" location="FixPlan!A7" display="CWV LCP Above 4.0s" xr:uid="{00000000-0004-0000-0500-00000D000000}"/>
    <hyperlink ref="F9" location="'Technical Diagnostics'!A1" display="Technical Diagnostics" xr:uid="{00000000-0004-0000-0500-00000E000000}"/>
    <hyperlink ref="C10" location="FixPlan!A5" display="Canonical Points Elsewhere" xr:uid="{00000000-0004-0000-0500-00000F000000}"/>
    <hyperlink ref="F10" location="'Technical Diagnostics'!A1" display="Technical Diagnostics" xr:uid="{00000000-0004-0000-0500-000010000000}"/>
    <hyperlink ref="C11" location="FixPlan!A3" display="Missing Title" xr:uid="{00000000-0004-0000-0500-000011000000}"/>
    <hyperlink ref="F11" location="'Technical Diagnostics'!A1" display="Technical Diagnostics" xr:uid="{00000000-0004-0000-0500-000012000000}"/>
    <hyperlink ref="C12" location="FixPlan!A4" display="Noindex Directive" xr:uid="{00000000-0004-0000-0500-000013000000}"/>
    <hyperlink ref="F12" location="'Technical Diagnostics'!A1" display="Technical Diagnostics" xr:uid="{00000000-0004-0000-0500-000014000000}"/>
    <hyperlink ref="C13" location="FixPlan!A2" display="Non-200 Status" xr:uid="{00000000-0004-0000-0500-000015000000}"/>
    <hyperlink ref="F13" location="'Technical Diagnostics'!A1" display="Technical Diagnostics" xr:uid="{00000000-0004-0000-0500-000016000000}"/>
    <hyperlink ref="C14" location="FixPlan!A6" display="Robots.txt Disallow Root" xr:uid="{00000000-0004-0000-0500-000017000000}"/>
    <hyperlink ref="F14" location="'Technical Diagnostics'!A1" display="Technical Diagnostics" xr:uid="{00000000-0004-0000-0500-000018000000}"/>
    <hyperlink ref="C15" location="FixPlan!A17" display="Low AEO Readiness Score" xr:uid="{00000000-0004-0000-0500-000019000000}"/>
    <hyperlink ref="F15" location="'Content &amp; AI Readiness'!A1" display="Content &amp; AI Readiness" xr:uid="{00000000-0004-0000-0500-00001A000000}"/>
    <hyperlink ref="C16" location="FixPlan!A16" display="Low Image Alt Coverage" xr:uid="{00000000-0004-0000-0500-00001B000000}"/>
    <hyperlink ref="F16" location="'Technical Diagnostics'!A1" display="Technical Diagnostics" xr:uid="{00000000-0004-0000-0500-00001C000000}"/>
    <hyperlink ref="C17" location="FixPlan!A19" display="Missing H1" xr:uid="{00000000-0004-0000-0500-00001D000000}"/>
    <hyperlink ref="F17" location="'Technical Diagnostics'!A1" display="Technical Diagnostics" xr:uid="{00000000-0004-0000-0500-00001E000000}"/>
    <hyperlink ref="C18" location="FixPlan!A18" display="Multiple H1" xr:uid="{00000000-0004-0000-0500-00001F000000}"/>
    <hyperlink ref="F18" location="'Technical Diagnostics'!A1" display="Technical Diagnostics" xr:uid="{00000000-0004-0000-0500-000020000000}"/>
    <hyperlink ref="C19" location="FixPlan!A20" display="Missing Meta Description" xr:uid="{00000000-0004-0000-0500-000021000000}"/>
    <hyperlink ref="F19" location="'Technical Diagnostics'!A1" display="Technical Diagnostics" xr:uid="{00000000-0004-0000-0500-000022000000}"/>
    <hyperlink ref="C20" location="FixPlan!A10" display="CWV LCP Needs Improvement (2.5-4.0s)" xr:uid="{00000000-0004-0000-0500-000023000000}"/>
    <hyperlink ref="F20" location="'Technical Diagnostics'!A1" display="Technical Diagnostics" xr:uid="{00000000-0004-0000-0500-000024000000}"/>
    <hyperlink ref="C21" location="FixPlan!A14" display="Canonical Missing" xr:uid="{00000000-0004-0000-0500-000025000000}"/>
    <hyperlink ref="F21" location="'Technical Diagnostics'!A1" display="Technical Diagnostics" xr:uid="{00000000-0004-0000-0500-000026000000}"/>
    <hyperlink ref="C22" location="FixPlan!A12" display="Deep URL (&gt;3 clicks)" xr:uid="{00000000-0004-0000-0500-000027000000}"/>
    <hyperlink ref="F22" location="'Technical Diagnostics'!A1" display="Technical Diagnostics" xr:uid="{00000000-0004-0000-0500-000028000000}"/>
    <hyperlink ref="C23" location="FixPlan!A15" display="Hreflang Without Reciprocity" xr:uid="{00000000-0004-0000-0500-000029000000}"/>
    <hyperlink ref="F23" location="'Technical Diagnostics'!A1" display="Technical Diagnostics" xr:uid="{00000000-0004-0000-0500-00002A000000}"/>
    <hyperlink ref="C24" location="FixPlan!A11" display="Missing FAQ/QA Schema" xr:uid="{00000000-0004-0000-0500-00002B000000}"/>
    <hyperlink ref="F24" location="'Content &amp; AI Readiness'!A1" display="Content &amp; AI Readiness" xr:uid="{00000000-0004-0000-0500-00002C000000}"/>
    <hyperlink ref="C25" location="FixPlan!A13" display="Mixed Content" xr:uid="{00000000-0004-0000-0500-00002D000000}"/>
    <hyperlink ref="F25" location="'Technical Diagnostics'!A1" display="Technical Diagnostics" xr:uid="{00000000-0004-0000-0500-00002E000000}"/>
    <hyperlink ref="C26" location="FixPlan!A9" display="Redirect Chains" xr:uid="{00000000-0004-0000-0500-00002F000000}"/>
    <hyperlink ref="F26" location="'Technical Diagnostics'!A1" display="Technical Diagnostics" xr:uid="{00000000-0004-0000-0500-000030000000}"/>
    <hyperlink ref="C27" location="FixPlan!A35" display="AI Crawlers Not Explicitly Allowed" xr:uid="{00000000-0004-0000-0500-000031000000}"/>
    <hyperlink ref="F27" location="'Technical Diagnostics'!A1" display="Technical Diagnostics" xr:uid="{00000000-0004-0000-0500-000032000000}"/>
    <hyperlink ref="C28" location="FixPlan!A34" display="No 40-60 Word Answer Paragraphs" xr:uid="{00000000-0004-0000-0500-000033000000}"/>
    <hyperlink ref="F28" location="'Technical Diagnostics'!A1" display="Technical Diagnostics" xr:uid="{00000000-0004-0000-0500-000034000000}"/>
    <hyperlink ref="C29" location="FixPlan!A33" display="No Answer-Friendly Structure" xr:uid="{00000000-0004-0000-0500-000035000000}"/>
    <hyperlink ref="F29" location="'Technical Diagnostics'!A1" display="Technical Diagnostics" xr:uid="{00000000-0004-0000-0500-000036000000}"/>
    <hyperlink ref="C30" location="FixPlan!A31" display="No ETag Header" xr:uid="{00000000-0004-0000-0500-000037000000}"/>
    <hyperlink ref="F30" location="'Technical Diagnostics'!A1" display="Technical Diagnostics" xr:uid="{00000000-0004-0000-0500-000038000000}"/>
    <hyperlink ref="C31" location="FixPlan!A32" display="No Question Headings" xr:uid="{00000000-0004-0000-0500-000039000000}"/>
    <hyperlink ref="F31" location="'Content &amp; AI Readiness'!A1" display="Content &amp; AI Readiness" xr:uid="{00000000-0004-0000-0500-00003A000000}"/>
    <hyperlink ref="C32" location="FixPlan!A29" display="Thin Content" xr:uid="{00000000-0004-0000-0500-00003B000000}"/>
    <hyperlink ref="F32" location="'Technical Diagnostics'!A1" display="Technical Diagnostics" xr:uid="{00000000-0004-0000-0500-00003C000000}"/>
    <hyperlink ref="C33" location="FixPlan!A30" display="Generic Anchor Text Present" xr:uid="{00000000-0004-0000-0500-00003D000000}"/>
    <hyperlink ref="F33" location="'Technical Diagnostics'!A1" display="Technical Diagnostics" xr:uid="{00000000-0004-0000-0500-00003E000000}"/>
    <hyperlink ref="C34" location="FixPlan!A26" display="CLS Above 0.1" xr:uid="{00000000-0004-0000-0500-00003F000000}"/>
    <hyperlink ref="F34" location="'Technical Diagnostics'!A1" display="Technical Diagnostics" xr:uid="{00000000-0004-0000-0500-000040000000}"/>
    <hyperlink ref="C35" location="FixPlan!A25" display="INP Above 100ms" xr:uid="{00000000-0004-0000-0500-000041000000}"/>
    <hyperlink ref="F35" location="'Technical Diagnostics'!A1" display="Technical Diagnostics" xr:uid="{00000000-0004-0000-0500-000042000000}"/>
    <hyperlink ref="C36" location="FixPlan!A22" display="Image Filename Quality Issues" xr:uid="{00000000-0004-0000-0500-000043000000}"/>
    <hyperlink ref="F36" location="'Technical Diagnostics'!A1" display="Technical Diagnostics" xr:uid="{00000000-0004-0000-0500-000044000000}"/>
    <hyperlink ref="C37" location="FixPlan!A27" display="Low Regional Authority" xr:uid="{00000000-0004-0000-0500-000045000000}"/>
    <hyperlink ref="F37" location="'Technical Diagnostics'!A1" display="Technical Diagnostics" xr:uid="{00000000-0004-0000-0500-000046000000}"/>
    <hyperlink ref="C38" location="FixPlan!A24" display="No Cache-Control Header" xr:uid="{00000000-0004-0000-0500-000047000000}"/>
    <hyperlink ref="F38" location="'Technical Diagnostics'!A1" display="Technical Diagnostics" xr:uid="{00000000-0004-0000-0500-000048000000}"/>
    <hyperlink ref="C39" location="FixPlan!A23" display="No Compression Header" xr:uid="{00000000-0004-0000-0500-000049000000}"/>
    <hyperlink ref="F39" location="'Technical Diagnostics'!A1" display="Technical Diagnostics" xr:uid="{00000000-0004-0000-0500-00004A000000}"/>
    <hyperlink ref="C40" location="FixPlan!A21" display="Uses URL Parameters" xr:uid="{00000000-0004-0000-0500-00004B000000}"/>
    <hyperlink ref="F40" location="'Technical Diagnostics'!A1" display="Technical Diagnostics" xr:uid="{00000000-0004-0000-0500-00004C000000}"/>
    <hyperlink ref="C41" location="FixPlan!A28" display="llms.txt Missing" xr:uid="{00000000-0004-0000-0500-00004D000000}"/>
    <hyperlink ref="F41" location="'Technical Diagnostics'!A1" display="Technical Diagnostics" xr:uid="{00000000-0004-0000-0500-00004E000000}"/>
    <hyperlink ref="F45" location="'Template &amp; Duplication Risks'!A1" display="Template &amp; Duplication Risks" xr:uid="{00000000-0004-0000-0500-00004F000000}"/>
    <hyperlink ref="F46" location="'Template &amp; Duplication Risks'!A1" display="Template &amp; Duplication Risks" xr:uid="{00000000-0004-0000-0500-000050000000}"/>
    <hyperlink ref="F47" location="'Template &amp; Duplication Risks'!A1" display="Template &amp; Duplication Risks" xr:uid="{00000000-0004-0000-0500-000051000000}"/>
    <hyperlink ref="F48" location="'Template &amp; Duplication Risks'!A1" display="Template &amp; Duplication Risks" xr:uid="{00000000-0004-0000-0500-000052000000}"/>
    <hyperlink ref="F49" location="'Template &amp; Duplication Risks'!A1" display="Template &amp; Duplication Risks" xr:uid="{00000000-0004-0000-0500-000053000000}"/>
    <hyperlink ref="F50" location="'Template &amp; Duplication Risks'!A1" display="Template &amp; Duplication Risks" xr:uid="{00000000-0004-0000-0500-000054000000}"/>
    <hyperlink ref="F51" location="'Template &amp; Duplication Risks'!A1" display="Template &amp; Duplication Risks" xr:uid="{00000000-0004-0000-0500-000055000000}"/>
    <hyperlink ref="F52" location="'Template &amp; Duplication Risks'!A1" display="Template &amp; Duplication Risks" xr:uid="{00000000-0004-0000-0500-000056000000}"/>
    <hyperlink ref="F53" location="'Template &amp; Duplication Risks'!A1" display="Template &amp; Duplication Risks" xr:uid="{00000000-0004-0000-0500-000057000000}"/>
    <hyperlink ref="F54" location="'Template &amp; Duplication Risks'!A1" display="Template &amp; Duplication Risks" xr:uid="{00000000-0004-0000-0500-000058000000}"/>
    <hyperlink ref="F55" location="'Template &amp; Duplication Risks'!A1" display="Template &amp; Duplication Risks" xr:uid="{00000000-0004-0000-0500-000059000000}"/>
    <hyperlink ref="F56" location="'Template &amp; Duplication Risks'!A1" display="Template &amp; Duplication Risks" xr:uid="{00000000-0004-0000-0500-00005A000000}"/>
    <hyperlink ref="F57" location="'Template &amp; Duplication Risks'!A1" display="Template &amp; Duplication Risks" xr:uid="{00000000-0004-0000-0500-00005B000000}"/>
    <hyperlink ref="F58" location="'Template &amp; Duplication Risks'!A1" display="Template &amp; Duplication Risks" xr:uid="{00000000-0004-0000-0500-00005C000000}"/>
    <hyperlink ref="F59" location="'Template &amp; Duplication Risks'!A1" display="Template &amp; Duplication Risks" xr:uid="{00000000-0004-0000-0500-00005D000000}"/>
    <hyperlink ref="F60" location="'Template &amp; Duplication Risks'!A1" display="Template &amp; Duplication Risks" xr:uid="{00000000-0004-0000-0500-00005E000000}"/>
    <hyperlink ref="F61" location="'Template &amp; Duplication Risks'!A1" display="Template &amp; Duplication Risks" xr:uid="{00000000-0004-0000-0500-00005F000000}"/>
    <hyperlink ref="F62" location="'Template &amp; Duplication Risks'!A1" display="Template &amp; Duplication Risks" xr:uid="{00000000-0004-0000-0500-000060000000}"/>
    <hyperlink ref="F63" location="'Template &amp; Duplication Risks'!A1" display="Template &amp; Duplication Risks" xr:uid="{00000000-0004-0000-0500-000061000000}"/>
    <hyperlink ref="F64" location="'Template &amp; Duplication Risks'!A1" display="Template &amp; Duplication Risks" xr:uid="{00000000-0004-0000-0500-000062000000}"/>
    <hyperlink ref="A65" r:id="rId1" xr:uid="{00000000-0004-0000-0500-000063000000}"/>
    <hyperlink ref="C65" location="FixPlan!A18" display="Multiple H1" xr:uid="{00000000-0004-0000-0500-000064000000}"/>
    <hyperlink ref="F65" location="'Technical Diagnostics'!A1" display="Technical Diagnostics" xr:uid="{00000000-0004-0000-0500-000065000000}"/>
    <hyperlink ref="A66" r:id="rId2" xr:uid="{00000000-0004-0000-0500-000066000000}"/>
    <hyperlink ref="C66" location="FixPlan!A16" display="Low Image Alt Coverage" xr:uid="{00000000-0004-0000-0500-000067000000}"/>
    <hyperlink ref="F66" location="'Technical Diagnostics'!A1" display="Technical Diagnostics" xr:uid="{00000000-0004-0000-0500-000068000000}"/>
    <hyperlink ref="A67" r:id="rId3" xr:uid="{00000000-0004-0000-0500-000069000000}"/>
    <hyperlink ref="C67" location="FixPlan!A17" display="Low AEO Readiness Score" xr:uid="{00000000-0004-0000-0500-00006A000000}"/>
    <hyperlink ref="F67" location="'Content &amp; AI Readiness'!A1" display="Content &amp; AI Readiness" xr:uid="{00000000-0004-0000-0500-00006B000000}"/>
    <hyperlink ref="A68" r:id="rId4" xr:uid="{00000000-0004-0000-0500-00006C000000}"/>
    <hyperlink ref="C68" location="FixPlan!A31" display="No ETag Header" xr:uid="{00000000-0004-0000-0500-00006D000000}"/>
    <hyperlink ref="F68" location="'Technical Diagnostics'!A1" display="Technical Diagnostics" xr:uid="{00000000-0004-0000-0500-00006E000000}"/>
    <hyperlink ref="A69" r:id="rId5" xr:uid="{00000000-0004-0000-0500-00006F000000}"/>
    <hyperlink ref="C69" location="FixPlan!A32" display="No Question Headings" xr:uid="{00000000-0004-0000-0500-000070000000}"/>
    <hyperlink ref="F69" location="'Content &amp; AI Readiness'!A1" display="Content &amp; AI Readiness" xr:uid="{00000000-0004-0000-0500-000071000000}"/>
    <hyperlink ref="A70" r:id="rId6" xr:uid="{00000000-0004-0000-0500-000072000000}"/>
    <hyperlink ref="C70" location="FixPlan!A33" display="No Answer-Friendly Structure" xr:uid="{00000000-0004-0000-0500-000073000000}"/>
    <hyperlink ref="F70" location="'Technical Diagnostics'!A1" display="Technical Diagnostics" xr:uid="{00000000-0004-0000-0500-000074000000}"/>
    <hyperlink ref="A71" r:id="rId7" xr:uid="{00000000-0004-0000-0500-000075000000}"/>
    <hyperlink ref="C71" location="FixPlan!A34" display="No 40-60 Word Answer Paragraphs" xr:uid="{00000000-0004-0000-0500-000076000000}"/>
    <hyperlink ref="F71" location="'Technical Diagnostics'!A1" display="Technical Diagnostics" xr:uid="{00000000-0004-0000-0500-000077000000}"/>
    <hyperlink ref="A72" r:id="rId8" xr:uid="{00000000-0004-0000-0500-000078000000}"/>
    <hyperlink ref="C72" location="FixPlan!A35" display="AI Crawlers Not Explicitly Allowed" xr:uid="{00000000-0004-0000-0500-000079000000}"/>
    <hyperlink ref="F72" location="'Technical Diagnostics'!A1" display="Technical Diagnostics" xr:uid="{00000000-0004-0000-0500-00007A000000}"/>
    <hyperlink ref="A73" r:id="rId9" xr:uid="{00000000-0004-0000-0500-00007B000000}"/>
    <hyperlink ref="C73" location="FixPlan!A18" display="Multiple H1" xr:uid="{00000000-0004-0000-0500-00007C000000}"/>
    <hyperlink ref="F73" location="'Technical Diagnostics'!A1" display="Technical Diagnostics" xr:uid="{00000000-0004-0000-0500-00007D000000}"/>
    <hyperlink ref="A74" r:id="rId10" xr:uid="{00000000-0004-0000-0500-00007E000000}"/>
    <hyperlink ref="C74" location="FixPlan!A16" display="Low Image Alt Coverage" xr:uid="{00000000-0004-0000-0500-00007F000000}"/>
    <hyperlink ref="F74" location="'Technical Diagnostics'!A1" display="Technical Diagnostics" xr:uid="{00000000-0004-0000-0500-000080000000}"/>
    <hyperlink ref="A75" r:id="rId11" xr:uid="{00000000-0004-0000-0500-000081000000}"/>
    <hyperlink ref="C75" location="FixPlan!A17" display="Low AEO Readiness Score" xr:uid="{00000000-0004-0000-0500-000082000000}"/>
    <hyperlink ref="F75" location="'Content &amp; AI Readiness'!A1" display="Content &amp; AI Readiness" xr:uid="{00000000-0004-0000-0500-000083000000}"/>
    <hyperlink ref="A76" r:id="rId12" xr:uid="{00000000-0004-0000-0500-000084000000}"/>
    <hyperlink ref="C76" location="FixPlan!A31" display="No ETag Header" xr:uid="{00000000-0004-0000-0500-000085000000}"/>
    <hyperlink ref="F76" location="'Technical Diagnostics'!A1" display="Technical Diagnostics" xr:uid="{00000000-0004-0000-0500-000086000000}"/>
    <hyperlink ref="A77" r:id="rId13" xr:uid="{00000000-0004-0000-0500-000087000000}"/>
    <hyperlink ref="C77" location="FixPlan!A32" display="No Question Headings" xr:uid="{00000000-0004-0000-0500-000088000000}"/>
    <hyperlink ref="F77" location="'Content &amp; AI Readiness'!A1" display="Content &amp; AI Readiness" xr:uid="{00000000-0004-0000-0500-000089000000}"/>
    <hyperlink ref="A78" r:id="rId14" xr:uid="{00000000-0004-0000-0500-00008A000000}"/>
    <hyperlink ref="C78" location="FixPlan!A33" display="No Answer-Friendly Structure" xr:uid="{00000000-0004-0000-0500-00008B000000}"/>
    <hyperlink ref="F78" location="'Technical Diagnostics'!A1" display="Technical Diagnostics" xr:uid="{00000000-0004-0000-0500-00008C000000}"/>
    <hyperlink ref="A79" r:id="rId15" xr:uid="{00000000-0004-0000-0500-00008D000000}"/>
    <hyperlink ref="C79" location="FixPlan!A34" display="No 40-60 Word Answer Paragraphs" xr:uid="{00000000-0004-0000-0500-00008E000000}"/>
    <hyperlink ref="F79" location="'Technical Diagnostics'!A1" display="Technical Diagnostics" xr:uid="{00000000-0004-0000-0500-00008F000000}"/>
    <hyperlink ref="A80" r:id="rId16" xr:uid="{00000000-0004-0000-0500-000090000000}"/>
    <hyperlink ref="C80" location="FixPlan!A35" display="AI Crawlers Not Explicitly Allowed" xr:uid="{00000000-0004-0000-0500-000091000000}"/>
    <hyperlink ref="F80" location="'Technical Diagnostics'!A1" display="Technical Diagnostics" xr:uid="{00000000-0004-0000-0500-000092000000}"/>
    <hyperlink ref="A81" r:id="rId17" xr:uid="{00000000-0004-0000-0500-000093000000}"/>
    <hyperlink ref="C81" location="FixPlan!A18" display="Multiple H1" xr:uid="{00000000-0004-0000-0500-000094000000}"/>
    <hyperlink ref="F81" location="'Technical Diagnostics'!A1" display="Technical Diagnostics" xr:uid="{00000000-0004-0000-0500-000095000000}"/>
    <hyperlink ref="A82" r:id="rId18" xr:uid="{00000000-0004-0000-0500-000096000000}"/>
    <hyperlink ref="C82" location="FixPlan!A16" display="Low Image Alt Coverage" xr:uid="{00000000-0004-0000-0500-000097000000}"/>
    <hyperlink ref="F82" location="'Technical Diagnostics'!A1" display="Technical Diagnostics" xr:uid="{00000000-0004-0000-0500-000098000000}"/>
    <hyperlink ref="A83" r:id="rId19" xr:uid="{00000000-0004-0000-0500-000099000000}"/>
    <hyperlink ref="C83" location="FixPlan!A17" display="Low AEO Readiness Score" xr:uid="{00000000-0004-0000-0500-00009A000000}"/>
    <hyperlink ref="F83" location="'Content &amp; AI Readiness'!A1" display="Content &amp; AI Readiness" xr:uid="{00000000-0004-0000-0500-00009B000000}"/>
    <hyperlink ref="A84" r:id="rId20" xr:uid="{00000000-0004-0000-0500-00009C000000}"/>
    <hyperlink ref="C84" location="FixPlan!A30" display="Generic Anchor Text Present" xr:uid="{00000000-0004-0000-0500-00009D000000}"/>
    <hyperlink ref="F84" location="'Link Intelligence'!A1" display="Link Intelligence" xr:uid="{00000000-0004-0000-0500-00009E000000}"/>
    <hyperlink ref="A85" r:id="rId21" xr:uid="{00000000-0004-0000-0500-00009F000000}"/>
    <hyperlink ref="C85" location="FixPlan!A31" display="No ETag Header" xr:uid="{00000000-0004-0000-0500-0000A0000000}"/>
    <hyperlink ref="F85" location="'Technical Diagnostics'!A1" display="Technical Diagnostics" xr:uid="{00000000-0004-0000-0500-0000A1000000}"/>
    <hyperlink ref="A86" r:id="rId22" xr:uid="{00000000-0004-0000-0500-0000A2000000}"/>
    <hyperlink ref="C86" location="FixPlan!A29" display="Thin Content" xr:uid="{00000000-0004-0000-0500-0000A3000000}"/>
    <hyperlink ref="F86" location="'Technical Diagnostics'!A1" display="Technical Diagnostics" xr:uid="{00000000-0004-0000-0500-0000A4000000}"/>
    <hyperlink ref="A87" r:id="rId23" xr:uid="{00000000-0004-0000-0500-0000A5000000}"/>
    <hyperlink ref="C87" location="FixPlan!A32" display="No Question Headings" xr:uid="{00000000-0004-0000-0500-0000A6000000}"/>
    <hyperlink ref="F87" location="'Content &amp; AI Readiness'!A1" display="Content &amp; AI Readiness" xr:uid="{00000000-0004-0000-0500-0000A7000000}"/>
    <hyperlink ref="A88" r:id="rId24" xr:uid="{00000000-0004-0000-0500-0000A8000000}"/>
    <hyperlink ref="C88" location="FixPlan!A33" display="No Answer-Friendly Structure" xr:uid="{00000000-0004-0000-0500-0000A9000000}"/>
    <hyperlink ref="F88" location="'Technical Diagnostics'!A1" display="Technical Diagnostics" xr:uid="{00000000-0004-0000-0500-0000AA000000}"/>
    <hyperlink ref="A89" r:id="rId25" xr:uid="{00000000-0004-0000-0500-0000AB000000}"/>
    <hyperlink ref="C89" location="FixPlan!A34" display="No 40-60 Word Answer Paragraphs" xr:uid="{00000000-0004-0000-0500-0000AC000000}"/>
    <hyperlink ref="F89" location="'Technical Diagnostics'!A1" display="Technical Diagnostics" xr:uid="{00000000-0004-0000-0500-0000AD000000}"/>
    <hyperlink ref="A90" r:id="rId26" xr:uid="{00000000-0004-0000-0500-0000AE000000}"/>
    <hyperlink ref="C90" location="FixPlan!A35" display="AI Crawlers Not Explicitly Allowed" xr:uid="{00000000-0004-0000-0500-0000AF000000}"/>
    <hyperlink ref="F90" location="'Technical Diagnostics'!A1" display="Technical Diagnostics" xr:uid="{00000000-0004-0000-0500-0000B0000000}"/>
    <hyperlink ref="A91" r:id="rId27" xr:uid="{00000000-0004-0000-0500-0000B1000000}"/>
    <hyperlink ref="C91" location="FixPlan!A16" display="Low Image Alt Coverage" xr:uid="{00000000-0004-0000-0500-0000B2000000}"/>
    <hyperlink ref="F91" location="'Technical Diagnostics'!A1" display="Technical Diagnostics" xr:uid="{00000000-0004-0000-0500-0000B3000000}"/>
    <hyperlink ref="A92" r:id="rId28" xr:uid="{00000000-0004-0000-0500-0000B4000000}"/>
    <hyperlink ref="C92" location="FixPlan!A17" display="Low AEO Readiness Score" xr:uid="{00000000-0004-0000-0500-0000B5000000}"/>
    <hyperlink ref="F92" location="'Content &amp; AI Readiness'!A1" display="Content &amp; AI Readiness" xr:uid="{00000000-0004-0000-0500-0000B6000000}"/>
    <hyperlink ref="A93" r:id="rId29" xr:uid="{00000000-0004-0000-0500-0000B7000000}"/>
    <hyperlink ref="C93" location="FixPlan!A31" display="No ETag Header" xr:uid="{00000000-0004-0000-0500-0000B8000000}"/>
    <hyperlink ref="F93" location="'Technical Diagnostics'!A1" display="Technical Diagnostics" xr:uid="{00000000-0004-0000-0500-0000B9000000}"/>
    <hyperlink ref="A94" r:id="rId30" xr:uid="{00000000-0004-0000-0500-0000BA000000}"/>
    <hyperlink ref="C94" location="FixPlan!A29" display="Thin Content" xr:uid="{00000000-0004-0000-0500-0000BB000000}"/>
    <hyperlink ref="F94" location="'Technical Diagnostics'!A1" display="Technical Diagnostics" xr:uid="{00000000-0004-0000-0500-0000BC000000}"/>
    <hyperlink ref="A95" r:id="rId31" xr:uid="{00000000-0004-0000-0500-0000BD000000}"/>
    <hyperlink ref="C95" location="FixPlan!A32" display="No Question Headings" xr:uid="{00000000-0004-0000-0500-0000BE000000}"/>
    <hyperlink ref="F95" location="'Content &amp; AI Readiness'!A1" display="Content &amp; AI Readiness" xr:uid="{00000000-0004-0000-0500-0000BF000000}"/>
    <hyperlink ref="A96" r:id="rId32" xr:uid="{00000000-0004-0000-0500-0000C0000000}"/>
    <hyperlink ref="C96" location="FixPlan!A33" display="No Answer-Friendly Structure" xr:uid="{00000000-0004-0000-0500-0000C1000000}"/>
    <hyperlink ref="F96" location="'Technical Diagnostics'!A1" display="Technical Diagnostics" xr:uid="{00000000-0004-0000-0500-0000C2000000}"/>
    <hyperlink ref="A97" r:id="rId33" xr:uid="{00000000-0004-0000-0500-0000C3000000}"/>
    <hyperlink ref="C97" location="FixPlan!A34" display="No 40-60 Word Answer Paragraphs" xr:uid="{00000000-0004-0000-0500-0000C4000000}"/>
    <hyperlink ref="F97" location="'Technical Diagnostics'!A1" display="Technical Diagnostics" xr:uid="{00000000-0004-0000-0500-0000C5000000}"/>
    <hyperlink ref="A98" r:id="rId34" xr:uid="{00000000-0004-0000-0500-0000C6000000}"/>
    <hyperlink ref="C98" location="FixPlan!A35" display="AI Crawlers Not Explicitly Allowed" xr:uid="{00000000-0004-0000-0500-0000C7000000}"/>
    <hyperlink ref="F98" location="'Technical Diagnostics'!A1" display="Technical Diagnostics" xr:uid="{00000000-0004-0000-0500-0000C8000000}"/>
    <hyperlink ref="A99" r:id="rId35" xr:uid="{00000000-0004-0000-0500-0000C9000000}"/>
    <hyperlink ref="C99" location="FixPlan!A19" display="Missing H1" xr:uid="{00000000-0004-0000-0500-0000CA000000}"/>
    <hyperlink ref="F99" location="'Technical Diagnostics'!A1" display="Technical Diagnostics" xr:uid="{00000000-0004-0000-0500-0000CB000000}"/>
    <hyperlink ref="A100" r:id="rId36" xr:uid="{00000000-0004-0000-0500-0000CC000000}"/>
    <hyperlink ref="C100" location="FixPlan!A16" display="Low Image Alt Coverage" xr:uid="{00000000-0004-0000-0500-0000CD000000}"/>
    <hyperlink ref="F100" location="'Technical Diagnostics'!A1" display="Technical Diagnostics" xr:uid="{00000000-0004-0000-0500-0000CE000000}"/>
    <hyperlink ref="A101" r:id="rId37" xr:uid="{00000000-0004-0000-0500-0000CF000000}"/>
    <hyperlink ref="C101" location="FixPlan!A17" display="Low AEO Readiness Score" xr:uid="{00000000-0004-0000-0500-0000D0000000}"/>
    <hyperlink ref="F101" location="'Content &amp; AI Readiness'!A1" display="Content &amp; AI Readiness" xr:uid="{00000000-0004-0000-0500-0000D1000000}"/>
    <hyperlink ref="A102" r:id="rId38" xr:uid="{00000000-0004-0000-0500-0000D2000000}"/>
    <hyperlink ref="C102" location="FixPlan!A31" display="No ETag Header" xr:uid="{00000000-0004-0000-0500-0000D3000000}"/>
    <hyperlink ref="F102" location="'Technical Diagnostics'!A1" display="Technical Diagnostics" xr:uid="{00000000-0004-0000-0500-0000D4000000}"/>
    <hyperlink ref="A103" r:id="rId39" xr:uid="{00000000-0004-0000-0500-0000D5000000}"/>
    <hyperlink ref="C103" location="FixPlan!A29" display="Thin Content" xr:uid="{00000000-0004-0000-0500-0000D6000000}"/>
    <hyperlink ref="F103" location="'Technical Diagnostics'!A1" display="Technical Diagnostics" xr:uid="{00000000-0004-0000-0500-0000D7000000}"/>
    <hyperlink ref="A104" r:id="rId40" xr:uid="{00000000-0004-0000-0500-0000D8000000}"/>
    <hyperlink ref="C104" location="FixPlan!A32" display="No Question Headings" xr:uid="{00000000-0004-0000-0500-0000D9000000}"/>
    <hyperlink ref="F104" location="'Content &amp; AI Readiness'!A1" display="Content &amp; AI Readiness" xr:uid="{00000000-0004-0000-0500-0000DA000000}"/>
    <hyperlink ref="A105" r:id="rId41" xr:uid="{00000000-0004-0000-0500-0000DB000000}"/>
    <hyperlink ref="C105" location="FixPlan!A33" display="No Answer-Friendly Structure" xr:uid="{00000000-0004-0000-0500-0000DC000000}"/>
    <hyperlink ref="F105" location="'Technical Diagnostics'!A1" display="Technical Diagnostics" xr:uid="{00000000-0004-0000-0500-0000DD000000}"/>
    <hyperlink ref="A106" r:id="rId42" xr:uid="{00000000-0004-0000-0500-0000DE000000}"/>
    <hyperlink ref="C106" location="FixPlan!A34" display="No 40-60 Word Answer Paragraphs" xr:uid="{00000000-0004-0000-0500-0000DF000000}"/>
    <hyperlink ref="F106" location="'Technical Diagnostics'!A1" display="Technical Diagnostics" xr:uid="{00000000-0004-0000-0500-0000E0000000}"/>
    <hyperlink ref="A107" r:id="rId43" xr:uid="{00000000-0004-0000-0500-0000E1000000}"/>
    <hyperlink ref="C107" location="FixPlan!A35" display="AI Crawlers Not Explicitly Allowed" xr:uid="{00000000-0004-0000-0500-0000E2000000}"/>
    <hyperlink ref="F107" location="'Technical Diagnostics'!A1" display="Technical Diagnostics" xr:uid="{00000000-0004-0000-0500-0000E3000000}"/>
    <hyperlink ref="A108" r:id="rId44" xr:uid="{00000000-0004-0000-0500-0000E4000000}"/>
    <hyperlink ref="C108" location="FixPlan!A19" display="Missing H1" xr:uid="{00000000-0004-0000-0500-0000E5000000}"/>
    <hyperlink ref="F108" location="'Technical Diagnostics'!A1" display="Technical Diagnostics" xr:uid="{00000000-0004-0000-0500-0000E6000000}"/>
    <hyperlink ref="A109" r:id="rId45" xr:uid="{00000000-0004-0000-0500-0000E7000000}"/>
    <hyperlink ref="C109" location="FixPlan!A16" display="Low Image Alt Coverage" xr:uid="{00000000-0004-0000-0500-0000E8000000}"/>
    <hyperlink ref="F109" location="'Technical Diagnostics'!A1" display="Technical Diagnostics" xr:uid="{00000000-0004-0000-0500-0000E9000000}"/>
    <hyperlink ref="A110" r:id="rId46" xr:uid="{00000000-0004-0000-0500-0000EA000000}"/>
    <hyperlink ref="C110" location="FixPlan!A17" display="Low AEO Readiness Score" xr:uid="{00000000-0004-0000-0500-0000EB000000}"/>
    <hyperlink ref="F110" location="'Content &amp; AI Readiness'!A1" display="Content &amp; AI Readiness" xr:uid="{00000000-0004-0000-0500-0000EC000000}"/>
    <hyperlink ref="A111" r:id="rId47" xr:uid="{00000000-0004-0000-0500-0000ED000000}"/>
    <hyperlink ref="C111" location="FixPlan!A31" display="No ETag Header" xr:uid="{00000000-0004-0000-0500-0000EE000000}"/>
    <hyperlink ref="F111" location="'Technical Diagnostics'!A1" display="Technical Diagnostics" xr:uid="{00000000-0004-0000-0500-0000EF000000}"/>
    <hyperlink ref="A112" r:id="rId48" xr:uid="{00000000-0004-0000-0500-0000F0000000}"/>
    <hyperlink ref="C112" location="FixPlan!A32" display="No Question Headings" xr:uid="{00000000-0004-0000-0500-0000F1000000}"/>
    <hyperlink ref="F112" location="'Content &amp; AI Readiness'!A1" display="Content &amp; AI Readiness" xr:uid="{00000000-0004-0000-0500-0000F2000000}"/>
    <hyperlink ref="A113" r:id="rId49" xr:uid="{00000000-0004-0000-0500-0000F3000000}"/>
    <hyperlink ref="C113" location="FixPlan!A33" display="No Answer-Friendly Structure" xr:uid="{00000000-0004-0000-0500-0000F4000000}"/>
    <hyperlink ref="F113" location="'Technical Diagnostics'!A1" display="Technical Diagnostics" xr:uid="{00000000-0004-0000-0500-0000F5000000}"/>
    <hyperlink ref="A114" r:id="rId50" xr:uid="{00000000-0004-0000-0500-0000F6000000}"/>
    <hyperlink ref="C114" location="FixPlan!A34" display="No 40-60 Word Answer Paragraphs" xr:uid="{00000000-0004-0000-0500-0000F7000000}"/>
    <hyperlink ref="F114" location="'Technical Diagnostics'!A1" display="Technical Diagnostics" xr:uid="{00000000-0004-0000-0500-0000F8000000}"/>
    <hyperlink ref="A115" r:id="rId51" xr:uid="{00000000-0004-0000-0500-0000F9000000}"/>
    <hyperlink ref="C115" location="FixPlan!A35" display="AI Crawlers Not Explicitly Allowed" xr:uid="{00000000-0004-0000-0500-0000FA000000}"/>
    <hyperlink ref="F115" location="'Technical Diagnostics'!A1" display="Technical Diagnostics" xr:uid="{00000000-0004-0000-0500-0000FB000000}"/>
    <hyperlink ref="A116" r:id="rId52" xr:uid="{00000000-0004-0000-0500-0000FC000000}"/>
    <hyperlink ref="C116" location="FixPlan!A19" display="Missing H1" xr:uid="{00000000-0004-0000-0500-0000FD000000}"/>
    <hyperlink ref="F116" location="'Technical Diagnostics'!A1" display="Technical Diagnostics" xr:uid="{00000000-0004-0000-0500-0000FE000000}"/>
    <hyperlink ref="A117" r:id="rId53" xr:uid="{00000000-0004-0000-0500-0000FF000000}"/>
    <hyperlink ref="C117" location="FixPlan!A16" display="Low Image Alt Coverage" xr:uid="{00000000-0004-0000-0500-000000010000}"/>
    <hyperlink ref="F117" location="'Technical Diagnostics'!A1" display="Technical Diagnostics" xr:uid="{00000000-0004-0000-0500-000001010000}"/>
    <hyperlink ref="A118" r:id="rId54" xr:uid="{00000000-0004-0000-0500-000002010000}"/>
    <hyperlink ref="C118" location="FixPlan!A17" display="Low AEO Readiness Score" xr:uid="{00000000-0004-0000-0500-000003010000}"/>
    <hyperlink ref="F118" location="'Content &amp; AI Readiness'!A1" display="Content &amp; AI Readiness" xr:uid="{00000000-0004-0000-0500-000004010000}"/>
    <hyperlink ref="A119" r:id="rId55" xr:uid="{00000000-0004-0000-0500-000005010000}"/>
    <hyperlink ref="C119" location="FixPlan!A31" display="No ETag Header" xr:uid="{00000000-0004-0000-0500-000006010000}"/>
    <hyperlink ref="F119" location="'Technical Diagnostics'!A1" display="Technical Diagnostics" xr:uid="{00000000-0004-0000-0500-000007010000}"/>
    <hyperlink ref="A120" r:id="rId56" xr:uid="{00000000-0004-0000-0500-000008010000}"/>
    <hyperlink ref="C120" location="FixPlan!A29" display="Thin Content" xr:uid="{00000000-0004-0000-0500-000009010000}"/>
    <hyperlink ref="F120" location="'Technical Diagnostics'!A1" display="Technical Diagnostics" xr:uid="{00000000-0004-0000-0500-00000A010000}"/>
    <hyperlink ref="A121" r:id="rId57" xr:uid="{00000000-0004-0000-0500-00000B010000}"/>
    <hyperlink ref="C121" location="FixPlan!A32" display="No Question Headings" xr:uid="{00000000-0004-0000-0500-00000C010000}"/>
    <hyperlink ref="F121" location="'Content &amp; AI Readiness'!A1" display="Content &amp; AI Readiness" xr:uid="{00000000-0004-0000-0500-00000D010000}"/>
    <hyperlink ref="A122" r:id="rId58" xr:uid="{00000000-0004-0000-0500-00000E010000}"/>
    <hyperlink ref="C122" location="FixPlan!A33" display="No Answer-Friendly Structure" xr:uid="{00000000-0004-0000-0500-00000F010000}"/>
    <hyperlink ref="F122" location="'Technical Diagnostics'!A1" display="Technical Diagnostics" xr:uid="{00000000-0004-0000-0500-000010010000}"/>
    <hyperlink ref="A123" r:id="rId59" xr:uid="{00000000-0004-0000-0500-000011010000}"/>
    <hyperlink ref="C123" location="FixPlan!A34" display="No 40-60 Word Answer Paragraphs" xr:uid="{00000000-0004-0000-0500-000012010000}"/>
    <hyperlink ref="F123" location="'Technical Diagnostics'!A1" display="Technical Diagnostics" xr:uid="{00000000-0004-0000-0500-000013010000}"/>
    <hyperlink ref="A124" r:id="rId60" xr:uid="{00000000-0004-0000-0500-000014010000}"/>
    <hyperlink ref="C124" location="FixPlan!A35" display="AI Crawlers Not Explicitly Allowed" xr:uid="{00000000-0004-0000-0500-000015010000}"/>
    <hyperlink ref="F124" location="'Technical Diagnostics'!A1" display="Technical Diagnostics" xr:uid="{00000000-0004-0000-0500-000016010000}"/>
    <hyperlink ref="A125" r:id="rId61" xr:uid="{00000000-0004-0000-0500-000017010000}"/>
    <hyperlink ref="C125" location="FixPlan!A16" display="Low Image Alt Coverage" xr:uid="{00000000-0004-0000-0500-000018010000}"/>
    <hyperlink ref="F125" location="'Technical Diagnostics'!A1" display="Technical Diagnostics" xr:uid="{00000000-0004-0000-0500-000019010000}"/>
    <hyperlink ref="A126" r:id="rId62" xr:uid="{00000000-0004-0000-0500-00001A010000}"/>
    <hyperlink ref="C126" location="FixPlan!A17" display="Low AEO Readiness Score" xr:uid="{00000000-0004-0000-0500-00001B010000}"/>
    <hyperlink ref="F126" location="'Content &amp; AI Readiness'!A1" display="Content &amp; AI Readiness" xr:uid="{00000000-0004-0000-0500-00001C010000}"/>
    <hyperlink ref="A127" r:id="rId63" xr:uid="{00000000-0004-0000-0500-00001D010000}"/>
    <hyperlink ref="C127" location="FixPlan!A31" display="No ETag Header" xr:uid="{00000000-0004-0000-0500-00001E010000}"/>
    <hyperlink ref="F127" location="'Technical Diagnostics'!A1" display="Technical Diagnostics" xr:uid="{00000000-0004-0000-0500-00001F010000}"/>
    <hyperlink ref="A128" r:id="rId64" xr:uid="{00000000-0004-0000-0500-000020010000}"/>
    <hyperlink ref="C128" location="FixPlan!A32" display="No Question Headings" xr:uid="{00000000-0004-0000-0500-000021010000}"/>
    <hyperlink ref="F128" location="'Content &amp; AI Readiness'!A1" display="Content &amp; AI Readiness" xr:uid="{00000000-0004-0000-0500-000022010000}"/>
    <hyperlink ref="A129" r:id="rId65" xr:uid="{00000000-0004-0000-0500-000023010000}"/>
    <hyperlink ref="C129" location="FixPlan!A33" display="No Answer-Friendly Structure" xr:uid="{00000000-0004-0000-0500-000024010000}"/>
    <hyperlink ref="F129" location="'Technical Diagnostics'!A1" display="Technical Diagnostics" xr:uid="{00000000-0004-0000-0500-000025010000}"/>
    <hyperlink ref="A130" r:id="rId66" xr:uid="{00000000-0004-0000-0500-000026010000}"/>
    <hyperlink ref="C130" location="FixPlan!A34" display="No 40-60 Word Answer Paragraphs" xr:uid="{00000000-0004-0000-0500-000027010000}"/>
    <hyperlink ref="F130" location="'Technical Diagnostics'!A1" display="Technical Diagnostics" xr:uid="{00000000-0004-0000-0500-000028010000}"/>
    <hyperlink ref="A131" r:id="rId67" xr:uid="{00000000-0004-0000-0500-000029010000}"/>
    <hyperlink ref="C131" location="FixPlan!A35" display="AI Crawlers Not Explicitly Allowed" xr:uid="{00000000-0004-0000-0500-00002A010000}"/>
    <hyperlink ref="F131" location="'Technical Diagnostics'!A1" display="Technical Diagnostics" xr:uid="{00000000-0004-0000-0500-00002B010000}"/>
    <hyperlink ref="A132" r:id="rId68" xr:uid="{00000000-0004-0000-0500-00002C010000}"/>
    <hyperlink ref="C132" location="FixPlan!A20" display="Missing Meta Description" xr:uid="{00000000-0004-0000-0500-00002D010000}"/>
    <hyperlink ref="F132" location="'Technical Diagnostics'!A1" display="Technical Diagnostics" xr:uid="{00000000-0004-0000-0500-00002E010000}"/>
    <hyperlink ref="A133" r:id="rId69" xr:uid="{00000000-0004-0000-0500-00002F010000}"/>
    <hyperlink ref="C133" location="FixPlan!A19" display="Missing H1" xr:uid="{00000000-0004-0000-0500-000030010000}"/>
    <hyperlink ref="F133" location="'Technical Diagnostics'!A1" display="Technical Diagnostics" xr:uid="{00000000-0004-0000-0500-000031010000}"/>
    <hyperlink ref="A134" r:id="rId70" xr:uid="{00000000-0004-0000-0500-000032010000}"/>
    <hyperlink ref="C134" location="FixPlan!A16" display="Low Image Alt Coverage" xr:uid="{00000000-0004-0000-0500-000033010000}"/>
    <hyperlink ref="F134" location="'Technical Diagnostics'!A1" display="Technical Diagnostics" xr:uid="{00000000-0004-0000-0500-000034010000}"/>
    <hyperlink ref="A135" r:id="rId71" xr:uid="{00000000-0004-0000-0500-000035010000}"/>
    <hyperlink ref="C135" location="FixPlan!A17" display="Low AEO Readiness Score" xr:uid="{00000000-0004-0000-0500-000036010000}"/>
    <hyperlink ref="F135" location="'Content &amp; AI Readiness'!A1" display="Content &amp; AI Readiness" xr:uid="{00000000-0004-0000-0500-000037010000}"/>
    <hyperlink ref="A136" r:id="rId72" xr:uid="{00000000-0004-0000-0500-000038010000}"/>
    <hyperlink ref="C136" location="FixPlan!A31" display="No ETag Header" xr:uid="{00000000-0004-0000-0500-000039010000}"/>
    <hyperlink ref="F136" location="'Technical Diagnostics'!A1" display="Technical Diagnostics" xr:uid="{00000000-0004-0000-0500-00003A010000}"/>
    <hyperlink ref="A137" r:id="rId73" xr:uid="{00000000-0004-0000-0500-00003B010000}"/>
    <hyperlink ref="C137" location="FixPlan!A29" display="Thin Content" xr:uid="{00000000-0004-0000-0500-00003C010000}"/>
    <hyperlink ref="F137" location="'Technical Diagnostics'!A1" display="Technical Diagnostics" xr:uid="{00000000-0004-0000-0500-00003D010000}"/>
    <hyperlink ref="A138" r:id="rId74" xr:uid="{00000000-0004-0000-0500-00003E010000}"/>
    <hyperlink ref="C138" location="FixPlan!A32" display="No Question Headings" xr:uid="{00000000-0004-0000-0500-00003F010000}"/>
    <hyperlink ref="F138" location="'Content &amp; AI Readiness'!A1" display="Content &amp; AI Readiness" xr:uid="{00000000-0004-0000-0500-000040010000}"/>
    <hyperlink ref="A139" r:id="rId75" xr:uid="{00000000-0004-0000-0500-000041010000}"/>
    <hyperlink ref="C139" location="FixPlan!A33" display="No Answer-Friendly Structure" xr:uid="{00000000-0004-0000-0500-000042010000}"/>
    <hyperlink ref="F139" location="'Technical Diagnostics'!A1" display="Technical Diagnostics" xr:uid="{00000000-0004-0000-0500-000043010000}"/>
    <hyperlink ref="A140" r:id="rId76" xr:uid="{00000000-0004-0000-0500-000044010000}"/>
    <hyperlink ref="C140" location="FixPlan!A34" display="No 40-60 Word Answer Paragraphs" xr:uid="{00000000-0004-0000-0500-000045010000}"/>
    <hyperlink ref="F140" location="'Technical Diagnostics'!A1" display="Technical Diagnostics" xr:uid="{00000000-0004-0000-0500-000046010000}"/>
    <hyperlink ref="A141" r:id="rId77" xr:uid="{00000000-0004-0000-0500-000047010000}"/>
    <hyperlink ref="C141" location="FixPlan!A35" display="AI Crawlers Not Explicitly Allowed" xr:uid="{00000000-0004-0000-0500-000048010000}"/>
    <hyperlink ref="F141" location="'Technical Diagnostics'!A1" display="Technical Diagnostics" xr:uid="{00000000-0004-0000-0500-000049010000}"/>
    <hyperlink ref="A142" r:id="rId78" xr:uid="{00000000-0004-0000-0500-00004A010000}"/>
    <hyperlink ref="C142" location="FixPlan!A16" display="Low Image Alt Coverage" xr:uid="{00000000-0004-0000-0500-00004B010000}"/>
    <hyperlink ref="F142" location="'Technical Diagnostics'!A1" display="Technical Diagnostics" xr:uid="{00000000-0004-0000-0500-00004C010000}"/>
    <hyperlink ref="A143" r:id="rId79" xr:uid="{00000000-0004-0000-0500-00004D010000}"/>
    <hyperlink ref="C143" location="FixPlan!A17" display="Low AEO Readiness Score" xr:uid="{00000000-0004-0000-0500-00004E010000}"/>
    <hyperlink ref="F143" location="'Content &amp; AI Readiness'!A1" display="Content &amp; AI Readiness" xr:uid="{00000000-0004-0000-0500-00004F010000}"/>
    <hyperlink ref="A144" r:id="rId80" xr:uid="{00000000-0004-0000-0500-000050010000}"/>
    <hyperlink ref="C144" location="FixPlan!A31" display="No ETag Header" xr:uid="{00000000-0004-0000-0500-000051010000}"/>
    <hyperlink ref="F144" location="'Technical Diagnostics'!A1" display="Technical Diagnostics" xr:uid="{00000000-0004-0000-0500-000052010000}"/>
    <hyperlink ref="A145" r:id="rId81" xr:uid="{00000000-0004-0000-0500-000053010000}"/>
    <hyperlink ref="C145" location="FixPlan!A32" display="No Question Headings" xr:uid="{00000000-0004-0000-0500-000054010000}"/>
    <hyperlink ref="F145" location="'Content &amp; AI Readiness'!A1" display="Content &amp; AI Readiness" xr:uid="{00000000-0004-0000-0500-000055010000}"/>
    <hyperlink ref="A146" r:id="rId82" xr:uid="{00000000-0004-0000-0500-000056010000}"/>
    <hyperlink ref="C146" location="FixPlan!A33" display="No Answer-Friendly Structure" xr:uid="{00000000-0004-0000-0500-000057010000}"/>
    <hyperlink ref="F146" location="'Technical Diagnostics'!A1" display="Technical Diagnostics" xr:uid="{00000000-0004-0000-0500-000058010000}"/>
    <hyperlink ref="A147" r:id="rId83" xr:uid="{00000000-0004-0000-0500-000059010000}"/>
    <hyperlink ref="C147" location="FixPlan!A34" display="No 40-60 Word Answer Paragraphs" xr:uid="{00000000-0004-0000-0500-00005A010000}"/>
    <hyperlink ref="F147" location="'Technical Diagnostics'!A1" display="Technical Diagnostics" xr:uid="{00000000-0004-0000-0500-00005B010000}"/>
    <hyperlink ref="A148" r:id="rId84" xr:uid="{00000000-0004-0000-0500-00005C010000}"/>
    <hyperlink ref="C148" location="FixPlan!A35" display="AI Crawlers Not Explicitly Allowed" xr:uid="{00000000-0004-0000-0500-00005D010000}"/>
    <hyperlink ref="F148" location="'Technical Diagnostics'!A1" display="Technical Diagnostics" xr:uid="{00000000-0004-0000-0500-00005E010000}"/>
  </hyperlinks>
  <pageMargins left="0.75" right="0.75" top="1" bottom="1" header="0.5" footer="0.5"/>
  <legacyDrawing r:id="rId85"/>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6" customWidth="1"/>
    <col min="3" max="3" width="13" customWidth="1"/>
    <col min="4" max="4" width="16" customWidth="1"/>
    <col min="5" max="5" width="18" customWidth="1"/>
    <col min="6" max="6" width="11" customWidth="1"/>
    <col min="7" max="7" width="23" customWidth="1"/>
    <col min="8" max="8" width="22" customWidth="1"/>
    <col min="9" max="9" width="18" customWidth="1"/>
    <col min="10" max="10" width="19" customWidth="1"/>
    <col min="11" max="11" width="21" customWidth="1"/>
    <col min="12" max="12" width="16" customWidth="1"/>
    <col min="13" max="13" width="23" customWidth="1"/>
    <col min="14" max="14" width="20" customWidth="1"/>
    <col min="15" max="15" width="27" customWidth="1"/>
    <col min="16" max="16" width="25" customWidth="1"/>
    <col min="17" max="17" width="24" customWidth="1"/>
    <col min="18" max="18" width="19" customWidth="1"/>
    <col min="19" max="19" width="18" customWidth="1"/>
    <col min="20" max="20" width="16" customWidth="1"/>
    <col min="21" max="21" width="12" customWidth="1"/>
    <col min="22" max="22" width="17" customWidth="1"/>
    <col min="23" max="24" width="45" customWidth="1"/>
    <col min="25" max="25" width="25" customWidth="1"/>
    <col min="26" max="26" width="14" customWidth="1"/>
    <col min="27" max="27" width="26" customWidth="1"/>
  </cols>
  <sheetData>
    <row r="1" spans="1:29" ht="45" x14ac:dyDescent="0.25">
      <c r="A1" s="26" t="s">
        <v>70</v>
      </c>
      <c r="B1" s="26" t="s">
        <v>408</v>
      </c>
      <c r="C1" s="26" t="s">
        <v>409</v>
      </c>
      <c r="D1" s="26" t="s">
        <v>181</v>
      </c>
      <c r="E1" s="26" t="s">
        <v>182</v>
      </c>
      <c r="F1" s="26" t="s">
        <v>410</v>
      </c>
      <c r="G1" s="26" t="s">
        <v>186</v>
      </c>
      <c r="H1" s="26" t="s">
        <v>187</v>
      </c>
      <c r="I1" s="26" t="s">
        <v>411</v>
      </c>
      <c r="J1" s="26" t="s">
        <v>412</v>
      </c>
      <c r="K1" s="26" t="s">
        <v>189</v>
      </c>
      <c r="L1" s="26" t="s">
        <v>191</v>
      </c>
      <c r="M1" s="26" t="s">
        <v>413</v>
      </c>
      <c r="N1" s="26" t="s">
        <v>414</v>
      </c>
      <c r="O1" s="26" t="s">
        <v>415</v>
      </c>
      <c r="P1" s="26" t="s">
        <v>416</v>
      </c>
      <c r="Q1" s="26" t="s">
        <v>417</v>
      </c>
      <c r="R1" s="26" t="s">
        <v>418</v>
      </c>
      <c r="S1" s="26" t="s">
        <v>419</v>
      </c>
      <c r="T1" s="26" t="s">
        <v>420</v>
      </c>
      <c r="U1" s="26" t="s">
        <v>421</v>
      </c>
      <c r="V1" s="26" t="s">
        <v>422</v>
      </c>
      <c r="W1" s="26" t="s">
        <v>423</v>
      </c>
      <c r="X1" s="26" t="s">
        <v>424</v>
      </c>
      <c r="Y1" s="26" t="s">
        <v>425</v>
      </c>
      <c r="Z1" s="26" t="s">
        <v>426</v>
      </c>
      <c r="AA1" s="26" t="s">
        <v>284</v>
      </c>
      <c r="AB1" s="26" t="s">
        <v>85</v>
      </c>
      <c r="AC1" s="27" t="s">
        <v>87</v>
      </c>
    </row>
    <row r="2" spans="1:29" ht="30" customHeight="1" x14ac:dyDescent="0.25">
      <c r="A2" s="45" t="s">
        <v>138</v>
      </c>
      <c r="B2" s="28" t="s">
        <v>427</v>
      </c>
      <c r="C2" s="47">
        <v>200</v>
      </c>
      <c r="D2" s="42" t="s">
        <v>50</v>
      </c>
      <c r="E2" s="50">
        <v>60</v>
      </c>
      <c r="F2" s="28" t="s">
        <v>428</v>
      </c>
      <c r="G2" s="28">
        <v>0</v>
      </c>
      <c r="H2" s="28">
        <v>3</v>
      </c>
      <c r="I2" s="28" t="s">
        <v>429</v>
      </c>
      <c r="J2" s="28" t="s">
        <v>430</v>
      </c>
      <c r="K2" s="47" t="s">
        <v>194</v>
      </c>
      <c r="L2" s="28" t="s">
        <v>195</v>
      </c>
      <c r="M2" s="28">
        <v>0</v>
      </c>
      <c r="N2" s="47" t="b">
        <v>0</v>
      </c>
      <c r="O2" s="28"/>
      <c r="P2" s="28"/>
      <c r="Q2" s="28"/>
      <c r="R2" s="28">
        <v>0</v>
      </c>
      <c r="S2" s="28">
        <v>0</v>
      </c>
      <c r="T2" s="28">
        <v>0</v>
      </c>
      <c r="U2" s="28">
        <v>0</v>
      </c>
      <c r="V2" s="28">
        <v>0</v>
      </c>
      <c r="W2" s="32" t="s">
        <v>138</v>
      </c>
      <c r="X2" s="32" t="s">
        <v>138</v>
      </c>
      <c r="Y2" s="28" t="s">
        <v>431</v>
      </c>
      <c r="Z2" s="28"/>
      <c r="AA2" s="28" t="s">
        <v>427</v>
      </c>
      <c r="AB2" s="36" t="str">
        <f>IFERROR(HYPERLINK("#'Main'!B"&amp;MATCH(TRIM(A2),Main!B:B,0),"Open"),HYPERLINK("#'Main'!B1","Open"))</f>
        <v>Open</v>
      </c>
      <c r="AC2" s="36"/>
    </row>
    <row r="3" spans="1:29" ht="30" customHeight="1" x14ac:dyDescent="0.25">
      <c r="A3" s="46" t="s">
        <v>196</v>
      </c>
      <c r="B3" s="37" t="s">
        <v>427</v>
      </c>
      <c r="C3" s="47">
        <v>200</v>
      </c>
      <c r="D3" s="42" t="s">
        <v>50</v>
      </c>
      <c r="E3" s="51">
        <v>60</v>
      </c>
      <c r="F3" s="37" t="s">
        <v>428</v>
      </c>
      <c r="G3" s="37">
        <v>0</v>
      </c>
      <c r="H3" s="37">
        <v>3</v>
      </c>
      <c r="I3" s="37" t="s">
        <v>429</v>
      </c>
      <c r="J3" s="37" t="s">
        <v>430</v>
      </c>
      <c r="K3" s="47" t="s">
        <v>194</v>
      </c>
      <c r="L3" s="37" t="s">
        <v>195</v>
      </c>
      <c r="M3" s="37">
        <v>0</v>
      </c>
      <c r="N3" s="47" t="b">
        <v>0</v>
      </c>
      <c r="O3" s="37"/>
      <c r="P3" s="37"/>
      <c r="Q3" s="37"/>
      <c r="R3" s="37">
        <v>0</v>
      </c>
      <c r="S3" s="37">
        <v>0</v>
      </c>
      <c r="T3" s="37">
        <v>0</v>
      </c>
      <c r="U3" s="37">
        <v>0</v>
      </c>
      <c r="V3" s="37">
        <v>0</v>
      </c>
      <c r="W3" s="39" t="s">
        <v>196</v>
      </c>
      <c r="X3" s="39" t="s">
        <v>196</v>
      </c>
      <c r="Y3" s="37" t="s">
        <v>431</v>
      </c>
      <c r="Z3" s="37"/>
      <c r="AA3" s="37" t="s">
        <v>427</v>
      </c>
      <c r="AB3" t="str">
        <f>IFERROR(HYPERLINK("#'Main'!B"&amp;MATCH(TRIM(A3),Main!B:B,0),"Open"),HYPERLINK("#'Main'!B1","Open"))</f>
        <v>Open</v>
      </c>
    </row>
    <row r="4" spans="1:29" ht="15.75" x14ac:dyDescent="0.25">
      <c r="A4" s="45" t="s">
        <v>166</v>
      </c>
      <c r="B4" s="28" t="s">
        <v>427</v>
      </c>
      <c r="C4" s="47">
        <v>200</v>
      </c>
      <c r="D4" s="42" t="s">
        <v>50</v>
      </c>
      <c r="E4" s="50">
        <v>60</v>
      </c>
      <c r="F4" s="28" t="s">
        <v>428</v>
      </c>
      <c r="G4" s="28">
        <v>0</v>
      </c>
      <c r="H4" s="28">
        <v>3</v>
      </c>
      <c r="I4" s="28" t="s">
        <v>429</v>
      </c>
      <c r="J4" s="28" t="s">
        <v>430</v>
      </c>
      <c r="K4" s="47" t="s">
        <v>194</v>
      </c>
      <c r="L4" s="28" t="s">
        <v>195</v>
      </c>
      <c r="M4" s="28">
        <v>0</v>
      </c>
      <c r="N4" s="47" t="b">
        <v>0</v>
      </c>
      <c r="O4" s="28"/>
      <c r="P4" s="28"/>
      <c r="Q4" s="28"/>
      <c r="R4" s="28">
        <v>0</v>
      </c>
      <c r="S4" s="28">
        <v>0</v>
      </c>
      <c r="T4" s="28">
        <v>0</v>
      </c>
      <c r="U4" s="28">
        <v>0</v>
      </c>
      <c r="V4" s="28">
        <v>0</v>
      </c>
      <c r="W4" s="32" t="s">
        <v>166</v>
      </c>
      <c r="X4" s="32" t="s">
        <v>166</v>
      </c>
      <c r="Y4" s="28" t="s">
        <v>431</v>
      </c>
      <c r="Z4" s="28"/>
      <c r="AA4" s="28" t="s">
        <v>427</v>
      </c>
      <c r="AB4" s="36" t="str">
        <f>IFERROR(HYPERLINK("#'Main'!B"&amp;MATCH(TRIM(A4),Main!B:B,0),"Open"),HYPERLINK("#'Main'!B1","Open"))</f>
        <v>Open</v>
      </c>
      <c r="AC4" s="36"/>
    </row>
    <row r="5" spans="1:29" ht="30" customHeight="1" x14ac:dyDescent="0.25">
      <c r="A5" s="46" t="s">
        <v>199</v>
      </c>
      <c r="B5" s="37" t="s">
        <v>427</v>
      </c>
      <c r="C5" s="47">
        <v>200</v>
      </c>
      <c r="D5" s="42" t="s">
        <v>50</v>
      </c>
      <c r="E5" s="51">
        <v>70</v>
      </c>
      <c r="F5" s="37" t="s">
        <v>428</v>
      </c>
      <c r="G5" s="37">
        <v>0</v>
      </c>
      <c r="H5" s="37">
        <v>2</v>
      </c>
      <c r="I5" s="37" t="s">
        <v>429</v>
      </c>
      <c r="J5" s="37" t="s">
        <v>430</v>
      </c>
      <c r="K5" s="47" t="s">
        <v>194</v>
      </c>
      <c r="L5" s="37" t="s">
        <v>195</v>
      </c>
      <c r="M5" s="37">
        <v>0</v>
      </c>
      <c r="N5" s="47" t="b">
        <v>0</v>
      </c>
      <c r="O5" s="37"/>
      <c r="P5" s="37"/>
      <c r="Q5" s="37"/>
      <c r="R5" s="37">
        <v>0</v>
      </c>
      <c r="S5" s="37">
        <v>0</v>
      </c>
      <c r="T5" s="37">
        <v>0</v>
      </c>
      <c r="U5" s="37">
        <v>0</v>
      </c>
      <c r="V5" s="37">
        <v>0</v>
      </c>
      <c r="W5" s="39" t="s">
        <v>199</v>
      </c>
      <c r="X5" s="39" t="s">
        <v>199</v>
      </c>
      <c r="Y5" s="37" t="s">
        <v>431</v>
      </c>
      <c r="Z5" s="37"/>
      <c r="AA5" s="37" t="s">
        <v>427</v>
      </c>
      <c r="AB5" t="str">
        <f>IFERROR(HYPERLINK("#'Main'!B"&amp;MATCH(TRIM(A5),Main!B:B,0),"Open"),HYPERLINK("#'Main'!B1","Open"))</f>
        <v>Open</v>
      </c>
    </row>
    <row r="6" spans="1:29" ht="30" customHeight="1" x14ac:dyDescent="0.25">
      <c r="A6" s="45" t="s">
        <v>146</v>
      </c>
      <c r="B6" s="28" t="s">
        <v>427</v>
      </c>
      <c r="C6" s="47">
        <v>200</v>
      </c>
      <c r="D6" s="42" t="s">
        <v>50</v>
      </c>
      <c r="E6" s="50">
        <v>60</v>
      </c>
      <c r="F6" s="28" t="s">
        <v>428</v>
      </c>
      <c r="G6" s="28">
        <v>0</v>
      </c>
      <c r="H6" s="28">
        <v>3</v>
      </c>
      <c r="I6" s="28" t="s">
        <v>429</v>
      </c>
      <c r="J6" s="28" t="s">
        <v>430</v>
      </c>
      <c r="K6" s="47" t="s">
        <v>194</v>
      </c>
      <c r="L6" s="28" t="s">
        <v>195</v>
      </c>
      <c r="M6" s="28">
        <v>0</v>
      </c>
      <c r="N6" s="47" t="b">
        <v>0</v>
      </c>
      <c r="O6" s="28"/>
      <c r="P6" s="28"/>
      <c r="Q6" s="28"/>
      <c r="R6" s="28">
        <v>0</v>
      </c>
      <c r="S6" s="28">
        <v>0</v>
      </c>
      <c r="T6" s="28">
        <v>0</v>
      </c>
      <c r="U6" s="28">
        <v>0</v>
      </c>
      <c r="V6" s="28">
        <v>0</v>
      </c>
      <c r="W6" s="32" t="s">
        <v>146</v>
      </c>
      <c r="X6" s="32" t="s">
        <v>146</v>
      </c>
      <c r="Y6" s="28" t="s">
        <v>431</v>
      </c>
      <c r="Z6" s="28"/>
      <c r="AA6" s="28" t="s">
        <v>427</v>
      </c>
      <c r="AB6" s="36" t="str">
        <f>IFERROR(HYPERLINK("#'Main'!B"&amp;MATCH(TRIM(A6),Main!B:B,0),"Open"),HYPERLINK("#'Main'!B1","Open"))</f>
        <v>Open</v>
      </c>
      <c r="AC6" s="36"/>
    </row>
    <row r="7" spans="1:29" ht="30" customHeight="1" x14ac:dyDescent="0.25">
      <c r="A7" s="46" t="s">
        <v>197</v>
      </c>
      <c r="B7" s="37" t="s">
        <v>427</v>
      </c>
      <c r="C7" s="47">
        <v>200</v>
      </c>
      <c r="D7" s="42" t="s">
        <v>50</v>
      </c>
      <c r="E7" s="51">
        <v>60</v>
      </c>
      <c r="F7" s="37" t="s">
        <v>428</v>
      </c>
      <c r="G7" s="37">
        <v>0</v>
      </c>
      <c r="H7" s="37">
        <v>3</v>
      </c>
      <c r="I7" s="37" t="s">
        <v>429</v>
      </c>
      <c r="J7" s="37" t="s">
        <v>430</v>
      </c>
      <c r="K7" s="47" t="s">
        <v>194</v>
      </c>
      <c r="L7" s="37" t="s">
        <v>195</v>
      </c>
      <c r="M7" s="37">
        <v>0</v>
      </c>
      <c r="N7" s="47" t="b">
        <v>0</v>
      </c>
      <c r="O7" s="37"/>
      <c r="P7" s="37"/>
      <c r="Q7" s="37"/>
      <c r="R7" s="37">
        <v>0</v>
      </c>
      <c r="S7" s="37">
        <v>0</v>
      </c>
      <c r="T7" s="37">
        <v>0</v>
      </c>
      <c r="U7" s="37">
        <v>0</v>
      </c>
      <c r="V7" s="37">
        <v>0</v>
      </c>
      <c r="W7" s="39" t="s">
        <v>197</v>
      </c>
      <c r="X7" s="39" t="s">
        <v>197</v>
      </c>
      <c r="Y7" s="37" t="s">
        <v>431</v>
      </c>
      <c r="Z7" s="37"/>
      <c r="AA7" s="37" t="s">
        <v>427</v>
      </c>
      <c r="AB7" t="str">
        <f>IFERROR(HYPERLINK("#'Main'!B"&amp;MATCH(TRIM(A7),Main!B:B,0),"Open"),HYPERLINK("#'Main'!B1","Open"))</f>
        <v>Open</v>
      </c>
    </row>
    <row r="8" spans="1:29" ht="30" customHeight="1" x14ac:dyDescent="0.25">
      <c r="A8" s="45" t="s">
        <v>198</v>
      </c>
      <c r="B8" s="28" t="s">
        <v>427</v>
      </c>
      <c r="C8" s="47">
        <v>200</v>
      </c>
      <c r="D8" s="42" t="s">
        <v>50</v>
      </c>
      <c r="E8" s="50">
        <v>60</v>
      </c>
      <c r="F8" s="28" t="s">
        <v>428</v>
      </c>
      <c r="G8" s="28">
        <v>0</v>
      </c>
      <c r="H8" s="28">
        <v>3</v>
      </c>
      <c r="I8" s="28" t="s">
        <v>429</v>
      </c>
      <c r="J8" s="28" t="s">
        <v>430</v>
      </c>
      <c r="K8" s="47" t="s">
        <v>194</v>
      </c>
      <c r="L8" s="28" t="s">
        <v>195</v>
      </c>
      <c r="M8" s="28">
        <v>0</v>
      </c>
      <c r="N8" s="47" t="b">
        <v>0</v>
      </c>
      <c r="O8" s="28"/>
      <c r="P8" s="28"/>
      <c r="Q8" s="28"/>
      <c r="R8" s="28">
        <v>0</v>
      </c>
      <c r="S8" s="28">
        <v>0</v>
      </c>
      <c r="T8" s="28">
        <v>0</v>
      </c>
      <c r="U8" s="28">
        <v>0</v>
      </c>
      <c r="V8" s="28">
        <v>0</v>
      </c>
      <c r="W8" s="32" t="s">
        <v>198</v>
      </c>
      <c r="X8" s="32" t="s">
        <v>198</v>
      </c>
      <c r="Y8" s="28" t="s">
        <v>431</v>
      </c>
      <c r="Z8" s="28"/>
      <c r="AA8" s="28" t="s">
        <v>427</v>
      </c>
      <c r="AB8" s="36" t="str">
        <f>IFERROR(HYPERLINK("#'Main'!B"&amp;MATCH(TRIM(A8),Main!B:B,0),"Open"),HYPERLINK("#'Main'!B1","Open"))</f>
        <v>Open</v>
      </c>
      <c r="AC8" s="36"/>
    </row>
    <row r="9" spans="1:29" ht="30" customHeight="1" x14ac:dyDescent="0.25">
      <c r="A9" s="46" t="s">
        <v>200</v>
      </c>
      <c r="B9" s="37" t="s">
        <v>427</v>
      </c>
      <c r="C9" s="47">
        <v>200</v>
      </c>
      <c r="D9" s="42" t="s">
        <v>50</v>
      </c>
      <c r="E9" s="51">
        <v>70</v>
      </c>
      <c r="F9" s="37" t="s">
        <v>428</v>
      </c>
      <c r="G9" s="37">
        <v>0</v>
      </c>
      <c r="H9" s="37">
        <v>2</v>
      </c>
      <c r="I9" s="37" t="s">
        <v>429</v>
      </c>
      <c r="J9" s="37" t="s">
        <v>430</v>
      </c>
      <c r="K9" s="47" t="s">
        <v>194</v>
      </c>
      <c r="L9" s="37" t="s">
        <v>195</v>
      </c>
      <c r="M9" s="37">
        <v>0</v>
      </c>
      <c r="N9" s="47" t="b">
        <v>0</v>
      </c>
      <c r="O9" s="37"/>
      <c r="P9" s="37"/>
      <c r="Q9" s="37"/>
      <c r="R9" s="37">
        <v>0</v>
      </c>
      <c r="S9" s="37">
        <v>0</v>
      </c>
      <c r="T9" s="37">
        <v>0</v>
      </c>
      <c r="U9" s="37">
        <v>0</v>
      </c>
      <c r="V9" s="37">
        <v>0</v>
      </c>
      <c r="W9" s="39" t="s">
        <v>200</v>
      </c>
      <c r="X9" s="39" t="s">
        <v>200</v>
      </c>
      <c r="Y9" s="37" t="s">
        <v>431</v>
      </c>
      <c r="Z9" s="37"/>
      <c r="AA9" s="37" t="s">
        <v>427</v>
      </c>
      <c r="AB9" t="str">
        <f>IFERROR(HYPERLINK("#'Main'!B"&amp;MATCH(TRIM(A9),Main!B:B,0),"Open"),HYPERLINK("#'Main'!B1","Open"))</f>
        <v>Open</v>
      </c>
    </row>
    <row r="10" spans="1:29" ht="30" customHeight="1" x14ac:dyDescent="0.25">
      <c r="A10" s="45" t="s">
        <v>148</v>
      </c>
      <c r="B10" s="28" t="s">
        <v>427</v>
      </c>
      <c r="C10" s="47">
        <v>200</v>
      </c>
      <c r="D10" s="42" t="s">
        <v>50</v>
      </c>
      <c r="E10" s="50">
        <v>50</v>
      </c>
      <c r="F10" s="28" t="s">
        <v>428</v>
      </c>
      <c r="G10" s="28">
        <v>0</v>
      </c>
      <c r="H10" s="28">
        <v>4</v>
      </c>
      <c r="I10" s="28" t="s">
        <v>429</v>
      </c>
      <c r="J10" s="28" t="s">
        <v>430</v>
      </c>
      <c r="K10" s="47" t="s">
        <v>194</v>
      </c>
      <c r="L10" s="28" t="s">
        <v>195</v>
      </c>
      <c r="M10" s="28">
        <v>0</v>
      </c>
      <c r="N10" s="47" t="b">
        <v>0</v>
      </c>
      <c r="O10" s="28"/>
      <c r="P10" s="28"/>
      <c r="Q10" s="28"/>
      <c r="R10" s="28">
        <v>0</v>
      </c>
      <c r="S10" s="28">
        <v>0</v>
      </c>
      <c r="T10" s="28">
        <v>0</v>
      </c>
      <c r="U10" s="28">
        <v>0</v>
      </c>
      <c r="V10" s="28">
        <v>0</v>
      </c>
      <c r="W10" s="32" t="s">
        <v>148</v>
      </c>
      <c r="X10" s="32" t="s">
        <v>148</v>
      </c>
      <c r="Y10" s="28" t="s">
        <v>431</v>
      </c>
      <c r="Z10" s="28"/>
      <c r="AA10" s="28" t="s">
        <v>427</v>
      </c>
      <c r="AB10" s="36" t="str">
        <f>IFERROR(HYPERLINK("#'Main'!B"&amp;MATCH(TRIM(A10),Main!B:B,0),"Open"),HYPERLINK("#'Main'!B1","Open"))</f>
        <v>Open</v>
      </c>
      <c r="AC10" s="36"/>
    </row>
    <row r="11" spans="1:29" ht="30" customHeight="1" x14ac:dyDescent="0.25">
      <c r="A11" s="46" t="s">
        <v>201</v>
      </c>
      <c r="B11" s="37" t="s">
        <v>427</v>
      </c>
      <c r="C11" s="47">
        <v>200</v>
      </c>
      <c r="D11" s="42" t="s">
        <v>50</v>
      </c>
      <c r="E11" s="51">
        <v>70</v>
      </c>
      <c r="F11" s="37" t="s">
        <v>428</v>
      </c>
      <c r="G11" s="37">
        <v>0</v>
      </c>
      <c r="H11" s="37">
        <v>2</v>
      </c>
      <c r="I11" s="37" t="s">
        <v>429</v>
      </c>
      <c r="J11" s="37" t="s">
        <v>430</v>
      </c>
      <c r="K11" s="47" t="s">
        <v>194</v>
      </c>
      <c r="L11" s="37" t="s">
        <v>195</v>
      </c>
      <c r="M11" s="37">
        <v>0</v>
      </c>
      <c r="N11" s="47" t="b">
        <v>0</v>
      </c>
      <c r="O11" s="37"/>
      <c r="P11" s="37"/>
      <c r="Q11" s="37"/>
      <c r="R11" s="37">
        <v>0</v>
      </c>
      <c r="S11" s="37">
        <v>0</v>
      </c>
      <c r="T11" s="37">
        <v>0</v>
      </c>
      <c r="U11" s="37">
        <v>0</v>
      </c>
      <c r="V11" s="37">
        <v>0</v>
      </c>
      <c r="W11" s="39" t="s">
        <v>201</v>
      </c>
      <c r="X11" s="39" t="s">
        <v>201</v>
      </c>
      <c r="Y11" s="37" t="s">
        <v>431</v>
      </c>
      <c r="Z11" s="37"/>
      <c r="AA11" s="37" t="s">
        <v>427</v>
      </c>
      <c r="AB11" t="str">
        <f>IFERROR(HYPERLINK("#'Main'!B"&amp;MATCH(TRIM(A11),Main!B:B,0),"Open"),HYPERLINK("#'Main'!B1","Open"))</f>
        <v>Open</v>
      </c>
    </row>
  </sheetData>
  <autoFilter ref="A1:AC11" xr:uid="{00000000-0009-0000-0000-000006000000}"/>
  <conditionalFormatting sqref="C2:C11">
    <cfRule type="cellIs" dxfId="53" priority="1" operator="equal">
      <formula>200</formula>
    </cfRule>
    <cfRule type="cellIs" dxfId="52" priority="2" operator="between">
      <formula>300</formula>
      <formula>399</formula>
    </cfRule>
    <cfRule type="cellIs" dxfId="51" priority="3" operator="greaterThanOrEqual">
      <formula>400</formula>
    </cfRule>
  </conditionalFormatting>
  <conditionalFormatting sqref="D2:D11">
    <cfRule type="expression" dxfId="50" priority="4" stopIfTrue="1">
      <formula>LOWER(D2)="critical"</formula>
    </cfRule>
    <cfRule type="expression" dxfId="49" priority="5" stopIfTrue="1">
      <formula>LOWER(D2)="warning"</formula>
    </cfRule>
    <cfRule type="expression" dxfId="48" priority="6" stopIfTrue="1">
      <formula>OR(LOWER(D2)="pass",LOWER(D2)="observation")</formula>
    </cfRule>
    <cfRule type="expression" dxfId="47" priority="13" stopIfTrue="1">
      <formula>OR(NOT(ISERROR(SEARCH("Critical",D2))),NOT(ISERROR(SEARCH("Non-Pass",D2))),NOT(ISERROR(SEARCH("Error",D2))))</formula>
    </cfRule>
    <cfRule type="expression" dxfId="46" priority="14" stopIfTrue="1">
      <formula>OR(NOT(ISERROR(SEARCH("Warning",D2))),NOT(ISERROR(SEARCH("Needs Work",D2))))</formula>
    </cfRule>
  </conditionalFormatting>
  <conditionalFormatting sqref="E2:E11">
    <cfRule type="colorScale" priority="7">
      <colorScale>
        <cfvo type="num" val="0"/>
        <cfvo type="num" val="50"/>
        <cfvo type="num" val="100"/>
        <color rgb="FFF8696B"/>
        <color rgb="FFFFEB84"/>
        <color rgb="FF63BE7B"/>
      </colorScale>
    </cfRule>
  </conditionalFormatting>
  <conditionalFormatting sqref="F2:F11">
    <cfRule type="expression" dxfId="45" priority="15" stopIfTrue="1">
      <formula>OR(NOT(ISERROR(SEARCH("Critical",F2))),NOT(ISERROR(SEARCH("Non-Pass",F2))),NOT(ISERROR(SEARCH("Error",F2))))</formula>
    </cfRule>
    <cfRule type="expression" dxfId="44" priority="16" stopIfTrue="1">
      <formula>OR(NOT(ISERROR(SEARCH("Warning",F2))),NOT(ISERROR(SEARCH("Needs Work",F2))))</formula>
    </cfRule>
  </conditionalFormatting>
  <conditionalFormatting sqref="K2:K11">
    <cfRule type="expression" dxfId="43" priority="17" stopIfTrue="1">
      <formula>OR(NOT(ISERROR(SEARCH("Critical",K2))),NOT(ISERROR(SEARCH("Non-Pass",K2))),NOT(ISERROR(SEARCH("Error",K2))))</formula>
    </cfRule>
    <cfRule type="expression" dxfId="42" priority="18" stopIfTrue="1">
      <formula>OR(NOT(ISERROR(SEARCH("Warning",K2))),NOT(ISERROR(SEARCH("Needs Work",K2))))</formula>
    </cfRule>
  </conditionalFormatting>
  <conditionalFormatting sqref="M2:M11">
    <cfRule type="dataBar" priority="12">
      <dataBar>
        <cfvo type="min"/>
        <cfvo type="max"/>
        <color rgb="FF638EC6"/>
      </dataBar>
    </cfRule>
  </conditionalFormatting>
  <conditionalFormatting sqref="R2:R11">
    <cfRule type="colorScale" priority="8">
      <colorScale>
        <cfvo type="num" val="0"/>
        <cfvo type="num" val="50"/>
        <cfvo type="num" val="100"/>
        <color rgb="FFF8696B"/>
        <color rgb="FFFFEB84"/>
        <color rgb="FF63BE7B"/>
      </colorScale>
    </cfRule>
  </conditionalFormatting>
  <conditionalFormatting sqref="T2:T11">
    <cfRule type="colorScale" priority="9">
      <colorScale>
        <cfvo type="min"/>
        <cfvo type="percentile" val="50"/>
        <cfvo type="max"/>
        <color rgb="FF63BE7B"/>
        <color rgb="FFFFEB84"/>
        <color rgb="FFF8696B"/>
      </colorScale>
    </cfRule>
  </conditionalFormatting>
  <conditionalFormatting sqref="U2:U11">
    <cfRule type="colorScale" priority="11">
      <colorScale>
        <cfvo type="min"/>
        <cfvo type="percentile" val="50"/>
        <cfvo type="max"/>
        <color rgb="FF63BE7B"/>
        <color rgb="FFFFEB84"/>
        <color rgb="FFF8696B"/>
      </colorScale>
    </cfRule>
  </conditionalFormatting>
  <conditionalFormatting sqref="V2:V11">
    <cfRule type="colorScale" priority="10">
      <colorScale>
        <cfvo type="min"/>
        <cfvo type="percentile" val="50"/>
        <cfvo type="max"/>
        <color rgb="FF63BE7B"/>
        <color rgb="FFFFEB84"/>
        <color rgb="FFF8696B"/>
      </colorScale>
    </cfRule>
  </conditionalFormatting>
  <hyperlinks>
    <hyperlink ref="AC1" location="'Dashboard'!A1" display="BACK TO DASHBOARD" xr:uid="{00000000-0004-0000-0600-000000000000}"/>
    <hyperlink ref="A2" r:id="rId1" xr:uid="{00000000-0004-0000-0600-000001000000}"/>
    <hyperlink ref="A3" r:id="rId2" xr:uid="{00000000-0004-0000-0600-000002000000}"/>
    <hyperlink ref="A4" r:id="rId3" xr:uid="{00000000-0004-0000-0600-000003000000}"/>
    <hyperlink ref="A5" r:id="rId4" xr:uid="{00000000-0004-0000-0600-000004000000}"/>
    <hyperlink ref="A6" r:id="rId5" xr:uid="{00000000-0004-0000-0600-000005000000}"/>
    <hyperlink ref="A7" r:id="rId6" xr:uid="{00000000-0004-0000-0600-000006000000}"/>
    <hyperlink ref="A8" r:id="rId7" xr:uid="{00000000-0004-0000-0600-000007000000}"/>
    <hyperlink ref="A9" r:id="rId8" xr:uid="{00000000-0004-0000-0600-000008000000}"/>
    <hyperlink ref="A10" r:id="rId9" xr:uid="{00000000-0004-0000-0600-000009000000}"/>
    <hyperlink ref="A11" r:id="rId10" xr:uid="{00000000-0004-0000-0600-00000A000000}"/>
  </hyperlinks>
  <pageMargins left="0.75" right="0.75" top="1" bottom="1" header="0.5" footer="0.5"/>
  <legacyDrawing r:id="rId1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1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3" customWidth="1"/>
    <col min="3" max="3" width="12" customWidth="1"/>
    <col min="4" max="4" width="28" customWidth="1"/>
    <col min="5" max="5" width="19" customWidth="1"/>
    <col min="6" max="6" width="10" customWidth="1"/>
    <col min="7" max="7" width="17" customWidth="1"/>
    <col min="8" max="8" width="26" customWidth="1"/>
    <col min="9" max="9" width="21" customWidth="1"/>
    <col min="10" max="10" width="12" customWidth="1"/>
    <col min="11" max="12" width="20" customWidth="1"/>
    <col min="13" max="13" width="21" customWidth="1"/>
    <col min="14" max="14" width="24" customWidth="1"/>
    <col min="15" max="15" width="19" customWidth="1"/>
    <col min="16" max="16" width="13" customWidth="1"/>
    <col min="17" max="17" width="20" customWidth="1"/>
    <col min="18" max="18" width="24" customWidth="1"/>
    <col min="19" max="19" width="26" customWidth="1"/>
    <col min="20" max="20" width="15" customWidth="1"/>
    <col min="21" max="21" width="30" customWidth="1"/>
    <col min="22" max="22" width="23" customWidth="1"/>
  </cols>
  <sheetData>
    <row r="1" spans="1:24" ht="45" x14ac:dyDescent="0.25">
      <c r="A1" s="26" t="s">
        <v>70</v>
      </c>
      <c r="B1" s="26" t="s">
        <v>432</v>
      </c>
      <c r="C1" s="26" t="s">
        <v>433</v>
      </c>
      <c r="D1" s="26" t="s">
        <v>434</v>
      </c>
      <c r="E1" s="26" t="s">
        <v>435</v>
      </c>
      <c r="F1" s="26" t="s">
        <v>436</v>
      </c>
      <c r="G1" s="26" t="s">
        <v>437</v>
      </c>
      <c r="H1" s="26" t="s">
        <v>438</v>
      </c>
      <c r="I1" s="26" t="s">
        <v>439</v>
      </c>
      <c r="J1" s="26" t="s">
        <v>440</v>
      </c>
      <c r="K1" s="26" t="s">
        <v>441</v>
      </c>
      <c r="L1" s="26" t="s">
        <v>442</v>
      </c>
      <c r="M1" s="26" t="s">
        <v>443</v>
      </c>
      <c r="N1" s="26" t="s">
        <v>444</v>
      </c>
      <c r="O1" s="26" t="s">
        <v>445</v>
      </c>
      <c r="P1" s="26" t="s">
        <v>446</v>
      </c>
      <c r="Q1" s="26" t="s">
        <v>447</v>
      </c>
      <c r="R1" s="26" t="s">
        <v>448</v>
      </c>
      <c r="S1" s="26" t="s">
        <v>449</v>
      </c>
      <c r="T1" s="26" t="s">
        <v>450</v>
      </c>
      <c r="U1" s="26" t="s">
        <v>451</v>
      </c>
      <c r="V1" s="26" t="s">
        <v>284</v>
      </c>
      <c r="W1" s="26" t="s">
        <v>85</v>
      </c>
      <c r="X1" s="27" t="s">
        <v>87</v>
      </c>
    </row>
    <row r="2" spans="1:24" ht="30" customHeight="1" x14ac:dyDescent="0.25">
      <c r="A2" s="45" t="s">
        <v>138</v>
      </c>
      <c r="B2" s="28" t="s">
        <v>452</v>
      </c>
      <c r="C2" s="28">
        <v>1637</v>
      </c>
      <c r="D2" s="28">
        <v>179.14</v>
      </c>
      <c r="E2" s="47" t="b">
        <v>0</v>
      </c>
      <c r="F2" s="28">
        <v>2</v>
      </c>
      <c r="G2" s="47" t="b">
        <v>0</v>
      </c>
      <c r="H2" s="47" t="b">
        <v>0</v>
      </c>
      <c r="I2" s="50">
        <v>30</v>
      </c>
      <c r="J2" s="28" t="s">
        <v>453</v>
      </c>
      <c r="K2" s="28">
        <v>0</v>
      </c>
      <c r="L2" s="28"/>
      <c r="M2" s="28">
        <v>0</v>
      </c>
      <c r="N2" s="28">
        <v>0</v>
      </c>
      <c r="O2" s="28">
        <v>0</v>
      </c>
      <c r="P2" s="28">
        <v>47</v>
      </c>
      <c r="Q2" s="28">
        <v>25</v>
      </c>
      <c r="R2" s="56">
        <v>46.81</v>
      </c>
      <c r="S2" s="28">
        <v>0</v>
      </c>
      <c r="T2" s="47" t="b">
        <v>0</v>
      </c>
      <c r="U2" s="47" t="b">
        <v>0</v>
      </c>
      <c r="V2" s="28" t="s">
        <v>452</v>
      </c>
      <c r="W2" s="36" t="str">
        <f>IFERROR(HYPERLINK("#'Main'!B"&amp;MATCH(TRIM(A2),Main!B:B,0),"Open"),HYPERLINK("#'Main'!B1","Open"))</f>
        <v>Open</v>
      </c>
      <c r="X2" s="36"/>
    </row>
    <row r="3" spans="1:24" ht="30" customHeight="1" x14ac:dyDescent="0.25">
      <c r="A3" s="46" t="s">
        <v>196</v>
      </c>
      <c r="B3" s="37" t="s">
        <v>452</v>
      </c>
      <c r="C3" s="37">
        <v>339</v>
      </c>
      <c r="D3" s="37">
        <v>180.37</v>
      </c>
      <c r="E3" s="47" t="b">
        <v>0</v>
      </c>
      <c r="F3" s="37">
        <v>2</v>
      </c>
      <c r="G3" s="47" t="b">
        <v>0</v>
      </c>
      <c r="H3" s="47" t="b">
        <v>0</v>
      </c>
      <c r="I3" s="51">
        <v>30</v>
      </c>
      <c r="J3" s="37" t="s">
        <v>453</v>
      </c>
      <c r="K3" s="37">
        <v>0</v>
      </c>
      <c r="L3" s="37"/>
      <c r="M3" s="37">
        <v>0</v>
      </c>
      <c r="N3" s="37">
        <v>0</v>
      </c>
      <c r="O3" s="37">
        <v>0</v>
      </c>
      <c r="P3" s="37">
        <v>25</v>
      </c>
      <c r="Q3" s="37">
        <v>9</v>
      </c>
      <c r="R3" s="56">
        <v>64</v>
      </c>
      <c r="S3" s="37">
        <v>0</v>
      </c>
      <c r="T3" s="47" t="b">
        <v>0</v>
      </c>
      <c r="U3" s="47" t="b">
        <v>0</v>
      </c>
      <c r="V3" s="37" t="s">
        <v>452</v>
      </c>
      <c r="W3" t="str">
        <f>IFERROR(HYPERLINK("#'Main'!B"&amp;MATCH(TRIM(A3),Main!B:B,0),"Open"),HYPERLINK("#'Main'!B1","Open"))</f>
        <v>Open</v>
      </c>
    </row>
    <row r="4" spans="1:24" ht="15.75" x14ac:dyDescent="0.25">
      <c r="A4" s="45" t="s">
        <v>166</v>
      </c>
      <c r="B4" s="28" t="s">
        <v>452</v>
      </c>
      <c r="C4" s="28">
        <v>37</v>
      </c>
      <c r="D4" s="28">
        <v>188.06</v>
      </c>
      <c r="E4" s="29" t="b">
        <v>1</v>
      </c>
      <c r="F4" s="28">
        <v>5</v>
      </c>
      <c r="G4" s="47" t="b">
        <v>0</v>
      </c>
      <c r="H4" s="47" t="b">
        <v>0</v>
      </c>
      <c r="I4" s="50">
        <v>30</v>
      </c>
      <c r="J4" s="28" t="s">
        <v>453</v>
      </c>
      <c r="K4" s="28">
        <v>0</v>
      </c>
      <c r="L4" s="28"/>
      <c r="M4" s="28">
        <v>0</v>
      </c>
      <c r="N4" s="28">
        <v>0</v>
      </c>
      <c r="O4" s="28">
        <v>0</v>
      </c>
      <c r="P4" s="28">
        <v>55</v>
      </c>
      <c r="Q4" s="28">
        <v>13</v>
      </c>
      <c r="R4" s="56">
        <v>76.36</v>
      </c>
      <c r="S4" s="28">
        <v>0</v>
      </c>
      <c r="T4" s="47" t="b">
        <v>0</v>
      </c>
      <c r="U4" s="47" t="b">
        <v>0</v>
      </c>
      <c r="V4" s="28" t="s">
        <v>452</v>
      </c>
      <c r="W4" s="36" t="str">
        <f>IFERROR(HYPERLINK("#'Main'!B"&amp;MATCH(TRIM(A4),Main!B:B,0),"Open"),HYPERLINK("#'Main'!B1","Open"))</f>
        <v>Open</v>
      </c>
      <c r="X4" s="36"/>
    </row>
    <row r="5" spans="1:24" ht="30" customHeight="1" x14ac:dyDescent="0.25">
      <c r="A5" s="46" t="s">
        <v>199</v>
      </c>
      <c r="B5" s="37" t="s">
        <v>452</v>
      </c>
      <c r="C5" s="37">
        <v>235</v>
      </c>
      <c r="D5" s="37">
        <v>172.76</v>
      </c>
      <c r="E5" s="29" t="b">
        <v>1</v>
      </c>
      <c r="F5" s="37">
        <v>1</v>
      </c>
      <c r="G5" s="47" t="b">
        <v>0</v>
      </c>
      <c r="H5" s="47" t="b">
        <v>0</v>
      </c>
      <c r="I5" s="51">
        <v>30</v>
      </c>
      <c r="J5" s="37" t="s">
        <v>453</v>
      </c>
      <c r="K5" s="37">
        <v>0</v>
      </c>
      <c r="L5" s="37"/>
      <c r="M5" s="37">
        <v>0</v>
      </c>
      <c r="N5" s="37">
        <v>0</v>
      </c>
      <c r="O5" s="37">
        <v>0</v>
      </c>
      <c r="P5" s="37">
        <v>44</v>
      </c>
      <c r="Q5" s="37">
        <v>12</v>
      </c>
      <c r="R5" s="56">
        <v>72.73</v>
      </c>
      <c r="S5" s="37">
        <v>0</v>
      </c>
      <c r="T5" s="47" t="b">
        <v>0</v>
      </c>
      <c r="U5" s="47" t="b">
        <v>0</v>
      </c>
      <c r="V5" s="37" t="s">
        <v>452</v>
      </c>
      <c r="W5" t="str">
        <f>IFERROR(HYPERLINK("#'Main'!B"&amp;MATCH(TRIM(A5),Main!B:B,0),"Open"),HYPERLINK("#'Main'!B1","Open"))</f>
        <v>Open</v>
      </c>
    </row>
    <row r="6" spans="1:24" ht="30" customHeight="1" x14ac:dyDescent="0.25">
      <c r="A6" s="45" t="s">
        <v>146</v>
      </c>
      <c r="B6" s="28" t="s">
        <v>452</v>
      </c>
      <c r="C6" s="28">
        <v>120</v>
      </c>
      <c r="D6" s="28">
        <v>145.94</v>
      </c>
      <c r="E6" s="29" t="b">
        <v>1</v>
      </c>
      <c r="F6" s="28">
        <v>0</v>
      </c>
      <c r="G6" s="29" t="b">
        <v>1</v>
      </c>
      <c r="H6" s="47" t="b">
        <v>0</v>
      </c>
      <c r="I6" s="50">
        <v>30</v>
      </c>
      <c r="J6" s="28" t="s">
        <v>453</v>
      </c>
      <c r="K6" s="28">
        <v>0</v>
      </c>
      <c r="L6" s="28"/>
      <c r="M6" s="28">
        <v>0</v>
      </c>
      <c r="N6" s="28">
        <v>0</v>
      </c>
      <c r="O6" s="28">
        <v>0</v>
      </c>
      <c r="P6" s="28">
        <v>23</v>
      </c>
      <c r="Q6" s="28">
        <v>8</v>
      </c>
      <c r="R6" s="56">
        <v>65.22</v>
      </c>
      <c r="S6" s="28">
        <v>0</v>
      </c>
      <c r="T6" s="47" t="b">
        <v>0</v>
      </c>
      <c r="U6" s="47" t="b">
        <v>0</v>
      </c>
      <c r="V6" s="28" t="s">
        <v>452</v>
      </c>
      <c r="W6" s="36" t="str">
        <f>IFERROR(HYPERLINK("#'Main'!B"&amp;MATCH(TRIM(A6),Main!B:B,0),"Open"),HYPERLINK("#'Main'!B1","Open"))</f>
        <v>Open</v>
      </c>
      <c r="X6" s="36"/>
    </row>
    <row r="7" spans="1:24" ht="30" customHeight="1" x14ac:dyDescent="0.25">
      <c r="A7" s="46" t="s">
        <v>197</v>
      </c>
      <c r="B7" s="37" t="s">
        <v>452</v>
      </c>
      <c r="C7" s="37">
        <v>367</v>
      </c>
      <c r="D7" s="37">
        <v>178.18</v>
      </c>
      <c r="E7" s="47" t="b">
        <v>0</v>
      </c>
      <c r="F7" s="37">
        <v>0</v>
      </c>
      <c r="G7" s="29" t="b">
        <v>1</v>
      </c>
      <c r="H7" s="47" t="b">
        <v>0</v>
      </c>
      <c r="I7" s="51">
        <v>30</v>
      </c>
      <c r="J7" s="37" t="s">
        <v>453</v>
      </c>
      <c r="K7" s="37">
        <v>0</v>
      </c>
      <c r="L7" s="37"/>
      <c r="M7" s="37">
        <v>0</v>
      </c>
      <c r="N7" s="37">
        <v>0</v>
      </c>
      <c r="O7" s="37">
        <v>0</v>
      </c>
      <c r="P7" s="37">
        <v>30</v>
      </c>
      <c r="Q7" s="37">
        <v>15</v>
      </c>
      <c r="R7" s="56">
        <v>50</v>
      </c>
      <c r="S7" s="37">
        <v>0</v>
      </c>
      <c r="T7" s="47" t="b">
        <v>0</v>
      </c>
      <c r="U7" s="47" t="b">
        <v>0</v>
      </c>
      <c r="V7" s="37" t="s">
        <v>452</v>
      </c>
      <c r="W7" t="str">
        <f>IFERROR(HYPERLINK("#'Main'!B"&amp;MATCH(TRIM(A7),Main!B:B,0),"Open"),HYPERLINK("#'Main'!B1","Open"))</f>
        <v>Open</v>
      </c>
    </row>
    <row r="8" spans="1:24" ht="30" customHeight="1" x14ac:dyDescent="0.25">
      <c r="A8" s="45" t="s">
        <v>198</v>
      </c>
      <c r="B8" s="28" t="s">
        <v>452</v>
      </c>
      <c r="C8" s="28">
        <v>32</v>
      </c>
      <c r="D8" s="28">
        <v>196.01</v>
      </c>
      <c r="E8" s="29" t="b">
        <v>1</v>
      </c>
      <c r="F8" s="28">
        <v>0</v>
      </c>
      <c r="G8" s="29" t="b">
        <v>1</v>
      </c>
      <c r="H8" s="47" t="b">
        <v>0</v>
      </c>
      <c r="I8" s="50">
        <v>30</v>
      </c>
      <c r="J8" s="28" t="s">
        <v>453</v>
      </c>
      <c r="K8" s="28">
        <v>0</v>
      </c>
      <c r="L8" s="28"/>
      <c r="M8" s="28">
        <v>0</v>
      </c>
      <c r="N8" s="28">
        <v>0</v>
      </c>
      <c r="O8" s="28">
        <v>0</v>
      </c>
      <c r="P8" s="28">
        <v>28</v>
      </c>
      <c r="Q8" s="28">
        <v>13</v>
      </c>
      <c r="R8" s="56">
        <v>53.57</v>
      </c>
      <c r="S8" s="28">
        <v>0</v>
      </c>
      <c r="T8" s="47" t="b">
        <v>0</v>
      </c>
      <c r="U8" s="47" t="b">
        <v>0</v>
      </c>
      <c r="V8" s="28" t="s">
        <v>452</v>
      </c>
      <c r="W8" s="36" t="str">
        <f>IFERROR(HYPERLINK("#'Main'!B"&amp;MATCH(TRIM(A8),Main!B:B,0),"Open"),HYPERLINK("#'Main'!B1","Open"))</f>
        <v>Open</v>
      </c>
      <c r="X8" s="36"/>
    </row>
    <row r="9" spans="1:24" ht="30" customHeight="1" x14ac:dyDescent="0.25">
      <c r="A9" s="46" t="s">
        <v>200</v>
      </c>
      <c r="B9" s="37" t="s">
        <v>452</v>
      </c>
      <c r="C9" s="37">
        <v>415</v>
      </c>
      <c r="D9" s="37">
        <v>168.54</v>
      </c>
      <c r="E9" s="47" t="b">
        <v>0</v>
      </c>
      <c r="F9" s="37">
        <v>1</v>
      </c>
      <c r="G9" s="47" t="b">
        <v>0</v>
      </c>
      <c r="H9" s="47" t="b">
        <v>0</v>
      </c>
      <c r="I9" s="51">
        <v>30</v>
      </c>
      <c r="J9" s="37" t="s">
        <v>453</v>
      </c>
      <c r="K9" s="37">
        <v>0</v>
      </c>
      <c r="L9" s="37"/>
      <c r="M9" s="37">
        <v>0</v>
      </c>
      <c r="N9" s="37">
        <v>0</v>
      </c>
      <c r="O9" s="37">
        <v>0</v>
      </c>
      <c r="P9" s="37">
        <v>56</v>
      </c>
      <c r="Q9" s="37">
        <v>37</v>
      </c>
      <c r="R9" s="56">
        <v>33.93</v>
      </c>
      <c r="S9" s="37">
        <v>0</v>
      </c>
      <c r="T9" s="47" t="b">
        <v>0</v>
      </c>
      <c r="U9" s="47" t="b">
        <v>0</v>
      </c>
      <c r="V9" s="37" t="s">
        <v>452</v>
      </c>
      <c r="W9" t="str">
        <f>IFERROR(HYPERLINK("#'Main'!B"&amp;MATCH(TRIM(A9),Main!B:B,0),"Open"),HYPERLINK("#'Main'!B1","Open"))</f>
        <v>Open</v>
      </c>
    </row>
    <row r="10" spans="1:24" ht="30" customHeight="1" x14ac:dyDescent="0.25">
      <c r="A10" s="45" t="s">
        <v>148</v>
      </c>
      <c r="B10" s="28" t="s">
        <v>452</v>
      </c>
      <c r="C10" s="28">
        <v>31</v>
      </c>
      <c r="D10" s="28">
        <v>175.37</v>
      </c>
      <c r="E10" s="29" t="b">
        <v>1</v>
      </c>
      <c r="F10" s="28">
        <v>0</v>
      </c>
      <c r="G10" s="29" t="b">
        <v>1</v>
      </c>
      <c r="H10" s="29" t="b">
        <v>1</v>
      </c>
      <c r="I10" s="50">
        <v>30</v>
      </c>
      <c r="J10" s="28" t="s">
        <v>453</v>
      </c>
      <c r="K10" s="28">
        <v>0</v>
      </c>
      <c r="L10" s="28"/>
      <c r="M10" s="28">
        <v>0</v>
      </c>
      <c r="N10" s="28">
        <v>0</v>
      </c>
      <c r="O10" s="28">
        <v>0</v>
      </c>
      <c r="P10" s="28">
        <v>20</v>
      </c>
      <c r="Q10" s="28">
        <v>5</v>
      </c>
      <c r="R10" s="56">
        <v>75</v>
      </c>
      <c r="S10" s="28">
        <v>0</v>
      </c>
      <c r="T10" s="47" t="b">
        <v>0</v>
      </c>
      <c r="U10" s="47" t="b">
        <v>0</v>
      </c>
      <c r="V10" s="28" t="s">
        <v>452</v>
      </c>
      <c r="W10" s="36" t="str">
        <f>IFERROR(HYPERLINK("#'Main'!B"&amp;MATCH(TRIM(A10),Main!B:B,0),"Open"),HYPERLINK("#'Main'!B1","Open"))</f>
        <v>Open</v>
      </c>
      <c r="X10" s="36"/>
    </row>
    <row r="11" spans="1:24" ht="30" customHeight="1" x14ac:dyDescent="0.25">
      <c r="A11" s="46" t="s">
        <v>201</v>
      </c>
      <c r="B11" s="37" t="s">
        <v>452</v>
      </c>
      <c r="C11" s="37">
        <v>326</v>
      </c>
      <c r="D11" s="37">
        <v>176.75</v>
      </c>
      <c r="E11" s="47" t="b">
        <v>0</v>
      </c>
      <c r="F11" s="37">
        <v>1</v>
      </c>
      <c r="G11" s="47" t="b">
        <v>0</v>
      </c>
      <c r="H11" s="47" t="b">
        <v>0</v>
      </c>
      <c r="I11" s="51">
        <v>30</v>
      </c>
      <c r="J11" s="37" t="s">
        <v>453</v>
      </c>
      <c r="K11" s="37">
        <v>0</v>
      </c>
      <c r="L11" s="37"/>
      <c r="M11" s="37">
        <v>0</v>
      </c>
      <c r="N11" s="37">
        <v>0</v>
      </c>
      <c r="O11" s="37">
        <v>0</v>
      </c>
      <c r="P11" s="37">
        <v>25</v>
      </c>
      <c r="Q11" s="37">
        <v>7</v>
      </c>
      <c r="R11" s="56">
        <v>72</v>
      </c>
      <c r="S11" s="37">
        <v>0</v>
      </c>
      <c r="T11" s="47" t="b">
        <v>0</v>
      </c>
      <c r="U11" s="47" t="b">
        <v>0</v>
      </c>
      <c r="V11" s="37" t="s">
        <v>452</v>
      </c>
      <c r="W11" t="str">
        <f>IFERROR(HYPERLINK("#'Main'!B"&amp;MATCH(TRIM(A11),Main!B:B,0),"Open"),HYPERLINK("#'Main'!B1","Open"))</f>
        <v>Open</v>
      </c>
    </row>
  </sheetData>
  <autoFilter ref="A1:X11" xr:uid="{00000000-0009-0000-0000-000007000000}"/>
  <conditionalFormatting sqref="C2:C11">
    <cfRule type="dataBar" priority="1">
      <dataBar>
        <cfvo type="min"/>
        <cfvo type="max"/>
        <color rgb="FF638EC6"/>
      </dataBar>
    </cfRule>
    <cfRule type="dataBar" priority="4">
      <dataBar>
        <cfvo type="min"/>
        <cfvo type="max"/>
        <color rgb="FF638EC6"/>
      </dataBar>
    </cfRule>
  </conditionalFormatting>
  <conditionalFormatting sqref="D2:D11">
    <cfRule type="colorScale" priority="3">
      <colorScale>
        <cfvo type="num" val="0"/>
        <cfvo type="num" val="50"/>
        <cfvo type="num" val="100"/>
        <color rgb="FFF8696B"/>
        <color rgb="FFFFEB84"/>
        <color rgb="FF63BE7B"/>
      </colorScale>
    </cfRule>
  </conditionalFormatting>
  <conditionalFormatting sqref="E2:E11">
    <cfRule type="expression" dxfId="41" priority="8" stopIfTrue="1">
      <formula>OR(NOT(ISERROR(SEARCH("Critical",E2))),NOT(ISERROR(SEARCH("Non-Pass",E2))),NOT(ISERROR(SEARCH("Error",E2))))</formula>
    </cfRule>
    <cfRule type="expression" dxfId="40" priority="9" stopIfTrue="1">
      <formula>OR(NOT(ISERROR(SEARCH("Warning",E2))),NOT(ISERROR(SEARCH("Needs Work",E2))))</formula>
    </cfRule>
  </conditionalFormatting>
  <conditionalFormatting sqref="I2:I11">
    <cfRule type="colorScale" priority="2">
      <colorScale>
        <cfvo type="min"/>
        <cfvo type="percentile" val="50"/>
        <cfvo type="max"/>
        <color rgb="FFF8696B"/>
        <color rgb="FFFFEB84"/>
        <color rgb="FF63BE7B"/>
      </colorScale>
    </cfRule>
  </conditionalFormatting>
  <conditionalFormatting sqref="J2:J11">
    <cfRule type="expression" dxfId="39" priority="6" stopIfTrue="1">
      <formula>OR(NOT(ISERROR(SEARCH("Critical",J2))),NOT(ISERROR(SEARCH("Non-Pass",J2))),NOT(ISERROR(SEARCH("Error",J2))))</formula>
    </cfRule>
    <cfRule type="expression" dxfId="38" priority="7" stopIfTrue="1">
      <formula>OR(NOT(ISERROR(SEARCH("Warning",J2))),NOT(ISERROR(SEARCH("Needs Work",J2))))</formula>
    </cfRule>
  </conditionalFormatting>
  <conditionalFormatting sqref="P2:P11">
    <cfRule type="dataBar" priority="5">
      <dataBar>
        <cfvo type="min"/>
        <cfvo type="max"/>
        <color rgb="FF638EC6"/>
      </dataBar>
    </cfRule>
  </conditionalFormatting>
  <conditionalFormatting sqref="T2:T11">
    <cfRule type="expression" dxfId="37" priority="10" stopIfTrue="1">
      <formula>OR(NOT(ISERROR(SEARCH("Critical",T2))),NOT(ISERROR(SEARCH("Non-Pass",T2))),NOT(ISERROR(SEARCH("Error",T2))))</formula>
    </cfRule>
    <cfRule type="expression" dxfId="36" priority="11" stopIfTrue="1">
      <formula>OR(NOT(ISERROR(SEARCH("Warning",T2))),NOT(ISERROR(SEARCH("Needs Work",T2))))</formula>
    </cfRule>
  </conditionalFormatting>
  <hyperlinks>
    <hyperlink ref="X1" location="'Dashboard'!A1" display="BACK TO DASHBOARD" xr:uid="{00000000-0004-0000-0700-000000000000}"/>
    <hyperlink ref="A2" r:id="rId1" xr:uid="{00000000-0004-0000-0700-000001000000}"/>
    <hyperlink ref="A3" r:id="rId2" xr:uid="{00000000-0004-0000-0700-000002000000}"/>
    <hyperlink ref="A4" r:id="rId3" xr:uid="{00000000-0004-0000-0700-000003000000}"/>
    <hyperlink ref="A5" r:id="rId4" xr:uid="{00000000-0004-0000-0700-000004000000}"/>
    <hyperlink ref="A6" r:id="rId5" xr:uid="{00000000-0004-0000-0700-000005000000}"/>
    <hyperlink ref="A7" r:id="rId6" xr:uid="{00000000-0004-0000-0700-000006000000}"/>
    <hyperlink ref="A8" r:id="rId7" xr:uid="{00000000-0004-0000-0700-000007000000}"/>
    <hyperlink ref="A9" r:id="rId8" xr:uid="{00000000-0004-0000-0700-000008000000}"/>
    <hyperlink ref="A10" r:id="rId9" xr:uid="{00000000-0004-0000-0700-000009000000}"/>
    <hyperlink ref="A11" r:id="rId10" xr:uid="{00000000-0004-0000-0700-00000A000000}"/>
  </hyperlinks>
  <pageMargins left="0.75" right="0.75" top="1" bottom="1" header="0.5" footer="0.5"/>
  <legacyDrawing r:id="rId1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473"/>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13" customWidth="1"/>
    <col min="3" max="4" width="60" customWidth="1"/>
    <col min="5" max="5" width="28" customWidth="1"/>
    <col min="6" max="6" width="11" customWidth="1"/>
    <col min="7" max="7" width="22" customWidth="1"/>
    <col min="8" max="8" width="29" customWidth="1"/>
    <col min="9" max="9" width="33" customWidth="1"/>
    <col min="10" max="10" width="22" customWidth="1"/>
    <col min="11" max="11" width="15" customWidth="1"/>
    <col min="12" max="12" width="18" customWidth="1"/>
    <col min="13" max="13" width="13" customWidth="1"/>
    <col min="14" max="14" width="19" customWidth="1"/>
    <col min="15" max="15" width="27" customWidth="1"/>
    <col min="16" max="17" width="31" customWidth="1"/>
    <col min="18" max="18" width="60" customWidth="1"/>
    <col min="19" max="19" width="19" customWidth="1"/>
  </cols>
  <sheetData>
    <row r="1" spans="1:21" ht="45" x14ac:dyDescent="0.25">
      <c r="A1" s="26" t="s">
        <v>70</v>
      </c>
      <c r="B1" s="26" t="s">
        <v>454</v>
      </c>
      <c r="C1" s="26" t="s">
        <v>455</v>
      </c>
      <c r="D1" s="26" t="s">
        <v>456</v>
      </c>
      <c r="E1" s="26" t="s">
        <v>457</v>
      </c>
      <c r="F1" s="26" t="s">
        <v>458</v>
      </c>
      <c r="G1" s="26" t="s">
        <v>459</v>
      </c>
      <c r="H1" s="26" t="s">
        <v>190</v>
      </c>
      <c r="I1" s="26" t="s">
        <v>460</v>
      </c>
      <c r="J1" s="26" t="s">
        <v>461</v>
      </c>
      <c r="K1" s="26" t="s">
        <v>462</v>
      </c>
      <c r="L1" s="26" t="s">
        <v>463</v>
      </c>
      <c r="M1" s="26" t="s">
        <v>464</v>
      </c>
      <c r="N1" s="26" t="s">
        <v>465</v>
      </c>
      <c r="O1" s="26" t="s">
        <v>466</v>
      </c>
      <c r="P1" s="26" t="s">
        <v>467</v>
      </c>
      <c r="Q1" s="26" t="s">
        <v>468</v>
      </c>
      <c r="R1" s="26" t="s">
        <v>469</v>
      </c>
      <c r="S1" s="26" t="s">
        <v>284</v>
      </c>
      <c r="T1" s="26" t="s">
        <v>85</v>
      </c>
      <c r="U1" s="27" t="s">
        <v>87</v>
      </c>
    </row>
    <row r="2" spans="1:21" ht="120" customHeight="1" x14ac:dyDescent="0.25">
      <c r="A2" s="45" t="s">
        <v>138</v>
      </c>
      <c r="B2" s="28" t="s">
        <v>288</v>
      </c>
      <c r="C2" s="32"/>
      <c r="D2" s="28"/>
      <c r="E2" s="28"/>
      <c r="F2" s="28"/>
      <c r="G2" s="28">
        <v>16</v>
      </c>
      <c r="H2" s="47">
        <v>0</v>
      </c>
      <c r="I2" s="28">
        <v>0</v>
      </c>
      <c r="J2" s="28">
        <v>4</v>
      </c>
      <c r="K2" s="28">
        <v>0</v>
      </c>
      <c r="L2" s="35" t="b">
        <v>1</v>
      </c>
      <c r="M2" s="28">
        <v>0</v>
      </c>
      <c r="N2" s="28">
        <v>1.9664999999999998E-2</v>
      </c>
      <c r="O2" s="47">
        <v>0</v>
      </c>
      <c r="P2" s="28">
        <v>0</v>
      </c>
      <c r="Q2" s="28">
        <v>0</v>
      </c>
      <c r="R2" s="28" t="s">
        <v>470</v>
      </c>
      <c r="S2" s="28" t="s">
        <v>471</v>
      </c>
      <c r="T2" s="36" t="str">
        <f>IFERROR(HYPERLINK("#'Main'!B"&amp;MATCH(TRIM(A2),Main!B:B,0),"Open"),HYPERLINK("#'Main'!B1","Open"))</f>
        <v>Open</v>
      </c>
      <c r="U2" s="36"/>
    </row>
    <row r="3" spans="1:21" ht="120" customHeight="1" x14ac:dyDescent="0.25">
      <c r="A3" s="46" t="s">
        <v>196</v>
      </c>
      <c r="B3" s="37" t="s">
        <v>288</v>
      </c>
      <c r="C3" s="39"/>
      <c r="D3" s="37"/>
      <c r="E3" s="37"/>
      <c r="F3" s="37"/>
      <c r="G3" s="37">
        <v>58</v>
      </c>
      <c r="H3" s="47">
        <v>0</v>
      </c>
      <c r="I3" s="37">
        <v>0</v>
      </c>
      <c r="J3" s="37">
        <v>3</v>
      </c>
      <c r="K3" s="37">
        <v>6</v>
      </c>
      <c r="L3" s="41" t="b">
        <v>0</v>
      </c>
      <c r="M3" s="37">
        <v>1</v>
      </c>
      <c r="N3" s="37">
        <v>0.271899</v>
      </c>
      <c r="O3" s="47">
        <v>0</v>
      </c>
      <c r="P3" s="37">
        <v>0</v>
      </c>
      <c r="Q3" s="37">
        <v>0</v>
      </c>
      <c r="R3" s="37" t="s">
        <v>472</v>
      </c>
      <c r="S3" s="37" t="s">
        <v>471</v>
      </c>
      <c r="T3" t="str">
        <f>IFERROR(HYPERLINK("#'Main'!B"&amp;MATCH(TRIM(A3),Main!B:B,0),"Open"),HYPERLINK("#'Main'!B1","Open"))</f>
        <v>Open</v>
      </c>
    </row>
    <row r="4" spans="1:21" ht="120" customHeight="1" x14ac:dyDescent="0.25">
      <c r="A4" s="45" t="s">
        <v>166</v>
      </c>
      <c r="B4" s="28" t="s">
        <v>288</v>
      </c>
      <c r="C4" s="32"/>
      <c r="D4" s="28"/>
      <c r="E4" s="28"/>
      <c r="F4" s="28"/>
      <c r="G4" s="28">
        <v>62</v>
      </c>
      <c r="H4" s="47">
        <v>0</v>
      </c>
      <c r="I4" s="28">
        <v>0</v>
      </c>
      <c r="J4" s="28">
        <v>2</v>
      </c>
      <c r="K4" s="28">
        <v>8</v>
      </c>
      <c r="L4" s="35" t="b">
        <v>0</v>
      </c>
      <c r="M4" s="28">
        <v>0</v>
      </c>
      <c r="N4" s="28">
        <v>0.28744900000000001</v>
      </c>
      <c r="O4" s="29">
        <v>3</v>
      </c>
      <c r="P4" s="28">
        <v>0</v>
      </c>
      <c r="Q4" s="28">
        <v>0</v>
      </c>
      <c r="R4" s="28" t="s">
        <v>473</v>
      </c>
      <c r="S4" s="28" t="s">
        <v>471</v>
      </c>
      <c r="T4" s="36" t="str">
        <f>IFERROR(HYPERLINK("#'Main'!B"&amp;MATCH(TRIM(A4),Main!B:B,0),"Open"),HYPERLINK("#'Main'!B1","Open"))</f>
        <v>Open</v>
      </c>
      <c r="U4" s="36"/>
    </row>
    <row r="5" spans="1:21" ht="120" customHeight="1" x14ac:dyDescent="0.25">
      <c r="A5" s="46" t="s">
        <v>199</v>
      </c>
      <c r="B5" s="37" t="s">
        <v>288</v>
      </c>
      <c r="C5" s="39"/>
      <c r="D5" s="37"/>
      <c r="E5" s="37"/>
      <c r="F5" s="37"/>
      <c r="G5" s="37">
        <v>32</v>
      </c>
      <c r="H5" s="47">
        <v>0</v>
      </c>
      <c r="I5" s="37">
        <v>0</v>
      </c>
      <c r="J5" s="37">
        <v>7</v>
      </c>
      <c r="K5" s="37">
        <v>6</v>
      </c>
      <c r="L5" s="41" t="b">
        <v>0</v>
      </c>
      <c r="M5" s="37">
        <v>1</v>
      </c>
      <c r="N5" s="37">
        <v>0.271899</v>
      </c>
      <c r="O5" s="47">
        <v>0</v>
      </c>
      <c r="P5" s="37">
        <v>0</v>
      </c>
      <c r="Q5" s="37">
        <v>0</v>
      </c>
      <c r="R5" s="37" t="s">
        <v>474</v>
      </c>
      <c r="S5" s="37" t="s">
        <v>471</v>
      </c>
      <c r="T5" t="str">
        <f>IFERROR(HYPERLINK("#'Main'!B"&amp;MATCH(TRIM(A5),Main!B:B,0),"Open"),HYPERLINK("#'Main'!B1","Open"))</f>
        <v>Open</v>
      </c>
    </row>
    <row r="6" spans="1:21" ht="120" customHeight="1" x14ac:dyDescent="0.25">
      <c r="A6" s="45" t="s">
        <v>146</v>
      </c>
      <c r="B6" s="28" t="s">
        <v>288</v>
      </c>
      <c r="C6" s="32"/>
      <c r="D6" s="28"/>
      <c r="E6" s="28"/>
      <c r="F6" s="28"/>
      <c r="G6" s="28">
        <v>32</v>
      </c>
      <c r="H6" s="47">
        <v>0</v>
      </c>
      <c r="I6" s="28">
        <v>0</v>
      </c>
      <c r="J6" s="28">
        <v>4</v>
      </c>
      <c r="K6" s="28">
        <v>0</v>
      </c>
      <c r="L6" s="35" t="b">
        <v>1</v>
      </c>
      <c r="M6" s="28">
        <v>0</v>
      </c>
      <c r="N6" s="28">
        <v>1.9664999999999998E-2</v>
      </c>
      <c r="O6" s="47">
        <v>0</v>
      </c>
      <c r="P6" s="28">
        <v>0</v>
      </c>
      <c r="Q6" s="28">
        <v>0</v>
      </c>
      <c r="R6" s="28" t="s">
        <v>474</v>
      </c>
      <c r="S6" s="28" t="s">
        <v>471</v>
      </c>
      <c r="T6" s="36" t="str">
        <f>IFERROR(HYPERLINK("#'Main'!B"&amp;MATCH(TRIM(A6),Main!B:B,0),"Open"),HYPERLINK("#'Main'!B1","Open"))</f>
        <v>Open</v>
      </c>
      <c r="U6" s="36"/>
    </row>
    <row r="7" spans="1:21" ht="120" customHeight="1" x14ac:dyDescent="0.25">
      <c r="A7" s="46" t="s">
        <v>197</v>
      </c>
      <c r="B7" s="37" t="s">
        <v>288</v>
      </c>
      <c r="C7" s="39"/>
      <c r="D7" s="37"/>
      <c r="E7" s="37"/>
      <c r="F7" s="37"/>
      <c r="G7" s="37">
        <v>32</v>
      </c>
      <c r="H7" s="47">
        <v>0</v>
      </c>
      <c r="I7" s="37">
        <v>0</v>
      </c>
      <c r="J7" s="37">
        <v>2</v>
      </c>
      <c r="K7" s="37">
        <v>0</v>
      </c>
      <c r="L7" s="41" t="b">
        <v>1</v>
      </c>
      <c r="M7" s="37">
        <v>0</v>
      </c>
      <c r="N7" s="37">
        <v>1.9664999999999998E-2</v>
      </c>
      <c r="O7" s="47">
        <v>0</v>
      </c>
      <c r="P7" s="37">
        <v>0</v>
      </c>
      <c r="Q7" s="37">
        <v>0</v>
      </c>
      <c r="R7" s="37" t="s">
        <v>475</v>
      </c>
      <c r="S7" s="37" t="s">
        <v>471</v>
      </c>
      <c r="T7" t="str">
        <f>IFERROR(HYPERLINK("#'Main'!B"&amp;MATCH(TRIM(A7),Main!B:B,0),"Open"),HYPERLINK("#'Main'!B1","Open"))</f>
        <v>Open</v>
      </c>
    </row>
    <row r="8" spans="1:21" ht="120" customHeight="1" x14ac:dyDescent="0.25">
      <c r="A8" s="45" t="s">
        <v>198</v>
      </c>
      <c r="B8" s="28" t="s">
        <v>288</v>
      </c>
      <c r="C8" s="32"/>
      <c r="D8" s="28"/>
      <c r="E8" s="28"/>
      <c r="F8" s="28"/>
      <c r="G8" s="28">
        <v>99</v>
      </c>
      <c r="H8" s="47">
        <v>0</v>
      </c>
      <c r="I8" s="28">
        <v>0</v>
      </c>
      <c r="J8" s="28">
        <v>3</v>
      </c>
      <c r="K8" s="28">
        <v>0</v>
      </c>
      <c r="L8" s="35" t="b">
        <v>1</v>
      </c>
      <c r="M8" s="28">
        <v>0</v>
      </c>
      <c r="N8" s="28">
        <v>1.9664999999999998E-2</v>
      </c>
      <c r="O8" s="47">
        <v>0</v>
      </c>
      <c r="P8" s="28">
        <v>0</v>
      </c>
      <c r="Q8" s="28">
        <v>0</v>
      </c>
      <c r="R8" s="28" t="s">
        <v>476</v>
      </c>
      <c r="S8" s="28" t="s">
        <v>471</v>
      </c>
      <c r="T8" s="36" t="str">
        <f>IFERROR(HYPERLINK("#'Main'!B"&amp;MATCH(TRIM(A8),Main!B:B,0),"Open"),HYPERLINK("#'Main'!B1","Open"))</f>
        <v>Open</v>
      </c>
      <c r="U8" s="36"/>
    </row>
    <row r="9" spans="1:21" ht="120" customHeight="1" x14ac:dyDescent="0.25">
      <c r="A9" s="46" t="s">
        <v>200</v>
      </c>
      <c r="B9" s="37" t="s">
        <v>288</v>
      </c>
      <c r="C9" s="39"/>
      <c r="D9" s="37"/>
      <c r="E9" s="37"/>
      <c r="F9" s="37"/>
      <c r="G9" s="37">
        <v>41</v>
      </c>
      <c r="H9" s="47">
        <v>0</v>
      </c>
      <c r="I9" s="37">
        <v>0</v>
      </c>
      <c r="J9" s="37">
        <v>13</v>
      </c>
      <c r="K9" s="37">
        <v>2</v>
      </c>
      <c r="L9" s="41" t="b">
        <v>0</v>
      </c>
      <c r="M9" s="37">
        <v>0</v>
      </c>
      <c r="N9" s="37">
        <v>3.5214000000000002E-2</v>
      </c>
      <c r="O9" s="47">
        <v>0</v>
      </c>
      <c r="P9" s="37">
        <v>0</v>
      </c>
      <c r="Q9" s="37">
        <v>0</v>
      </c>
      <c r="R9" s="37" t="s">
        <v>477</v>
      </c>
      <c r="S9" s="37" t="s">
        <v>471</v>
      </c>
      <c r="T9" t="str">
        <f>IFERROR(HYPERLINK("#'Main'!B"&amp;MATCH(TRIM(A9),Main!B:B,0),"Open"),HYPERLINK("#'Main'!B1","Open"))</f>
        <v>Open</v>
      </c>
    </row>
    <row r="10" spans="1:21" ht="120" customHeight="1" x14ac:dyDescent="0.25">
      <c r="A10" s="45" t="s">
        <v>148</v>
      </c>
      <c r="B10" s="28" t="s">
        <v>288</v>
      </c>
      <c r="C10" s="32"/>
      <c r="D10" s="28"/>
      <c r="E10" s="28"/>
      <c r="F10" s="28"/>
      <c r="G10" s="28">
        <v>19</v>
      </c>
      <c r="H10" s="47">
        <v>0</v>
      </c>
      <c r="I10" s="28">
        <v>0</v>
      </c>
      <c r="J10" s="28">
        <v>2</v>
      </c>
      <c r="K10" s="28">
        <v>0</v>
      </c>
      <c r="L10" s="35" t="b">
        <v>1</v>
      </c>
      <c r="M10" s="28">
        <v>0</v>
      </c>
      <c r="N10" s="28">
        <v>1.9664999999999998E-2</v>
      </c>
      <c r="O10" s="47">
        <v>0</v>
      </c>
      <c r="P10" s="28">
        <v>0</v>
      </c>
      <c r="Q10" s="28">
        <v>0</v>
      </c>
      <c r="R10" s="28" t="s">
        <v>478</v>
      </c>
      <c r="S10" s="28" t="s">
        <v>471</v>
      </c>
      <c r="T10" s="36" t="str">
        <f>IFERROR(HYPERLINK("#'Main'!B"&amp;MATCH(TRIM(A10),Main!B:B,0),"Open"),HYPERLINK("#'Main'!B1","Open"))</f>
        <v>Open</v>
      </c>
      <c r="U10" s="36"/>
    </row>
    <row r="11" spans="1:21" ht="120" customHeight="1" x14ac:dyDescent="0.25">
      <c r="A11" s="46" t="s">
        <v>201</v>
      </c>
      <c r="B11" s="37" t="s">
        <v>288</v>
      </c>
      <c r="C11" s="39"/>
      <c r="D11" s="37"/>
      <c r="E11" s="37"/>
      <c r="F11" s="37"/>
      <c r="G11" s="37">
        <v>19</v>
      </c>
      <c r="H11" s="47">
        <v>0</v>
      </c>
      <c r="I11" s="37">
        <v>0</v>
      </c>
      <c r="J11" s="37">
        <v>2</v>
      </c>
      <c r="K11" s="37">
        <v>2</v>
      </c>
      <c r="L11" s="41" t="b">
        <v>0</v>
      </c>
      <c r="M11" s="37">
        <v>0</v>
      </c>
      <c r="N11" s="37">
        <v>3.5214000000000002E-2</v>
      </c>
      <c r="O11" s="47">
        <v>0</v>
      </c>
      <c r="P11" s="37">
        <v>0</v>
      </c>
      <c r="Q11" s="37">
        <v>0</v>
      </c>
      <c r="R11" s="37" t="s">
        <v>478</v>
      </c>
      <c r="S11" s="37" t="s">
        <v>471</v>
      </c>
      <c r="T11" t="str">
        <f>IFERROR(HYPERLINK("#'Main'!B"&amp;MATCH(TRIM(A11),Main!B:B,0),"Open"),HYPERLINK("#'Main'!B1","Open"))</f>
        <v>Open</v>
      </c>
    </row>
    <row r="12" spans="1:21" ht="30" customHeight="1" x14ac:dyDescent="0.25">
      <c r="A12" s="45" t="s">
        <v>138</v>
      </c>
      <c r="B12" s="28" t="s">
        <v>479</v>
      </c>
      <c r="C12" s="32" t="s">
        <v>480</v>
      </c>
      <c r="D12" s="28"/>
      <c r="E12" s="28">
        <v>0</v>
      </c>
      <c r="F12" s="28" t="b">
        <v>1</v>
      </c>
      <c r="G12" s="28">
        <v>0</v>
      </c>
      <c r="H12" s="47">
        <v>0</v>
      </c>
      <c r="I12" s="28">
        <v>0</v>
      </c>
      <c r="J12" s="28">
        <v>0</v>
      </c>
      <c r="K12" s="28">
        <v>0</v>
      </c>
      <c r="L12" s="35" t="b">
        <v>0</v>
      </c>
      <c r="M12" s="28">
        <v>0</v>
      </c>
      <c r="N12" s="28">
        <v>0</v>
      </c>
      <c r="O12" s="47">
        <v>0</v>
      </c>
      <c r="P12" s="28">
        <v>0</v>
      </c>
      <c r="Q12" s="28">
        <v>0</v>
      </c>
      <c r="R12" s="28"/>
      <c r="S12" s="28" t="s">
        <v>481</v>
      </c>
      <c r="T12" s="36" t="str">
        <f>IFERROR(HYPERLINK("#'Main'!B"&amp;MATCH(TRIM(A12),Main!B:B,0),"Open"),HYPERLINK("#'Main'!B1","Open"))</f>
        <v>Open</v>
      </c>
      <c r="U12" s="36"/>
    </row>
    <row r="13" spans="1:21" ht="30" customHeight="1" x14ac:dyDescent="0.25">
      <c r="A13" s="46" t="s">
        <v>138</v>
      </c>
      <c r="B13" s="37" t="s">
        <v>479</v>
      </c>
      <c r="C13" s="39" t="s">
        <v>482</v>
      </c>
      <c r="D13" s="37" t="s">
        <v>483</v>
      </c>
      <c r="E13" s="47">
        <v>200</v>
      </c>
      <c r="F13" s="37" t="b">
        <v>1</v>
      </c>
      <c r="G13" s="37">
        <v>0</v>
      </c>
      <c r="H13" s="47">
        <v>0</v>
      </c>
      <c r="I13" s="37">
        <v>0</v>
      </c>
      <c r="J13" s="37">
        <v>0</v>
      </c>
      <c r="K13" s="37">
        <v>0</v>
      </c>
      <c r="L13" s="41" t="b">
        <v>0</v>
      </c>
      <c r="M13" s="37">
        <v>0</v>
      </c>
      <c r="N13" s="37">
        <v>0</v>
      </c>
      <c r="O13" s="47">
        <v>0</v>
      </c>
      <c r="P13" s="37">
        <v>0</v>
      </c>
      <c r="Q13" s="37">
        <v>0</v>
      </c>
      <c r="R13" s="37"/>
      <c r="S13" s="37" t="s">
        <v>481</v>
      </c>
      <c r="T13" t="str">
        <f>IFERROR(HYPERLINK("#'Main'!B"&amp;MATCH(TRIM(A13),Main!B:B,0),"Open"),HYPERLINK("#'Main'!B1","Open"))</f>
        <v>Open</v>
      </c>
    </row>
    <row r="14" spans="1:21" ht="30" customHeight="1" x14ac:dyDescent="0.25">
      <c r="A14" s="45" t="s">
        <v>138</v>
      </c>
      <c r="B14" s="28" t="s">
        <v>479</v>
      </c>
      <c r="C14" s="32" t="s">
        <v>484</v>
      </c>
      <c r="D14" s="28" t="s">
        <v>485</v>
      </c>
      <c r="E14" s="47">
        <v>200</v>
      </c>
      <c r="F14" s="28" t="b">
        <v>1</v>
      </c>
      <c r="G14" s="28">
        <v>0</v>
      </c>
      <c r="H14" s="47">
        <v>0</v>
      </c>
      <c r="I14" s="28">
        <v>0</v>
      </c>
      <c r="J14" s="28">
        <v>0</v>
      </c>
      <c r="K14" s="28">
        <v>0</v>
      </c>
      <c r="L14" s="35" t="b">
        <v>0</v>
      </c>
      <c r="M14" s="28">
        <v>0</v>
      </c>
      <c r="N14" s="28">
        <v>0</v>
      </c>
      <c r="O14" s="47">
        <v>0</v>
      </c>
      <c r="P14" s="28">
        <v>0</v>
      </c>
      <c r="Q14" s="28">
        <v>0</v>
      </c>
      <c r="R14" s="28"/>
      <c r="S14" s="28" t="s">
        <v>481</v>
      </c>
      <c r="T14" s="36" t="str">
        <f>IFERROR(HYPERLINK("#'Main'!B"&amp;MATCH(TRIM(A14),Main!B:B,0),"Open"),HYPERLINK("#'Main'!B1","Open"))</f>
        <v>Open</v>
      </c>
      <c r="U14" s="36"/>
    </row>
    <row r="15" spans="1:21" ht="30" customHeight="1" x14ac:dyDescent="0.25">
      <c r="A15" s="46" t="s">
        <v>138</v>
      </c>
      <c r="B15" s="37" t="s">
        <v>479</v>
      </c>
      <c r="C15" s="39" t="s">
        <v>486</v>
      </c>
      <c r="D15" s="37" t="s">
        <v>487</v>
      </c>
      <c r="E15" s="47">
        <v>200</v>
      </c>
      <c r="F15" s="37" t="b">
        <v>1</v>
      </c>
      <c r="G15" s="37">
        <v>0</v>
      </c>
      <c r="H15" s="47">
        <v>0</v>
      </c>
      <c r="I15" s="37">
        <v>0</v>
      </c>
      <c r="J15" s="37">
        <v>0</v>
      </c>
      <c r="K15" s="37">
        <v>0</v>
      </c>
      <c r="L15" s="41" t="b">
        <v>0</v>
      </c>
      <c r="M15" s="37">
        <v>0</v>
      </c>
      <c r="N15" s="37">
        <v>0</v>
      </c>
      <c r="O15" s="47">
        <v>0</v>
      </c>
      <c r="P15" s="37">
        <v>0</v>
      </c>
      <c r="Q15" s="37">
        <v>0</v>
      </c>
      <c r="R15" s="37"/>
      <c r="S15" s="37" t="s">
        <v>481</v>
      </c>
      <c r="T15" t="str">
        <f>IFERROR(HYPERLINK("#'Main'!B"&amp;MATCH(TRIM(A15),Main!B:B,0),"Open"),HYPERLINK("#'Main'!B1","Open"))</f>
        <v>Open</v>
      </c>
    </row>
    <row r="16" spans="1:21" ht="30" customHeight="1" x14ac:dyDescent="0.25">
      <c r="A16" s="45" t="s">
        <v>138</v>
      </c>
      <c r="B16" s="28" t="s">
        <v>479</v>
      </c>
      <c r="C16" s="32" t="s">
        <v>488</v>
      </c>
      <c r="D16" s="28" t="s">
        <v>489</v>
      </c>
      <c r="E16" s="47">
        <v>200</v>
      </c>
      <c r="F16" s="28" t="b">
        <v>1</v>
      </c>
      <c r="G16" s="28">
        <v>0</v>
      </c>
      <c r="H16" s="47">
        <v>0</v>
      </c>
      <c r="I16" s="28">
        <v>0</v>
      </c>
      <c r="J16" s="28">
        <v>0</v>
      </c>
      <c r="K16" s="28">
        <v>0</v>
      </c>
      <c r="L16" s="35" t="b">
        <v>0</v>
      </c>
      <c r="M16" s="28">
        <v>0</v>
      </c>
      <c r="N16" s="28">
        <v>0</v>
      </c>
      <c r="O16" s="47">
        <v>0</v>
      </c>
      <c r="P16" s="28">
        <v>0</v>
      </c>
      <c r="Q16" s="28">
        <v>0</v>
      </c>
      <c r="R16" s="28"/>
      <c r="S16" s="28" t="s">
        <v>481</v>
      </c>
      <c r="T16" s="36" t="str">
        <f>IFERROR(HYPERLINK("#'Main'!B"&amp;MATCH(TRIM(A16),Main!B:B,0),"Open"),HYPERLINK("#'Main'!B1","Open"))</f>
        <v>Open</v>
      </c>
      <c r="U16" s="36"/>
    </row>
    <row r="17" spans="1:21" ht="30" customHeight="1" x14ac:dyDescent="0.25">
      <c r="A17" s="46" t="s">
        <v>138</v>
      </c>
      <c r="B17" s="37" t="s">
        <v>479</v>
      </c>
      <c r="C17" s="39" t="s">
        <v>490</v>
      </c>
      <c r="D17" s="37" t="s">
        <v>491</v>
      </c>
      <c r="E17" s="47">
        <v>200</v>
      </c>
      <c r="F17" s="37" t="b">
        <v>1</v>
      </c>
      <c r="G17" s="37">
        <v>0</v>
      </c>
      <c r="H17" s="47">
        <v>0</v>
      </c>
      <c r="I17" s="37">
        <v>0</v>
      </c>
      <c r="J17" s="37">
        <v>0</v>
      </c>
      <c r="K17" s="37">
        <v>0</v>
      </c>
      <c r="L17" s="41" t="b">
        <v>0</v>
      </c>
      <c r="M17" s="37">
        <v>0</v>
      </c>
      <c r="N17" s="37">
        <v>0</v>
      </c>
      <c r="O17" s="47">
        <v>0</v>
      </c>
      <c r="P17" s="37">
        <v>0</v>
      </c>
      <c r="Q17" s="37">
        <v>0</v>
      </c>
      <c r="R17" s="37"/>
      <c r="S17" s="37" t="s">
        <v>481</v>
      </c>
      <c r="T17" t="str">
        <f>IFERROR(HYPERLINK("#'Main'!B"&amp;MATCH(TRIM(A17),Main!B:B,0),"Open"),HYPERLINK("#'Main'!B1","Open"))</f>
        <v>Open</v>
      </c>
    </row>
    <row r="18" spans="1:21" ht="30" customHeight="1" x14ac:dyDescent="0.25">
      <c r="A18" s="45" t="s">
        <v>138</v>
      </c>
      <c r="B18" s="28" t="s">
        <v>479</v>
      </c>
      <c r="C18" s="32" t="s">
        <v>492</v>
      </c>
      <c r="D18" s="28" t="s">
        <v>493</v>
      </c>
      <c r="E18" s="47">
        <v>200</v>
      </c>
      <c r="F18" s="28" t="b">
        <v>1</v>
      </c>
      <c r="G18" s="28">
        <v>0</v>
      </c>
      <c r="H18" s="47">
        <v>0</v>
      </c>
      <c r="I18" s="28">
        <v>0</v>
      </c>
      <c r="J18" s="28">
        <v>0</v>
      </c>
      <c r="K18" s="28">
        <v>0</v>
      </c>
      <c r="L18" s="35" t="b">
        <v>0</v>
      </c>
      <c r="M18" s="28">
        <v>0</v>
      </c>
      <c r="N18" s="28">
        <v>0</v>
      </c>
      <c r="O18" s="47">
        <v>0</v>
      </c>
      <c r="P18" s="28">
        <v>0</v>
      </c>
      <c r="Q18" s="28">
        <v>0</v>
      </c>
      <c r="R18" s="28"/>
      <c r="S18" s="28" t="s">
        <v>481</v>
      </c>
      <c r="T18" s="36" t="str">
        <f>IFERROR(HYPERLINK("#'Main'!B"&amp;MATCH(TRIM(A18),Main!B:B,0),"Open"),HYPERLINK("#'Main'!B1","Open"))</f>
        <v>Open</v>
      </c>
      <c r="U18" s="36"/>
    </row>
    <row r="19" spans="1:21" ht="30" customHeight="1" x14ac:dyDescent="0.25">
      <c r="A19" s="46" t="s">
        <v>138</v>
      </c>
      <c r="B19" s="37" t="s">
        <v>479</v>
      </c>
      <c r="C19" s="39" t="s">
        <v>482</v>
      </c>
      <c r="D19" s="37" t="s">
        <v>483</v>
      </c>
      <c r="E19" s="47">
        <v>200</v>
      </c>
      <c r="F19" s="37" t="b">
        <v>1</v>
      </c>
      <c r="G19" s="37">
        <v>0</v>
      </c>
      <c r="H19" s="47">
        <v>0</v>
      </c>
      <c r="I19" s="37">
        <v>0</v>
      </c>
      <c r="J19" s="37">
        <v>0</v>
      </c>
      <c r="K19" s="37">
        <v>0</v>
      </c>
      <c r="L19" s="41" t="b">
        <v>0</v>
      </c>
      <c r="M19" s="37">
        <v>0</v>
      </c>
      <c r="N19" s="37">
        <v>0</v>
      </c>
      <c r="O19" s="47">
        <v>0</v>
      </c>
      <c r="P19" s="37">
        <v>0</v>
      </c>
      <c r="Q19" s="37">
        <v>0</v>
      </c>
      <c r="R19" s="37"/>
      <c r="S19" s="37" t="s">
        <v>481</v>
      </c>
      <c r="T19" t="str">
        <f>IFERROR(HYPERLINK("#'Main'!B"&amp;MATCH(TRIM(A19),Main!B:B,0),"Open"),HYPERLINK("#'Main'!B1","Open"))</f>
        <v>Open</v>
      </c>
    </row>
    <row r="20" spans="1:21" ht="30" customHeight="1" x14ac:dyDescent="0.25">
      <c r="A20" s="45" t="s">
        <v>138</v>
      </c>
      <c r="B20" s="28" t="s">
        <v>479</v>
      </c>
      <c r="C20" s="32" t="s">
        <v>484</v>
      </c>
      <c r="D20" s="28" t="s">
        <v>485</v>
      </c>
      <c r="E20" s="47">
        <v>200</v>
      </c>
      <c r="F20" s="28" t="b">
        <v>1</v>
      </c>
      <c r="G20" s="28">
        <v>0</v>
      </c>
      <c r="H20" s="47">
        <v>0</v>
      </c>
      <c r="I20" s="28">
        <v>0</v>
      </c>
      <c r="J20" s="28">
        <v>0</v>
      </c>
      <c r="K20" s="28">
        <v>0</v>
      </c>
      <c r="L20" s="35" t="b">
        <v>0</v>
      </c>
      <c r="M20" s="28">
        <v>0</v>
      </c>
      <c r="N20" s="28">
        <v>0</v>
      </c>
      <c r="O20" s="47">
        <v>0</v>
      </c>
      <c r="P20" s="28">
        <v>0</v>
      </c>
      <c r="Q20" s="28">
        <v>0</v>
      </c>
      <c r="R20" s="28"/>
      <c r="S20" s="28" t="s">
        <v>481</v>
      </c>
      <c r="T20" s="36" t="str">
        <f>IFERROR(HYPERLINK("#'Main'!B"&amp;MATCH(TRIM(A20),Main!B:B,0),"Open"),HYPERLINK("#'Main'!B1","Open"))</f>
        <v>Open</v>
      </c>
      <c r="U20" s="36"/>
    </row>
    <row r="21" spans="1:21" ht="30" customHeight="1" x14ac:dyDescent="0.25">
      <c r="A21" s="46" t="s">
        <v>138</v>
      </c>
      <c r="B21" s="37" t="s">
        <v>479</v>
      </c>
      <c r="C21" s="39" t="s">
        <v>486</v>
      </c>
      <c r="D21" s="37" t="s">
        <v>487</v>
      </c>
      <c r="E21" s="47">
        <v>200</v>
      </c>
      <c r="F21" s="37" t="b">
        <v>1</v>
      </c>
      <c r="G21" s="37">
        <v>0</v>
      </c>
      <c r="H21" s="47">
        <v>0</v>
      </c>
      <c r="I21" s="37">
        <v>0</v>
      </c>
      <c r="J21" s="37">
        <v>0</v>
      </c>
      <c r="K21" s="37">
        <v>0</v>
      </c>
      <c r="L21" s="41" t="b">
        <v>0</v>
      </c>
      <c r="M21" s="37">
        <v>0</v>
      </c>
      <c r="N21" s="37">
        <v>0</v>
      </c>
      <c r="O21" s="47">
        <v>0</v>
      </c>
      <c r="P21" s="37">
        <v>0</v>
      </c>
      <c r="Q21" s="37">
        <v>0</v>
      </c>
      <c r="R21" s="37"/>
      <c r="S21" s="37" t="s">
        <v>481</v>
      </c>
      <c r="T21" t="str">
        <f>IFERROR(HYPERLINK("#'Main'!B"&amp;MATCH(TRIM(A21),Main!B:B,0),"Open"),HYPERLINK("#'Main'!B1","Open"))</f>
        <v>Open</v>
      </c>
    </row>
    <row r="22" spans="1:21" ht="30" customHeight="1" x14ac:dyDescent="0.25">
      <c r="A22" s="45" t="s">
        <v>138</v>
      </c>
      <c r="B22" s="28" t="s">
        <v>479</v>
      </c>
      <c r="C22" s="32" t="s">
        <v>488</v>
      </c>
      <c r="D22" s="28" t="s">
        <v>489</v>
      </c>
      <c r="E22" s="47">
        <v>200</v>
      </c>
      <c r="F22" s="28" t="b">
        <v>1</v>
      </c>
      <c r="G22" s="28">
        <v>0</v>
      </c>
      <c r="H22" s="47">
        <v>0</v>
      </c>
      <c r="I22" s="28">
        <v>0</v>
      </c>
      <c r="J22" s="28">
        <v>0</v>
      </c>
      <c r="K22" s="28">
        <v>0</v>
      </c>
      <c r="L22" s="35" t="b">
        <v>0</v>
      </c>
      <c r="M22" s="28">
        <v>0</v>
      </c>
      <c r="N22" s="28">
        <v>0</v>
      </c>
      <c r="O22" s="47">
        <v>0</v>
      </c>
      <c r="P22" s="28">
        <v>0</v>
      </c>
      <c r="Q22" s="28">
        <v>0</v>
      </c>
      <c r="R22" s="28"/>
      <c r="S22" s="28" t="s">
        <v>481</v>
      </c>
      <c r="T22" s="36" t="str">
        <f>IFERROR(HYPERLINK("#'Main'!B"&amp;MATCH(TRIM(A22),Main!B:B,0),"Open"),HYPERLINK("#'Main'!B1","Open"))</f>
        <v>Open</v>
      </c>
      <c r="U22" s="36"/>
    </row>
    <row r="23" spans="1:21" ht="30" customHeight="1" x14ac:dyDescent="0.25">
      <c r="A23" s="46" t="s">
        <v>138</v>
      </c>
      <c r="B23" s="37" t="s">
        <v>479</v>
      </c>
      <c r="C23" s="39" t="s">
        <v>490</v>
      </c>
      <c r="D23" s="37" t="s">
        <v>491</v>
      </c>
      <c r="E23" s="47">
        <v>200</v>
      </c>
      <c r="F23" s="37" t="b">
        <v>1</v>
      </c>
      <c r="G23" s="37">
        <v>0</v>
      </c>
      <c r="H23" s="47">
        <v>0</v>
      </c>
      <c r="I23" s="37">
        <v>0</v>
      </c>
      <c r="J23" s="37">
        <v>0</v>
      </c>
      <c r="K23" s="37">
        <v>0</v>
      </c>
      <c r="L23" s="41" t="b">
        <v>0</v>
      </c>
      <c r="M23" s="37">
        <v>0</v>
      </c>
      <c r="N23" s="37">
        <v>0</v>
      </c>
      <c r="O23" s="47">
        <v>0</v>
      </c>
      <c r="P23" s="37">
        <v>0</v>
      </c>
      <c r="Q23" s="37">
        <v>0</v>
      </c>
      <c r="R23" s="37"/>
      <c r="S23" s="37" t="s">
        <v>481</v>
      </c>
      <c r="T23" t="str">
        <f>IFERROR(HYPERLINK("#'Main'!B"&amp;MATCH(TRIM(A23),Main!B:B,0),"Open"),HYPERLINK("#'Main'!B1","Open"))</f>
        <v>Open</v>
      </c>
    </row>
    <row r="24" spans="1:21" ht="30" customHeight="1" x14ac:dyDescent="0.25">
      <c r="A24" s="45" t="s">
        <v>138</v>
      </c>
      <c r="B24" s="28" t="s">
        <v>479</v>
      </c>
      <c r="C24" s="32" t="s">
        <v>492</v>
      </c>
      <c r="D24" s="28" t="s">
        <v>493</v>
      </c>
      <c r="E24" s="47">
        <v>200</v>
      </c>
      <c r="F24" s="28" t="b">
        <v>1</v>
      </c>
      <c r="G24" s="28">
        <v>0</v>
      </c>
      <c r="H24" s="47">
        <v>0</v>
      </c>
      <c r="I24" s="28">
        <v>0</v>
      </c>
      <c r="J24" s="28">
        <v>0</v>
      </c>
      <c r="K24" s="28">
        <v>0</v>
      </c>
      <c r="L24" s="35" t="b">
        <v>0</v>
      </c>
      <c r="M24" s="28">
        <v>0</v>
      </c>
      <c r="N24" s="28">
        <v>0</v>
      </c>
      <c r="O24" s="47">
        <v>0</v>
      </c>
      <c r="P24" s="28">
        <v>0</v>
      </c>
      <c r="Q24" s="28">
        <v>0</v>
      </c>
      <c r="R24" s="28"/>
      <c r="S24" s="28" t="s">
        <v>481</v>
      </c>
      <c r="T24" s="36" t="str">
        <f>IFERROR(HYPERLINK("#'Main'!B"&amp;MATCH(TRIM(A24),Main!B:B,0),"Open"),HYPERLINK("#'Main'!B1","Open"))</f>
        <v>Open</v>
      </c>
      <c r="U24" s="36"/>
    </row>
    <row r="25" spans="1:21" ht="30" customHeight="1" x14ac:dyDescent="0.25">
      <c r="A25" s="46" t="s">
        <v>138</v>
      </c>
      <c r="B25" s="37" t="s">
        <v>479</v>
      </c>
      <c r="C25" s="39" t="s">
        <v>494</v>
      </c>
      <c r="D25" s="37" t="s">
        <v>495</v>
      </c>
      <c r="E25" s="47">
        <v>200</v>
      </c>
      <c r="F25" s="37" t="b">
        <v>1</v>
      </c>
      <c r="G25" s="37">
        <v>0</v>
      </c>
      <c r="H25" s="47">
        <v>0</v>
      </c>
      <c r="I25" s="37">
        <v>0</v>
      </c>
      <c r="J25" s="37">
        <v>0</v>
      </c>
      <c r="K25" s="37">
        <v>0</v>
      </c>
      <c r="L25" s="41" t="b">
        <v>0</v>
      </c>
      <c r="M25" s="37">
        <v>0</v>
      </c>
      <c r="N25" s="37">
        <v>0</v>
      </c>
      <c r="O25" s="47">
        <v>0</v>
      </c>
      <c r="P25" s="37">
        <v>0</v>
      </c>
      <c r="Q25" s="37">
        <v>0</v>
      </c>
      <c r="R25" s="37"/>
      <c r="S25" s="37" t="s">
        <v>481</v>
      </c>
      <c r="T25" t="str">
        <f>IFERROR(HYPERLINK("#'Main'!B"&amp;MATCH(TRIM(A25),Main!B:B,0),"Open"),HYPERLINK("#'Main'!B1","Open"))</f>
        <v>Open</v>
      </c>
    </row>
    <row r="26" spans="1:21" ht="30" customHeight="1" x14ac:dyDescent="0.25">
      <c r="A26" s="45" t="s">
        <v>138</v>
      </c>
      <c r="B26" s="28" t="s">
        <v>479</v>
      </c>
      <c r="C26" s="32" t="s">
        <v>496</v>
      </c>
      <c r="D26" s="28"/>
      <c r="E26" s="28">
        <v>0</v>
      </c>
      <c r="F26" s="28" t="b">
        <v>1</v>
      </c>
      <c r="G26" s="28">
        <v>0</v>
      </c>
      <c r="H26" s="47">
        <v>0</v>
      </c>
      <c r="I26" s="28">
        <v>0</v>
      </c>
      <c r="J26" s="28">
        <v>0</v>
      </c>
      <c r="K26" s="28">
        <v>0</v>
      </c>
      <c r="L26" s="35" t="b">
        <v>0</v>
      </c>
      <c r="M26" s="28">
        <v>0</v>
      </c>
      <c r="N26" s="28">
        <v>0</v>
      </c>
      <c r="O26" s="47">
        <v>0</v>
      </c>
      <c r="P26" s="28">
        <v>0</v>
      </c>
      <c r="Q26" s="28">
        <v>0</v>
      </c>
      <c r="R26" s="28"/>
      <c r="S26" s="28" t="s">
        <v>481</v>
      </c>
      <c r="T26" s="36" t="str">
        <f>IFERROR(HYPERLINK("#'Main'!B"&amp;MATCH(TRIM(A26),Main!B:B,0),"Open"),HYPERLINK("#'Main'!B1","Open"))</f>
        <v>Open</v>
      </c>
      <c r="U26" s="36"/>
    </row>
    <row r="27" spans="1:21" ht="30" customHeight="1" x14ac:dyDescent="0.25">
      <c r="A27" s="46" t="s">
        <v>138</v>
      </c>
      <c r="B27" s="37" t="s">
        <v>479</v>
      </c>
      <c r="C27" s="39" t="s">
        <v>497</v>
      </c>
      <c r="D27" s="37"/>
      <c r="E27" s="37">
        <v>0</v>
      </c>
      <c r="F27" s="37" t="b">
        <v>1</v>
      </c>
      <c r="G27" s="37">
        <v>0</v>
      </c>
      <c r="H27" s="47">
        <v>0</v>
      </c>
      <c r="I27" s="37">
        <v>0</v>
      </c>
      <c r="J27" s="37">
        <v>0</v>
      </c>
      <c r="K27" s="37">
        <v>0</v>
      </c>
      <c r="L27" s="41" t="b">
        <v>0</v>
      </c>
      <c r="M27" s="37">
        <v>0</v>
      </c>
      <c r="N27" s="37">
        <v>0</v>
      </c>
      <c r="O27" s="47">
        <v>0</v>
      </c>
      <c r="P27" s="37">
        <v>0</v>
      </c>
      <c r="Q27" s="37">
        <v>0</v>
      </c>
      <c r="R27" s="37"/>
      <c r="S27" s="37" t="s">
        <v>481</v>
      </c>
      <c r="T27" t="str">
        <f>IFERROR(HYPERLINK("#'Main'!B"&amp;MATCH(TRIM(A27),Main!B:B,0),"Open"),HYPERLINK("#'Main'!B1","Open"))</f>
        <v>Open</v>
      </c>
    </row>
    <row r="28" spans="1:21" ht="30" customHeight="1" x14ac:dyDescent="0.25">
      <c r="A28" s="45" t="s">
        <v>138</v>
      </c>
      <c r="B28" s="28" t="s">
        <v>479</v>
      </c>
      <c r="C28" s="32" t="s">
        <v>498</v>
      </c>
      <c r="D28" s="28"/>
      <c r="E28" s="28">
        <v>0</v>
      </c>
      <c r="F28" s="28" t="b">
        <v>1</v>
      </c>
      <c r="G28" s="28">
        <v>0</v>
      </c>
      <c r="H28" s="47">
        <v>0</v>
      </c>
      <c r="I28" s="28">
        <v>0</v>
      </c>
      <c r="J28" s="28">
        <v>0</v>
      </c>
      <c r="K28" s="28">
        <v>0</v>
      </c>
      <c r="L28" s="35" t="b">
        <v>0</v>
      </c>
      <c r="M28" s="28">
        <v>0</v>
      </c>
      <c r="N28" s="28">
        <v>0</v>
      </c>
      <c r="O28" s="47">
        <v>0</v>
      </c>
      <c r="P28" s="28">
        <v>0</v>
      </c>
      <c r="Q28" s="28">
        <v>0</v>
      </c>
      <c r="R28" s="28"/>
      <c r="S28" s="28" t="s">
        <v>481</v>
      </c>
      <c r="T28" s="36" t="str">
        <f>IFERROR(HYPERLINK("#'Main'!B"&amp;MATCH(TRIM(A28),Main!B:B,0),"Open"),HYPERLINK("#'Main'!B1","Open"))</f>
        <v>Open</v>
      </c>
      <c r="U28" s="36"/>
    </row>
    <row r="29" spans="1:21" ht="30" customHeight="1" x14ac:dyDescent="0.25">
      <c r="A29" s="46" t="s">
        <v>138</v>
      </c>
      <c r="B29" s="37" t="s">
        <v>479</v>
      </c>
      <c r="C29" s="39" t="s">
        <v>499</v>
      </c>
      <c r="D29" s="37" t="s">
        <v>500</v>
      </c>
      <c r="E29" s="47">
        <v>200</v>
      </c>
      <c r="F29" s="37" t="b">
        <v>1</v>
      </c>
      <c r="G29" s="37">
        <v>0</v>
      </c>
      <c r="H29" s="47">
        <v>0</v>
      </c>
      <c r="I29" s="37">
        <v>0</v>
      </c>
      <c r="J29" s="37">
        <v>0</v>
      </c>
      <c r="K29" s="37">
        <v>0</v>
      </c>
      <c r="L29" s="41" t="b">
        <v>0</v>
      </c>
      <c r="M29" s="37">
        <v>0</v>
      </c>
      <c r="N29" s="37">
        <v>0</v>
      </c>
      <c r="O29" s="47">
        <v>0</v>
      </c>
      <c r="P29" s="37">
        <v>0</v>
      </c>
      <c r="Q29" s="37">
        <v>0</v>
      </c>
      <c r="R29" s="37"/>
      <c r="S29" s="37" t="s">
        <v>481</v>
      </c>
      <c r="T29" t="str">
        <f>IFERROR(HYPERLINK("#'Main'!B"&amp;MATCH(TRIM(A29),Main!B:B,0),"Open"),HYPERLINK("#'Main'!B1","Open"))</f>
        <v>Open</v>
      </c>
    </row>
    <row r="30" spans="1:21" ht="30" customHeight="1" x14ac:dyDescent="0.25">
      <c r="A30" s="45" t="s">
        <v>138</v>
      </c>
      <c r="B30" s="28" t="s">
        <v>479</v>
      </c>
      <c r="C30" s="32" t="s">
        <v>501</v>
      </c>
      <c r="D30" s="28" t="s">
        <v>502</v>
      </c>
      <c r="E30" s="29">
        <v>404</v>
      </c>
      <c r="F30" s="28" t="b">
        <v>0</v>
      </c>
      <c r="G30" s="28">
        <v>0</v>
      </c>
      <c r="H30" s="47">
        <v>0</v>
      </c>
      <c r="I30" s="28">
        <v>0</v>
      </c>
      <c r="J30" s="28">
        <v>0</v>
      </c>
      <c r="K30" s="28">
        <v>0</v>
      </c>
      <c r="L30" s="35" t="b">
        <v>0</v>
      </c>
      <c r="M30" s="28">
        <v>0</v>
      </c>
      <c r="N30" s="28">
        <v>0</v>
      </c>
      <c r="O30" s="47">
        <v>0</v>
      </c>
      <c r="P30" s="28">
        <v>0</v>
      </c>
      <c r="Q30" s="28">
        <v>0</v>
      </c>
      <c r="R30" s="28"/>
      <c r="S30" s="28" t="s">
        <v>481</v>
      </c>
      <c r="T30" s="36" t="str">
        <f>IFERROR(HYPERLINK("#'Main'!B"&amp;MATCH(TRIM(A30),Main!B:B,0),"Open"),HYPERLINK("#'Main'!B1","Open"))</f>
        <v>Open</v>
      </c>
      <c r="U30" s="36"/>
    </row>
    <row r="31" spans="1:21" ht="30" customHeight="1" x14ac:dyDescent="0.25">
      <c r="A31" s="46" t="s">
        <v>138</v>
      </c>
      <c r="B31" s="37" t="s">
        <v>479</v>
      </c>
      <c r="C31" s="39" t="s">
        <v>501</v>
      </c>
      <c r="D31" s="37" t="s">
        <v>503</v>
      </c>
      <c r="E31" s="29">
        <v>404</v>
      </c>
      <c r="F31" s="37" t="b">
        <v>0</v>
      </c>
      <c r="G31" s="37">
        <v>0</v>
      </c>
      <c r="H31" s="47">
        <v>0</v>
      </c>
      <c r="I31" s="37">
        <v>0</v>
      </c>
      <c r="J31" s="37">
        <v>0</v>
      </c>
      <c r="K31" s="37">
        <v>0</v>
      </c>
      <c r="L31" s="41" t="b">
        <v>0</v>
      </c>
      <c r="M31" s="37">
        <v>0</v>
      </c>
      <c r="N31" s="37">
        <v>0</v>
      </c>
      <c r="O31" s="47">
        <v>0</v>
      </c>
      <c r="P31" s="37">
        <v>0</v>
      </c>
      <c r="Q31" s="37">
        <v>0</v>
      </c>
      <c r="R31" s="37"/>
      <c r="S31" s="37" t="s">
        <v>481</v>
      </c>
      <c r="T31" t="str">
        <f>IFERROR(HYPERLINK("#'Main'!B"&amp;MATCH(TRIM(A31),Main!B:B,0),"Open"),HYPERLINK("#'Main'!B1","Open"))</f>
        <v>Open</v>
      </c>
    </row>
    <row r="32" spans="1:21" ht="30" customHeight="1" x14ac:dyDescent="0.25">
      <c r="A32" s="45" t="s">
        <v>196</v>
      </c>
      <c r="B32" s="28" t="s">
        <v>479</v>
      </c>
      <c r="C32" s="32" t="s">
        <v>166</v>
      </c>
      <c r="D32" s="28"/>
      <c r="E32" s="47">
        <v>200</v>
      </c>
      <c r="F32" s="28" t="b">
        <v>1</v>
      </c>
      <c r="G32" s="28">
        <v>0</v>
      </c>
      <c r="H32" s="47">
        <v>0</v>
      </c>
      <c r="I32" s="28">
        <v>0</v>
      </c>
      <c r="J32" s="28">
        <v>0</v>
      </c>
      <c r="K32" s="28">
        <v>0</v>
      </c>
      <c r="L32" s="35" t="b">
        <v>0</v>
      </c>
      <c r="M32" s="28">
        <v>0</v>
      </c>
      <c r="N32" s="28">
        <v>0</v>
      </c>
      <c r="O32" s="47">
        <v>0</v>
      </c>
      <c r="P32" s="28">
        <v>0</v>
      </c>
      <c r="Q32" s="28">
        <v>0</v>
      </c>
      <c r="R32" s="28"/>
      <c r="S32" s="28" t="s">
        <v>481</v>
      </c>
      <c r="T32" s="36" t="str">
        <f>IFERROR(HYPERLINK("#'Main'!B"&amp;MATCH(TRIM(A32),Main!B:B,0),"Open"),HYPERLINK("#'Main'!B1","Open"))</f>
        <v>Open</v>
      </c>
      <c r="U32" s="36"/>
    </row>
    <row r="33" spans="1:21" ht="30" customHeight="1" x14ac:dyDescent="0.25">
      <c r="A33" s="46" t="s">
        <v>196</v>
      </c>
      <c r="B33" s="37" t="s">
        <v>479</v>
      </c>
      <c r="C33" s="39" t="s">
        <v>166</v>
      </c>
      <c r="D33" s="37" t="s">
        <v>504</v>
      </c>
      <c r="E33" s="47">
        <v>200</v>
      </c>
      <c r="F33" s="37" t="b">
        <v>1</v>
      </c>
      <c r="G33" s="37">
        <v>0</v>
      </c>
      <c r="H33" s="47">
        <v>0</v>
      </c>
      <c r="I33" s="37">
        <v>0</v>
      </c>
      <c r="J33" s="37">
        <v>0</v>
      </c>
      <c r="K33" s="37">
        <v>0</v>
      </c>
      <c r="L33" s="41" t="b">
        <v>0</v>
      </c>
      <c r="M33" s="37">
        <v>0</v>
      </c>
      <c r="N33" s="37">
        <v>0</v>
      </c>
      <c r="O33" s="47">
        <v>0</v>
      </c>
      <c r="P33" s="37">
        <v>0</v>
      </c>
      <c r="Q33" s="37">
        <v>0</v>
      </c>
      <c r="R33" s="37"/>
      <c r="S33" s="37" t="s">
        <v>481</v>
      </c>
      <c r="T33" t="str">
        <f>IFERROR(HYPERLINK("#'Main'!B"&amp;MATCH(TRIM(A33),Main!B:B,0),"Open"),HYPERLINK("#'Main'!B1","Open"))</f>
        <v>Open</v>
      </c>
    </row>
    <row r="34" spans="1:21" ht="30" customHeight="1" x14ac:dyDescent="0.25">
      <c r="A34" s="45" t="s">
        <v>196</v>
      </c>
      <c r="B34" s="28" t="s">
        <v>479</v>
      </c>
      <c r="C34" s="32" t="s">
        <v>199</v>
      </c>
      <c r="D34" s="28" t="s">
        <v>505</v>
      </c>
      <c r="E34" s="47">
        <v>200</v>
      </c>
      <c r="F34" s="28" t="b">
        <v>1</v>
      </c>
      <c r="G34" s="28">
        <v>0</v>
      </c>
      <c r="H34" s="47">
        <v>0</v>
      </c>
      <c r="I34" s="28">
        <v>0</v>
      </c>
      <c r="J34" s="28">
        <v>0</v>
      </c>
      <c r="K34" s="28">
        <v>0</v>
      </c>
      <c r="L34" s="35" t="b">
        <v>0</v>
      </c>
      <c r="M34" s="28">
        <v>0</v>
      </c>
      <c r="N34" s="28">
        <v>0</v>
      </c>
      <c r="O34" s="47">
        <v>0</v>
      </c>
      <c r="P34" s="28">
        <v>0</v>
      </c>
      <c r="Q34" s="28">
        <v>0</v>
      </c>
      <c r="R34" s="28"/>
      <c r="S34" s="28" t="s">
        <v>481</v>
      </c>
      <c r="T34" s="36" t="str">
        <f>IFERROR(HYPERLINK("#'Main'!B"&amp;MATCH(TRIM(A34),Main!B:B,0),"Open"),HYPERLINK("#'Main'!B1","Open"))</f>
        <v>Open</v>
      </c>
      <c r="U34" s="36"/>
    </row>
    <row r="35" spans="1:21" ht="30" customHeight="1" x14ac:dyDescent="0.25">
      <c r="A35" s="46" t="s">
        <v>196</v>
      </c>
      <c r="B35" s="37" t="s">
        <v>479</v>
      </c>
      <c r="C35" s="39" t="s">
        <v>506</v>
      </c>
      <c r="D35" s="37" t="s">
        <v>507</v>
      </c>
      <c r="E35" s="47">
        <v>200</v>
      </c>
      <c r="F35" s="37" t="b">
        <v>1</v>
      </c>
      <c r="G35" s="37">
        <v>0</v>
      </c>
      <c r="H35" s="47">
        <v>0</v>
      </c>
      <c r="I35" s="37">
        <v>0</v>
      </c>
      <c r="J35" s="37">
        <v>0</v>
      </c>
      <c r="K35" s="37">
        <v>0</v>
      </c>
      <c r="L35" s="41" t="b">
        <v>0</v>
      </c>
      <c r="M35" s="37">
        <v>0</v>
      </c>
      <c r="N35" s="37">
        <v>0</v>
      </c>
      <c r="O35" s="47">
        <v>0</v>
      </c>
      <c r="P35" s="37">
        <v>0</v>
      </c>
      <c r="Q35" s="37">
        <v>0</v>
      </c>
      <c r="R35" s="37"/>
      <c r="S35" s="37" t="s">
        <v>481</v>
      </c>
      <c r="T35" t="str">
        <f>IFERROR(HYPERLINK("#'Main'!B"&amp;MATCH(TRIM(A35),Main!B:B,0),"Open"),HYPERLINK("#'Main'!B1","Open"))</f>
        <v>Open</v>
      </c>
    </row>
    <row r="36" spans="1:21" ht="30" customHeight="1" x14ac:dyDescent="0.25">
      <c r="A36" s="45" t="s">
        <v>196</v>
      </c>
      <c r="B36" s="28" t="s">
        <v>479</v>
      </c>
      <c r="C36" s="32" t="s">
        <v>508</v>
      </c>
      <c r="D36" s="28" t="s">
        <v>509</v>
      </c>
      <c r="E36" s="47">
        <v>200</v>
      </c>
      <c r="F36" s="28" t="b">
        <v>1</v>
      </c>
      <c r="G36" s="28">
        <v>0</v>
      </c>
      <c r="H36" s="47">
        <v>0</v>
      </c>
      <c r="I36" s="28">
        <v>0</v>
      </c>
      <c r="J36" s="28">
        <v>0</v>
      </c>
      <c r="K36" s="28">
        <v>0</v>
      </c>
      <c r="L36" s="35" t="b">
        <v>0</v>
      </c>
      <c r="M36" s="28">
        <v>0</v>
      </c>
      <c r="N36" s="28">
        <v>0</v>
      </c>
      <c r="O36" s="47">
        <v>0</v>
      </c>
      <c r="P36" s="28">
        <v>0</v>
      </c>
      <c r="Q36" s="28">
        <v>0</v>
      </c>
      <c r="R36" s="28"/>
      <c r="S36" s="28" t="s">
        <v>481</v>
      </c>
      <c r="T36" s="36" t="str">
        <f>IFERROR(HYPERLINK("#'Main'!B"&amp;MATCH(TRIM(A36),Main!B:B,0),"Open"),HYPERLINK("#'Main'!B1","Open"))</f>
        <v>Open</v>
      </c>
      <c r="U36" s="36"/>
    </row>
    <row r="37" spans="1:21" ht="30" customHeight="1" x14ac:dyDescent="0.25">
      <c r="A37" s="46" t="s">
        <v>196</v>
      </c>
      <c r="B37" s="37" t="s">
        <v>479</v>
      </c>
      <c r="C37" s="39" t="s">
        <v>196</v>
      </c>
      <c r="D37" s="37" t="s">
        <v>510</v>
      </c>
      <c r="E37" s="47">
        <v>200</v>
      </c>
      <c r="F37" s="37" t="b">
        <v>1</v>
      </c>
      <c r="G37" s="37">
        <v>0</v>
      </c>
      <c r="H37" s="47">
        <v>0</v>
      </c>
      <c r="I37" s="37">
        <v>0</v>
      </c>
      <c r="J37" s="37">
        <v>0</v>
      </c>
      <c r="K37" s="37">
        <v>0</v>
      </c>
      <c r="L37" s="41" t="b">
        <v>0</v>
      </c>
      <c r="M37" s="37">
        <v>0</v>
      </c>
      <c r="N37" s="37">
        <v>0</v>
      </c>
      <c r="O37" s="47">
        <v>0</v>
      </c>
      <c r="P37" s="37">
        <v>0</v>
      </c>
      <c r="Q37" s="37">
        <v>0</v>
      </c>
      <c r="R37" s="37"/>
      <c r="S37" s="37" t="s">
        <v>481</v>
      </c>
      <c r="T37" t="str">
        <f>IFERROR(HYPERLINK("#'Main'!B"&amp;MATCH(TRIM(A37),Main!B:B,0),"Open"),HYPERLINK("#'Main'!B1","Open"))</f>
        <v>Open</v>
      </c>
    </row>
    <row r="38" spans="1:21" ht="30" customHeight="1" x14ac:dyDescent="0.25">
      <c r="A38" s="45" t="s">
        <v>196</v>
      </c>
      <c r="B38" s="28" t="s">
        <v>479</v>
      </c>
      <c r="C38" s="32" t="s">
        <v>511</v>
      </c>
      <c r="D38" s="28" t="s">
        <v>512</v>
      </c>
      <c r="E38" s="47">
        <v>200</v>
      </c>
      <c r="F38" s="28" t="b">
        <v>1</v>
      </c>
      <c r="G38" s="28">
        <v>0</v>
      </c>
      <c r="H38" s="47">
        <v>0</v>
      </c>
      <c r="I38" s="28">
        <v>0</v>
      </c>
      <c r="J38" s="28">
        <v>0</v>
      </c>
      <c r="K38" s="28">
        <v>0</v>
      </c>
      <c r="L38" s="35" t="b">
        <v>0</v>
      </c>
      <c r="M38" s="28">
        <v>0</v>
      </c>
      <c r="N38" s="28">
        <v>0</v>
      </c>
      <c r="O38" s="47">
        <v>0</v>
      </c>
      <c r="P38" s="28">
        <v>0</v>
      </c>
      <c r="Q38" s="28">
        <v>0</v>
      </c>
      <c r="R38" s="28"/>
      <c r="S38" s="28" t="s">
        <v>481</v>
      </c>
      <c r="T38" s="36" t="str">
        <f>IFERROR(HYPERLINK("#'Main'!B"&amp;MATCH(TRIM(A38),Main!B:B,0),"Open"),HYPERLINK("#'Main'!B1","Open"))</f>
        <v>Open</v>
      </c>
      <c r="U38" s="36"/>
    </row>
    <row r="39" spans="1:21" ht="30" customHeight="1" x14ac:dyDescent="0.25">
      <c r="A39" s="46" t="s">
        <v>196</v>
      </c>
      <c r="B39" s="37" t="s">
        <v>479</v>
      </c>
      <c r="C39" s="39" t="s">
        <v>513</v>
      </c>
      <c r="D39" s="37" t="s">
        <v>514</v>
      </c>
      <c r="E39" s="47">
        <v>200</v>
      </c>
      <c r="F39" s="37" t="b">
        <v>1</v>
      </c>
      <c r="G39" s="37">
        <v>0</v>
      </c>
      <c r="H39" s="47">
        <v>0</v>
      </c>
      <c r="I39" s="37">
        <v>0</v>
      </c>
      <c r="J39" s="37">
        <v>0</v>
      </c>
      <c r="K39" s="37">
        <v>0</v>
      </c>
      <c r="L39" s="41" t="b">
        <v>0</v>
      </c>
      <c r="M39" s="37">
        <v>0</v>
      </c>
      <c r="N39" s="37">
        <v>0</v>
      </c>
      <c r="O39" s="47">
        <v>0</v>
      </c>
      <c r="P39" s="37">
        <v>0</v>
      </c>
      <c r="Q39" s="37">
        <v>0</v>
      </c>
      <c r="R39" s="37"/>
      <c r="S39" s="37" t="s">
        <v>481</v>
      </c>
      <c r="T39" t="str">
        <f>IFERROR(HYPERLINK("#'Main'!B"&amp;MATCH(TRIM(A39),Main!B:B,0),"Open"),HYPERLINK("#'Main'!B1","Open"))</f>
        <v>Open</v>
      </c>
    </row>
    <row r="40" spans="1:21" ht="30" customHeight="1" x14ac:dyDescent="0.25">
      <c r="A40" s="45" t="s">
        <v>196</v>
      </c>
      <c r="B40" s="28" t="s">
        <v>479</v>
      </c>
      <c r="C40" s="32" t="s">
        <v>515</v>
      </c>
      <c r="D40" s="28" t="s">
        <v>516</v>
      </c>
      <c r="E40" s="47">
        <v>200</v>
      </c>
      <c r="F40" s="28" t="b">
        <v>1</v>
      </c>
      <c r="G40" s="28">
        <v>0</v>
      </c>
      <c r="H40" s="47">
        <v>0</v>
      </c>
      <c r="I40" s="28">
        <v>0</v>
      </c>
      <c r="J40" s="28">
        <v>0</v>
      </c>
      <c r="K40" s="28">
        <v>0</v>
      </c>
      <c r="L40" s="35" t="b">
        <v>0</v>
      </c>
      <c r="M40" s="28">
        <v>0</v>
      </c>
      <c r="N40" s="28">
        <v>0</v>
      </c>
      <c r="O40" s="47">
        <v>0</v>
      </c>
      <c r="P40" s="28">
        <v>0</v>
      </c>
      <c r="Q40" s="28">
        <v>0</v>
      </c>
      <c r="R40" s="28"/>
      <c r="S40" s="28" t="s">
        <v>481</v>
      </c>
      <c r="T40" s="36" t="str">
        <f>IFERROR(HYPERLINK("#'Main'!B"&amp;MATCH(TRIM(A40),Main!B:B,0),"Open"),HYPERLINK("#'Main'!B1","Open"))</f>
        <v>Open</v>
      </c>
      <c r="U40" s="36"/>
    </row>
    <row r="41" spans="1:21" ht="30" customHeight="1" x14ac:dyDescent="0.25">
      <c r="A41" s="46" t="s">
        <v>196</v>
      </c>
      <c r="B41" s="37" t="s">
        <v>479</v>
      </c>
      <c r="C41" s="39" t="s">
        <v>517</v>
      </c>
      <c r="D41" s="37" t="s">
        <v>518</v>
      </c>
      <c r="E41" s="47">
        <v>200</v>
      </c>
      <c r="F41" s="37" t="b">
        <v>1</v>
      </c>
      <c r="G41" s="37">
        <v>0</v>
      </c>
      <c r="H41" s="47">
        <v>0</v>
      </c>
      <c r="I41" s="37">
        <v>0</v>
      </c>
      <c r="J41" s="37">
        <v>0</v>
      </c>
      <c r="K41" s="37">
        <v>0</v>
      </c>
      <c r="L41" s="41" t="b">
        <v>0</v>
      </c>
      <c r="M41" s="37">
        <v>0</v>
      </c>
      <c r="N41" s="37">
        <v>0</v>
      </c>
      <c r="O41" s="47">
        <v>0</v>
      </c>
      <c r="P41" s="37">
        <v>0</v>
      </c>
      <c r="Q41" s="37">
        <v>0</v>
      </c>
      <c r="R41" s="37"/>
      <c r="S41" s="37" t="s">
        <v>481</v>
      </c>
      <c r="T41" t="str">
        <f>IFERROR(HYPERLINK("#'Main'!B"&amp;MATCH(TRIM(A41),Main!B:B,0),"Open"),HYPERLINK("#'Main'!B1","Open"))</f>
        <v>Open</v>
      </c>
    </row>
    <row r="42" spans="1:21" ht="30" customHeight="1" x14ac:dyDescent="0.25">
      <c r="A42" s="45" t="s">
        <v>196</v>
      </c>
      <c r="B42" s="28" t="s">
        <v>479</v>
      </c>
      <c r="C42" s="32" t="s">
        <v>517</v>
      </c>
      <c r="D42" s="28" t="s">
        <v>519</v>
      </c>
      <c r="E42" s="47">
        <v>200</v>
      </c>
      <c r="F42" s="28" t="b">
        <v>1</v>
      </c>
      <c r="G42" s="28">
        <v>0</v>
      </c>
      <c r="H42" s="47">
        <v>0</v>
      </c>
      <c r="I42" s="28">
        <v>0</v>
      </c>
      <c r="J42" s="28">
        <v>0</v>
      </c>
      <c r="K42" s="28">
        <v>0</v>
      </c>
      <c r="L42" s="35" t="b">
        <v>0</v>
      </c>
      <c r="M42" s="28">
        <v>0</v>
      </c>
      <c r="N42" s="28">
        <v>0</v>
      </c>
      <c r="O42" s="47">
        <v>0</v>
      </c>
      <c r="P42" s="28">
        <v>0</v>
      </c>
      <c r="Q42" s="28">
        <v>0</v>
      </c>
      <c r="R42" s="28"/>
      <c r="S42" s="28" t="s">
        <v>481</v>
      </c>
      <c r="T42" s="36" t="str">
        <f>IFERROR(HYPERLINK("#'Main'!B"&amp;MATCH(TRIM(A42),Main!B:B,0),"Open"),HYPERLINK("#'Main'!B1","Open"))</f>
        <v>Open</v>
      </c>
      <c r="U42" s="36"/>
    </row>
    <row r="43" spans="1:21" ht="30" customHeight="1" x14ac:dyDescent="0.25">
      <c r="A43" s="46" t="s">
        <v>196</v>
      </c>
      <c r="B43" s="37" t="s">
        <v>479</v>
      </c>
      <c r="C43" s="39" t="s">
        <v>494</v>
      </c>
      <c r="D43" s="37" t="s">
        <v>520</v>
      </c>
      <c r="E43" s="47">
        <v>200</v>
      </c>
      <c r="F43" s="37" t="b">
        <v>1</v>
      </c>
      <c r="G43" s="37">
        <v>0</v>
      </c>
      <c r="H43" s="47">
        <v>0</v>
      </c>
      <c r="I43" s="37">
        <v>0</v>
      </c>
      <c r="J43" s="37">
        <v>0</v>
      </c>
      <c r="K43" s="37">
        <v>0</v>
      </c>
      <c r="L43" s="41" t="b">
        <v>0</v>
      </c>
      <c r="M43" s="37">
        <v>0</v>
      </c>
      <c r="N43" s="37">
        <v>0</v>
      </c>
      <c r="O43" s="47">
        <v>0</v>
      </c>
      <c r="P43" s="37">
        <v>0</v>
      </c>
      <c r="Q43" s="37">
        <v>0</v>
      </c>
      <c r="R43" s="37"/>
      <c r="S43" s="37" t="s">
        <v>481</v>
      </c>
      <c r="T43" t="str">
        <f>IFERROR(HYPERLINK("#'Main'!B"&amp;MATCH(TRIM(A43),Main!B:B,0),"Open"),HYPERLINK("#'Main'!B1","Open"))</f>
        <v>Open</v>
      </c>
    </row>
    <row r="44" spans="1:21" ht="30" customHeight="1" x14ac:dyDescent="0.25">
      <c r="A44" s="45" t="s">
        <v>196</v>
      </c>
      <c r="B44" s="28" t="s">
        <v>479</v>
      </c>
      <c r="C44" s="32" t="s">
        <v>521</v>
      </c>
      <c r="D44" s="28" t="s">
        <v>268</v>
      </c>
      <c r="E44" s="47">
        <v>200</v>
      </c>
      <c r="F44" s="28" t="b">
        <v>1</v>
      </c>
      <c r="G44" s="28">
        <v>0</v>
      </c>
      <c r="H44" s="47">
        <v>0</v>
      </c>
      <c r="I44" s="28">
        <v>0</v>
      </c>
      <c r="J44" s="28">
        <v>0</v>
      </c>
      <c r="K44" s="28">
        <v>0</v>
      </c>
      <c r="L44" s="35" t="b">
        <v>0</v>
      </c>
      <c r="M44" s="28">
        <v>0</v>
      </c>
      <c r="N44" s="28">
        <v>0</v>
      </c>
      <c r="O44" s="47">
        <v>0</v>
      </c>
      <c r="P44" s="28">
        <v>0</v>
      </c>
      <c r="Q44" s="28">
        <v>0</v>
      </c>
      <c r="R44" s="28"/>
      <c r="S44" s="28" t="s">
        <v>481</v>
      </c>
      <c r="T44" s="36" t="str">
        <f>IFERROR(HYPERLINK("#'Main'!B"&amp;MATCH(TRIM(A44),Main!B:B,0),"Open"),HYPERLINK("#'Main'!B1","Open"))</f>
        <v>Open</v>
      </c>
      <c r="U44" s="36"/>
    </row>
    <row r="45" spans="1:21" ht="30" customHeight="1" x14ac:dyDescent="0.25">
      <c r="A45" s="46" t="s">
        <v>196</v>
      </c>
      <c r="B45" s="37" t="s">
        <v>479</v>
      </c>
      <c r="C45" s="39" t="s">
        <v>522</v>
      </c>
      <c r="D45" s="37" t="s">
        <v>523</v>
      </c>
      <c r="E45" s="47">
        <v>200</v>
      </c>
      <c r="F45" s="37" t="b">
        <v>1</v>
      </c>
      <c r="G45" s="37">
        <v>0</v>
      </c>
      <c r="H45" s="47">
        <v>0</v>
      </c>
      <c r="I45" s="37">
        <v>0</v>
      </c>
      <c r="J45" s="37">
        <v>0</v>
      </c>
      <c r="K45" s="37">
        <v>0</v>
      </c>
      <c r="L45" s="41" t="b">
        <v>0</v>
      </c>
      <c r="M45" s="37">
        <v>0</v>
      </c>
      <c r="N45" s="37">
        <v>0</v>
      </c>
      <c r="O45" s="47">
        <v>0</v>
      </c>
      <c r="P45" s="37">
        <v>0</v>
      </c>
      <c r="Q45" s="37">
        <v>0</v>
      </c>
      <c r="R45" s="37"/>
      <c r="S45" s="37" t="s">
        <v>481</v>
      </c>
      <c r="T45" t="str">
        <f>IFERROR(HYPERLINK("#'Main'!B"&amp;MATCH(TRIM(A45),Main!B:B,0),"Open"),HYPERLINK("#'Main'!B1","Open"))</f>
        <v>Open</v>
      </c>
    </row>
    <row r="46" spans="1:21" ht="30" customHeight="1" x14ac:dyDescent="0.25">
      <c r="A46" s="45" t="s">
        <v>196</v>
      </c>
      <c r="B46" s="28" t="s">
        <v>479</v>
      </c>
      <c r="C46" s="32" t="s">
        <v>166</v>
      </c>
      <c r="D46" s="28" t="s">
        <v>504</v>
      </c>
      <c r="E46" s="47">
        <v>200</v>
      </c>
      <c r="F46" s="28" t="b">
        <v>1</v>
      </c>
      <c r="G46" s="28">
        <v>0</v>
      </c>
      <c r="H46" s="47">
        <v>0</v>
      </c>
      <c r="I46" s="28">
        <v>0</v>
      </c>
      <c r="J46" s="28">
        <v>0</v>
      </c>
      <c r="K46" s="28">
        <v>0</v>
      </c>
      <c r="L46" s="35" t="b">
        <v>0</v>
      </c>
      <c r="M46" s="28">
        <v>0</v>
      </c>
      <c r="N46" s="28">
        <v>0</v>
      </c>
      <c r="O46" s="47">
        <v>0</v>
      </c>
      <c r="P46" s="28">
        <v>0</v>
      </c>
      <c r="Q46" s="28">
        <v>0</v>
      </c>
      <c r="R46" s="28"/>
      <c r="S46" s="28" t="s">
        <v>481</v>
      </c>
      <c r="T46" s="36" t="str">
        <f>IFERROR(HYPERLINK("#'Main'!B"&amp;MATCH(TRIM(A46),Main!B:B,0),"Open"),HYPERLINK("#'Main'!B1","Open"))</f>
        <v>Open</v>
      </c>
      <c r="U46" s="36"/>
    </row>
    <row r="47" spans="1:21" ht="30" customHeight="1" x14ac:dyDescent="0.25">
      <c r="A47" s="46" t="s">
        <v>196</v>
      </c>
      <c r="B47" s="37" t="s">
        <v>479</v>
      </c>
      <c r="C47" s="39" t="s">
        <v>199</v>
      </c>
      <c r="D47" s="37" t="s">
        <v>505</v>
      </c>
      <c r="E47" s="47">
        <v>200</v>
      </c>
      <c r="F47" s="37" t="b">
        <v>1</v>
      </c>
      <c r="G47" s="37">
        <v>0</v>
      </c>
      <c r="H47" s="47">
        <v>0</v>
      </c>
      <c r="I47" s="37">
        <v>0</v>
      </c>
      <c r="J47" s="37">
        <v>0</v>
      </c>
      <c r="K47" s="37">
        <v>0</v>
      </c>
      <c r="L47" s="41" t="b">
        <v>0</v>
      </c>
      <c r="M47" s="37">
        <v>0</v>
      </c>
      <c r="N47" s="37">
        <v>0</v>
      </c>
      <c r="O47" s="47">
        <v>0</v>
      </c>
      <c r="P47" s="37">
        <v>0</v>
      </c>
      <c r="Q47" s="37">
        <v>0</v>
      </c>
      <c r="R47" s="37"/>
      <c r="S47" s="37" t="s">
        <v>481</v>
      </c>
      <c r="T47" t="str">
        <f>IFERROR(HYPERLINK("#'Main'!B"&amp;MATCH(TRIM(A47),Main!B:B,0),"Open"),HYPERLINK("#'Main'!B1","Open"))</f>
        <v>Open</v>
      </c>
    </row>
    <row r="48" spans="1:21" ht="30" customHeight="1" x14ac:dyDescent="0.25">
      <c r="A48" s="45" t="s">
        <v>196</v>
      </c>
      <c r="B48" s="28" t="s">
        <v>479</v>
      </c>
      <c r="C48" s="32" t="s">
        <v>506</v>
      </c>
      <c r="D48" s="28" t="s">
        <v>507</v>
      </c>
      <c r="E48" s="47">
        <v>200</v>
      </c>
      <c r="F48" s="28" t="b">
        <v>1</v>
      </c>
      <c r="G48" s="28">
        <v>0</v>
      </c>
      <c r="H48" s="47">
        <v>0</v>
      </c>
      <c r="I48" s="28">
        <v>0</v>
      </c>
      <c r="J48" s="28">
        <v>0</v>
      </c>
      <c r="K48" s="28">
        <v>0</v>
      </c>
      <c r="L48" s="35" t="b">
        <v>0</v>
      </c>
      <c r="M48" s="28">
        <v>0</v>
      </c>
      <c r="N48" s="28">
        <v>0</v>
      </c>
      <c r="O48" s="47">
        <v>0</v>
      </c>
      <c r="P48" s="28">
        <v>0</v>
      </c>
      <c r="Q48" s="28">
        <v>0</v>
      </c>
      <c r="R48" s="28"/>
      <c r="S48" s="28" t="s">
        <v>481</v>
      </c>
      <c r="T48" s="36" t="str">
        <f>IFERROR(HYPERLINK("#'Main'!B"&amp;MATCH(TRIM(A48),Main!B:B,0),"Open"),HYPERLINK("#'Main'!B1","Open"))</f>
        <v>Open</v>
      </c>
      <c r="U48" s="36"/>
    </row>
    <row r="49" spans="1:21" ht="30" customHeight="1" x14ac:dyDescent="0.25">
      <c r="A49" s="46" t="s">
        <v>196</v>
      </c>
      <c r="B49" s="37" t="s">
        <v>479</v>
      </c>
      <c r="C49" s="39" t="s">
        <v>508</v>
      </c>
      <c r="D49" s="37" t="s">
        <v>509</v>
      </c>
      <c r="E49" s="47">
        <v>200</v>
      </c>
      <c r="F49" s="37" t="b">
        <v>1</v>
      </c>
      <c r="G49" s="37">
        <v>0</v>
      </c>
      <c r="H49" s="47">
        <v>0</v>
      </c>
      <c r="I49" s="37">
        <v>0</v>
      </c>
      <c r="J49" s="37">
        <v>0</v>
      </c>
      <c r="K49" s="37">
        <v>0</v>
      </c>
      <c r="L49" s="41" t="b">
        <v>0</v>
      </c>
      <c r="M49" s="37">
        <v>0</v>
      </c>
      <c r="N49" s="37">
        <v>0</v>
      </c>
      <c r="O49" s="47">
        <v>0</v>
      </c>
      <c r="P49" s="37">
        <v>0</v>
      </c>
      <c r="Q49" s="37">
        <v>0</v>
      </c>
      <c r="R49" s="37"/>
      <c r="S49" s="37" t="s">
        <v>481</v>
      </c>
      <c r="T49" t="str">
        <f>IFERROR(HYPERLINK("#'Main'!B"&amp;MATCH(TRIM(A49),Main!B:B,0),"Open"),HYPERLINK("#'Main'!B1","Open"))</f>
        <v>Open</v>
      </c>
    </row>
    <row r="50" spans="1:21" ht="30" customHeight="1" x14ac:dyDescent="0.25">
      <c r="A50" s="45" t="s">
        <v>196</v>
      </c>
      <c r="B50" s="28" t="s">
        <v>479</v>
      </c>
      <c r="C50" s="32" t="s">
        <v>196</v>
      </c>
      <c r="D50" s="28" t="s">
        <v>510</v>
      </c>
      <c r="E50" s="47">
        <v>200</v>
      </c>
      <c r="F50" s="28" t="b">
        <v>1</v>
      </c>
      <c r="G50" s="28">
        <v>0</v>
      </c>
      <c r="H50" s="47">
        <v>0</v>
      </c>
      <c r="I50" s="28">
        <v>0</v>
      </c>
      <c r="J50" s="28">
        <v>0</v>
      </c>
      <c r="K50" s="28">
        <v>0</v>
      </c>
      <c r="L50" s="35" t="b">
        <v>0</v>
      </c>
      <c r="M50" s="28">
        <v>0</v>
      </c>
      <c r="N50" s="28">
        <v>0</v>
      </c>
      <c r="O50" s="47">
        <v>0</v>
      </c>
      <c r="P50" s="28">
        <v>0</v>
      </c>
      <c r="Q50" s="28">
        <v>0</v>
      </c>
      <c r="R50" s="28"/>
      <c r="S50" s="28" t="s">
        <v>481</v>
      </c>
      <c r="T50" s="36" t="str">
        <f>IFERROR(HYPERLINK("#'Main'!B"&amp;MATCH(TRIM(A50),Main!B:B,0),"Open"),HYPERLINK("#'Main'!B1","Open"))</f>
        <v>Open</v>
      </c>
      <c r="U50" s="36"/>
    </row>
    <row r="51" spans="1:21" ht="30" customHeight="1" x14ac:dyDescent="0.25">
      <c r="A51" s="46" t="s">
        <v>196</v>
      </c>
      <c r="B51" s="37" t="s">
        <v>479</v>
      </c>
      <c r="C51" s="39" t="s">
        <v>511</v>
      </c>
      <c r="D51" s="37" t="s">
        <v>512</v>
      </c>
      <c r="E51" s="47">
        <v>200</v>
      </c>
      <c r="F51" s="37" t="b">
        <v>1</v>
      </c>
      <c r="G51" s="37">
        <v>0</v>
      </c>
      <c r="H51" s="47">
        <v>0</v>
      </c>
      <c r="I51" s="37">
        <v>0</v>
      </c>
      <c r="J51" s="37">
        <v>0</v>
      </c>
      <c r="K51" s="37">
        <v>0</v>
      </c>
      <c r="L51" s="41" t="b">
        <v>0</v>
      </c>
      <c r="M51" s="37">
        <v>0</v>
      </c>
      <c r="N51" s="37">
        <v>0</v>
      </c>
      <c r="O51" s="47">
        <v>0</v>
      </c>
      <c r="P51" s="37">
        <v>0</v>
      </c>
      <c r="Q51" s="37">
        <v>0</v>
      </c>
      <c r="R51" s="37"/>
      <c r="S51" s="37" t="s">
        <v>481</v>
      </c>
      <c r="T51" t="str">
        <f>IFERROR(HYPERLINK("#'Main'!B"&amp;MATCH(TRIM(A51),Main!B:B,0),"Open"),HYPERLINK("#'Main'!B1","Open"))</f>
        <v>Open</v>
      </c>
    </row>
    <row r="52" spans="1:21" ht="30" customHeight="1" x14ac:dyDescent="0.25">
      <c r="A52" s="45" t="s">
        <v>196</v>
      </c>
      <c r="B52" s="28" t="s">
        <v>479</v>
      </c>
      <c r="C52" s="32" t="s">
        <v>513</v>
      </c>
      <c r="D52" s="28" t="s">
        <v>514</v>
      </c>
      <c r="E52" s="47">
        <v>200</v>
      </c>
      <c r="F52" s="28" t="b">
        <v>1</v>
      </c>
      <c r="G52" s="28">
        <v>0</v>
      </c>
      <c r="H52" s="47">
        <v>0</v>
      </c>
      <c r="I52" s="28">
        <v>0</v>
      </c>
      <c r="J52" s="28">
        <v>0</v>
      </c>
      <c r="K52" s="28">
        <v>0</v>
      </c>
      <c r="L52" s="35" t="b">
        <v>0</v>
      </c>
      <c r="M52" s="28">
        <v>0</v>
      </c>
      <c r="N52" s="28">
        <v>0</v>
      </c>
      <c r="O52" s="47">
        <v>0</v>
      </c>
      <c r="P52" s="28">
        <v>0</v>
      </c>
      <c r="Q52" s="28">
        <v>0</v>
      </c>
      <c r="R52" s="28"/>
      <c r="S52" s="28" t="s">
        <v>481</v>
      </c>
      <c r="T52" s="36" t="str">
        <f>IFERROR(HYPERLINK("#'Main'!B"&amp;MATCH(TRIM(A52),Main!B:B,0),"Open"),HYPERLINK("#'Main'!B1","Open"))</f>
        <v>Open</v>
      </c>
      <c r="U52" s="36"/>
    </row>
    <row r="53" spans="1:21" ht="30" customHeight="1" x14ac:dyDescent="0.25">
      <c r="A53" s="46" t="s">
        <v>196</v>
      </c>
      <c r="B53" s="37" t="s">
        <v>479</v>
      </c>
      <c r="C53" s="39" t="s">
        <v>515</v>
      </c>
      <c r="D53" s="37" t="s">
        <v>516</v>
      </c>
      <c r="E53" s="47">
        <v>200</v>
      </c>
      <c r="F53" s="37" t="b">
        <v>1</v>
      </c>
      <c r="G53" s="37">
        <v>0</v>
      </c>
      <c r="H53" s="47">
        <v>0</v>
      </c>
      <c r="I53" s="37">
        <v>0</v>
      </c>
      <c r="J53" s="37">
        <v>0</v>
      </c>
      <c r="K53" s="37">
        <v>0</v>
      </c>
      <c r="L53" s="41" t="b">
        <v>0</v>
      </c>
      <c r="M53" s="37">
        <v>0</v>
      </c>
      <c r="N53" s="37">
        <v>0</v>
      </c>
      <c r="O53" s="47">
        <v>0</v>
      </c>
      <c r="P53" s="37">
        <v>0</v>
      </c>
      <c r="Q53" s="37">
        <v>0</v>
      </c>
      <c r="R53" s="37"/>
      <c r="S53" s="37" t="s">
        <v>481</v>
      </c>
      <c r="T53" t="str">
        <f>IFERROR(HYPERLINK("#'Main'!B"&amp;MATCH(TRIM(A53),Main!B:B,0),"Open"),HYPERLINK("#'Main'!B1","Open"))</f>
        <v>Open</v>
      </c>
    </row>
    <row r="54" spans="1:21" ht="30" customHeight="1" x14ac:dyDescent="0.25">
      <c r="A54" s="45" t="s">
        <v>196</v>
      </c>
      <c r="B54" s="28" t="s">
        <v>479</v>
      </c>
      <c r="C54" s="32" t="s">
        <v>517</v>
      </c>
      <c r="D54" s="28" t="s">
        <v>518</v>
      </c>
      <c r="E54" s="47">
        <v>200</v>
      </c>
      <c r="F54" s="28" t="b">
        <v>1</v>
      </c>
      <c r="G54" s="28">
        <v>0</v>
      </c>
      <c r="H54" s="47">
        <v>0</v>
      </c>
      <c r="I54" s="28">
        <v>0</v>
      </c>
      <c r="J54" s="28">
        <v>0</v>
      </c>
      <c r="K54" s="28">
        <v>0</v>
      </c>
      <c r="L54" s="35" t="b">
        <v>0</v>
      </c>
      <c r="M54" s="28">
        <v>0</v>
      </c>
      <c r="N54" s="28">
        <v>0</v>
      </c>
      <c r="O54" s="47">
        <v>0</v>
      </c>
      <c r="P54" s="28">
        <v>0</v>
      </c>
      <c r="Q54" s="28">
        <v>0</v>
      </c>
      <c r="R54" s="28"/>
      <c r="S54" s="28" t="s">
        <v>481</v>
      </c>
      <c r="T54" s="36" t="str">
        <f>IFERROR(HYPERLINK("#'Main'!B"&amp;MATCH(TRIM(A54),Main!B:B,0),"Open"),HYPERLINK("#'Main'!B1","Open"))</f>
        <v>Open</v>
      </c>
      <c r="U54" s="36"/>
    </row>
    <row r="55" spans="1:21" ht="30" customHeight="1" x14ac:dyDescent="0.25">
      <c r="A55" s="46" t="s">
        <v>196</v>
      </c>
      <c r="B55" s="37" t="s">
        <v>479</v>
      </c>
      <c r="C55" s="39" t="s">
        <v>517</v>
      </c>
      <c r="D55" s="37" t="s">
        <v>519</v>
      </c>
      <c r="E55" s="47">
        <v>200</v>
      </c>
      <c r="F55" s="37" t="b">
        <v>1</v>
      </c>
      <c r="G55" s="37">
        <v>0</v>
      </c>
      <c r="H55" s="47">
        <v>0</v>
      </c>
      <c r="I55" s="37">
        <v>0</v>
      </c>
      <c r="J55" s="37">
        <v>0</v>
      </c>
      <c r="K55" s="37">
        <v>0</v>
      </c>
      <c r="L55" s="41" t="b">
        <v>0</v>
      </c>
      <c r="M55" s="37">
        <v>0</v>
      </c>
      <c r="N55" s="37">
        <v>0</v>
      </c>
      <c r="O55" s="47">
        <v>0</v>
      </c>
      <c r="P55" s="37">
        <v>0</v>
      </c>
      <c r="Q55" s="37">
        <v>0</v>
      </c>
      <c r="R55" s="37"/>
      <c r="S55" s="37" t="s">
        <v>481</v>
      </c>
      <c r="T55" t="str">
        <f>IFERROR(HYPERLINK("#'Main'!B"&amp;MATCH(TRIM(A55),Main!B:B,0),"Open"),HYPERLINK("#'Main'!B1","Open"))</f>
        <v>Open</v>
      </c>
    </row>
    <row r="56" spans="1:21" ht="30" customHeight="1" x14ac:dyDescent="0.25">
      <c r="A56" s="45" t="s">
        <v>196</v>
      </c>
      <c r="B56" s="28" t="s">
        <v>479</v>
      </c>
      <c r="C56" s="32" t="s">
        <v>494</v>
      </c>
      <c r="D56" s="28" t="s">
        <v>520</v>
      </c>
      <c r="E56" s="47">
        <v>200</v>
      </c>
      <c r="F56" s="28" t="b">
        <v>1</v>
      </c>
      <c r="G56" s="28">
        <v>0</v>
      </c>
      <c r="H56" s="47">
        <v>0</v>
      </c>
      <c r="I56" s="28">
        <v>0</v>
      </c>
      <c r="J56" s="28">
        <v>0</v>
      </c>
      <c r="K56" s="28">
        <v>0</v>
      </c>
      <c r="L56" s="35" t="b">
        <v>0</v>
      </c>
      <c r="M56" s="28">
        <v>0</v>
      </c>
      <c r="N56" s="28">
        <v>0</v>
      </c>
      <c r="O56" s="47">
        <v>0</v>
      </c>
      <c r="P56" s="28">
        <v>0</v>
      </c>
      <c r="Q56" s="28">
        <v>0</v>
      </c>
      <c r="R56" s="28"/>
      <c r="S56" s="28" t="s">
        <v>481</v>
      </c>
      <c r="T56" s="36" t="str">
        <f>IFERROR(HYPERLINK("#'Main'!B"&amp;MATCH(TRIM(A56),Main!B:B,0),"Open"),HYPERLINK("#'Main'!B1","Open"))</f>
        <v>Open</v>
      </c>
      <c r="U56" s="36"/>
    </row>
    <row r="57" spans="1:21" ht="30" customHeight="1" x14ac:dyDescent="0.25">
      <c r="A57" s="46" t="s">
        <v>196</v>
      </c>
      <c r="B57" s="37" t="s">
        <v>479</v>
      </c>
      <c r="C57" s="39" t="s">
        <v>521</v>
      </c>
      <c r="D57" s="37" t="s">
        <v>268</v>
      </c>
      <c r="E57" s="47">
        <v>200</v>
      </c>
      <c r="F57" s="37" t="b">
        <v>1</v>
      </c>
      <c r="G57" s="37">
        <v>0</v>
      </c>
      <c r="H57" s="47">
        <v>0</v>
      </c>
      <c r="I57" s="37">
        <v>0</v>
      </c>
      <c r="J57" s="37">
        <v>0</v>
      </c>
      <c r="K57" s="37">
        <v>0</v>
      </c>
      <c r="L57" s="41" t="b">
        <v>0</v>
      </c>
      <c r="M57" s="37">
        <v>0</v>
      </c>
      <c r="N57" s="37">
        <v>0</v>
      </c>
      <c r="O57" s="47">
        <v>0</v>
      </c>
      <c r="P57" s="37">
        <v>0</v>
      </c>
      <c r="Q57" s="37">
        <v>0</v>
      </c>
      <c r="R57" s="37"/>
      <c r="S57" s="37" t="s">
        <v>481</v>
      </c>
      <c r="T57" t="str">
        <f>IFERROR(HYPERLINK("#'Main'!B"&amp;MATCH(TRIM(A57),Main!B:B,0),"Open"),HYPERLINK("#'Main'!B1","Open"))</f>
        <v>Open</v>
      </c>
    </row>
    <row r="58" spans="1:21" ht="30" customHeight="1" x14ac:dyDescent="0.25">
      <c r="A58" s="45" t="s">
        <v>196</v>
      </c>
      <c r="B58" s="28" t="s">
        <v>479</v>
      </c>
      <c r="C58" s="32" t="s">
        <v>522</v>
      </c>
      <c r="D58" s="28" t="s">
        <v>523</v>
      </c>
      <c r="E58" s="47">
        <v>200</v>
      </c>
      <c r="F58" s="28" t="b">
        <v>1</v>
      </c>
      <c r="G58" s="28">
        <v>0</v>
      </c>
      <c r="H58" s="47">
        <v>0</v>
      </c>
      <c r="I58" s="28">
        <v>0</v>
      </c>
      <c r="J58" s="28">
        <v>0</v>
      </c>
      <c r="K58" s="28">
        <v>0</v>
      </c>
      <c r="L58" s="35" t="b">
        <v>0</v>
      </c>
      <c r="M58" s="28">
        <v>0</v>
      </c>
      <c r="N58" s="28">
        <v>0</v>
      </c>
      <c r="O58" s="47">
        <v>0</v>
      </c>
      <c r="P58" s="28">
        <v>0</v>
      </c>
      <c r="Q58" s="28">
        <v>0</v>
      </c>
      <c r="R58" s="28"/>
      <c r="S58" s="28" t="s">
        <v>481</v>
      </c>
      <c r="T58" s="36" t="str">
        <f>IFERROR(HYPERLINK("#'Main'!B"&amp;MATCH(TRIM(A58),Main!B:B,0),"Open"),HYPERLINK("#'Main'!B1","Open"))</f>
        <v>Open</v>
      </c>
      <c r="U58" s="36"/>
    </row>
    <row r="59" spans="1:21" ht="30" customHeight="1" x14ac:dyDescent="0.25">
      <c r="A59" s="46" t="s">
        <v>196</v>
      </c>
      <c r="B59" s="37" t="s">
        <v>479</v>
      </c>
      <c r="C59" s="39" t="s">
        <v>480</v>
      </c>
      <c r="D59" s="37"/>
      <c r="E59" s="37">
        <v>0</v>
      </c>
      <c r="F59" s="37" t="b">
        <v>1</v>
      </c>
      <c r="G59" s="37">
        <v>0</v>
      </c>
      <c r="H59" s="47">
        <v>0</v>
      </c>
      <c r="I59" s="37">
        <v>0</v>
      </c>
      <c r="J59" s="37">
        <v>0</v>
      </c>
      <c r="K59" s="37">
        <v>0</v>
      </c>
      <c r="L59" s="41" t="b">
        <v>0</v>
      </c>
      <c r="M59" s="37">
        <v>0</v>
      </c>
      <c r="N59" s="37">
        <v>0</v>
      </c>
      <c r="O59" s="47">
        <v>0</v>
      </c>
      <c r="P59" s="37">
        <v>0</v>
      </c>
      <c r="Q59" s="37">
        <v>0</v>
      </c>
      <c r="R59" s="37"/>
      <c r="S59" s="37" t="s">
        <v>481</v>
      </c>
      <c r="T59" t="str">
        <f>IFERROR(HYPERLINK("#'Main'!B"&amp;MATCH(TRIM(A59),Main!B:B,0),"Open"),HYPERLINK("#'Main'!B1","Open"))</f>
        <v>Open</v>
      </c>
    </row>
    <row r="60" spans="1:21" ht="30" customHeight="1" x14ac:dyDescent="0.25">
      <c r="A60" s="45" t="s">
        <v>196</v>
      </c>
      <c r="B60" s="28" t="s">
        <v>479</v>
      </c>
      <c r="C60" s="32" t="s">
        <v>166</v>
      </c>
      <c r="D60" s="28" t="s">
        <v>504</v>
      </c>
      <c r="E60" s="47">
        <v>200</v>
      </c>
      <c r="F60" s="28" t="b">
        <v>1</v>
      </c>
      <c r="G60" s="28">
        <v>0</v>
      </c>
      <c r="H60" s="47">
        <v>0</v>
      </c>
      <c r="I60" s="28">
        <v>0</v>
      </c>
      <c r="J60" s="28">
        <v>0</v>
      </c>
      <c r="K60" s="28">
        <v>0</v>
      </c>
      <c r="L60" s="35" t="b">
        <v>0</v>
      </c>
      <c r="M60" s="28">
        <v>0</v>
      </c>
      <c r="N60" s="28">
        <v>0</v>
      </c>
      <c r="O60" s="47">
        <v>0</v>
      </c>
      <c r="P60" s="28">
        <v>0</v>
      </c>
      <c r="Q60" s="28">
        <v>0</v>
      </c>
      <c r="R60" s="28"/>
      <c r="S60" s="28" t="s">
        <v>481</v>
      </c>
      <c r="T60" s="36" t="str">
        <f>IFERROR(HYPERLINK("#'Main'!B"&amp;MATCH(TRIM(A60),Main!B:B,0),"Open"),HYPERLINK("#'Main'!B1","Open"))</f>
        <v>Open</v>
      </c>
      <c r="U60" s="36"/>
    </row>
    <row r="61" spans="1:21" ht="30" customHeight="1" x14ac:dyDescent="0.25">
      <c r="A61" s="46" t="s">
        <v>196</v>
      </c>
      <c r="B61" s="37" t="s">
        <v>479</v>
      </c>
      <c r="C61" s="39" t="s">
        <v>199</v>
      </c>
      <c r="D61" s="37" t="s">
        <v>505</v>
      </c>
      <c r="E61" s="47">
        <v>200</v>
      </c>
      <c r="F61" s="37" t="b">
        <v>1</v>
      </c>
      <c r="G61" s="37">
        <v>0</v>
      </c>
      <c r="H61" s="47">
        <v>0</v>
      </c>
      <c r="I61" s="37">
        <v>0</v>
      </c>
      <c r="J61" s="37">
        <v>0</v>
      </c>
      <c r="K61" s="37">
        <v>0</v>
      </c>
      <c r="L61" s="41" t="b">
        <v>0</v>
      </c>
      <c r="M61" s="37">
        <v>0</v>
      </c>
      <c r="N61" s="37">
        <v>0</v>
      </c>
      <c r="O61" s="47">
        <v>0</v>
      </c>
      <c r="P61" s="37">
        <v>0</v>
      </c>
      <c r="Q61" s="37">
        <v>0</v>
      </c>
      <c r="R61" s="37"/>
      <c r="S61" s="37" t="s">
        <v>481</v>
      </c>
      <c r="T61" t="str">
        <f>IFERROR(HYPERLINK("#'Main'!B"&amp;MATCH(TRIM(A61),Main!B:B,0),"Open"),HYPERLINK("#'Main'!B1","Open"))</f>
        <v>Open</v>
      </c>
    </row>
    <row r="62" spans="1:21" ht="30" customHeight="1" x14ac:dyDescent="0.25">
      <c r="A62" s="45" t="s">
        <v>196</v>
      </c>
      <c r="B62" s="28" t="s">
        <v>479</v>
      </c>
      <c r="C62" s="32" t="s">
        <v>506</v>
      </c>
      <c r="D62" s="28" t="s">
        <v>507</v>
      </c>
      <c r="E62" s="47">
        <v>200</v>
      </c>
      <c r="F62" s="28" t="b">
        <v>1</v>
      </c>
      <c r="G62" s="28">
        <v>0</v>
      </c>
      <c r="H62" s="47">
        <v>0</v>
      </c>
      <c r="I62" s="28">
        <v>0</v>
      </c>
      <c r="J62" s="28">
        <v>0</v>
      </c>
      <c r="K62" s="28">
        <v>0</v>
      </c>
      <c r="L62" s="35" t="b">
        <v>0</v>
      </c>
      <c r="M62" s="28">
        <v>0</v>
      </c>
      <c r="N62" s="28">
        <v>0</v>
      </c>
      <c r="O62" s="47">
        <v>0</v>
      </c>
      <c r="P62" s="28">
        <v>0</v>
      </c>
      <c r="Q62" s="28">
        <v>0</v>
      </c>
      <c r="R62" s="28"/>
      <c r="S62" s="28" t="s">
        <v>481</v>
      </c>
      <c r="T62" s="36" t="str">
        <f>IFERROR(HYPERLINK("#'Main'!B"&amp;MATCH(TRIM(A62),Main!B:B,0),"Open"),HYPERLINK("#'Main'!B1","Open"))</f>
        <v>Open</v>
      </c>
      <c r="U62" s="36"/>
    </row>
    <row r="63" spans="1:21" ht="30" customHeight="1" x14ac:dyDescent="0.25">
      <c r="A63" s="46" t="s">
        <v>196</v>
      </c>
      <c r="B63" s="37" t="s">
        <v>479</v>
      </c>
      <c r="C63" s="39" t="s">
        <v>508</v>
      </c>
      <c r="D63" s="37" t="s">
        <v>509</v>
      </c>
      <c r="E63" s="47">
        <v>200</v>
      </c>
      <c r="F63" s="37" t="b">
        <v>1</v>
      </c>
      <c r="G63" s="37">
        <v>0</v>
      </c>
      <c r="H63" s="47">
        <v>0</v>
      </c>
      <c r="I63" s="37">
        <v>0</v>
      </c>
      <c r="J63" s="37">
        <v>0</v>
      </c>
      <c r="K63" s="37">
        <v>0</v>
      </c>
      <c r="L63" s="41" t="b">
        <v>0</v>
      </c>
      <c r="M63" s="37">
        <v>0</v>
      </c>
      <c r="N63" s="37">
        <v>0</v>
      </c>
      <c r="O63" s="47">
        <v>0</v>
      </c>
      <c r="P63" s="37">
        <v>0</v>
      </c>
      <c r="Q63" s="37">
        <v>0</v>
      </c>
      <c r="R63" s="37"/>
      <c r="S63" s="37" t="s">
        <v>481</v>
      </c>
      <c r="T63" t="str">
        <f>IFERROR(HYPERLINK("#'Main'!B"&amp;MATCH(TRIM(A63),Main!B:B,0),"Open"),HYPERLINK("#'Main'!B1","Open"))</f>
        <v>Open</v>
      </c>
    </row>
    <row r="64" spans="1:21" ht="30" customHeight="1" x14ac:dyDescent="0.25">
      <c r="A64" s="45" t="s">
        <v>196</v>
      </c>
      <c r="B64" s="28" t="s">
        <v>479</v>
      </c>
      <c r="C64" s="32" t="s">
        <v>196</v>
      </c>
      <c r="D64" s="28" t="s">
        <v>510</v>
      </c>
      <c r="E64" s="47">
        <v>200</v>
      </c>
      <c r="F64" s="28" t="b">
        <v>1</v>
      </c>
      <c r="G64" s="28">
        <v>0</v>
      </c>
      <c r="H64" s="47">
        <v>0</v>
      </c>
      <c r="I64" s="28">
        <v>0</v>
      </c>
      <c r="J64" s="28">
        <v>0</v>
      </c>
      <c r="K64" s="28">
        <v>0</v>
      </c>
      <c r="L64" s="35" t="b">
        <v>0</v>
      </c>
      <c r="M64" s="28">
        <v>0</v>
      </c>
      <c r="N64" s="28">
        <v>0</v>
      </c>
      <c r="O64" s="47">
        <v>0</v>
      </c>
      <c r="P64" s="28">
        <v>0</v>
      </c>
      <c r="Q64" s="28">
        <v>0</v>
      </c>
      <c r="R64" s="28"/>
      <c r="S64" s="28" t="s">
        <v>481</v>
      </c>
      <c r="T64" s="36" t="str">
        <f>IFERROR(HYPERLINK("#'Main'!B"&amp;MATCH(TRIM(A64),Main!B:B,0),"Open"),HYPERLINK("#'Main'!B1","Open"))</f>
        <v>Open</v>
      </c>
      <c r="U64" s="36"/>
    </row>
    <row r="65" spans="1:21" ht="30" customHeight="1" x14ac:dyDescent="0.25">
      <c r="A65" s="46" t="s">
        <v>196</v>
      </c>
      <c r="B65" s="37" t="s">
        <v>479</v>
      </c>
      <c r="C65" s="39" t="s">
        <v>511</v>
      </c>
      <c r="D65" s="37" t="s">
        <v>512</v>
      </c>
      <c r="E65" s="47">
        <v>200</v>
      </c>
      <c r="F65" s="37" t="b">
        <v>1</v>
      </c>
      <c r="G65" s="37">
        <v>0</v>
      </c>
      <c r="H65" s="47">
        <v>0</v>
      </c>
      <c r="I65" s="37">
        <v>0</v>
      </c>
      <c r="J65" s="37">
        <v>0</v>
      </c>
      <c r="K65" s="37">
        <v>0</v>
      </c>
      <c r="L65" s="41" t="b">
        <v>0</v>
      </c>
      <c r="M65" s="37">
        <v>0</v>
      </c>
      <c r="N65" s="37">
        <v>0</v>
      </c>
      <c r="O65" s="47">
        <v>0</v>
      </c>
      <c r="P65" s="37">
        <v>0</v>
      </c>
      <c r="Q65" s="37">
        <v>0</v>
      </c>
      <c r="R65" s="37"/>
      <c r="S65" s="37" t="s">
        <v>481</v>
      </c>
      <c r="T65" t="str">
        <f>IFERROR(HYPERLINK("#'Main'!B"&amp;MATCH(TRIM(A65),Main!B:B,0),"Open"),HYPERLINK("#'Main'!B1","Open"))</f>
        <v>Open</v>
      </c>
    </row>
    <row r="66" spans="1:21" ht="30" customHeight="1" x14ac:dyDescent="0.25">
      <c r="A66" s="45" t="s">
        <v>196</v>
      </c>
      <c r="B66" s="28" t="s">
        <v>479</v>
      </c>
      <c r="C66" s="32" t="s">
        <v>513</v>
      </c>
      <c r="D66" s="28" t="s">
        <v>514</v>
      </c>
      <c r="E66" s="47">
        <v>200</v>
      </c>
      <c r="F66" s="28" t="b">
        <v>1</v>
      </c>
      <c r="G66" s="28">
        <v>0</v>
      </c>
      <c r="H66" s="47">
        <v>0</v>
      </c>
      <c r="I66" s="28">
        <v>0</v>
      </c>
      <c r="J66" s="28">
        <v>0</v>
      </c>
      <c r="K66" s="28">
        <v>0</v>
      </c>
      <c r="L66" s="35" t="b">
        <v>0</v>
      </c>
      <c r="M66" s="28">
        <v>0</v>
      </c>
      <c r="N66" s="28">
        <v>0</v>
      </c>
      <c r="O66" s="47">
        <v>0</v>
      </c>
      <c r="P66" s="28">
        <v>0</v>
      </c>
      <c r="Q66" s="28">
        <v>0</v>
      </c>
      <c r="R66" s="28"/>
      <c r="S66" s="28" t="s">
        <v>481</v>
      </c>
      <c r="T66" s="36" t="str">
        <f>IFERROR(HYPERLINK("#'Main'!B"&amp;MATCH(TRIM(A66),Main!B:B,0),"Open"),HYPERLINK("#'Main'!B1","Open"))</f>
        <v>Open</v>
      </c>
      <c r="U66" s="36"/>
    </row>
    <row r="67" spans="1:21" ht="30" customHeight="1" x14ac:dyDescent="0.25">
      <c r="A67" s="46" t="s">
        <v>196</v>
      </c>
      <c r="B67" s="37" t="s">
        <v>479</v>
      </c>
      <c r="C67" s="39" t="s">
        <v>515</v>
      </c>
      <c r="D67" s="37" t="s">
        <v>516</v>
      </c>
      <c r="E67" s="47">
        <v>200</v>
      </c>
      <c r="F67" s="37" t="b">
        <v>1</v>
      </c>
      <c r="G67" s="37">
        <v>0</v>
      </c>
      <c r="H67" s="47">
        <v>0</v>
      </c>
      <c r="I67" s="37">
        <v>0</v>
      </c>
      <c r="J67" s="37">
        <v>0</v>
      </c>
      <c r="K67" s="37">
        <v>0</v>
      </c>
      <c r="L67" s="41" t="b">
        <v>0</v>
      </c>
      <c r="M67" s="37">
        <v>0</v>
      </c>
      <c r="N67" s="37">
        <v>0</v>
      </c>
      <c r="O67" s="47">
        <v>0</v>
      </c>
      <c r="P67" s="37">
        <v>0</v>
      </c>
      <c r="Q67" s="37">
        <v>0</v>
      </c>
      <c r="R67" s="37"/>
      <c r="S67" s="37" t="s">
        <v>481</v>
      </c>
      <c r="T67" t="str">
        <f>IFERROR(HYPERLINK("#'Main'!B"&amp;MATCH(TRIM(A67),Main!B:B,0),"Open"),HYPERLINK("#'Main'!B1","Open"))</f>
        <v>Open</v>
      </c>
    </row>
    <row r="68" spans="1:21" ht="30" customHeight="1" x14ac:dyDescent="0.25">
      <c r="A68" s="45" t="s">
        <v>196</v>
      </c>
      <c r="B68" s="28" t="s">
        <v>479</v>
      </c>
      <c r="C68" s="32" t="s">
        <v>517</v>
      </c>
      <c r="D68" s="28" t="s">
        <v>518</v>
      </c>
      <c r="E68" s="47">
        <v>200</v>
      </c>
      <c r="F68" s="28" t="b">
        <v>1</v>
      </c>
      <c r="G68" s="28">
        <v>0</v>
      </c>
      <c r="H68" s="47">
        <v>0</v>
      </c>
      <c r="I68" s="28">
        <v>0</v>
      </c>
      <c r="J68" s="28">
        <v>0</v>
      </c>
      <c r="K68" s="28">
        <v>0</v>
      </c>
      <c r="L68" s="35" t="b">
        <v>0</v>
      </c>
      <c r="M68" s="28">
        <v>0</v>
      </c>
      <c r="N68" s="28">
        <v>0</v>
      </c>
      <c r="O68" s="47">
        <v>0</v>
      </c>
      <c r="P68" s="28">
        <v>0</v>
      </c>
      <c r="Q68" s="28">
        <v>0</v>
      </c>
      <c r="R68" s="28"/>
      <c r="S68" s="28" t="s">
        <v>481</v>
      </c>
      <c r="T68" s="36" t="str">
        <f>IFERROR(HYPERLINK("#'Main'!B"&amp;MATCH(TRIM(A68),Main!B:B,0),"Open"),HYPERLINK("#'Main'!B1","Open"))</f>
        <v>Open</v>
      </c>
      <c r="U68" s="36"/>
    </row>
    <row r="69" spans="1:21" ht="30" customHeight="1" x14ac:dyDescent="0.25">
      <c r="A69" s="46" t="s">
        <v>196</v>
      </c>
      <c r="B69" s="37" t="s">
        <v>479</v>
      </c>
      <c r="C69" s="39" t="s">
        <v>517</v>
      </c>
      <c r="D69" s="37" t="s">
        <v>519</v>
      </c>
      <c r="E69" s="47">
        <v>200</v>
      </c>
      <c r="F69" s="37" t="b">
        <v>1</v>
      </c>
      <c r="G69" s="37">
        <v>0</v>
      </c>
      <c r="H69" s="47">
        <v>0</v>
      </c>
      <c r="I69" s="37">
        <v>0</v>
      </c>
      <c r="J69" s="37">
        <v>0</v>
      </c>
      <c r="K69" s="37">
        <v>0</v>
      </c>
      <c r="L69" s="41" t="b">
        <v>0</v>
      </c>
      <c r="M69" s="37">
        <v>0</v>
      </c>
      <c r="N69" s="37">
        <v>0</v>
      </c>
      <c r="O69" s="47">
        <v>0</v>
      </c>
      <c r="P69" s="37">
        <v>0</v>
      </c>
      <c r="Q69" s="37">
        <v>0</v>
      </c>
      <c r="R69" s="37"/>
      <c r="S69" s="37" t="s">
        <v>481</v>
      </c>
      <c r="T69" t="str">
        <f>IFERROR(HYPERLINK("#'Main'!B"&amp;MATCH(TRIM(A69),Main!B:B,0),"Open"),HYPERLINK("#'Main'!B1","Open"))</f>
        <v>Open</v>
      </c>
    </row>
    <row r="70" spans="1:21" ht="30" customHeight="1" x14ac:dyDescent="0.25">
      <c r="A70" s="45" t="s">
        <v>196</v>
      </c>
      <c r="B70" s="28" t="s">
        <v>479</v>
      </c>
      <c r="C70" s="32" t="s">
        <v>494</v>
      </c>
      <c r="D70" s="28" t="s">
        <v>520</v>
      </c>
      <c r="E70" s="47">
        <v>200</v>
      </c>
      <c r="F70" s="28" t="b">
        <v>1</v>
      </c>
      <c r="G70" s="28">
        <v>0</v>
      </c>
      <c r="H70" s="47">
        <v>0</v>
      </c>
      <c r="I70" s="28">
        <v>0</v>
      </c>
      <c r="J70" s="28">
        <v>0</v>
      </c>
      <c r="K70" s="28">
        <v>0</v>
      </c>
      <c r="L70" s="35" t="b">
        <v>0</v>
      </c>
      <c r="M70" s="28">
        <v>0</v>
      </c>
      <c r="N70" s="28">
        <v>0</v>
      </c>
      <c r="O70" s="47">
        <v>0</v>
      </c>
      <c r="P70" s="28">
        <v>0</v>
      </c>
      <c r="Q70" s="28">
        <v>0</v>
      </c>
      <c r="R70" s="28"/>
      <c r="S70" s="28" t="s">
        <v>481</v>
      </c>
      <c r="T70" s="36" t="str">
        <f>IFERROR(HYPERLINK("#'Main'!B"&amp;MATCH(TRIM(A70),Main!B:B,0),"Open"),HYPERLINK("#'Main'!B1","Open"))</f>
        <v>Open</v>
      </c>
      <c r="U70" s="36"/>
    </row>
    <row r="71" spans="1:21" ht="30" customHeight="1" x14ac:dyDescent="0.25">
      <c r="A71" s="46" t="s">
        <v>196</v>
      </c>
      <c r="B71" s="37" t="s">
        <v>479</v>
      </c>
      <c r="C71" s="39" t="s">
        <v>521</v>
      </c>
      <c r="D71" s="37" t="s">
        <v>268</v>
      </c>
      <c r="E71" s="47">
        <v>200</v>
      </c>
      <c r="F71" s="37" t="b">
        <v>1</v>
      </c>
      <c r="G71" s="37">
        <v>0</v>
      </c>
      <c r="H71" s="47">
        <v>0</v>
      </c>
      <c r="I71" s="37">
        <v>0</v>
      </c>
      <c r="J71" s="37">
        <v>0</v>
      </c>
      <c r="K71" s="37">
        <v>0</v>
      </c>
      <c r="L71" s="41" t="b">
        <v>0</v>
      </c>
      <c r="M71" s="37">
        <v>0</v>
      </c>
      <c r="N71" s="37">
        <v>0</v>
      </c>
      <c r="O71" s="47">
        <v>0</v>
      </c>
      <c r="P71" s="37">
        <v>0</v>
      </c>
      <c r="Q71" s="37">
        <v>0</v>
      </c>
      <c r="R71" s="37"/>
      <c r="S71" s="37" t="s">
        <v>481</v>
      </c>
      <c r="T71" t="str">
        <f>IFERROR(HYPERLINK("#'Main'!B"&amp;MATCH(TRIM(A71),Main!B:B,0),"Open"),HYPERLINK("#'Main'!B1","Open"))</f>
        <v>Open</v>
      </c>
    </row>
    <row r="72" spans="1:21" ht="30" customHeight="1" x14ac:dyDescent="0.25">
      <c r="A72" s="45" t="s">
        <v>196</v>
      </c>
      <c r="B72" s="28" t="s">
        <v>479</v>
      </c>
      <c r="C72" s="32" t="s">
        <v>522</v>
      </c>
      <c r="D72" s="28" t="s">
        <v>523</v>
      </c>
      <c r="E72" s="47">
        <v>200</v>
      </c>
      <c r="F72" s="28" t="b">
        <v>1</v>
      </c>
      <c r="G72" s="28">
        <v>0</v>
      </c>
      <c r="H72" s="47">
        <v>0</v>
      </c>
      <c r="I72" s="28">
        <v>0</v>
      </c>
      <c r="J72" s="28">
        <v>0</v>
      </c>
      <c r="K72" s="28">
        <v>0</v>
      </c>
      <c r="L72" s="35" t="b">
        <v>0</v>
      </c>
      <c r="M72" s="28">
        <v>0</v>
      </c>
      <c r="N72" s="28">
        <v>0</v>
      </c>
      <c r="O72" s="47">
        <v>0</v>
      </c>
      <c r="P72" s="28">
        <v>0</v>
      </c>
      <c r="Q72" s="28">
        <v>0</v>
      </c>
      <c r="R72" s="28"/>
      <c r="S72" s="28" t="s">
        <v>481</v>
      </c>
      <c r="T72" s="36" t="str">
        <f>IFERROR(HYPERLINK("#'Main'!B"&amp;MATCH(TRIM(A72),Main!B:B,0),"Open"),HYPERLINK("#'Main'!B1","Open"))</f>
        <v>Open</v>
      </c>
      <c r="U72" s="36"/>
    </row>
    <row r="73" spans="1:21" ht="30" customHeight="1" x14ac:dyDescent="0.25">
      <c r="A73" s="46" t="s">
        <v>196</v>
      </c>
      <c r="B73" s="37" t="s">
        <v>479</v>
      </c>
      <c r="C73" s="39" t="s">
        <v>166</v>
      </c>
      <c r="D73" s="37" t="s">
        <v>504</v>
      </c>
      <c r="E73" s="47">
        <v>200</v>
      </c>
      <c r="F73" s="37" t="b">
        <v>1</v>
      </c>
      <c r="G73" s="37">
        <v>0</v>
      </c>
      <c r="H73" s="47">
        <v>0</v>
      </c>
      <c r="I73" s="37">
        <v>0</v>
      </c>
      <c r="J73" s="37">
        <v>0</v>
      </c>
      <c r="K73" s="37">
        <v>0</v>
      </c>
      <c r="L73" s="41" t="b">
        <v>0</v>
      </c>
      <c r="M73" s="37">
        <v>0</v>
      </c>
      <c r="N73" s="37">
        <v>0</v>
      </c>
      <c r="O73" s="47">
        <v>0</v>
      </c>
      <c r="P73" s="37">
        <v>0</v>
      </c>
      <c r="Q73" s="37">
        <v>0</v>
      </c>
      <c r="R73" s="37"/>
      <c r="S73" s="37" t="s">
        <v>481</v>
      </c>
      <c r="T73" t="str">
        <f>IFERROR(HYPERLINK("#'Main'!B"&amp;MATCH(TRIM(A73),Main!B:B,0),"Open"),HYPERLINK("#'Main'!B1","Open"))</f>
        <v>Open</v>
      </c>
    </row>
    <row r="74" spans="1:21" ht="30" customHeight="1" x14ac:dyDescent="0.25">
      <c r="A74" s="45" t="s">
        <v>196</v>
      </c>
      <c r="B74" s="28" t="s">
        <v>479</v>
      </c>
      <c r="C74" s="32" t="s">
        <v>199</v>
      </c>
      <c r="D74" s="28" t="s">
        <v>505</v>
      </c>
      <c r="E74" s="47">
        <v>200</v>
      </c>
      <c r="F74" s="28" t="b">
        <v>1</v>
      </c>
      <c r="G74" s="28">
        <v>0</v>
      </c>
      <c r="H74" s="47">
        <v>0</v>
      </c>
      <c r="I74" s="28">
        <v>0</v>
      </c>
      <c r="J74" s="28">
        <v>0</v>
      </c>
      <c r="K74" s="28">
        <v>0</v>
      </c>
      <c r="L74" s="35" t="b">
        <v>0</v>
      </c>
      <c r="M74" s="28">
        <v>0</v>
      </c>
      <c r="N74" s="28">
        <v>0</v>
      </c>
      <c r="O74" s="47">
        <v>0</v>
      </c>
      <c r="P74" s="28">
        <v>0</v>
      </c>
      <c r="Q74" s="28">
        <v>0</v>
      </c>
      <c r="R74" s="28"/>
      <c r="S74" s="28" t="s">
        <v>481</v>
      </c>
      <c r="T74" s="36" t="str">
        <f>IFERROR(HYPERLINK("#'Main'!B"&amp;MATCH(TRIM(A74),Main!B:B,0),"Open"),HYPERLINK("#'Main'!B1","Open"))</f>
        <v>Open</v>
      </c>
      <c r="U74" s="36"/>
    </row>
    <row r="75" spans="1:21" ht="30" customHeight="1" x14ac:dyDescent="0.25">
      <c r="A75" s="46" t="s">
        <v>196</v>
      </c>
      <c r="B75" s="37" t="s">
        <v>479</v>
      </c>
      <c r="C75" s="39" t="s">
        <v>506</v>
      </c>
      <c r="D75" s="37" t="s">
        <v>507</v>
      </c>
      <c r="E75" s="47">
        <v>200</v>
      </c>
      <c r="F75" s="37" t="b">
        <v>1</v>
      </c>
      <c r="G75" s="37">
        <v>0</v>
      </c>
      <c r="H75" s="47">
        <v>0</v>
      </c>
      <c r="I75" s="37">
        <v>0</v>
      </c>
      <c r="J75" s="37">
        <v>0</v>
      </c>
      <c r="K75" s="37">
        <v>0</v>
      </c>
      <c r="L75" s="41" t="b">
        <v>0</v>
      </c>
      <c r="M75" s="37">
        <v>0</v>
      </c>
      <c r="N75" s="37">
        <v>0</v>
      </c>
      <c r="O75" s="47">
        <v>0</v>
      </c>
      <c r="P75" s="37">
        <v>0</v>
      </c>
      <c r="Q75" s="37">
        <v>0</v>
      </c>
      <c r="R75" s="37"/>
      <c r="S75" s="37" t="s">
        <v>481</v>
      </c>
      <c r="T75" t="str">
        <f>IFERROR(HYPERLINK("#'Main'!B"&amp;MATCH(TRIM(A75),Main!B:B,0),"Open"),HYPERLINK("#'Main'!B1","Open"))</f>
        <v>Open</v>
      </c>
    </row>
    <row r="76" spans="1:21" ht="30" customHeight="1" x14ac:dyDescent="0.25">
      <c r="A76" s="45" t="s">
        <v>196</v>
      </c>
      <c r="B76" s="28" t="s">
        <v>479</v>
      </c>
      <c r="C76" s="32" t="s">
        <v>508</v>
      </c>
      <c r="D76" s="28" t="s">
        <v>509</v>
      </c>
      <c r="E76" s="47">
        <v>200</v>
      </c>
      <c r="F76" s="28" t="b">
        <v>1</v>
      </c>
      <c r="G76" s="28">
        <v>0</v>
      </c>
      <c r="H76" s="47">
        <v>0</v>
      </c>
      <c r="I76" s="28">
        <v>0</v>
      </c>
      <c r="J76" s="28">
        <v>0</v>
      </c>
      <c r="K76" s="28">
        <v>0</v>
      </c>
      <c r="L76" s="35" t="b">
        <v>0</v>
      </c>
      <c r="M76" s="28">
        <v>0</v>
      </c>
      <c r="N76" s="28">
        <v>0</v>
      </c>
      <c r="O76" s="47">
        <v>0</v>
      </c>
      <c r="P76" s="28">
        <v>0</v>
      </c>
      <c r="Q76" s="28">
        <v>0</v>
      </c>
      <c r="R76" s="28"/>
      <c r="S76" s="28" t="s">
        <v>481</v>
      </c>
      <c r="T76" s="36" t="str">
        <f>IFERROR(HYPERLINK("#'Main'!B"&amp;MATCH(TRIM(A76),Main!B:B,0),"Open"),HYPERLINK("#'Main'!B1","Open"))</f>
        <v>Open</v>
      </c>
      <c r="U76" s="36"/>
    </row>
    <row r="77" spans="1:21" ht="30" customHeight="1" x14ac:dyDescent="0.25">
      <c r="A77" s="46" t="s">
        <v>196</v>
      </c>
      <c r="B77" s="37" t="s">
        <v>479</v>
      </c>
      <c r="C77" s="39" t="s">
        <v>196</v>
      </c>
      <c r="D77" s="37" t="s">
        <v>510</v>
      </c>
      <c r="E77" s="47">
        <v>200</v>
      </c>
      <c r="F77" s="37" t="b">
        <v>1</v>
      </c>
      <c r="G77" s="37">
        <v>0</v>
      </c>
      <c r="H77" s="47">
        <v>0</v>
      </c>
      <c r="I77" s="37">
        <v>0</v>
      </c>
      <c r="J77" s="37">
        <v>0</v>
      </c>
      <c r="K77" s="37">
        <v>0</v>
      </c>
      <c r="L77" s="41" t="b">
        <v>0</v>
      </c>
      <c r="M77" s="37">
        <v>0</v>
      </c>
      <c r="N77" s="37">
        <v>0</v>
      </c>
      <c r="O77" s="47">
        <v>0</v>
      </c>
      <c r="P77" s="37">
        <v>0</v>
      </c>
      <c r="Q77" s="37">
        <v>0</v>
      </c>
      <c r="R77" s="37"/>
      <c r="S77" s="37" t="s">
        <v>481</v>
      </c>
      <c r="T77" t="str">
        <f>IFERROR(HYPERLINK("#'Main'!B"&amp;MATCH(TRIM(A77),Main!B:B,0),"Open"),HYPERLINK("#'Main'!B1","Open"))</f>
        <v>Open</v>
      </c>
    </row>
    <row r="78" spans="1:21" ht="30" customHeight="1" x14ac:dyDescent="0.25">
      <c r="A78" s="45" t="s">
        <v>196</v>
      </c>
      <c r="B78" s="28" t="s">
        <v>479</v>
      </c>
      <c r="C78" s="32" t="s">
        <v>511</v>
      </c>
      <c r="D78" s="28" t="s">
        <v>512</v>
      </c>
      <c r="E78" s="47">
        <v>200</v>
      </c>
      <c r="F78" s="28" t="b">
        <v>1</v>
      </c>
      <c r="G78" s="28">
        <v>0</v>
      </c>
      <c r="H78" s="47">
        <v>0</v>
      </c>
      <c r="I78" s="28">
        <v>0</v>
      </c>
      <c r="J78" s="28">
        <v>0</v>
      </c>
      <c r="K78" s="28">
        <v>0</v>
      </c>
      <c r="L78" s="35" t="b">
        <v>0</v>
      </c>
      <c r="M78" s="28">
        <v>0</v>
      </c>
      <c r="N78" s="28">
        <v>0</v>
      </c>
      <c r="O78" s="47">
        <v>0</v>
      </c>
      <c r="P78" s="28">
        <v>0</v>
      </c>
      <c r="Q78" s="28">
        <v>0</v>
      </c>
      <c r="R78" s="28"/>
      <c r="S78" s="28" t="s">
        <v>481</v>
      </c>
      <c r="T78" s="36" t="str">
        <f>IFERROR(HYPERLINK("#'Main'!B"&amp;MATCH(TRIM(A78),Main!B:B,0),"Open"),HYPERLINK("#'Main'!B1","Open"))</f>
        <v>Open</v>
      </c>
      <c r="U78" s="36"/>
    </row>
    <row r="79" spans="1:21" ht="30" customHeight="1" x14ac:dyDescent="0.25">
      <c r="A79" s="46" t="s">
        <v>196</v>
      </c>
      <c r="B79" s="37" t="s">
        <v>479</v>
      </c>
      <c r="C79" s="39" t="s">
        <v>513</v>
      </c>
      <c r="D79" s="37" t="s">
        <v>514</v>
      </c>
      <c r="E79" s="47">
        <v>200</v>
      </c>
      <c r="F79" s="37" t="b">
        <v>1</v>
      </c>
      <c r="G79" s="37">
        <v>0</v>
      </c>
      <c r="H79" s="47">
        <v>0</v>
      </c>
      <c r="I79" s="37">
        <v>0</v>
      </c>
      <c r="J79" s="37">
        <v>0</v>
      </c>
      <c r="K79" s="37">
        <v>0</v>
      </c>
      <c r="L79" s="41" t="b">
        <v>0</v>
      </c>
      <c r="M79" s="37">
        <v>0</v>
      </c>
      <c r="N79" s="37">
        <v>0</v>
      </c>
      <c r="O79" s="47">
        <v>0</v>
      </c>
      <c r="P79" s="37">
        <v>0</v>
      </c>
      <c r="Q79" s="37">
        <v>0</v>
      </c>
      <c r="R79" s="37"/>
      <c r="S79" s="37" t="s">
        <v>481</v>
      </c>
      <c r="T79" t="str">
        <f>IFERROR(HYPERLINK("#'Main'!B"&amp;MATCH(TRIM(A79),Main!B:B,0),"Open"),HYPERLINK("#'Main'!B1","Open"))</f>
        <v>Open</v>
      </c>
    </row>
    <row r="80" spans="1:21" ht="30" customHeight="1" x14ac:dyDescent="0.25">
      <c r="A80" s="45" t="s">
        <v>196</v>
      </c>
      <c r="B80" s="28" t="s">
        <v>479</v>
      </c>
      <c r="C80" s="32" t="s">
        <v>515</v>
      </c>
      <c r="D80" s="28" t="s">
        <v>516</v>
      </c>
      <c r="E80" s="47">
        <v>200</v>
      </c>
      <c r="F80" s="28" t="b">
        <v>1</v>
      </c>
      <c r="G80" s="28">
        <v>0</v>
      </c>
      <c r="H80" s="47">
        <v>0</v>
      </c>
      <c r="I80" s="28">
        <v>0</v>
      </c>
      <c r="J80" s="28">
        <v>0</v>
      </c>
      <c r="K80" s="28">
        <v>0</v>
      </c>
      <c r="L80" s="35" t="b">
        <v>0</v>
      </c>
      <c r="M80" s="28">
        <v>0</v>
      </c>
      <c r="N80" s="28">
        <v>0</v>
      </c>
      <c r="O80" s="47">
        <v>0</v>
      </c>
      <c r="P80" s="28">
        <v>0</v>
      </c>
      <c r="Q80" s="28">
        <v>0</v>
      </c>
      <c r="R80" s="28"/>
      <c r="S80" s="28" t="s">
        <v>481</v>
      </c>
      <c r="T80" s="36" t="str">
        <f>IFERROR(HYPERLINK("#'Main'!B"&amp;MATCH(TRIM(A80),Main!B:B,0),"Open"),HYPERLINK("#'Main'!B1","Open"))</f>
        <v>Open</v>
      </c>
      <c r="U80" s="36"/>
    </row>
    <row r="81" spans="1:21" ht="30" customHeight="1" x14ac:dyDescent="0.25">
      <c r="A81" s="46" t="s">
        <v>196</v>
      </c>
      <c r="B81" s="37" t="s">
        <v>479</v>
      </c>
      <c r="C81" s="39" t="s">
        <v>517</v>
      </c>
      <c r="D81" s="37" t="s">
        <v>518</v>
      </c>
      <c r="E81" s="47">
        <v>200</v>
      </c>
      <c r="F81" s="37" t="b">
        <v>1</v>
      </c>
      <c r="G81" s="37">
        <v>0</v>
      </c>
      <c r="H81" s="47">
        <v>0</v>
      </c>
      <c r="I81" s="37">
        <v>0</v>
      </c>
      <c r="J81" s="37">
        <v>0</v>
      </c>
      <c r="K81" s="37">
        <v>0</v>
      </c>
      <c r="L81" s="41" t="b">
        <v>0</v>
      </c>
      <c r="M81" s="37">
        <v>0</v>
      </c>
      <c r="N81" s="37">
        <v>0</v>
      </c>
      <c r="O81" s="47">
        <v>0</v>
      </c>
      <c r="P81" s="37">
        <v>0</v>
      </c>
      <c r="Q81" s="37">
        <v>0</v>
      </c>
      <c r="R81" s="37"/>
      <c r="S81" s="37" t="s">
        <v>481</v>
      </c>
      <c r="T81" t="str">
        <f>IFERROR(HYPERLINK("#'Main'!B"&amp;MATCH(TRIM(A81),Main!B:B,0),"Open"),HYPERLINK("#'Main'!B1","Open"))</f>
        <v>Open</v>
      </c>
    </row>
    <row r="82" spans="1:21" ht="30" customHeight="1" x14ac:dyDescent="0.25">
      <c r="A82" s="45" t="s">
        <v>196</v>
      </c>
      <c r="B82" s="28" t="s">
        <v>479</v>
      </c>
      <c r="C82" s="32" t="s">
        <v>517</v>
      </c>
      <c r="D82" s="28" t="s">
        <v>519</v>
      </c>
      <c r="E82" s="47">
        <v>200</v>
      </c>
      <c r="F82" s="28" t="b">
        <v>1</v>
      </c>
      <c r="G82" s="28">
        <v>0</v>
      </c>
      <c r="H82" s="47">
        <v>0</v>
      </c>
      <c r="I82" s="28">
        <v>0</v>
      </c>
      <c r="J82" s="28">
        <v>0</v>
      </c>
      <c r="K82" s="28">
        <v>0</v>
      </c>
      <c r="L82" s="35" t="b">
        <v>0</v>
      </c>
      <c r="M82" s="28">
        <v>0</v>
      </c>
      <c r="N82" s="28">
        <v>0</v>
      </c>
      <c r="O82" s="47">
        <v>0</v>
      </c>
      <c r="P82" s="28">
        <v>0</v>
      </c>
      <c r="Q82" s="28">
        <v>0</v>
      </c>
      <c r="R82" s="28"/>
      <c r="S82" s="28" t="s">
        <v>481</v>
      </c>
      <c r="T82" s="36" t="str">
        <f>IFERROR(HYPERLINK("#'Main'!B"&amp;MATCH(TRIM(A82),Main!B:B,0),"Open"),HYPERLINK("#'Main'!B1","Open"))</f>
        <v>Open</v>
      </c>
      <c r="U82" s="36"/>
    </row>
    <row r="83" spans="1:21" ht="30" customHeight="1" x14ac:dyDescent="0.25">
      <c r="A83" s="46" t="s">
        <v>196</v>
      </c>
      <c r="B83" s="37" t="s">
        <v>479</v>
      </c>
      <c r="C83" s="39" t="s">
        <v>494</v>
      </c>
      <c r="D83" s="37" t="s">
        <v>520</v>
      </c>
      <c r="E83" s="47">
        <v>200</v>
      </c>
      <c r="F83" s="37" t="b">
        <v>1</v>
      </c>
      <c r="G83" s="37">
        <v>0</v>
      </c>
      <c r="H83" s="47">
        <v>0</v>
      </c>
      <c r="I83" s="37">
        <v>0</v>
      </c>
      <c r="J83" s="37">
        <v>0</v>
      </c>
      <c r="K83" s="37">
        <v>0</v>
      </c>
      <c r="L83" s="41" t="b">
        <v>0</v>
      </c>
      <c r="M83" s="37">
        <v>0</v>
      </c>
      <c r="N83" s="37">
        <v>0</v>
      </c>
      <c r="O83" s="47">
        <v>0</v>
      </c>
      <c r="P83" s="37">
        <v>0</v>
      </c>
      <c r="Q83" s="37">
        <v>0</v>
      </c>
      <c r="R83" s="37"/>
      <c r="S83" s="37" t="s">
        <v>481</v>
      </c>
      <c r="T83" t="str">
        <f>IFERROR(HYPERLINK("#'Main'!B"&amp;MATCH(TRIM(A83),Main!B:B,0),"Open"),HYPERLINK("#'Main'!B1","Open"))</f>
        <v>Open</v>
      </c>
    </row>
    <row r="84" spans="1:21" ht="30" customHeight="1" x14ac:dyDescent="0.25">
      <c r="A84" s="45" t="s">
        <v>196</v>
      </c>
      <c r="B84" s="28" t="s">
        <v>479</v>
      </c>
      <c r="C84" s="32" t="s">
        <v>521</v>
      </c>
      <c r="D84" s="28" t="s">
        <v>268</v>
      </c>
      <c r="E84" s="47">
        <v>200</v>
      </c>
      <c r="F84" s="28" t="b">
        <v>1</v>
      </c>
      <c r="G84" s="28">
        <v>0</v>
      </c>
      <c r="H84" s="47">
        <v>0</v>
      </c>
      <c r="I84" s="28">
        <v>0</v>
      </c>
      <c r="J84" s="28">
        <v>0</v>
      </c>
      <c r="K84" s="28">
        <v>0</v>
      </c>
      <c r="L84" s="35" t="b">
        <v>0</v>
      </c>
      <c r="M84" s="28">
        <v>0</v>
      </c>
      <c r="N84" s="28">
        <v>0</v>
      </c>
      <c r="O84" s="47">
        <v>0</v>
      </c>
      <c r="P84" s="28">
        <v>0</v>
      </c>
      <c r="Q84" s="28">
        <v>0</v>
      </c>
      <c r="R84" s="28"/>
      <c r="S84" s="28" t="s">
        <v>481</v>
      </c>
      <c r="T84" s="36" t="str">
        <f>IFERROR(HYPERLINK("#'Main'!B"&amp;MATCH(TRIM(A84),Main!B:B,0),"Open"),HYPERLINK("#'Main'!B1","Open"))</f>
        <v>Open</v>
      </c>
      <c r="U84" s="36"/>
    </row>
    <row r="85" spans="1:21" ht="30" customHeight="1" x14ac:dyDescent="0.25">
      <c r="A85" s="46" t="s">
        <v>196</v>
      </c>
      <c r="B85" s="37" t="s">
        <v>479</v>
      </c>
      <c r="C85" s="39" t="s">
        <v>522</v>
      </c>
      <c r="D85" s="37" t="s">
        <v>523</v>
      </c>
      <c r="E85" s="47">
        <v>200</v>
      </c>
      <c r="F85" s="37" t="b">
        <v>1</v>
      </c>
      <c r="G85" s="37">
        <v>0</v>
      </c>
      <c r="H85" s="47">
        <v>0</v>
      </c>
      <c r="I85" s="37">
        <v>0</v>
      </c>
      <c r="J85" s="37">
        <v>0</v>
      </c>
      <c r="K85" s="37">
        <v>0</v>
      </c>
      <c r="L85" s="41" t="b">
        <v>0</v>
      </c>
      <c r="M85" s="37">
        <v>0</v>
      </c>
      <c r="N85" s="37">
        <v>0</v>
      </c>
      <c r="O85" s="47">
        <v>0</v>
      </c>
      <c r="P85" s="37">
        <v>0</v>
      </c>
      <c r="Q85" s="37">
        <v>0</v>
      </c>
      <c r="R85" s="37"/>
      <c r="S85" s="37" t="s">
        <v>481</v>
      </c>
      <c r="T85" t="str">
        <f>IFERROR(HYPERLINK("#'Main'!B"&amp;MATCH(TRIM(A85),Main!B:B,0),"Open"),HYPERLINK("#'Main'!B1","Open"))</f>
        <v>Open</v>
      </c>
    </row>
    <row r="86" spans="1:21" ht="30" customHeight="1" x14ac:dyDescent="0.25">
      <c r="A86" s="45" t="s">
        <v>196</v>
      </c>
      <c r="B86" s="28" t="s">
        <v>479</v>
      </c>
      <c r="C86" s="32" t="s">
        <v>524</v>
      </c>
      <c r="D86" s="28" t="s">
        <v>525</v>
      </c>
      <c r="E86" s="47">
        <v>200</v>
      </c>
      <c r="F86" s="28" t="b">
        <v>1</v>
      </c>
      <c r="G86" s="28">
        <v>0</v>
      </c>
      <c r="H86" s="47">
        <v>0</v>
      </c>
      <c r="I86" s="28">
        <v>0</v>
      </c>
      <c r="J86" s="28">
        <v>0</v>
      </c>
      <c r="K86" s="28">
        <v>0</v>
      </c>
      <c r="L86" s="35" t="b">
        <v>0</v>
      </c>
      <c r="M86" s="28">
        <v>0</v>
      </c>
      <c r="N86" s="28">
        <v>0</v>
      </c>
      <c r="O86" s="47">
        <v>0</v>
      </c>
      <c r="P86" s="28">
        <v>0</v>
      </c>
      <c r="Q86" s="28">
        <v>0</v>
      </c>
      <c r="R86" s="28"/>
      <c r="S86" s="28" t="s">
        <v>481</v>
      </c>
      <c r="T86" s="36" t="str">
        <f>IFERROR(HYPERLINK("#'Main'!B"&amp;MATCH(TRIM(A86),Main!B:B,0),"Open"),HYPERLINK("#'Main'!B1","Open"))</f>
        <v>Open</v>
      </c>
      <c r="U86" s="36"/>
    </row>
    <row r="87" spans="1:21" ht="30" customHeight="1" x14ac:dyDescent="0.25">
      <c r="A87" s="46" t="s">
        <v>196</v>
      </c>
      <c r="B87" s="37" t="s">
        <v>479</v>
      </c>
      <c r="C87" s="39" t="s">
        <v>494</v>
      </c>
      <c r="D87" s="37" t="s">
        <v>495</v>
      </c>
      <c r="E87" s="47">
        <v>200</v>
      </c>
      <c r="F87" s="37" t="b">
        <v>1</v>
      </c>
      <c r="G87" s="37">
        <v>0</v>
      </c>
      <c r="H87" s="47">
        <v>0</v>
      </c>
      <c r="I87" s="37">
        <v>0</v>
      </c>
      <c r="J87" s="37">
        <v>0</v>
      </c>
      <c r="K87" s="37">
        <v>0</v>
      </c>
      <c r="L87" s="41" t="b">
        <v>0</v>
      </c>
      <c r="M87" s="37">
        <v>0</v>
      </c>
      <c r="N87" s="37">
        <v>0</v>
      </c>
      <c r="O87" s="47">
        <v>0</v>
      </c>
      <c r="P87" s="37">
        <v>0</v>
      </c>
      <c r="Q87" s="37">
        <v>0</v>
      </c>
      <c r="R87" s="37"/>
      <c r="S87" s="37" t="s">
        <v>481</v>
      </c>
      <c r="T87" t="str">
        <f>IFERROR(HYPERLINK("#'Main'!B"&amp;MATCH(TRIM(A87),Main!B:B,0),"Open"),HYPERLINK("#'Main'!B1","Open"))</f>
        <v>Open</v>
      </c>
    </row>
    <row r="88" spans="1:21" ht="30" customHeight="1" x14ac:dyDescent="0.25">
      <c r="A88" s="45" t="s">
        <v>196</v>
      </c>
      <c r="B88" s="28" t="s">
        <v>479</v>
      </c>
      <c r="C88" s="32" t="s">
        <v>496</v>
      </c>
      <c r="D88" s="28"/>
      <c r="E88" s="28">
        <v>0</v>
      </c>
      <c r="F88" s="28" t="b">
        <v>1</v>
      </c>
      <c r="G88" s="28">
        <v>0</v>
      </c>
      <c r="H88" s="47">
        <v>0</v>
      </c>
      <c r="I88" s="28">
        <v>0</v>
      </c>
      <c r="J88" s="28">
        <v>0</v>
      </c>
      <c r="K88" s="28">
        <v>0</v>
      </c>
      <c r="L88" s="35" t="b">
        <v>0</v>
      </c>
      <c r="M88" s="28">
        <v>0</v>
      </c>
      <c r="N88" s="28">
        <v>0</v>
      </c>
      <c r="O88" s="47">
        <v>0</v>
      </c>
      <c r="P88" s="28">
        <v>0</v>
      </c>
      <c r="Q88" s="28">
        <v>0</v>
      </c>
      <c r="R88" s="28"/>
      <c r="S88" s="28" t="s">
        <v>481</v>
      </c>
      <c r="T88" s="36" t="str">
        <f>IFERROR(HYPERLINK("#'Main'!B"&amp;MATCH(TRIM(A88),Main!B:B,0),"Open"),HYPERLINK("#'Main'!B1","Open"))</f>
        <v>Open</v>
      </c>
      <c r="U88" s="36"/>
    </row>
    <row r="89" spans="1:21" ht="30" customHeight="1" x14ac:dyDescent="0.25">
      <c r="A89" s="46" t="s">
        <v>196</v>
      </c>
      <c r="B89" s="37" t="s">
        <v>479</v>
      </c>
      <c r="C89" s="39" t="s">
        <v>497</v>
      </c>
      <c r="D89" s="37"/>
      <c r="E89" s="37">
        <v>0</v>
      </c>
      <c r="F89" s="37" t="b">
        <v>1</v>
      </c>
      <c r="G89" s="37">
        <v>0</v>
      </c>
      <c r="H89" s="47">
        <v>0</v>
      </c>
      <c r="I89" s="37">
        <v>0</v>
      </c>
      <c r="J89" s="37">
        <v>0</v>
      </c>
      <c r="K89" s="37">
        <v>0</v>
      </c>
      <c r="L89" s="41" t="b">
        <v>0</v>
      </c>
      <c r="M89" s="37">
        <v>0</v>
      </c>
      <c r="N89" s="37">
        <v>0</v>
      </c>
      <c r="O89" s="47">
        <v>0</v>
      </c>
      <c r="P89" s="37">
        <v>0</v>
      </c>
      <c r="Q89" s="37">
        <v>0</v>
      </c>
      <c r="R89" s="37"/>
      <c r="S89" s="37" t="s">
        <v>481</v>
      </c>
      <c r="T89" t="str">
        <f>IFERROR(HYPERLINK("#'Main'!B"&amp;MATCH(TRIM(A89),Main!B:B,0),"Open"),HYPERLINK("#'Main'!B1","Open"))</f>
        <v>Open</v>
      </c>
    </row>
    <row r="90" spans="1:21" ht="30" customHeight="1" x14ac:dyDescent="0.25">
      <c r="A90" s="45" t="s">
        <v>196</v>
      </c>
      <c r="B90" s="28" t="s">
        <v>479</v>
      </c>
      <c r="C90" s="32" t="s">
        <v>499</v>
      </c>
      <c r="D90" s="28" t="s">
        <v>526</v>
      </c>
      <c r="E90" s="47">
        <v>200</v>
      </c>
      <c r="F90" s="28" t="b">
        <v>1</v>
      </c>
      <c r="G90" s="28">
        <v>0</v>
      </c>
      <c r="H90" s="47">
        <v>0</v>
      </c>
      <c r="I90" s="28">
        <v>0</v>
      </c>
      <c r="J90" s="28">
        <v>0</v>
      </c>
      <c r="K90" s="28">
        <v>0</v>
      </c>
      <c r="L90" s="35" t="b">
        <v>0</v>
      </c>
      <c r="M90" s="28">
        <v>0</v>
      </c>
      <c r="N90" s="28">
        <v>0</v>
      </c>
      <c r="O90" s="47">
        <v>0</v>
      </c>
      <c r="P90" s="28">
        <v>0</v>
      </c>
      <c r="Q90" s="28">
        <v>0</v>
      </c>
      <c r="R90" s="28"/>
      <c r="S90" s="28" t="s">
        <v>481</v>
      </c>
      <c r="T90" s="36" t="str">
        <f>IFERROR(HYPERLINK("#'Main'!B"&amp;MATCH(TRIM(A90),Main!B:B,0),"Open"),HYPERLINK("#'Main'!B1","Open"))</f>
        <v>Open</v>
      </c>
      <c r="U90" s="36"/>
    </row>
    <row r="91" spans="1:21" ht="30" customHeight="1" x14ac:dyDescent="0.25">
      <c r="A91" s="46" t="s">
        <v>196</v>
      </c>
      <c r="B91" s="37" t="s">
        <v>479</v>
      </c>
      <c r="C91" s="39" t="s">
        <v>501</v>
      </c>
      <c r="D91" s="37" t="s">
        <v>502</v>
      </c>
      <c r="E91" s="29">
        <v>404</v>
      </c>
      <c r="F91" s="37" t="b">
        <v>0</v>
      </c>
      <c r="G91" s="37">
        <v>0</v>
      </c>
      <c r="H91" s="47">
        <v>0</v>
      </c>
      <c r="I91" s="37">
        <v>0</v>
      </c>
      <c r="J91" s="37">
        <v>0</v>
      </c>
      <c r="K91" s="37">
        <v>0</v>
      </c>
      <c r="L91" s="41" t="b">
        <v>0</v>
      </c>
      <c r="M91" s="37">
        <v>0</v>
      </c>
      <c r="N91" s="37">
        <v>0</v>
      </c>
      <c r="O91" s="47">
        <v>0</v>
      </c>
      <c r="P91" s="37">
        <v>0</v>
      </c>
      <c r="Q91" s="37">
        <v>0</v>
      </c>
      <c r="R91" s="37"/>
      <c r="S91" s="37" t="s">
        <v>481</v>
      </c>
      <c r="T91" t="str">
        <f>IFERROR(HYPERLINK("#'Main'!B"&amp;MATCH(TRIM(A91),Main!B:B,0),"Open"),HYPERLINK("#'Main'!B1","Open"))</f>
        <v>Open</v>
      </c>
    </row>
    <row r="92" spans="1:21" ht="30" customHeight="1" x14ac:dyDescent="0.25">
      <c r="A92" s="45" t="s">
        <v>196</v>
      </c>
      <c r="B92" s="28" t="s">
        <v>479</v>
      </c>
      <c r="C92" s="32" t="s">
        <v>501</v>
      </c>
      <c r="D92" s="28" t="s">
        <v>503</v>
      </c>
      <c r="E92" s="29">
        <v>404</v>
      </c>
      <c r="F92" s="28" t="b">
        <v>0</v>
      </c>
      <c r="G92" s="28">
        <v>0</v>
      </c>
      <c r="H92" s="47">
        <v>0</v>
      </c>
      <c r="I92" s="28">
        <v>0</v>
      </c>
      <c r="J92" s="28">
        <v>0</v>
      </c>
      <c r="K92" s="28">
        <v>0</v>
      </c>
      <c r="L92" s="35" t="b">
        <v>0</v>
      </c>
      <c r="M92" s="28">
        <v>0</v>
      </c>
      <c r="N92" s="28">
        <v>0</v>
      </c>
      <c r="O92" s="47">
        <v>0</v>
      </c>
      <c r="P92" s="28">
        <v>0</v>
      </c>
      <c r="Q92" s="28">
        <v>0</v>
      </c>
      <c r="R92" s="28"/>
      <c r="S92" s="28" t="s">
        <v>481</v>
      </c>
      <c r="T92" s="36" t="str">
        <f>IFERROR(HYPERLINK("#'Main'!B"&amp;MATCH(TRIM(A92),Main!B:B,0),"Open"),HYPERLINK("#'Main'!B1","Open"))</f>
        <v>Open</v>
      </c>
      <c r="U92" s="36"/>
    </row>
    <row r="93" spans="1:21" ht="15.75" x14ac:dyDescent="0.25">
      <c r="A93" s="46" t="s">
        <v>166</v>
      </c>
      <c r="B93" s="37" t="s">
        <v>479</v>
      </c>
      <c r="C93" s="39" t="s">
        <v>166</v>
      </c>
      <c r="D93" s="37"/>
      <c r="E93" s="47">
        <v>200</v>
      </c>
      <c r="F93" s="37" t="b">
        <v>1</v>
      </c>
      <c r="G93" s="37">
        <v>0</v>
      </c>
      <c r="H93" s="47">
        <v>0</v>
      </c>
      <c r="I93" s="37">
        <v>0</v>
      </c>
      <c r="J93" s="37">
        <v>0</v>
      </c>
      <c r="K93" s="37">
        <v>0</v>
      </c>
      <c r="L93" s="41" t="b">
        <v>0</v>
      </c>
      <c r="M93" s="37">
        <v>0</v>
      </c>
      <c r="N93" s="37">
        <v>0</v>
      </c>
      <c r="O93" s="47">
        <v>0</v>
      </c>
      <c r="P93" s="37">
        <v>0</v>
      </c>
      <c r="Q93" s="37">
        <v>0</v>
      </c>
      <c r="R93" s="37"/>
      <c r="S93" s="37" t="s">
        <v>481</v>
      </c>
      <c r="T93" t="str">
        <f>IFERROR(HYPERLINK("#'Main'!B"&amp;MATCH(TRIM(A93),Main!B:B,0),"Open"),HYPERLINK("#'Main'!B1","Open"))</f>
        <v>Open</v>
      </c>
    </row>
    <row r="94" spans="1:21" ht="15.75" x14ac:dyDescent="0.25">
      <c r="A94" s="45" t="s">
        <v>166</v>
      </c>
      <c r="B94" s="28" t="s">
        <v>479</v>
      </c>
      <c r="C94" s="32" t="s">
        <v>166</v>
      </c>
      <c r="D94" s="28" t="s">
        <v>504</v>
      </c>
      <c r="E94" s="47">
        <v>200</v>
      </c>
      <c r="F94" s="28" t="b">
        <v>1</v>
      </c>
      <c r="G94" s="28">
        <v>0</v>
      </c>
      <c r="H94" s="47">
        <v>0</v>
      </c>
      <c r="I94" s="28">
        <v>0</v>
      </c>
      <c r="J94" s="28">
        <v>0</v>
      </c>
      <c r="K94" s="28">
        <v>0</v>
      </c>
      <c r="L94" s="35" t="b">
        <v>0</v>
      </c>
      <c r="M94" s="28">
        <v>0</v>
      </c>
      <c r="N94" s="28">
        <v>0</v>
      </c>
      <c r="O94" s="47">
        <v>0</v>
      </c>
      <c r="P94" s="28">
        <v>0</v>
      </c>
      <c r="Q94" s="28">
        <v>0</v>
      </c>
      <c r="R94" s="28"/>
      <c r="S94" s="28" t="s">
        <v>481</v>
      </c>
      <c r="T94" s="36" t="str">
        <f>IFERROR(HYPERLINK("#'Main'!B"&amp;MATCH(TRIM(A94),Main!B:B,0),"Open"),HYPERLINK("#'Main'!B1","Open"))</f>
        <v>Open</v>
      </c>
      <c r="U94" s="36"/>
    </row>
    <row r="95" spans="1:21" ht="15.75" x14ac:dyDescent="0.25">
      <c r="A95" s="46" t="s">
        <v>166</v>
      </c>
      <c r="B95" s="37" t="s">
        <v>479</v>
      </c>
      <c r="C95" s="39" t="s">
        <v>199</v>
      </c>
      <c r="D95" s="37" t="s">
        <v>505</v>
      </c>
      <c r="E95" s="47">
        <v>200</v>
      </c>
      <c r="F95" s="37" t="b">
        <v>1</v>
      </c>
      <c r="G95" s="37">
        <v>0</v>
      </c>
      <c r="H95" s="47">
        <v>0</v>
      </c>
      <c r="I95" s="37">
        <v>0</v>
      </c>
      <c r="J95" s="37">
        <v>0</v>
      </c>
      <c r="K95" s="37">
        <v>0</v>
      </c>
      <c r="L95" s="41" t="b">
        <v>0</v>
      </c>
      <c r="M95" s="37">
        <v>0</v>
      </c>
      <c r="N95" s="37">
        <v>0</v>
      </c>
      <c r="O95" s="47">
        <v>0</v>
      </c>
      <c r="P95" s="37">
        <v>0</v>
      </c>
      <c r="Q95" s="37">
        <v>0</v>
      </c>
      <c r="R95" s="37"/>
      <c r="S95" s="37" t="s">
        <v>481</v>
      </c>
      <c r="T95" t="str">
        <f>IFERROR(HYPERLINK("#'Main'!B"&amp;MATCH(TRIM(A95),Main!B:B,0),"Open"),HYPERLINK("#'Main'!B1","Open"))</f>
        <v>Open</v>
      </c>
    </row>
    <row r="96" spans="1:21" ht="15.75" x14ac:dyDescent="0.25">
      <c r="A96" s="45" t="s">
        <v>166</v>
      </c>
      <c r="B96" s="28" t="s">
        <v>479</v>
      </c>
      <c r="C96" s="32" t="s">
        <v>506</v>
      </c>
      <c r="D96" s="28" t="s">
        <v>507</v>
      </c>
      <c r="E96" s="47">
        <v>200</v>
      </c>
      <c r="F96" s="28" t="b">
        <v>1</v>
      </c>
      <c r="G96" s="28">
        <v>0</v>
      </c>
      <c r="H96" s="47">
        <v>0</v>
      </c>
      <c r="I96" s="28">
        <v>0</v>
      </c>
      <c r="J96" s="28">
        <v>0</v>
      </c>
      <c r="K96" s="28">
        <v>0</v>
      </c>
      <c r="L96" s="35" t="b">
        <v>0</v>
      </c>
      <c r="M96" s="28">
        <v>0</v>
      </c>
      <c r="N96" s="28">
        <v>0</v>
      </c>
      <c r="O96" s="47">
        <v>0</v>
      </c>
      <c r="P96" s="28">
        <v>0</v>
      </c>
      <c r="Q96" s="28">
        <v>0</v>
      </c>
      <c r="R96" s="28"/>
      <c r="S96" s="28" t="s">
        <v>481</v>
      </c>
      <c r="T96" s="36" t="str">
        <f>IFERROR(HYPERLINK("#'Main'!B"&amp;MATCH(TRIM(A96),Main!B:B,0),"Open"),HYPERLINK("#'Main'!B1","Open"))</f>
        <v>Open</v>
      </c>
      <c r="U96" s="36"/>
    </row>
    <row r="97" spans="1:21" ht="15.75" x14ac:dyDescent="0.25">
      <c r="A97" s="46" t="s">
        <v>166</v>
      </c>
      <c r="B97" s="37" t="s">
        <v>479</v>
      </c>
      <c r="C97" s="39" t="s">
        <v>508</v>
      </c>
      <c r="D97" s="37" t="s">
        <v>509</v>
      </c>
      <c r="E97" s="47">
        <v>200</v>
      </c>
      <c r="F97" s="37" t="b">
        <v>1</v>
      </c>
      <c r="G97" s="37">
        <v>0</v>
      </c>
      <c r="H97" s="47">
        <v>0</v>
      </c>
      <c r="I97" s="37">
        <v>0</v>
      </c>
      <c r="J97" s="37">
        <v>0</v>
      </c>
      <c r="K97" s="37">
        <v>0</v>
      </c>
      <c r="L97" s="41" t="b">
        <v>0</v>
      </c>
      <c r="M97" s="37">
        <v>0</v>
      </c>
      <c r="N97" s="37">
        <v>0</v>
      </c>
      <c r="O97" s="47">
        <v>0</v>
      </c>
      <c r="P97" s="37">
        <v>0</v>
      </c>
      <c r="Q97" s="37">
        <v>0</v>
      </c>
      <c r="R97" s="37"/>
      <c r="S97" s="37" t="s">
        <v>481</v>
      </c>
      <c r="T97" t="str">
        <f>IFERROR(HYPERLINK("#'Main'!B"&amp;MATCH(TRIM(A97),Main!B:B,0),"Open"),HYPERLINK("#'Main'!B1","Open"))</f>
        <v>Open</v>
      </c>
    </row>
    <row r="98" spans="1:21" ht="30" x14ac:dyDescent="0.25">
      <c r="A98" s="45" t="s">
        <v>166</v>
      </c>
      <c r="B98" s="28" t="s">
        <v>479</v>
      </c>
      <c r="C98" s="32" t="s">
        <v>196</v>
      </c>
      <c r="D98" s="28" t="s">
        <v>510</v>
      </c>
      <c r="E98" s="47">
        <v>200</v>
      </c>
      <c r="F98" s="28" t="b">
        <v>1</v>
      </c>
      <c r="G98" s="28">
        <v>0</v>
      </c>
      <c r="H98" s="47">
        <v>0</v>
      </c>
      <c r="I98" s="28">
        <v>0</v>
      </c>
      <c r="J98" s="28">
        <v>0</v>
      </c>
      <c r="K98" s="28">
        <v>0</v>
      </c>
      <c r="L98" s="35" t="b">
        <v>0</v>
      </c>
      <c r="M98" s="28">
        <v>0</v>
      </c>
      <c r="N98" s="28">
        <v>0</v>
      </c>
      <c r="O98" s="47">
        <v>0</v>
      </c>
      <c r="P98" s="28">
        <v>0</v>
      </c>
      <c r="Q98" s="28">
        <v>0</v>
      </c>
      <c r="R98" s="28"/>
      <c r="S98" s="28" t="s">
        <v>481</v>
      </c>
      <c r="T98" s="36" t="str">
        <f>IFERROR(HYPERLINK("#'Main'!B"&amp;MATCH(TRIM(A98),Main!B:B,0),"Open"),HYPERLINK("#'Main'!B1","Open"))</f>
        <v>Open</v>
      </c>
      <c r="U98" s="36"/>
    </row>
    <row r="99" spans="1:21" ht="15.75" x14ac:dyDescent="0.25">
      <c r="A99" s="46" t="s">
        <v>166</v>
      </c>
      <c r="B99" s="37" t="s">
        <v>479</v>
      </c>
      <c r="C99" s="39" t="s">
        <v>511</v>
      </c>
      <c r="D99" s="37" t="s">
        <v>512</v>
      </c>
      <c r="E99" s="47">
        <v>200</v>
      </c>
      <c r="F99" s="37" t="b">
        <v>1</v>
      </c>
      <c r="G99" s="37">
        <v>0</v>
      </c>
      <c r="H99" s="47">
        <v>0</v>
      </c>
      <c r="I99" s="37">
        <v>0</v>
      </c>
      <c r="J99" s="37">
        <v>0</v>
      </c>
      <c r="K99" s="37">
        <v>0</v>
      </c>
      <c r="L99" s="41" t="b">
        <v>0</v>
      </c>
      <c r="M99" s="37">
        <v>0</v>
      </c>
      <c r="N99" s="37">
        <v>0</v>
      </c>
      <c r="O99" s="47">
        <v>0</v>
      </c>
      <c r="P99" s="37">
        <v>0</v>
      </c>
      <c r="Q99" s="37">
        <v>0</v>
      </c>
      <c r="R99" s="37"/>
      <c r="S99" s="37" t="s">
        <v>481</v>
      </c>
      <c r="T99" t="str">
        <f>IFERROR(HYPERLINK("#'Main'!B"&amp;MATCH(TRIM(A99),Main!B:B,0),"Open"),HYPERLINK("#'Main'!B1","Open"))</f>
        <v>Open</v>
      </c>
    </row>
    <row r="100" spans="1:21" ht="30" x14ac:dyDescent="0.25">
      <c r="A100" s="45" t="s">
        <v>166</v>
      </c>
      <c r="B100" s="28" t="s">
        <v>479</v>
      </c>
      <c r="C100" s="32" t="s">
        <v>513</v>
      </c>
      <c r="D100" s="28" t="s">
        <v>514</v>
      </c>
      <c r="E100" s="47">
        <v>200</v>
      </c>
      <c r="F100" s="28" t="b">
        <v>1</v>
      </c>
      <c r="G100" s="28">
        <v>0</v>
      </c>
      <c r="H100" s="47">
        <v>0</v>
      </c>
      <c r="I100" s="28">
        <v>0</v>
      </c>
      <c r="J100" s="28">
        <v>0</v>
      </c>
      <c r="K100" s="28">
        <v>0</v>
      </c>
      <c r="L100" s="35" t="b">
        <v>0</v>
      </c>
      <c r="M100" s="28">
        <v>0</v>
      </c>
      <c r="N100" s="28">
        <v>0</v>
      </c>
      <c r="O100" s="47">
        <v>0</v>
      </c>
      <c r="P100" s="28">
        <v>0</v>
      </c>
      <c r="Q100" s="28">
        <v>0</v>
      </c>
      <c r="R100" s="28"/>
      <c r="S100" s="28" t="s">
        <v>481</v>
      </c>
      <c r="T100" s="36" t="str">
        <f>IFERROR(HYPERLINK("#'Main'!B"&amp;MATCH(TRIM(A100),Main!B:B,0),"Open"),HYPERLINK("#'Main'!B1","Open"))</f>
        <v>Open</v>
      </c>
      <c r="U100" s="36"/>
    </row>
    <row r="101" spans="1:21" ht="30" x14ac:dyDescent="0.25">
      <c r="A101" s="46" t="s">
        <v>166</v>
      </c>
      <c r="B101" s="37" t="s">
        <v>479</v>
      </c>
      <c r="C101" s="39" t="s">
        <v>515</v>
      </c>
      <c r="D101" s="37" t="s">
        <v>516</v>
      </c>
      <c r="E101" s="47">
        <v>200</v>
      </c>
      <c r="F101" s="37" t="b">
        <v>1</v>
      </c>
      <c r="G101" s="37">
        <v>0</v>
      </c>
      <c r="H101" s="47">
        <v>0</v>
      </c>
      <c r="I101" s="37">
        <v>0</v>
      </c>
      <c r="J101" s="37">
        <v>0</v>
      </c>
      <c r="K101" s="37">
        <v>0</v>
      </c>
      <c r="L101" s="41" t="b">
        <v>0</v>
      </c>
      <c r="M101" s="37">
        <v>0</v>
      </c>
      <c r="N101" s="37">
        <v>0</v>
      </c>
      <c r="O101" s="47">
        <v>0</v>
      </c>
      <c r="P101" s="37">
        <v>0</v>
      </c>
      <c r="Q101" s="37">
        <v>0</v>
      </c>
      <c r="R101" s="37"/>
      <c r="S101" s="37" t="s">
        <v>481</v>
      </c>
      <c r="T101" t="str">
        <f>IFERROR(HYPERLINK("#'Main'!B"&amp;MATCH(TRIM(A101),Main!B:B,0),"Open"),HYPERLINK("#'Main'!B1","Open"))</f>
        <v>Open</v>
      </c>
    </row>
    <row r="102" spans="1:21" ht="15.75" x14ac:dyDescent="0.25">
      <c r="A102" s="45" t="s">
        <v>166</v>
      </c>
      <c r="B102" s="28" t="s">
        <v>479</v>
      </c>
      <c r="C102" s="32" t="s">
        <v>517</v>
      </c>
      <c r="D102" s="28" t="s">
        <v>518</v>
      </c>
      <c r="E102" s="47">
        <v>200</v>
      </c>
      <c r="F102" s="28" t="b">
        <v>1</v>
      </c>
      <c r="G102" s="28">
        <v>0</v>
      </c>
      <c r="H102" s="47">
        <v>0</v>
      </c>
      <c r="I102" s="28">
        <v>0</v>
      </c>
      <c r="J102" s="28">
        <v>0</v>
      </c>
      <c r="K102" s="28">
        <v>0</v>
      </c>
      <c r="L102" s="35" t="b">
        <v>0</v>
      </c>
      <c r="M102" s="28">
        <v>0</v>
      </c>
      <c r="N102" s="28">
        <v>0</v>
      </c>
      <c r="O102" s="47">
        <v>0</v>
      </c>
      <c r="P102" s="28">
        <v>0</v>
      </c>
      <c r="Q102" s="28">
        <v>0</v>
      </c>
      <c r="R102" s="28"/>
      <c r="S102" s="28" t="s">
        <v>481</v>
      </c>
      <c r="T102" s="36" t="str">
        <f>IFERROR(HYPERLINK("#'Main'!B"&amp;MATCH(TRIM(A102),Main!B:B,0),"Open"),HYPERLINK("#'Main'!B1","Open"))</f>
        <v>Open</v>
      </c>
      <c r="U102" s="36"/>
    </row>
    <row r="103" spans="1:21" ht="15.75" x14ac:dyDescent="0.25">
      <c r="A103" s="46" t="s">
        <v>166</v>
      </c>
      <c r="B103" s="37" t="s">
        <v>479</v>
      </c>
      <c r="C103" s="39" t="s">
        <v>517</v>
      </c>
      <c r="D103" s="37" t="s">
        <v>519</v>
      </c>
      <c r="E103" s="47">
        <v>200</v>
      </c>
      <c r="F103" s="37" t="b">
        <v>1</v>
      </c>
      <c r="G103" s="37">
        <v>0</v>
      </c>
      <c r="H103" s="47">
        <v>0</v>
      </c>
      <c r="I103" s="37">
        <v>0</v>
      </c>
      <c r="J103" s="37">
        <v>0</v>
      </c>
      <c r="K103" s="37">
        <v>0</v>
      </c>
      <c r="L103" s="41" t="b">
        <v>0</v>
      </c>
      <c r="M103" s="37">
        <v>0</v>
      </c>
      <c r="N103" s="37">
        <v>0</v>
      </c>
      <c r="O103" s="47">
        <v>0</v>
      </c>
      <c r="P103" s="37">
        <v>0</v>
      </c>
      <c r="Q103" s="37">
        <v>0</v>
      </c>
      <c r="R103" s="37"/>
      <c r="S103" s="37" t="s">
        <v>481</v>
      </c>
      <c r="T103" t="str">
        <f>IFERROR(HYPERLINK("#'Main'!B"&amp;MATCH(TRIM(A103),Main!B:B,0),"Open"),HYPERLINK("#'Main'!B1","Open"))</f>
        <v>Open</v>
      </c>
    </row>
    <row r="104" spans="1:21" ht="15.75" x14ac:dyDescent="0.25">
      <c r="A104" s="45" t="s">
        <v>166</v>
      </c>
      <c r="B104" s="28" t="s">
        <v>479</v>
      </c>
      <c r="C104" s="32" t="s">
        <v>494</v>
      </c>
      <c r="D104" s="28" t="s">
        <v>520</v>
      </c>
      <c r="E104" s="47">
        <v>200</v>
      </c>
      <c r="F104" s="28" t="b">
        <v>1</v>
      </c>
      <c r="G104" s="28">
        <v>0</v>
      </c>
      <c r="H104" s="47">
        <v>0</v>
      </c>
      <c r="I104" s="28">
        <v>0</v>
      </c>
      <c r="J104" s="28">
        <v>0</v>
      </c>
      <c r="K104" s="28">
        <v>0</v>
      </c>
      <c r="L104" s="35" t="b">
        <v>0</v>
      </c>
      <c r="M104" s="28">
        <v>0</v>
      </c>
      <c r="N104" s="28">
        <v>0</v>
      </c>
      <c r="O104" s="47">
        <v>0</v>
      </c>
      <c r="P104" s="28">
        <v>0</v>
      </c>
      <c r="Q104" s="28">
        <v>0</v>
      </c>
      <c r="R104" s="28"/>
      <c r="S104" s="28" t="s">
        <v>481</v>
      </c>
      <c r="T104" s="36" t="str">
        <f>IFERROR(HYPERLINK("#'Main'!B"&amp;MATCH(TRIM(A104),Main!B:B,0),"Open"),HYPERLINK("#'Main'!B1","Open"))</f>
        <v>Open</v>
      </c>
      <c r="U104" s="36"/>
    </row>
    <row r="105" spans="1:21" ht="30" x14ac:dyDescent="0.25">
      <c r="A105" s="46" t="s">
        <v>166</v>
      </c>
      <c r="B105" s="37" t="s">
        <v>479</v>
      </c>
      <c r="C105" s="39" t="s">
        <v>521</v>
      </c>
      <c r="D105" s="37" t="s">
        <v>268</v>
      </c>
      <c r="E105" s="47">
        <v>200</v>
      </c>
      <c r="F105" s="37" t="b">
        <v>1</v>
      </c>
      <c r="G105" s="37">
        <v>0</v>
      </c>
      <c r="H105" s="47">
        <v>0</v>
      </c>
      <c r="I105" s="37">
        <v>0</v>
      </c>
      <c r="J105" s="37">
        <v>0</v>
      </c>
      <c r="K105" s="37">
        <v>0</v>
      </c>
      <c r="L105" s="41" t="b">
        <v>0</v>
      </c>
      <c r="M105" s="37">
        <v>0</v>
      </c>
      <c r="N105" s="37">
        <v>0</v>
      </c>
      <c r="O105" s="47">
        <v>0</v>
      </c>
      <c r="P105" s="37">
        <v>0</v>
      </c>
      <c r="Q105" s="37">
        <v>0</v>
      </c>
      <c r="R105" s="37"/>
      <c r="S105" s="37" t="s">
        <v>481</v>
      </c>
      <c r="T105" t="str">
        <f>IFERROR(HYPERLINK("#'Main'!B"&amp;MATCH(TRIM(A105),Main!B:B,0),"Open"),HYPERLINK("#'Main'!B1","Open"))</f>
        <v>Open</v>
      </c>
    </row>
    <row r="106" spans="1:21" ht="15.75" x14ac:dyDescent="0.25">
      <c r="A106" s="45" t="s">
        <v>166</v>
      </c>
      <c r="B106" s="28" t="s">
        <v>479</v>
      </c>
      <c r="C106" s="32" t="s">
        <v>522</v>
      </c>
      <c r="D106" s="28" t="s">
        <v>523</v>
      </c>
      <c r="E106" s="47">
        <v>200</v>
      </c>
      <c r="F106" s="28" t="b">
        <v>1</v>
      </c>
      <c r="G106" s="28">
        <v>0</v>
      </c>
      <c r="H106" s="47">
        <v>0</v>
      </c>
      <c r="I106" s="28">
        <v>0</v>
      </c>
      <c r="J106" s="28">
        <v>0</v>
      </c>
      <c r="K106" s="28">
        <v>0</v>
      </c>
      <c r="L106" s="35" t="b">
        <v>0</v>
      </c>
      <c r="M106" s="28">
        <v>0</v>
      </c>
      <c r="N106" s="28">
        <v>0</v>
      </c>
      <c r="O106" s="47">
        <v>0</v>
      </c>
      <c r="P106" s="28">
        <v>0</v>
      </c>
      <c r="Q106" s="28">
        <v>0</v>
      </c>
      <c r="R106" s="28"/>
      <c r="S106" s="28" t="s">
        <v>481</v>
      </c>
      <c r="T106" s="36" t="str">
        <f>IFERROR(HYPERLINK("#'Main'!B"&amp;MATCH(TRIM(A106),Main!B:B,0),"Open"),HYPERLINK("#'Main'!B1","Open"))</f>
        <v>Open</v>
      </c>
      <c r="U106" s="36"/>
    </row>
    <row r="107" spans="1:21" ht="15.75" x14ac:dyDescent="0.25">
      <c r="A107" s="46" t="s">
        <v>166</v>
      </c>
      <c r="B107" s="37" t="s">
        <v>479</v>
      </c>
      <c r="C107" s="39" t="s">
        <v>166</v>
      </c>
      <c r="D107" s="37" t="s">
        <v>504</v>
      </c>
      <c r="E107" s="47">
        <v>200</v>
      </c>
      <c r="F107" s="37" t="b">
        <v>1</v>
      </c>
      <c r="G107" s="37">
        <v>0</v>
      </c>
      <c r="H107" s="47">
        <v>0</v>
      </c>
      <c r="I107" s="37">
        <v>0</v>
      </c>
      <c r="J107" s="37">
        <v>0</v>
      </c>
      <c r="K107" s="37">
        <v>0</v>
      </c>
      <c r="L107" s="41" t="b">
        <v>0</v>
      </c>
      <c r="M107" s="37">
        <v>0</v>
      </c>
      <c r="N107" s="37">
        <v>0</v>
      </c>
      <c r="O107" s="47">
        <v>0</v>
      </c>
      <c r="P107" s="37">
        <v>0</v>
      </c>
      <c r="Q107" s="37">
        <v>0</v>
      </c>
      <c r="R107" s="37"/>
      <c r="S107" s="37" t="s">
        <v>481</v>
      </c>
      <c r="T107" t="str">
        <f>IFERROR(HYPERLINK("#'Main'!B"&amp;MATCH(TRIM(A107),Main!B:B,0),"Open"),HYPERLINK("#'Main'!B1","Open"))</f>
        <v>Open</v>
      </c>
    </row>
    <row r="108" spans="1:21" ht="15.75" x14ac:dyDescent="0.25">
      <c r="A108" s="45" t="s">
        <v>166</v>
      </c>
      <c r="B108" s="28" t="s">
        <v>479</v>
      </c>
      <c r="C108" s="32" t="s">
        <v>199</v>
      </c>
      <c r="D108" s="28" t="s">
        <v>505</v>
      </c>
      <c r="E108" s="47">
        <v>200</v>
      </c>
      <c r="F108" s="28" t="b">
        <v>1</v>
      </c>
      <c r="G108" s="28">
        <v>0</v>
      </c>
      <c r="H108" s="47">
        <v>0</v>
      </c>
      <c r="I108" s="28">
        <v>0</v>
      </c>
      <c r="J108" s="28">
        <v>0</v>
      </c>
      <c r="K108" s="28">
        <v>0</v>
      </c>
      <c r="L108" s="35" t="b">
        <v>0</v>
      </c>
      <c r="M108" s="28">
        <v>0</v>
      </c>
      <c r="N108" s="28">
        <v>0</v>
      </c>
      <c r="O108" s="47">
        <v>0</v>
      </c>
      <c r="P108" s="28">
        <v>0</v>
      </c>
      <c r="Q108" s="28">
        <v>0</v>
      </c>
      <c r="R108" s="28"/>
      <c r="S108" s="28" t="s">
        <v>481</v>
      </c>
      <c r="T108" s="36" t="str">
        <f>IFERROR(HYPERLINK("#'Main'!B"&amp;MATCH(TRIM(A108),Main!B:B,0),"Open"),HYPERLINK("#'Main'!B1","Open"))</f>
        <v>Open</v>
      </c>
      <c r="U108" s="36"/>
    </row>
    <row r="109" spans="1:21" ht="15.75" x14ac:dyDescent="0.25">
      <c r="A109" s="46" t="s">
        <v>166</v>
      </c>
      <c r="B109" s="37" t="s">
        <v>479</v>
      </c>
      <c r="C109" s="39" t="s">
        <v>506</v>
      </c>
      <c r="D109" s="37" t="s">
        <v>507</v>
      </c>
      <c r="E109" s="47">
        <v>200</v>
      </c>
      <c r="F109" s="37" t="b">
        <v>1</v>
      </c>
      <c r="G109" s="37">
        <v>0</v>
      </c>
      <c r="H109" s="47">
        <v>0</v>
      </c>
      <c r="I109" s="37">
        <v>0</v>
      </c>
      <c r="J109" s="37">
        <v>0</v>
      </c>
      <c r="K109" s="37">
        <v>0</v>
      </c>
      <c r="L109" s="41" t="b">
        <v>0</v>
      </c>
      <c r="M109" s="37">
        <v>0</v>
      </c>
      <c r="N109" s="37">
        <v>0</v>
      </c>
      <c r="O109" s="47">
        <v>0</v>
      </c>
      <c r="P109" s="37">
        <v>0</v>
      </c>
      <c r="Q109" s="37">
        <v>0</v>
      </c>
      <c r="R109" s="37"/>
      <c r="S109" s="37" t="s">
        <v>481</v>
      </c>
      <c r="T109" t="str">
        <f>IFERROR(HYPERLINK("#'Main'!B"&amp;MATCH(TRIM(A109),Main!B:B,0),"Open"),HYPERLINK("#'Main'!B1","Open"))</f>
        <v>Open</v>
      </c>
    </row>
    <row r="110" spans="1:21" ht="15.75" x14ac:dyDescent="0.25">
      <c r="A110" s="45" t="s">
        <v>166</v>
      </c>
      <c r="B110" s="28" t="s">
        <v>479</v>
      </c>
      <c r="C110" s="32" t="s">
        <v>508</v>
      </c>
      <c r="D110" s="28" t="s">
        <v>509</v>
      </c>
      <c r="E110" s="47">
        <v>200</v>
      </c>
      <c r="F110" s="28" t="b">
        <v>1</v>
      </c>
      <c r="G110" s="28">
        <v>0</v>
      </c>
      <c r="H110" s="47">
        <v>0</v>
      </c>
      <c r="I110" s="28">
        <v>0</v>
      </c>
      <c r="J110" s="28">
        <v>0</v>
      </c>
      <c r="K110" s="28">
        <v>0</v>
      </c>
      <c r="L110" s="35" t="b">
        <v>0</v>
      </c>
      <c r="M110" s="28">
        <v>0</v>
      </c>
      <c r="N110" s="28">
        <v>0</v>
      </c>
      <c r="O110" s="47">
        <v>0</v>
      </c>
      <c r="P110" s="28">
        <v>0</v>
      </c>
      <c r="Q110" s="28">
        <v>0</v>
      </c>
      <c r="R110" s="28"/>
      <c r="S110" s="28" t="s">
        <v>481</v>
      </c>
      <c r="T110" s="36" t="str">
        <f>IFERROR(HYPERLINK("#'Main'!B"&amp;MATCH(TRIM(A110),Main!B:B,0),"Open"),HYPERLINK("#'Main'!B1","Open"))</f>
        <v>Open</v>
      </c>
      <c r="U110" s="36"/>
    </row>
    <row r="111" spans="1:21" ht="30" x14ac:dyDescent="0.25">
      <c r="A111" s="46" t="s">
        <v>166</v>
      </c>
      <c r="B111" s="37" t="s">
        <v>479</v>
      </c>
      <c r="C111" s="39" t="s">
        <v>196</v>
      </c>
      <c r="D111" s="37" t="s">
        <v>510</v>
      </c>
      <c r="E111" s="47">
        <v>200</v>
      </c>
      <c r="F111" s="37" t="b">
        <v>1</v>
      </c>
      <c r="G111" s="37">
        <v>0</v>
      </c>
      <c r="H111" s="47">
        <v>0</v>
      </c>
      <c r="I111" s="37">
        <v>0</v>
      </c>
      <c r="J111" s="37">
        <v>0</v>
      </c>
      <c r="K111" s="37">
        <v>0</v>
      </c>
      <c r="L111" s="41" t="b">
        <v>0</v>
      </c>
      <c r="M111" s="37">
        <v>0</v>
      </c>
      <c r="N111" s="37">
        <v>0</v>
      </c>
      <c r="O111" s="47">
        <v>0</v>
      </c>
      <c r="P111" s="37">
        <v>0</v>
      </c>
      <c r="Q111" s="37">
        <v>0</v>
      </c>
      <c r="R111" s="37"/>
      <c r="S111" s="37" t="s">
        <v>481</v>
      </c>
      <c r="T111" t="str">
        <f>IFERROR(HYPERLINK("#'Main'!B"&amp;MATCH(TRIM(A111),Main!B:B,0),"Open"),HYPERLINK("#'Main'!B1","Open"))</f>
        <v>Open</v>
      </c>
    </row>
    <row r="112" spans="1:21" ht="15.75" x14ac:dyDescent="0.25">
      <c r="A112" s="45" t="s">
        <v>166</v>
      </c>
      <c r="B112" s="28" t="s">
        <v>479</v>
      </c>
      <c r="C112" s="32" t="s">
        <v>511</v>
      </c>
      <c r="D112" s="28" t="s">
        <v>512</v>
      </c>
      <c r="E112" s="47">
        <v>200</v>
      </c>
      <c r="F112" s="28" t="b">
        <v>1</v>
      </c>
      <c r="G112" s="28">
        <v>0</v>
      </c>
      <c r="H112" s="47">
        <v>0</v>
      </c>
      <c r="I112" s="28">
        <v>0</v>
      </c>
      <c r="J112" s="28">
        <v>0</v>
      </c>
      <c r="K112" s="28">
        <v>0</v>
      </c>
      <c r="L112" s="35" t="b">
        <v>0</v>
      </c>
      <c r="M112" s="28">
        <v>0</v>
      </c>
      <c r="N112" s="28">
        <v>0</v>
      </c>
      <c r="O112" s="47">
        <v>0</v>
      </c>
      <c r="P112" s="28">
        <v>0</v>
      </c>
      <c r="Q112" s="28">
        <v>0</v>
      </c>
      <c r="R112" s="28"/>
      <c r="S112" s="28" t="s">
        <v>481</v>
      </c>
      <c r="T112" s="36" t="str">
        <f>IFERROR(HYPERLINK("#'Main'!B"&amp;MATCH(TRIM(A112),Main!B:B,0),"Open"),HYPERLINK("#'Main'!B1","Open"))</f>
        <v>Open</v>
      </c>
      <c r="U112" s="36"/>
    </row>
    <row r="113" spans="1:21" ht="30" x14ac:dyDescent="0.25">
      <c r="A113" s="46" t="s">
        <v>166</v>
      </c>
      <c r="B113" s="37" t="s">
        <v>479</v>
      </c>
      <c r="C113" s="39" t="s">
        <v>513</v>
      </c>
      <c r="D113" s="37" t="s">
        <v>514</v>
      </c>
      <c r="E113" s="47">
        <v>200</v>
      </c>
      <c r="F113" s="37" t="b">
        <v>1</v>
      </c>
      <c r="G113" s="37">
        <v>0</v>
      </c>
      <c r="H113" s="47">
        <v>0</v>
      </c>
      <c r="I113" s="37">
        <v>0</v>
      </c>
      <c r="J113" s="37">
        <v>0</v>
      </c>
      <c r="K113" s="37">
        <v>0</v>
      </c>
      <c r="L113" s="41" t="b">
        <v>0</v>
      </c>
      <c r="M113" s="37">
        <v>0</v>
      </c>
      <c r="N113" s="37">
        <v>0</v>
      </c>
      <c r="O113" s="47">
        <v>0</v>
      </c>
      <c r="P113" s="37">
        <v>0</v>
      </c>
      <c r="Q113" s="37">
        <v>0</v>
      </c>
      <c r="R113" s="37"/>
      <c r="S113" s="37" t="s">
        <v>481</v>
      </c>
      <c r="T113" t="str">
        <f>IFERROR(HYPERLINK("#'Main'!B"&amp;MATCH(TRIM(A113),Main!B:B,0),"Open"),HYPERLINK("#'Main'!B1","Open"))</f>
        <v>Open</v>
      </c>
    </row>
    <row r="114" spans="1:21" ht="30" x14ac:dyDescent="0.25">
      <c r="A114" s="45" t="s">
        <v>166</v>
      </c>
      <c r="B114" s="28" t="s">
        <v>479</v>
      </c>
      <c r="C114" s="32" t="s">
        <v>515</v>
      </c>
      <c r="D114" s="28" t="s">
        <v>516</v>
      </c>
      <c r="E114" s="47">
        <v>200</v>
      </c>
      <c r="F114" s="28" t="b">
        <v>1</v>
      </c>
      <c r="G114" s="28">
        <v>0</v>
      </c>
      <c r="H114" s="47">
        <v>0</v>
      </c>
      <c r="I114" s="28">
        <v>0</v>
      </c>
      <c r="J114" s="28">
        <v>0</v>
      </c>
      <c r="K114" s="28">
        <v>0</v>
      </c>
      <c r="L114" s="35" t="b">
        <v>0</v>
      </c>
      <c r="M114" s="28">
        <v>0</v>
      </c>
      <c r="N114" s="28">
        <v>0</v>
      </c>
      <c r="O114" s="47">
        <v>0</v>
      </c>
      <c r="P114" s="28">
        <v>0</v>
      </c>
      <c r="Q114" s="28">
        <v>0</v>
      </c>
      <c r="R114" s="28"/>
      <c r="S114" s="28" t="s">
        <v>481</v>
      </c>
      <c r="T114" s="36" t="str">
        <f>IFERROR(HYPERLINK("#'Main'!B"&amp;MATCH(TRIM(A114),Main!B:B,0),"Open"),HYPERLINK("#'Main'!B1","Open"))</f>
        <v>Open</v>
      </c>
      <c r="U114" s="36"/>
    </row>
    <row r="115" spans="1:21" ht="15.75" x14ac:dyDescent="0.25">
      <c r="A115" s="46" t="s">
        <v>166</v>
      </c>
      <c r="B115" s="37" t="s">
        <v>479</v>
      </c>
      <c r="C115" s="39" t="s">
        <v>517</v>
      </c>
      <c r="D115" s="37" t="s">
        <v>518</v>
      </c>
      <c r="E115" s="47">
        <v>200</v>
      </c>
      <c r="F115" s="37" t="b">
        <v>1</v>
      </c>
      <c r="G115" s="37">
        <v>0</v>
      </c>
      <c r="H115" s="47">
        <v>0</v>
      </c>
      <c r="I115" s="37">
        <v>0</v>
      </c>
      <c r="J115" s="37">
        <v>0</v>
      </c>
      <c r="K115" s="37">
        <v>0</v>
      </c>
      <c r="L115" s="41" t="b">
        <v>0</v>
      </c>
      <c r="M115" s="37">
        <v>0</v>
      </c>
      <c r="N115" s="37">
        <v>0</v>
      </c>
      <c r="O115" s="47">
        <v>0</v>
      </c>
      <c r="P115" s="37">
        <v>0</v>
      </c>
      <c r="Q115" s="37">
        <v>0</v>
      </c>
      <c r="R115" s="37"/>
      <c r="S115" s="37" t="s">
        <v>481</v>
      </c>
      <c r="T115" t="str">
        <f>IFERROR(HYPERLINK("#'Main'!B"&amp;MATCH(TRIM(A115),Main!B:B,0),"Open"),HYPERLINK("#'Main'!B1","Open"))</f>
        <v>Open</v>
      </c>
    </row>
    <row r="116" spans="1:21" ht="15.75" x14ac:dyDescent="0.25">
      <c r="A116" s="45" t="s">
        <v>166</v>
      </c>
      <c r="B116" s="28" t="s">
        <v>479</v>
      </c>
      <c r="C116" s="32" t="s">
        <v>517</v>
      </c>
      <c r="D116" s="28" t="s">
        <v>519</v>
      </c>
      <c r="E116" s="47">
        <v>200</v>
      </c>
      <c r="F116" s="28" t="b">
        <v>1</v>
      </c>
      <c r="G116" s="28">
        <v>0</v>
      </c>
      <c r="H116" s="47">
        <v>0</v>
      </c>
      <c r="I116" s="28">
        <v>0</v>
      </c>
      <c r="J116" s="28">
        <v>0</v>
      </c>
      <c r="K116" s="28">
        <v>0</v>
      </c>
      <c r="L116" s="35" t="b">
        <v>0</v>
      </c>
      <c r="M116" s="28">
        <v>0</v>
      </c>
      <c r="N116" s="28">
        <v>0</v>
      </c>
      <c r="O116" s="47">
        <v>0</v>
      </c>
      <c r="P116" s="28">
        <v>0</v>
      </c>
      <c r="Q116" s="28">
        <v>0</v>
      </c>
      <c r="R116" s="28"/>
      <c r="S116" s="28" t="s">
        <v>481</v>
      </c>
      <c r="T116" s="36" t="str">
        <f>IFERROR(HYPERLINK("#'Main'!B"&amp;MATCH(TRIM(A116),Main!B:B,0),"Open"),HYPERLINK("#'Main'!B1","Open"))</f>
        <v>Open</v>
      </c>
      <c r="U116" s="36"/>
    </row>
    <row r="117" spans="1:21" ht="15.75" x14ac:dyDescent="0.25">
      <c r="A117" s="46" t="s">
        <v>166</v>
      </c>
      <c r="B117" s="37" t="s">
        <v>479</v>
      </c>
      <c r="C117" s="39" t="s">
        <v>494</v>
      </c>
      <c r="D117" s="37" t="s">
        <v>520</v>
      </c>
      <c r="E117" s="47">
        <v>200</v>
      </c>
      <c r="F117" s="37" t="b">
        <v>1</v>
      </c>
      <c r="G117" s="37">
        <v>0</v>
      </c>
      <c r="H117" s="47">
        <v>0</v>
      </c>
      <c r="I117" s="37">
        <v>0</v>
      </c>
      <c r="J117" s="37">
        <v>0</v>
      </c>
      <c r="K117" s="37">
        <v>0</v>
      </c>
      <c r="L117" s="41" t="b">
        <v>0</v>
      </c>
      <c r="M117" s="37">
        <v>0</v>
      </c>
      <c r="N117" s="37">
        <v>0</v>
      </c>
      <c r="O117" s="47">
        <v>0</v>
      </c>
      <c r="P117" s="37">
        <v>0</v>
      </c>
      <c r="Q117" s="37">
        <v>0</v>
      </c>
      <c r="R117" s="37"/>
      <c r="S117" s="37" t="s">
        <v>481</v>
      </c>
      <c r="T117" t="str">
        <f>IFERROR(HYPERLINK("#'Main'!B"&amp;MATCH(TRIM(A117),Main!B:B,0),"Open"),HYPERLINK("#'Main'!B1","Open"))</f>
        <v>Open</v>
      </c>
    </row>
    <row r="118" spans="1:21" ht="30" x14ac:dyDescent="0.25">
      <c r="A118" s="45" t="s">
        <v>166</v>
      </c>
      <c r="B118" s="28" t="s">
        <v>479</v>
      </c>
      <c r="C118" s="32" t="s">
        <v>521</v>
      </c>
      <c r="D118" s="28" t="s">
        <v>268</v>
      </c>
      <c r="E118" s="47">
        <v>200</v>
      </c>
      <c r="F118" s="28" t="b">
        <v>1</v>
      </c>
      <c r="G118" s="28">
        <v>0</v>
      </c>
      <c r="H118" s="47">
        <v>0</v>
      </c>
      <c r="I118" s="28">
        <v>0</v>
      </c>
      <c r="J118" s="28">
        <v>0</v>
      </c>
      <c r="K118" s="28">
        <v>0</v>
      </c>
      <c r="L118" s="35" t="b">
        <v>0</v>
      </c>
      <c r="M118" s="28">
        <v>0</v>
      </c>
      <c r="N118" s="28">
        <v>0</v>
      </c>
      <c r="O118" s="47">
        <v>0</v>
      </c>
      <c r="P118" s="28">
        <v>0</v>
      </c>
      <c r="Q118" s="28">
        <v>0</v>
      </c>
      <c r="R118" s="28"/>
      <c r="S118" s="28" t="s">
        <v>481</v>
      </c>
      <c r="T118" s="36" t="str">
        <f>IFERROR(HYPERLINK("#'Main'!B"&amp;MATCH(TRIM(A118),Main!B:B,0),"Open"),HYPERLINK("#'Main'!B1","Open"))</f>
        <v>Open</v>
      </c>
      <c r="U118" s="36"/>
    </row>
    <row r="119" spans="1:21" ht="15.75" x14ac:dyDescent="0.25">
      <c r="A119" s="46" t="s">
        <v>166</v>
      </c>
      <c r="B119" s="37" t="s">
        <v>479</v>
      </c>
      <c r="C119" s="39" t="s">
        <v>522</v>
      </c>
      <c r="D119" s="37" t="s">
        <v>523</v>
      </c>
      <c r="E119" s="47">
        <v>200</v>
      </c>
      <c r="F119" s="37" t="b">
        <v>1</v>
      </c>
      <c r="G119" s="37">
        <v>0</v>
      </c>
      <c r="H119" s="47">
        <v>0</v>
      </c>
      <c r="I119" s="37">
        <v>0</v>
      </c>
      <c r="J119" s="37">
        <v>0</v>
      </c>
      <c r="K119" s="37">
        <v>0</v>
      </c>
      <c r="L119" s="41" t="b">
        <v>0</v>
      </c>
      <c r="M119" s="37">
        <v>0</v>
      </c>
      <c r="N119" s="37">
        <v>0</v>
      </c>
      <c r="O119" s="47">
        <v>0</v>
      </c>
      <c r="P119" s="37">
        <v>0</v>
      </c>
      <c r="Q119" s="37">
        <v>0</v>
      </c>
      <c r="R119" s="37"/>
      <c r="S119" s="37" t="s">
        <v>481</v>
      </c>
      <c r="T119" t="str">
        <f>IFERROR(HYPERLINK("#'Main'!B"&amp;MATCH(TRIM(A119),Main!B:B,0),"Open"),HYPERLINK("#'Main'!B1","Open"))</f>
        <v>Open</v>
      </c>
    </row>
    <row r="120" spans="1:21" ht="30" x14ac:dyDescent="0.25">
      <c r="A120" s="45" t="s">
        <v>166</v>
      </c>
      <c r="B120" s="28" t="s">
        <v>479</v>
      </c>
      <c r="C120" s="32" t="s">
        <v>521</v>
      </c>
      <c r="D120" s="28" t="s">
        <v>527</v>
      </c>
      <c r="E120" s="47">
        <v>200</v>
      </c>
      <c r="F120" s="28" t="b">
        <v>1</v>
      </c>
      <c r="G120" s="28">
        <v>0</v>
      </c>
      <c r="H120" s="47">
        <v>0</v>
      </c>
      <c r="I120" s="28">
        <v>0</v>
      </c>
      <c r="J120" s="28">
        <v>0</v>
      </c>
      <c r="K120" s="28">
        <v>0</v>
      </c>
      <c r="L120" s="35" t="b">
        <v>0</v>
      </c>
      <c r="M120" s="28">
        <v>0</v>
      </c>
      <c r="N120" s="28">
        <v>0</v>
      </c>
      <c r="O120" s="47">
        <v>0</v>
      </c>
      <c r="P120" s="28">
        <v>0</v>
      </c>
      <c r="Q120" s="28">
        <v>0</v>
      </c>
      <c r="R120" s="28"/>
      <c r="S120" s="28" t="s">
        <v>481</v>
      </c>
      <c r="T120" s="36" t="str">
        <f>IFERROR(HYPERLINK("#'Main'!B"&amp;MATCH(TRIM(A120),Main!B:B,0),"Open"),HYPERLINK("#'Main'!B1","Open"))</f>
        <v>Open</v>
      </c>
      <c r="U120" s="36"/>
    </row>
    <row r="121" spans="1:21" ht="30" x14ac:dyDescent="0.25">
      <c r="A121" s="46" t="s">
        <v>166</v>
      </c>
      <c r="B121" s="37" t="s">
        <v>479</v>
      </c>
      <c r="C121" s="39" t="s">
        <v>515</v>
      </c>
      <c r="D121" s="37" t="s">
        <v>528</v>
      </c>
      <c r="E121" s="47">
        <v>200</v>
      </c>
      <c r="F121" s="37" t="b">
        <v>1</v>
      </c>
      <c r="G121" s="37">
        <v>0</v>
      </c>
      <c r="H121" s="47">
        <v>0</v>
      </c>
      <c r="I121" s="37">
        <v>0</v>
      </c>
      <c r="J121" s="37">
        <v>0</v>
      </c>
      <c r="K121" s="37">
        <v>0</v>
      </c>
      <c r="L121" s="41" t="b">
        <v>0</v>
      </c>
      <c r="M121" s="37">
        <v>0</v>
      </c>
      <c r="N121" s="37">
        <v>0</v>
      </c>
      <c r="O121" s="47">
        <v>0</v>
      </c>
      <c r="P121" s="37">
        <v>0</v>
      </c>
      <c r="Q121" s="37">
        <v>0</v>
      </c>
      <c r="R121" s="37"/>
      <c r="S121" s="37" t="s">
        <v>481</v>
      </c>
      <c r="T121" t="str">
        <f>IFERROR(HYPERLINK("#'Main'!B"&amp;MATCH(TRIM(A121),Main!B:B,0),"Open"),HYPERLINK("#'Main'!B1","Open"))</f>
        <v>Open</v>
      </c>
    </row>
    <row r="122" spans="1:21" ht="15.75" x14ac:dyDescent="0.25">
      <c r="A122" s="45" t="s">
        <v>166</v>
      </c>
      <c r="B122" s="28" t="s">
        <v>479</v>
      </c>
      <c r="C122" s="32" t="s">
        <v>199</v>
      </c>
      <c r="D122" s="28" t="s">
        <v>529</v>
      </c>
      <c r="E122" s="47">
        <v>200</v>
      </c>
      <c r="F122" s="28" t="b">
        <v>1</v>
      </c>
      <c r="G122" s="28">
        <v>0</v>
      </c>
      <c r="H122" s="47">
        <v>0</v>
      </c>
      <c r="I122" s="28">
        <v>0</v>
      </c>
      <c r="J122" s="28">
        <v>0</v>
      </c>
      <c r="K122" s="28">
        <v>0</v>
      </c>
      <c r="L122" s="35" t="b">
        <v>0</v>
      </c>
      <c r="M122" s="28">
        <v>0</v>
      </c>
      <c r="N122" s="28">
        <v>0</v>
      </c>
      <c r="O122" s="47">
        <v>0</v>
      </c>
      <c r="P122" s="28">
        <v>0</v>
      </c>
      <c r="Q122" s="28">
        <v>0</v>
      </c>
      <c r="R122" s="28"/>
      <c r="S122" s="28" t="s">
        <v>481</v>
      </c>
      <c r="T122" s="36" t="str">
        <f>IFERROR(HYPERLINK("#'Main'!B"&amp;MATCH(TRIM(A122),Main!B:B,0),"Open"),HYPERLINK("#'Main'!B1","Open"))</f>
        <v>Open</v>
      </c>
      <c r="U122" s="36"/>
    </row>
    <row r="123" spans="1:21" ht="30" x14ac:dyDescent="0.25">
      <c r="A123" s="46" t="s">
        <v>166</v>
      </c>
      <c r="B123" s="37" t="s">
        <v>479</v>
      </c>
      <c r="C123" s="39" t="s">
        <v>521</v>
      </c>
      <c r="D123" s="37" t="s">
        <v>530</v>
      </c>
      <c r="E123" s="47">
        <v>200</v>
      </c>
      <c r="F123" s="37" t="b">
        <v>1</v>
      </c>
      <c r="G123" s="37">
        <v>0</v>
      </c>
      <c r="H123" s="47">
        <v>0</v>
      </c>
      <c r="I123" s="37">
        <v>0</v>
      </c>
      <c r="J123" s="37">
        <v>0</v>
      </c>
      <c r="K123" s="37">
        <v>0</v>
      </c>
      <c r="L123" s="41" t="b">
        <v>0</v>
      </c>
      <c r="M123" s="37">
        <v>0</v>
      </c>
      <c r="N123" s="37">
        <v>0</v>
      </c>
      <c r="O123" s="47">
        <v>0</v>
      </c>
      <c r="P123" s="37">
        <v>0</v>
      </c>
      <c r="Q123" s="37">
        <v>0</v>
      </c>
      <c r="R123" s="37"/>
      <c r="S123" s="37" t="s">
        <v>481</v>
      </c>
      <c r="T123" t="str">
        <f>IFERROR(HYPERLINK("#'Main'!B"&amp;MATCH(TRIM(A123),Main!B:B,0),"Open"),HYPERLINK("#'Main'!B1","Open"))</f>
        <v>Open</v>
      </c>
    </row>
    <row r="124" spans="1:21" ht="30" x14ac:dyDescent="0.25">
      <c r="A124" s="45" t="s">
        <v>166</v>
      </c>
      <c r="B124" s="28" t="s">
        <v>479</v>
      </c>
      <c r="C124" s="32" t="s">
        <v>482</v>
      </c>
      <c r="D124" s="28" t="s">
        <v>531</v>
      </c>
      <c r="E124" s="47">
        <v>200</v>
      </c>
      <c r="F124" s="28" t="b">
        <v>1</v>
      </c>
      <c r="G124" s="28">
        <v>0</v>
      </c>
      <c r="H124" s="47">
        <v>0</v>
      </c>
      <c r="I124" s="28">
        <v>0</v>
      </c>
      <c r="J124" s="28">
        <v>0</v>
      </c>
      <c r="K124" s="28">
        <v>0</v>
      </c>
      <c r="L124" s="35" t="b">
        <v>0</v>
      </c>
      <c r="M124" s="28">
        <v>0</v>
      </c>
      <c r="N124" s="28">
        <v>0</v>
      </c>
      <c r="O124" s="47">
        <v>0</v>
      </c>
      <c r="P124" s="28">
        <v>0</v>
      </c>
      <c r="Q124" s="28">
        <v>0</v>
      </c>
      <c r="R124" s="28"/>
      <c r="S124" s="28" t="s">
        <v>481</v>
      </c>
      <c r="T124" s="36" t="str">
        <f>IFERROR(HYPERLINK("#'Main'!B"&amp;MATCH(TRIM(A124),Main!B:B,0),"Open"),HYPERLINK("#'Main'!B1","Open"))</f>
        <v>Open</v>
      </c>
      <c r="U124" s="36"/>
    </row>
    <row r="125" spans="1:21" ht="15.75" x14ac:dyDescent="0.25">
      <c r="A125" s="46" t="s">
        <v>166</v>
      </c>
      <c r="B125" s="37" t="s">
        <v>479</v>
      </c>
      <c r="C125" s="39" t="s">
        <v>511</v>
      </c>
      <c r="D125" s="37" t="s">
        <v>532</v>
      </c>
      <c r="E125" s="47">
        <v>200</v>
      </c>
      <c r="F125" s="37" t="b">
        <v>1</v>
      </c>
      <c r="G125" s="37">
        <v>0</v>
      </c>
      <c r="H125" s="47">
        <v>0</v>
      </c>
      <c r="I125" s="37">
        <v>0</v>
      </c>
      <c r="J125" s="37">
        <v>0</v>
      </c>
      <c r="K125" s="37">
        <v>0</v>
      </c>
      <c r="L125" s="41" t="b">
        <v>0</v>
      </c>
      <c r="M125" s="37">
        <v>0</v>
      </c>
      <c r="N125" s="37">
        <v>0</v>
      </c>
      <c r="O125" s="47">
        <v>0</v>
      </c>
      <c r="P125" s="37">
        <v>0</v>
      </c>
      <c r="Q125" s="37">
        <v>0</v>
      </c>
      <c r="R125" s="37"/>
      <c r="S125" s="37" t="s">
        <v>481</v>
      </c>
      <c r="T125" t="str">
        <f>IFERROR(HYPERLINK("#'Main'!B"&amp;MATCH(TRIM(A125),Main!B:B,0),"Open"),HYPERLINK("#'Main'!B1","Open"))</f>
        <v>Open</v>
      </c>
    </row>
    <row r="126" spans="1:21" ht="15.75" x14ac:dyDescent="0.25">
      <c r="A126" s="45" t="s">
        <v>166</v>
      </c>
      <c r="B126" s="28" t="s">
        <v>479</v>
      </c>
      <c r="C126" s="32" t="s">
        <v>494</v>
      </c>
      <c r="D126" s="28" t="s">
        <v>533</v>
      </c>
      <c r="E126" s="47">
        <v>200</v>
      </c>
      <c r="F126" s="28" t="b">
        <v>1</v>
      </c>
      <c r="G126" s="28">
        <v>0</v>
      </c>
      <c r="H126" s="47">
        <v>0</v>
      </c>
      <c r="I126" s="28">
        <v>0</v>
      </c>
      <c r="J126" s="28">
        <v>0</v>
      </c>
      <c r="K126" s="28">
        <v>0</v>
      </c>
      <c r="L126" s="35" t="b">
        <v>0</v>
      </c>
      <c r="M126" s="28">
        <v>0</v>
      </c>
      <c r="N126" s="28">
        <v>0</v>
      </c>
      <c r="O126" s="47">
        <v>0</v>
      </c>
      <c r="P126" s="28">
        <v>0</v>
      </c>
      <c r="Q126" s="28">
        <v>0</v>
      </c>
      <c r="R126" s="28"/>
      <c r="S126" s="28" t="s">
        <v>481</v>
      </c>
      <c r="T126" s="36" t="str">
        <f>IFERROR(HYPERLINK("#'Main'!B"&amp;MATCH(TRIM(A126),Main!B:B,0),"Open"),HYPERLINK("#'Main'!B1","Open"))</f>
        <v>Open</v>
      </c>
      <c r="U126" s="36"/>
    </row>
    <row r="127" spans="1:21" ht="15.75" x14ac:dyDescent="0.25">
      <c r="A127" s="46" t="s">
        <v>166</v>
      </c>
      <c r="B127" s="37" t="s">
        <v>479</v>
      </c>
      <c r="C127" s="39" t="s">
        <v>517</v>
      </c>
      <c r="D127" s="37" t="s">
        <v>533</v>
      </c>
      <c r="E127" s="47">
        <v>200</v>
      </c>
      <c r="F127" s="37" t="b">
        <v>1</v>
      </c>
      <c r="G127" s="37">
        <v>0</v>
      </c>
      <c r="H127" s="47">
        <v>0</v>
      </c>
      <c r="I127" s="37">
        <v>0</v>
      </c>
      <c r="J127" s="37">
        <v>0</v>
      </c>
      <c r="K127" s="37">
        <v>0</v>
      </c>
      <c r="L127" s="41" t="b">
        <v>0</v>
      </c>
      <c r="M127" s="37">
        <v>0</v>
      </c>
      <c r="N127" s="37">
        <v>0</v>
      </c>
      <c r="O127" s="47">
        <v>0</v>
      </c>
      <c r="P127" s="37">
        <v>0</v>
      </c>
      <c r="Q127" s="37">
        <v>0</v>
      </c>
      <c r="R127" s="37"/>
      <c r="S127" s="37" t="s">
        <v>481</v>
      </c>
      <c r="T127" t="str">
        <f>IFERROR(HYPERLINK("#'Main'!B"&amp;MATCH(TRIM(A127),Main!B:B,0),"Open"),HYPERLINK("#'Main'!B1","Open"))</f>
        <v>Open</v>
      </c>
    </row>
    <row r="128" spans="1:21" ht="15.75" x14ac:dyDescent="0.25">
      <c r="A128" s="45" t="s">
        <v>166</v>
      </c>
      <c r="B128" s="28" t="s">
        <v>479</v>
      </c>
      <c r="C128" s="32" t="s">
        <v>494</v>
      </c>
      <c r="D128" s="28" t="s">
        <v>529</v>
      </c>
      <c r="E128" s="47">
        <v>200</v>
      </c>
      <c r="F128" s="28" t="b">
        <v>1</v>
      </c>
      <c r="G128" s="28">
        <v>0</v>
      </c>
      <c r="H128" s="47">
        <v>0</v>
      </c>
      <c r="I128" s="28">
        <v>0</v>
      </c>
      <c r="J128" s="28">
        <v>0</v>
      </c>
      <c r="K128" s="28">
        <v>0</v>
      </c>
      <c r="L128" s="35" t="b">
        <v>0</v>
      </c>
      <c r="M128" s="28">
        <v>0</v>
      </c>
      <c r="N128" s="28">
        <v>0</v>
      </c>
      <c r="O128" s="47">
        <v>0</v>
      </c>
      <c r="P128" s="28">
        <v>0</v>
      </c>
      <c r="Q128" s="28">
        <v>0</v>
      </c>
      <c r="R128" s="28"/>
      <c r="S128" s="28" t="s">
        <v>481</v>
      </c>
      <c r="T128" s="36" t="str">
        <f>IFERROR(HYPERLINK("#'Main'!B"&amp;MATCH(TRIM(A128),Main!B:B,0),"Open"),HYPERLINK("#'Main'!B1","Open"))</f>
        <v>Open</v>
      </c>
      <c r="U128" s="36"/>
    </row>
    <row r="129" spans="1:21" ht="15.75" x14ac:dyDescent="0.25">
      <c r="A129" s="46" t="s">
        <v>166</v>
      </c>
      <c r="B129" s="37" t="s">
        <v>479</v>
      </c>
      <c r="C129" s="39" t="s">
        <v>494</v>
      </c>
      <c r="D129" s="37" t="s">
        <v>529</v>
      </c>
      <c r="E129" s="47">
        <v>200</v>
      </c>
      <c r="F129" s="37" t="b">
        <v>1</v>
      </c>
      <c r="G129" s="37">
        <v>0</v>
      </c>
      <c r="H129" s="47">
        <v>0</v>
      </c>
      <c r="I129" s="37">
        <v>0</v>
      </c>
      <c r="J129" s="37">
        <v>0</v>
      </c>
      <c r="K129" s="37">
        <v>0</v>
      </c>
      <c r="L129" s="41" t="b">
        <v>0</v>
      </c>
      <c r="M129" s="37">
        <v>0</v>
      </c>
      <c r="N129" s="37">
        <v>0</v>
      </c>
      <c r="O129" s="47">
        <v>0</v>
      </c>
      <c r="P129" s="37">
        <v>0</v>
      </c>
      <c r="Q129" s="37">
        <v>0</v>
      </c>
      <c r="R129" s="37"/>
      <c r="S129" s="37" t="s">
        <v>481</v>
      </c>
      <c r="T129" t="str">
        <f>IFERROR(HYPERLINK("#'Main'!B"&amp;MATCH(TRIM(A129),Main!B:B,0),"Open"),HYPERLINK("#'Main'!B1","Open"))</f>
        <v>Open</v>
      </c>
    </row>
    <row r="130" spans="1:21" ht="15.75" x14ac:dyDescent="0.25">
      <c r="A130" s="45" t="s">
        <v>166</v>
      </c>
      <c r="B130" s="28" t="s">
        <v>479</v>
      </c>
      <c r="C130" s="32" t="s">
        <v>494</v>
      </c>
      <c r="D130" s="28" t="s">
        <v>529</v>
      </c>
      <c r="E130" s="47">
        <v>200</v>
      </c>
      <c r="F130" s="28" t="b">
        <v>1</v>
      </c>
      <c r="G130" s="28">
        <v>0</v>
      </c>
      <c r="H130" s="47">
        <v>0</v>
      </c>
      <c r="I130" s="28">
        <v>0</v>
      </c>
      <c r="J130" s="28">
        <v>0</v>
      </c>
      <c r="K130" s="28">
        <v>0</v>
      </c>
      <c r="L130" s="35" t="b">
        <v>0</v>
      </c>
      <c r="M130" s="28">
        <v>0</v>
      </c>
      <c r="N130" s="28">
        <v>0</v>
      </c>
      <c r="O130" s="47">
        <v>0</v>
      </c>
      <c r="P130" s="28">
        <v>0</v>
      </c>
      <c r="Q130" s="28">
        <v>0</v>
      </c>
      <c r="R130" s="28"/>
      <c r="S130" s="28" t="s">
        <v>481</v>
      </c>
      <c r="T130" s="36" t="str">
        <f>IFERROR(HYPERLINK("#'Main'!B"&amp;MATCH(TRIM(A130),Main!B:B,0),"Open"),HYPERLINK("#'Main'!B1","Open"))</f>
        <v>Open</v>
      </c>
      <c r="U130" s="36"/>
    </row>
    <row r="131" spans="1:21" ht="15.75" x14ac:dyDescent="0.25">
      <c r="A131" s="46" t="s">
        <v>166</v>
      </c>
      <c r="B131" s="37" t="s">
        <v>479</v>
      </c>
      <c r="C131" s="39" t="s">
        <v>534</v>
      </c>
      <c r="D131" s="37" t="s">
        <v>535</v>
      </c>
      <c r="E131" s="47">
        <v>200</v>
      </c>
      <c r="F131" s="37" t="b">
        <v>1</v>
      </c>
      <c r="G131" s="37">
        <v>0</v>
      </c>
      <c r="H131" s="47">
        <v>0</v>
      </c>
      <c r="I131" s="37">
        <v>0</v>
      </c>
      <c r="J131" s="37">
        <v>0</v>
      </c>
      <c r="K131" s="37">
        <v>0</v>
      </c>
      <c r="L131" s="41" t="b">
        <v>0</v>
      </c>
      <c r="M131" s="37">
        <v>0</v>
      </c>
      <c r="N131" s="37">
        <v>0</v>
      </c>
      <c r="O131" s="47">
        <v>0</v>
      </c>
      <c r="P131" s="37">
        <v>0</v>
      </c>
      <c r="Q131" s="37">
        <v>0</v>
      </c>
      <c r="R131" s="37"/>
      <c r="S131" s="37" t="s">
        <v>481</v>
      </c>
      <c r="T131" t="str">
        <f>IFERROR(HYPERLINK("#'Main'!B"&amp;MATCH(TRIM(A131),Main!B:B,0),"Open"),HYPERLINK("#'Main'!B1","Open"))</f>
        <v>Open</v>
      </c>
    </row>
    <row r="132" spans="1:21" ht="30" x14ac:dyDescent="0.25">
      <c r="A132" s="45" t="s">
        <v>166</v>
      </c>
      <c r="B132" s="28" t="s">
        <v>479</v>
      </c>
      <c r="C132" s="32" t="s">
        <v>536</v>
      </c>
      <c r="D132" s="28"/>
      <c r="E132" s="47">
        <v>200</v>
      </c>
      <c r="F132" s="28" t="b">
        <v>1</v>
      </c>
      <c r="G132" s="28">
        <v>0</v>
      </c>
      <c r="H132" s="47">
        <v>0</v>
      </c>
      <c r="I132" s="28">
        <v>0</v>
      </c>
      <c r="J132" s="28">
        <v>0</v>
      </c>
      <c r="K132" s="28">
        <v>0</v>
      </c>
      <c r="L132" s="35" t="b">
        <v>0</v>
      </c>
      <c r="M132" s="28">
        <v>0</v>
      </c>
      <c r="N132" s="28">
        <v>0</v>
      </c>
      <c r="O132" s="47">
        <v>0</v>
      </c>
      <c r="P132" s="28">
        <v>0</v>
      </c>
      <c r="Q132" s="28">
        <v>0</v>
      </c>
      <c r="R132" s="28"/>
      <c r="S132" s="28" t="s">
        <v>481</v>
      </c>
      <c r="T132" s="36" t="str">
        <f>IFERROR(HYPERLINK("#'Main'!B"&amp;MATCH(TRIM(A132),Main!B:B,0),"Open"),HYPERLINK("#'Main'!B1","Open"))</f>
        <v>Open</v>
      </c>
      <c r="U132" s="36"/>
    </row>
    <row r="133" spans="1:21" ht="30" x14ac:dyDescent="0.25">
      <c r="A133" s="46" t="s">
        <v>166</v>
      </c>
      <c r="B133" s="37" t="s">
        <v>479</v>
      </c>
      <c r="C133" s="39" t="s">
        <v>536</v>
      </c>
      <c r="D133" s="37" t="s">
        <v>537</v>
      </c>
      <c r="E133" s="47">
        <v>200</v>
      </c>
      <c r="F133" s="37" t="b">
        <v>1</v>
      </c>
      <c r="G133" s="37">
        <v>0</v>
      </c>
      <c r="H133" s="47">
        <v>0</v>
      </c>
      <c r="I133" s="37">
        <v>0</v>
      </c>
      <c r="J133" s="37">
        <v>0</v>
      </c>
      <c r="K133" s="37">
        <v>0</v>
      </c>
      <c r="L133" s="41" t="b">
        <v>0</v>
      </c>
      <c r="M133" s="37">
        <v>0</v>
      </c>
      <c r="N133" s="37">
        <v>0</v>
      </c>
      <c r="O133" s="47">
        <v>0</v>
      </c>
      <c r="P133" s="37">
        <v>0</v>
      </c>
      <c r="Q133" s="37">
        <v>0</v>
      </c>
      <c r="R133" s="37"/>
      <c r="S133" s="37" t="s">
        <v>481</v>
      </c>
      <c r="T133" t="str">
        <f>IFERROR(HYPERLINK("#'Main'!B"&amp;MATCH(TRIM(A133),Main!B:B,0),"Open"),HYPERLINK("#'Main'!B1","Open"))</f>
        <v>Open</v>
      </c>
    </row>
    <row r="134" spans="1:21" ht="30" x14ac:dyDescent="0.25">
      <c r="A134" s="45" t="s">
        <v>166</v>
      </c>
      <c r="B134" s="28" t="s">
        <v>479</v>
      </c>
      <c r="C134" s="32" t="s">
        <v>536</v>
      </c>
      <c r="D134" s="28" t="s">
        <v>538</v>
      </c>
      <c r="E134" s="47">
        <v>200</v>
      </c>
      <c r="F134" s="28" t="b">
        <v>1</v>
      </c>
      <c r="G134" s="28">
        <v>0</v>
      </c>
      <c r="H134" s="47">
        <v>0</v>
      </c>
      <c r="I134" s="28">
        <v>0</v>
      </c>
      <c r="J134" s="28">
        <v>0</v>
      </c>
      <c r="K134" s="28">
        <v>0</v>
      </c>
      <c r="L134" s="35" t="b">
        <v>0</v>
      </c>
      <c r="M134" s="28">
        <v>0</v>
      </c>
      <c r="N134" s="28">
        <v>0</v>
      </c>
      <c r="O134" s="47">
        <v>0</v>
      </c>
      <c r="P134" s="28">
        <v>0</v>
      </c>
      <c r="Q134" s="28">
        <v>0</v>
      </c>
      <c r="R134" s="28"/>
      <c r="S134" s="28" t="s">
        <v>481</v>
      </c>
      <c r="T134" s="36" t="str">
        <f>IFERROR(HYPERLINK("#'Main'!B"&amp;MATCH(TRIM(A134),Main!B:B,0),"Open"),HYPERLINK("#'Main'!B1","Open"))</f>
        <v>Open</v>
      </c>
      <c r="U134" s="36"/>
    </row>
    <row r="135" spans="1:21" ht="30" x14ac:dyDescent="0.25">
      <c r="A135" s="46" t="s">
        <v>166</v>
      </c>
      <c r="B135" s="37" t="s">
        <v>479</v>
      </c>
      <c r="C135" s="39" t="s">
        <v>539</v>
      </c>
      <c r="D135" s="37"/>
      <c r="E135" s="47">
        <v>200</v>
      </c>
      <c r="F135" s="37" t="b">
        <v>1</v>
      </c>
      <c r="G135" s="37">
        <v>0</v>
      </c>
      <c r="H135" s="47">
        <v>0</v>
      </c>
      <c r="I135" s="37">
        <v>0</v>
      </c>
      <c r="J135" s="37">
        <v>0</v>
      </c>
      <c r="K135" s="37">
        <v>0</v>
      </c>
      <c r="L135" s="41" t="b">
        <v>0</v>
      </c>
      <c r="M135" s="37">
        <v>0</v>
      </c>
      <c r="N135" s="37">
        <v>0</v>
      </c>
      <c r="O135" s="47">
        <v>0</v>
      </c>
      <c r="P135" s="37">
        <v>0</v>
      </c>
      <c r="Q135" s="37">
        <v>0</v>
      </c>
      <c r="R135" s="37"/>
      <c r="S135" s="37" t="s">
        <v>481</v>
      </c>
      <c r="T135" t="str">
        <f>IFERROR(HYPERLINK("#'Main'!B"&amp;MATCH(TRIM(A135),Main!B:B,0),"Open"),HYPERLINK("#'Main'!B1","Open"))</f>
        <v>Open</v>
      </c>
    </row>
    <row r="136" spans="1:21" ht="30" x14ac:dyDescent="0.25">
      <c r="A136" s="45" t="s">
        <v>166</v>
      </c>
      <c r="B136" s="28" t="s">
        <v>479</v>
      </c>
      <c r="C136" s="32" t="s">
        <v>539</v>
      </c>
      <c r="D136" s="28" t="s">
        <v>540</v>
      </c>
      <c r="E136" s="47">
        <v>200</v>
      </c>
      <c r="F136" s="28" t="b">
        <v>1</v>
      </c>
      <c r="G136" s="28">
        <v>0</v>
      </c>
      <c r="H136" s="47">
        <v>0</v>
      </c>
      <c r="I136" s="28">
        <v>0</v>
      </c>
      <c r="J136" s="28">
        <v>0</v>
      </c>
      <c r="K136" s="28">
        <v>0</v>
      </c>
      <c r="L136" s="35" t="b">
        <v>0</v>
      </c>
      <c r="M136" s="28">
        <v>0</v>
      </c>
      <c r="N136" s="28">
        <v>0</v>
      </c>
      <c r="O136" s="47">
        <v>0</v>
      </c>
      <c r="P136" s="28">
        <v>0</v>
      </c>
      <c r="Q136" s="28">
        <v>0</v>
      </c>
      <c r="R136" s="28"/>
      <c r="S136" s="28" t="s">
        <v>481</v>
      </c>
      <c r="T136" s="36" t="str">
        <f>IFERROR(HYPERLINK("#'Main'!B"&amp;MATCH(TRIM(A136),Main!B:B,0),"Open"),HYPERLINK("#'Main'!B1","Open"))</f>
        <v>Open</v>
      </c>
      <c r="U136" s="36"/>
    </row>
    <row r="137" spans="1:21" ht="30" x14ac:dyDescent="0.25">
      <c r="A137" s="46" t="s">
        <v>166</v>
      </c>
      <c r="B137" s="37" t="s">
        <v>479</v>
      </c>
      <c r="C137" s="39" t="s">
        <v>539</v>
      </c>
      <c r="D137" s="37" t="s">
        <v>538</v>
      </c>
      <c r="E137" s="47">
        <v>200</v>
      </c>
      <c r="F137" s="37" t="b">
        <v>1</v>
      </c>
      <c r="G137" s="37">
        <v>0</v>
      </c>
      <c r="H137" s="47">
        <v>0</v>
      </c>
      <c r="I137" s="37">
        <v>0</v>
      </c>
      <c r="J137" s="37">
        <v>0</v>
      </c>
      <c r="K137" s="37">
        <v>0</v>
      </c>
      <c r="L137" s="41" t="b">
        <v>0</v>
      </c>
      <c r="M137" s="37">
        <v>0</v>
      </c>
      <c r="N137" s="37">
        <v>0</v>
      </c>
      <c r="O137" s="47">
        <v>0</v>
      </c>
      <c r="P137" s="37">
        <v>0</v>
      </c>
      <c r="Q137" s="37">
        <v>0</v>
      </c>
      <c r="R137" s="37"/>
      <c r="S137" s="37" t="s">
        <v>481</v>
      </c>
      <c r="T137" t="str">
        <f>IFERROR(HYPERLINK("#'Main'!B"&amp;MATCH(TRIM(A137),Main!B:B,0),"Open"),HYPERLINK("#'Main'!B1","Open"))</f>
        <v>Open</v>
      </c>
    </row>
    <row r="138" spans="1:21" ht="30" x14ac:dyDescent="0.25">
      <c r="A138" s="45" t="s">
        <v>166</v>
      </c>
      <c r="B138" s="28" t="s">
        <v>479</v>
      </c>
      <c r="C138" s="32" t="s">
        <v>541</v>
      </c>
      <c r="D138" s="28"/>
      <c r="E138" s="47">
        <v>200</v>
      </c>
      <c r="F138" s="28" t="b">
        <v>1</v>
      </c>
      <c r="G138" s="28">
        <v>0</v>
      </c>
      <c r="H138" s="47">
        <v>0</v>
      </c>
      <c r="I138" s="28">
        <v>0</v>
      </c>
      <c r="J138" s="28">
        <v>0</v>
      </c>
      <c r="K138" s="28">
        <v>0</v>
      </c>
      <c r="L138" s="35" t="b">
        <v>0</v>
      </c>
      <c r="M138" s="28">
        <v>0</v>
      </c>
      <c r="N138" s="28">
        <v>0</v>
      </c>
      <c r="O138" s="47">
        <v>0</v>
      </c>
      <c r="P138" s="28">
        <v>0</v>
      </c>
      <c r="Q138" s="28">
        <v>0</v>
      </c>
      <c r="R138" s="28"/>
      <c r="S138" s="28" t="s">
        <v>481</v>
      </c>
      <c r="T138" s="36" t="str">
        <f>IFERROR(HYPERLINK("#'Main'!B"&amp;MATCH(TRIM(A138),Main!B:B,0),"Open"),HYPERLINK("#'Main'!B1","Open"))</f>
        <v>Open</v>
      </c>
      <c r="U138" s="36"/>
    </row>
    <row r="139" spans="1:21" ht="30" x14ac:dyDescent="0.25">
      <c r="A139" s="46" t="s">
        <v>166</v>
      </c>
      <c r="B139" s="37" t="s">
        <v>479</v>
      </c>
      <c r="C139" s="39" t="s">
        <v>541</v>
      </c>
      <c r="D139" s="37" t="s">
        <v>542</v>
      </c>
      <c r="E139" s="47">
        <v>200</v>
      </c>
      <c r="F139" s="37" t="b">
        <v>1</v>
      </c>
      <c r="G139" s="37">
        <v>0</v>
      </c>
      <c r="H139" s="47">
        <v>0</v>
      </c>
      <c r="I139" s="37">
        <v>0</v>
      </c>
      <c r="J139" s="37">
        <v>0</v>
      </c>
      <c r="K139" s="37">
        <v>0</v>
      </c>
      <c r="L139" s="41" t="b">
        <v>0</v>
      </c>
      <c r="M139" s="37">
        <v>0</v>
      </c>
      <c r="N139" s="37">
        <v>0</v>
      </c>
      <c r="O139" s="47">
        <v>0</v>
      </c>
      <c r="P139" s="37">
        <v>0</v>
      </c>
      <c r="Q139" s="37">
        <v>0</v>
      </c>
      <c r="R139" s="37"/>
      <c r="S139" s="37" t="s">
        <v>481</v>
      </c>
      <c r="T139" t="str">
        <f>IFERROR(HYPERLINK("#'Main'!B"&amp;MATCH(TRIM(A139),Main!B:B,0),"Open"),HYPERLINK("#'Main'!B1","Open"))</f>
        <v>Open</v>
      </c>
    </row>
    <row r="140" spans="1:21" ht="30" x14ac:dyDescent="0.25">
      <c r="A140" s="45" t="s">
        <v>166</v>
      </c>
      <c r="B140" s="28" t="s">
        <v>479</v>
      </c>
      <c r="C140" s="32" t="s">
        <v>541</v>
      </c>
      <c r="D140" s="28" t="s">
        <v>538</v>
      </c>
      <c r="E140" s="47">
        <v>200</v>
      </c>
      <c r="F140" s="28" t="b">
        <v>1</v>
      </c>
      <c r="G140" s="28">
        <v>0</v>
      </c>
      <c r="H140" s="47">
        <v>0</v>
      </c>
      <c r="I140" s="28">
        <v>0</v>
      </c>
      <c r="J140" s="28">
        <v>0</v>
      </c>
      <c r="K140" s="28">
        <v>0</v>
      </c>
      <c r="L140" s="35" t="b">
        <v>0</v>
      </c>
      <c r="M140" s="28">
        <v>0</v>
      </c>
      <c r="N140" s="28">
        <v>0</v>
      </c>
      <c r="O140" s="47">
        <v>0</v>
      </c>
      <c r="P140" s="28">
        <v>0</v>
      </c>
      <c r="Q140" s="28">
        <v>0</v>
      </c>
      <c r="R140" s="28"/>
      <c r="S140" s="28" t="s">
        <v>481</v>
      </c>
      <c r="T140" s="36" t="str">
        <f>IFERROR(HYPERLINK("#'Main'!B"&amp;MATCH(TRIM(A140),Main!B:B,0),"Open"),HYPERLINK("#'Main'!B1","Open"))</f>
        <v>Open</v>
      </c>
      <c r="U140" s="36"/>
    </row>
    <row r="141" spans="1:21" ht="30" x14ac:dyDescent="0.25">
      <c r="A141" s="46" t="s">
        <v>166</v>
      </c>
      <c r="B141" s="37" t="s">
        <v>479</v>
      </c>
      <c r="C141" s="39" t="s">
        <v>543</v>
      </c>
      <c r="D141" s="37"/>
      <c r="E141" s="47">
        <v>200</v>
      </c>
      <c r="F141" s="37" t="b">
        <v>1</v>
      </c>
      <c r="G141" s="37">
        <v>0</v>
      </c>
      <c r="H141" s="47">
        <v>0</v>
      </c>
      <c r="I141" s="37">
        <v>0</v>
      </c>
      <c r="J141" s="37">
        <v>0</v>
      </c>
      <c r="K141" s="37">
        <v>0</v>
      </c>
      <c r="L141" s="41" t="b">
        <v>0</v>
      </c>
      <c r="M141" s="37">
        <v>0</v>
      </c>
      <c r="N141" s="37">
        <v>0</v>
      </c>
      <c r="O141" s="47">
        <v>0</v>
      </c>
      <c r="P141" s="37">
        <v>0</v>
      </c>
      <c r="Q141" s="37">
        <v>0</v>
      </c>
      <c r="R141" s="37"/>
      <c r="S141" s="37" t="s">
        <v>481</v>
      </c>
      <c r="T141" t="str">
        <f>IFERROR(HYPERLINK("#'Main'!B"&amp;MATCH(TRIM(A141),Main!B:B,0),"Open"),HYPERLINK("#'Main'!B1","Open"))</f>
        <v>Open</v>
      </c>
    </row>
    <row r="142" spans="1:21" ht="30" x14ac:dyDescent="0.25">
      <c r="A142" s="45" t="s">
        <v>166</v>
      </c>
      <c r="B142" s="28" t="s">
        <v>479</v>
      </c>
      <c r="C142" s="32" t="s">
        <v>543</v>
      </c>
      <c r="D142" s="28" t="s">
        <v>544</v>
      </c>
      <c r="E142" s="47">
        <v>200</v>
      </c>
      <c r="F142" s="28" t="b">
        <v>1</v>
      </c>
      <c r="G142" s="28">
        <v>0</v>
      </c>
      <c r="H142" s="47">
        <v>0</v>
      </c>
      <c r="I142" s="28">
        <v>0</v>
      </c>
      <c r="J142" s="28">
        <v>0</v>
      </c>
      <c r="K142" s="28">
        <v>0</v>
      </c>
      <c r="L142" s="35" t="b">
        <v>0</v>
      </c>
      <c r="M142" s="28">
        <v>0</v>
      </c>
      <c r="N142" s="28">
        <v>0</v>
      </c>
      <c r="O142" s="47">
        <v>0</v>
      </c>
      <c r="P142" s="28">
        <v>0</v>
      </c>
      <c r="Q142" s="28">
        <v>0</v>
      </c>
      <c r="R142" s="28"/>
      <c r="S142" s="28" t="s">
        <v>481</v>
      </c>
      <c r="T142" s="36" t="str">
        <f>IFERROR(HYPERLINK("#'Main'!B"&amp;MATCH(TRIM(A142),Main!B:B,0),"Open"),HYPERLINK("#'Main'!B1","Open"))</f>
        <v>Open</v>
      </c>
      <c r="U142" s="36"/>
    </row>
    <row r="143" spans="1:21" ht="30" x14ac:dyDescent="0.25">
      <c r="A143" s="46" t="s">
        <v>166</v>
      </c>
      <c r="B143" s="37" t="s">
        <v>479</v>
      </c>
      <c r="C143" s="39" t="s">
        <v>543</v>
      </c>
      <c r="D143" s="37" t="s">
        <v>538</v>
      </c>
      <c r="E143" s="47">
        <v>200</v>
      </c>
      <c r="F143" s="37" t="b">
        <v>1</v>
      </c>
      <c r="G143" s="37">
        <v>0</v>
      </c>
      <c r="H143" s="47">
        <v>0</v>
      </c>
      <c r="I143" s="37">
        <v>0</v>
      </c>
      <c r="J143" s="37">
        <v>0</v>
      </c>
      <c r="K143" s="37">
        <v>0</v>
      </c>
      <c r="L143" s="41" t="b">
        <v>0</v>
      </c>
      <c r="M143" s="37">
        <v>0</v>
      </c>
      <c r="N143" s="37">
        <v>0</v>
      </c>
      <c r="O143" s="47">
        <v>0</v>
      </c>
      <c r="P143" s="37">
        <v>0</v>
      </c>
      <c r="Q143" s="37">
        <v>0</v>
      </c>
      <c r="R143" s="37"/>
      <c r="S143" s="37" t="s">
        <v>481</v>
      </c>
      <c r="T143" t="str">
        <f>IFERROR(HYPERLINK("#'Main'!B"&amp;MATCH(TRIM(A143),Main!B:B,0),"Open"),HYPERLINK("#'Main'!B1","Open"))</f>
        <v>Open</v>
      </c>
    </row>
    <row r="144" spans="1:21" ht="30" x14ac:dyDescent="0.25">
      <c r="A144" s="45" t="s">
        <v>166</v>
      </c>
      <c r="B144" s="28" t="s">
        <v>479</v>
      </c>
      <c r="C144" s="32" t="s">
        <v>545</v>
      </c>
      <c r="D144" s="28"/>
      <c r="E144" s="47">
        <v>200</v>
      </c>
      <c r="F144" s="28" t="b">
        <v>1</v>
      </c>
      <c r="G144" s="28">
        <v>0</v>
      </c>
      <c r="H144" s="47">
        <v>0</v>
      </c>
      <c r="I144" s="28">
        <v>0</v>
      </c>
      <c r="J144" s="28">
        <v>0</v>
      </c>
      <c r="K144" s="28">
        <v>0</v>
      </c>
      <c r="L144" s="35" t="b">
        <v>0</v>
      </c>
      <c r="M144" s="28">
        <v>0</v>
      </c>
      <c r="N144" s="28">
        <v>0</v>
      </c>
      <c r="O144" s="47">
        <v>0</v>
      </c>
      <c r="P144" s="28">
        <v>0</v>
      </c>
      <c r="Q144" s="28">
        <v>0</v>
      </c>
      <c r="R144" s="28"/>
      <c r="S144" s="28" t="s">
        <v>481</v>
      </c>
      <c r="T144" s="36" t="str">
        <f>IFERROR(HYPERLINK("#'Main'!B"&amp;MATCH(TRIM(A144),Main!B:B,0),"Open"),HYPERLINK("#'Main'!B1","Open"))</f>
        <v>Open</v>
      </c>
      <c r="U144" s="36"/>
    </row>
    <row r="145" spans="1:21" ht="30" x14ac:dyDescent="0.25">
      <c r="A145" s="46" t="s">
        <v>166</v>
      </c>
      <c r="B145" s="37" t="s">
        <v>479</v>
      </c>
      <c r="C145" s="39" t="s">
        <v>545</v>
      </c>
      <c r="D145" s="37" t="s">
        <v>546</v>
      </c>
      <c r="E145" s="47">
        <v>200</v>
      </c>
      <c r="F145" s="37" t="b">
        <v>1</v>
      </c>
      <c r="G145" s="37">
        <v>0</v>
      </c>
      <c r="H145" s="47">
        <v>0</v>
      </c>
      <c r="I145" s="37">
        <v>0</v>
      </c>
      <c r="J145" s="37">
        <v>0</v>
      </c>
      <c r="K145" s="37">
        <v>0</v>
      </c>
      <c r="L145" s="41" t="b">
        <v>0</v>
      </c>
      <c r="M145" s="37">
        <v>0</v>
      </c>
      <c r="N145" s="37">
        <v>0</v>
      </c>
      <c r="O145" s="47">
        <v>0</v>
      </c>
      <c r="P145" s="37">
        <v>0</v>
      </c>
      <c r="Q145" s="37">
        <v>0</v>
      </c>
      <c r="R145" s="37"/>
      <c r="S145" s="37" t="s">
        <v>481</v>
      </c>
      <c r="T145" t="str">
        <f>IFERROR(HYPERLINK("#'Main'!B"&amp;MATCH(TRIM(A145),Main!B:B,0),"Open"),HYPERLINK("#'Main'!B1","Open"))</f>
        <v>Open</v>
      </c>
    </row>
    <row r="146" spans="1:21" ht="30" x14ac:dyDescent="0.25">
      <c r="A146" s="45" t="s">
        <v>166</v>
      </c>
      <c r="B146" s="28" t="s">
        <v>479</v>
      </c>
      <c r="C146" s="32" t="s">
        <v>545</v>
      </c>
      <c r="D146" s="28" t="s">
        <v>538</v>
      </c>
      <c r="E146" s="47">
        <v>200</v>
      </c>
      <c r="F146" s="28" t="b">
        <v>1</v>
      </c>
      <c r="G146" s="28">
        <v>0</v>
      </c>
      <c r="H146" s="47">
        <v>0</v>
      </c>
      <c r="I146" s="28">
        <v>0</v>
      </c>
      <c r="J146" s="28">
        <v>0</v>
      </c>
      <c r="K146" s="28">
        <v>0</v>
      </c>
      <c r="L146" s="35" t="b">
        <v>0</v>
      </c>
      <c r="M146" s="28">
        <v>0</v>
      </c>
      <c r="N146" s="28">
        <v>0</v>
      </c>
      <c r="O146" s="47">
        <v>0</v>
      </c>
      <c r="P146" s="28">
        <v>0</v>
      </c>
      <c r="Q146" s="28">
        <v>0</v>
      </c>
      <c r="R146" s="28"/>
      <c r="S146" s="28" t="s">
        <v>481</v>
      </c>
      <c r="T146" s="36" t="str">
        <f>IFERROR(HYPERLINK("#'Main'!B"&amp;MATCH(TRIM(A146),Main!B:B,0),"Open"),HYPERLINK("#'Main'!B1","Open"))</f>
        <v>Open</v>
      </c>
      <c r="U146" s="36"/>
    </row>
    <row r="147" spans="1:21" ht="30" x14ac:dyDescent="0.25">
      <c r="A147" s="46" t="s">
        <v>166</v>
      </c>
      <c r="B147" s="37" t="s">
        <v>479</v>
      </c>
      <c r="C147" s="39" t="s">
        <v>547</v>
      </c>
      <c r="D147" s="37"/>
      <c r="E147" s="47">
        <v>200</v>
      </c>
      <c r="F147" s="37" t="b">
        <v>1</v>
      </c>
      <c r="G147" s="37">
        <v>0</v>
      </c>
      <c r="H147" s="47">
        <v>0</v>
      </c>
      <c r="I147" s="37">
        <v>0</v>
      </c>
      <c r="J147" s="37">
        <v>0</v>
      </c>
      <c r="K147" s="37">
        <v>0</v>
      </c>
      <c r="L147" s="41" t="b">
        <v>0</v>
      </c>
      <c r="M147" s="37">
        <v>0</v>
      </c>
      <c r="N147" s="37">
        <v>0</v>
      </c>
      <c r="O147" s="47">
        <v>0</v>
      </c>
      <c r="P147" s="37">
        <v>0</v>
      </c>
      <c r="Q147" s="37">
        <v>0</v>
      </c>
      <c r="R147" s="37"/>
      <c r="S147" s="37" t="s">
        <v>481</v>
      </c>
      <c r="T147" t="str">
        <f>IFERROR(HYPERLINK("#'Main'!B"&amp;MATCH(TRIM(A147),Main!B:B,0),"Open"),HYPERLINK("#'Main'!B1","Open"))</f>
        <v>Open</v>
      </c>
    </row>
    <row r="148" spans="1:21" ht="30" x14ac:dyDescent="0.25">
      <c r="A148" s="45" t="s">
        <v>166</v>
      </c>
      <c r="B148" s="28" t="s">
        <v>479</v>
      </c>
      <c r="C148" s="32" t="s">
        <v>547</v>
      </c>
      <c r="D148" s="28" t="s">
        <v>548</v>
      </c>
      <c r="E148" s="47">
        <v>200</v>
      </c>
      <c r="F148" s="28" t="b">
        <v>1</v>
      </c>
      <c r="G148" s="28">
        <v>0</v>
      </c>
      <c r="H148" s="47">
        <v>0</v>
      </c>
      <c r="I148" s="28">
        <v>0</v>
      </c>
      <c r="J148" s="28">
        <v>0</v>
      </c>
      <c r="K148" s="28">
        <v>0</v>
      </c>
      <c r="L148" s="35" t="b">
        <v>0</v>
      </c>
      <c r="M148" s="28">
        <v>0</v>
      </c>
      <c r="N148" s="28">
        <v>0</v>
      </c>
      <c r="O148" s="47">
        <v>0</v>
      </c>
      <c r="P148" s="28">
        <v>0</v>
      </c>
      <c r="Q148" s="28">
        <v>0</v>
      </c>
      <c r="R148" s="28"/>
      <c r="S148" s="28" t="s">
        <v>481</v>
      </c>
      <c r="T148" s="36" t="str">
        <f>IFERROR(HYPERLINK("#'Main'!B"&amp;MATCH(TRIM(A148),Main!B:B,0),"Open"),HYPERLINK("#'Main'!B1","Open"))</f>
        <v>Open</v>
      </c>
      <c r="U148" s="36"/>
    </row>
    <row r="149" spans="1:21" ht="30" x14ac:dyDescent="0.25">
      <c r="A149" s="46" t="s">
        <v>166</v>
      </c>
      <c r="B149" s="37" t="s">
        <v>479</v>
      </c>
      <c r="C149" s="39" t="s">
        <v>547</v>
      </c>
      <c r="D149" s="37" t="s">
        <v>538</v>
      </c>
      <c r="E149" s="47">
        <v>200</v>
      </c>
      <c r="F149" s="37" t="b">
        <v>1</v>
      </c>
      <c r="G149" s="37">
        <v>0</v>
      </c>
      <c r="H149" s="47">
        <v>0</v>
      </c>
      <c r="I149" s="37">
        <v>0</v>
      </c>
      <c r="J149" s="37">
        <v>0</v>
      </c>
      <c r="K149" s="37">
        <v>0</v>
      </c>
      <c r="L149" s="41" t="b">
        <v>0</v>
      </c>
      <c r="M149" s="37">
        <v>0</v>
      </c>
      <c r="N149" s="37">
        <v>0</v>
      </c>
      <c r="O149" s="47">
        <v>0</v>
      </c>
      <c r="P149" s="37">
        <v>0</v>
      </c>
      <c r="Q149" s="37">
        <v>0</v>
      </c>
      <c r="R149" s="37"/>
      <c r="S149" s="37" t="s">
        <v>481</v>
      </c>
      <c r="T149" t="str">
        <f>IFERROR(HYPERLINK("#'Main'!B"&amp;MATCH(TRIM(A149),Main!B:B,0),"Open"),HYPERLINK("#'Main'!B1","Open"))</f>
        <v>Open</v>
      </c>
    </row>
    <row r="150" spans="1:21" ht="15.75" x14ac:dyDescent="0.25">
      <c r="A150" s="45" t="s">
        <v>166</v>
      </c>
      <c r="B150" s="28" t="s">
        <v>479</v>
      </c>
      <c r="C150" s="32" t="s">
        <v>517</v>
      </c>
      <c r="D150" s="28" t="s">
        <v>549</v>
      </c>
      <c r="E150" s="47">
        <v>200</v>
      </c>
      <c r="F150" s="28" t="b">
        <v>1</v>
      </c>
      <c r="G150" s="28">
        <v>0</v>
      </c>
      <c r="H150" s="47">
        <v>0</v>
      </c>
      <c r="I150" s="28">
        <v>0</v>
      </c>
      <c r="J150" s="28">
        <v>0</v>
      </c>
      <c r="K150" s="28">
        <v>0</v>
      </c>
      <c r="L150" s="35" t="b">
        <v>0</v>
      </c>
      <c r="M150" s="28">
        <v>0</v>
      </c>
      <c r="N150" s="28">
        <v>0</v>
      </c>
      <c r="O150" s="47">
        <v>0</v>
      </c>
      <c r="P150" s="28">
        <v>0</v>
      </c>
      <c r="Q150" s="28">
        <v>0</v>
      </c>
      <c r="R150" s="28"/>
      <c r="S150" s="28" t="s">
        <v>481</v>
      </c>
      <c r="T150" s="36" t="str">
        <f>IFERROR(HYPERLINK("#'Main'!B"&amp;MATCH(TRIM(A150),Main!B:B,0),"Open"),HYPERLINK("#'Main'!B1","Open"))</f>
        <v>Open</v>
      </c>
      <c r="U150" s="36"/>
    </row>
    <row r="151" spans="1:21" ht="15.75" x14ac:dyDescent="0.25">
      <c r="A151" s="46" t="s">
        <v>166</v>
      </c>
      <c r="B151" s="37" t="s">
        <v>479</v>
      </c>
      <c r="C151" s="39" t="s">
        <v>494</v>
      </c>
      <c r="D151" s="37" t="s">
        <v>495</v>
      </c>
      <c r="E151" s="47">
        <v>200</v>
      </c>
      <c r="F151" s="37" t="b">
        <v>1</v>
      </c>
      <c r="G151" s="37">
        <v>0</v>
      </c>
      <c r="H151" s="47">
        <v>0</v>
      </c>
      <c r="I151" s="37">
        <v>0</v>
      </c>
      <c r="J151" s="37">
        <v>0</v>
      </c>
      <c r="K151" s="37">
        <v>0</v>
      </c>
      <c r="L151" s="41" t="b">
        <v>0</v>
      </c>
      <c r="M151" s="37">
        <v>0</v>
      </c>
      <c r="N151" s="37">
        <v>0</v>
      </c>
      <c r="O151" s="47">
        <v>0</v>
      </c>
      <c r="P151" s="37">
        <v>0</v>
      </c>
      <c r="Q151" s="37">
        <v>0</v>
      </c>
      <c r="R151" s="37"/>
      <c r="S151" s="37" t="s">
        <v>481</v>
      </c>
      <c r="T151" t="str">
        <f>IFERROR(HYPERLINK("#'Main'!B"&amp;MATCH(TRIM(A151),Main!B:B,0),"Open"),HYPERLINK("#'Main'!B1","Open"))</f>
        <v>Open</v>
      </c>
    </row>
    <row r="152" spans="1:21" ht="30" x14ac:dyDescent="0.25">
      <c r="A152" s="45" t="s">
        <v>166</v>
      </c>
      <c r="B152" s="28" t="s">
        <v>479</v>
      </c>
      <c r="C152" s="32" t="s">
        <v>496</v>
      </c>
      <c r="D152" s="28"/>
      <c r="E152" s="28">
        <v>0</v>
      </c>
      <c r="F152" s="28" t="b">
        <v>1</v>
      </c>
      <c r="G152" s="28">
        <v>0</v>
      </c>
      <c r="H152" s="47">
        <v>0</v>
      </c>
      <c r="I152" s="28">
        <v>0</v>
      </c>
      <c r="J152" s="28">
        <v>0</v>
      </c>
      <c r="K152" s="28">
        <v>0</v>
      </c>
      <c r="L152" s="35" t="b">
        <v>0</v>
      </c>
      <c r="M152" s="28">
        <v>0</v>
      </c>
      <c r="N152" s="28">
        <v>0</v>
      </c>
      <c r="O152" s="47">
        <v>0</v>
      </c>
      <c r="P152" s="28">
        <v>0</v>
      </c>
      <c r="Q152" s="28">
        <v>0</v>
      </c>
      <c r="R152" s="28"/>
      <c r="S152" s="28" t="s">
        <v>481</v>
      </c>
      <c r="T152" s="36" t="str">
        <f>IFERROR(HYPERLINK("#'Main'!B"&amp;MATCH(TRIM(A152),Main!B:B,0),"Open"),HYPERLINK("#'Main'!B1","Open"))</f>
        <v>Open</v>
      </c>
      <c r="U152" s="36"/>
    </row>
    <row r="153" spans="1:21" ht="30" x14ac:dyDescent="0.25">
      <c r="A153" s="46" t="s">
        <v>166</v>
      </c>
      <c r="B153" s="37" t="s">
        <v>479</v>
      </c>
      <c r="C153" s="39" t="s">
        <v>497</v>
      </c>
      <c r="D153" s="37"/>
      <c r="E153" s="37">
        <v>0</v>
      </c>
      <c r="F153" s="37" t="b">
        <v>1</v>
      </c>
      <c r="G153" s="37">
        <v>0</v>
      </c>
      <c r="H153" s="47">
        <v>0</v>
      </c>
      <c r="I153" s="37">
        <v>0</v>
      </c>
      <c r="J153" s="37">
        <v>0</v>
      </c>
      <c r="K153" s="37">
        <v>0</v>
      </c>
      <c r="L153" s="41" t="b">
        <v>0</v>
      </c>
      <c r="M153" s="37">
        <v>0</v>
      </c>
      <c r="N153" s="37">
        <v>0</v>
      </c>
      <c r="O153" s="47">
        <v>0</v>
      </c>
      <c r="P153" s="37">
        <v>0</v>
      </c>
      <c r="Q153" s="37">
        <v>0</v>
      </c>
      <c r="R153" s="37"/>
      <c r="S153" s="37" t="s">
        <v>481</v>
      </c>
      <c r="T153" t="str">
        <f>IFERROR(HYPERLINK("#'Main'!B"&amp;MATCH(TRIM(A153),Main!B:B,0),"Open"),HYPERLINK("#'Main'!B1","Open"))</f>
        <v>Open</v>
      </c>
    </row>
    <row r="154" spans="1:21" ht="15.75" x14ac:dyDescent="0.25">
      <c r="A154" s="45" t="s">
        <v>166</v>
      </c>
      <c r="B154" s="28" t="s">
        <v>479</v>
      </c>
      <c r="C154" s="32" t="s">
        <v>499</v>
      </c>
      <c r="D154" s="28" t="s">
        <v>526</v>
      </c>
      <c r="E154" s="47">
        <v>200</v>
      </c>
      <c r="F154" s="28" t="b">
        <v>1</v>
      </c>
      <c r="G154" s="28">
        <v>0</v>
      </c>
      <c r="H154" s="47">
        <v>0</v>
      </c>
      <c r="I154" s="28">
        <v>0</v>
      </c>
      <c r="J154" s="28">
        <v>0</v>
      </c>
      <c r="K154" s="28">
        <v>0</v>
      </c>
      <c r="L154" s="35" t="b">
        <v>0</v>
      </c>
      <c r="M154" s="28">
        <v>0</v>
      </c>
      <c r="N154" s="28">
        <v>0</v>
      </c>
      <c r="O154" s="47">
        <v>0</v>
      </c>
      <c r="P154" s="28">
        <v>0</v>
      </c>
      <c r="Q154" s="28">
        <v>0</v>
      </c>
      <c r="R154" s="28"/>
      <c r="S154" s="28" t="s">
        <v>481</v>
      </c>
      <c r="T154" s="36" t="str">
        <f>IFERROR(HYPERLINK("#'Main'!B"&amp;MATCH(TRIM(A154),Main!B:B,0),"Open"),HYPERLINK("#'Main'!B1","Open"))</f>
        <v>Open</v>
      </c>
      <c r="U154" s="36"/>
    </row>
    <row r="155" spans="1:21" ht="30" x14ac:dyDescent="0.25">
      <c r="A155" s="46" t="s">
        <v>166</v>
      </c>
      <c r="B155" s="37" t="s">
        <v>479</v>
      </c>
      <c r="C155" s="39" t="s">
        <v>501</v>
      </c>
      <c r="D155" s="37" t="s">
        <v>502</v>
      </c>
      <c r="E155" s="29">
        <v>404</v>
      </c>
      <c r="F155" s="37" t="b">
        <v>0</v>
      </c>
      <c r="G155" s="37">
        <v>0</v>
      </c>
      <c r="H155" s="47">
        <v>0</v>
      </c>
      <c r="I155" s="37">
        <v>0</v>
      </c>
      <c r="J155" s="37">
        <v>0</v>
      </c>
      <c r="K155" s="37">
        <v>0</v>
      </c>
      <c r="L155" s="41" t="b">
        <v>0</v>
      </c>
      <c r="M155" s="37">
        <v>0</v>
      </c>
      <c r="N155" s="37">
        <v>0</v>
      </c>
      <c r="O155" s="47">
        <v>0</v>
      </c>
      <c r="P155" s="37">
        <v>0</v>
      </c>
      <c r="Q155" s="37">
        <v>0</v>
      </c>
      <c r="R155" s="37"/>
      <c r="S155" s="37" t="s">
        <v>481</v>
      </c>
      <c r="T155" t="str">
        <f>IFERROR(HYPERLINK("#'Main'!B"&amp;MATCH(TRIM(A155),Main!B:B,0),"Open"),HYPERLINK("#'Main'!B1","Open"))</f>
        <v>Open</v>
      </c>
    </row>
    <row r="156" spans="1:21" ht="30" x14ac:dyDescent="0.25">
      <c r="A156" s="45" t="s">
        <v>166</v>
      </c>
      <c r="B156" s="28" t="s">
        <v>479</v>
      </c>
      <c r="C156" s="32" t="s">
        <v>501</v>
      </c>
      <c r="D156" s="28" t="s">
        <v>503</v>
      </c>
      <c r="E156" s="29">
        <v>404</v>
      </c>
      <c r="F156" s="28" t="b">
        <v>0</v>
      </c>
      <c r="G156" s="28">
        <v>0</v>
      </c>
      <c r="H156" s="47">
        <v>0</v>
      </c>
      <c r="I156" s="28">
        <v>0</v>
      </c>
      <c r="J156" s="28">
        <v>0</v>
      </c>
      <c r="K156" s="28">
        <v>0</v>
      </c>
      <c r="L156" s="35" t="b">
        <v>0</v>
      </c>
      <c r="M156" s="28">
        <v>0</v>
      </c>
      <c r="N156" s="28">
        <v>0</v>
      </c>
      <c r="O156" s="47">
        <v>0</v>
      </c>
      <c r="P156" s="28">
        <v>0</v>
      </c>
      <c r="Q156" s="28">
        <v>0</v>
      </c>
      <c r="R156" s="28"/>
      <c r="S156" s="28" t="s">
        <v>481</v>
      </c>
      <c r="T156" s="36" t="str">
        <f>IFERROR(HYPERLINK("#'Main'!B"&amp;MATCH(TRIM(A156),Main!B:B,0),"Open"),HYPERLINK("#'Main'!B1","Open"))</f>
        <v>Open</v>
      </c>
      <c r="U156" s="36"/>
    </row>
    <row r="157" spans="1:21" ht="30" customHeight="1" x14ac:dyDescent="0.25">
      <c r="A157" s="46" t="s">
        <v>199</v>
      </c>
      <c r="B157" s="37" t="s">
        <v>479</v>
      </c>
      <c r="C157" s="39" t="s">
        <v>166</v>
      </c>
      <c r="D157" s="37"/>
      <c r="E157" s="47">
        <v>200</v>
      </c>
      <c r="F157" s="37" t="b">
        <v>1</v>
      </c>
      <c r="G157" s="37">
        <v>0</v>
      </c>
      <c r="H157" s="47">
        <v>0</v>
      </c>
      <c r="I157" s="37">
        <v>0</v>
      </c>
      <c r="J157" s="37">
        <v>0</v>
      </c>
      <c r="K157" s="37">
        <v>0</v>
      </c>
      <c r="L157" s="41" t="b">
        <v>0</v>
      </c>
      <c r="M157" s="37">
        <v>0</v>
      </c>
      <c r="N157" s="37">
        <v>0</v>
      </c>
      <c r="O157" s="47">
        <v>0</v>
      </c>
      <c r="P157" s="37">
        <v>0</v>
      </c>
      <c r="Q157" s="37">
        <v>0</v>
      </c>
      <c r="R157" s="37"/>
      <c r="S157" s="37" t="s">
        <v>481</v>
      </c>
      <c r="T157" t="str">
        <f>IFERROR(HYPERLINK("#'Main'!B"&amp;MATCH(TRIM(A157),Main!B:B,0),"Open"),HYPERLINK("#'Main'!B1","Open"))</f>
        <v>Open</v>
      </c>
    </row>
    <row r="158" spans="1:21" ht="30" customHeight="1" x14ac:dyDescent="0.25">
      <c r="A158" s="45" t="s">
        <v>199</v>
      </c>
      <c r="B158" s="28" t="s">
        <v>479</v>
      </c>
      <c r="C158" s="32" t="s">
        <v>166</v>
      </c>
      <c r="D158" s="28" t="s">
        <v>504</v>
      </c>
      <c r="E158" s="47">
        <v>200</v>
      </c>
      <c r="F158" s="28" t="b">
        <v>1</v>
      </c>
      <c r="G158" s="28">
        <v>0</v>
      </c>
      <c r="H158" s="47">
        <v>0</v>
      </c>
      <c r="I158" s="28">
        <v>0</v>
      </c>
      <c r="J158" s="28">
        <v>0</v>
      </c>
      <c r="K158" s="28">
        <v>0</v>
      </c>
      <c r="L158" s="35" t="b">
        <v>0</v>
      </c>
      <c r="M158" s="28">
        <v>0</v>
      </c>
      <c r="N158" s="28">
        <v>0</v>
      </c>
      <c r="O158" s="47">
        <v>0</v>
      </c>
      <c r="P158" s="28">
        <v>0</v>
      </c>
      <c r="Q158" s="28">
        <v>0</v>
      </c>
      <c r="R158" s="28"/>
      <c r="S158" s="28" t="s">
        <v>481</v>
      </c>
      <c r="T158" s="36" t="str">
        <f>IFERROR(HYPERLINK("#'Main'!B"&amp;MATCH(TRIM(A158),Main!B:B,0),"Open"),HYPERLINK("#'Main'!B1","Open"))</f>
        <v>Open</v>
      </c>
      <c r="U158" s="36"/>
    </row>
    <row r="159" spans="1:21" ht="30" customHeight="1" x14ac:dyDescent="0.25">
      <c r="A159" s="46" t="s">
        <v>199</v>
      </c>
      <c r="B159" s="37" t="s">
        <v>479</v>
      </c>
      <c r="C159" s="39" t="s">
        <v>199</v>
      </c>
      <c r="D159" s="37" t="s">
        <v>505</v>
      </c>
      <c r="E159" s="47">
        <v>200</v>
      </c>
      <c r="F159" s="37" t="b">
        <v>1</v>
      </c>
      <c r="G159" s="37">
        <v>0</v>
      </c>
      <c r="H159" s="47">
        <v>0</v>
      </c>
      <c r="I159" s="37">
        <v>0</v>
      </c>
      <c r="J159" s="37">
        <v>0</v>
      </c>
      <c r="K159" s="37">
        <v>0</v>
      </c>
      <c r="L159" s="41" t="b">
        <v>0</v>
      </c>
      <c r="M159" s="37">
        <v>0</v>
      </c>
      <c r="N159" s="37">
        <v>0</v>
      </c>
      <c r="O159" s="47">
        <v>0</v>
      </c>
      <c r="P159" s="37">
        <v>0</v>
      </c>
      <c r="Q159" s="37">
        <v>0</v>
      </c>
      <c r="R159" s="37"/>
      <c r="S159" s="37" t="s">
        <v>481</v>
      </c>
      <c r="T159" t="str">
        <f>IFERROR(HYPERLINK("#'Main'!B"&amp;MATCH(TRIM(A159),Main!B:B,0),"Open"),HYPERLINK("#'Main'!B1","Open"))</f>
        <v>Open</v>
      </c>
    </row>
    <row r="160" spans="1:21" ht="30" customHeight="1" x14ac:dyDescent="0.25">
      <c r="A160" s="45" t="s">
        <v>199</v>
      </c>
      <c r="B160" s="28" t="s">
        <v>479</v>
      </c>
      <c r="C160" s="32" t="s">
        <v>506</v>
      </c>
      <c r="D160" s="28" t="s">
        <v>507</v>
      </c>
      <c r="E160" s="47">
        <v>200</v>
      </c>
      <c r="F160" s="28" t="b">
        <v>1</v>
      </c>
      <c r="G160" s="28">
        <v>0</v>
      </c>
      <c r="H160" s="47">
        <v>0</v>
      </c>
      <c r="I160" s="28">
        <v>0</v>
      </c>
      <c r="J160" s="28">
        <v>0</v>
      </c>
      <c r="K160" s="28">
        <v>0</v>
      </c>
      <c r="L160" s="35" t="b">
        <v>0</v>
      </c>
      <c r="M160" s="28">
        <v>0</v>
      </c>
      <c r="N160" s="28">
        <v>0</v>
      </c>
      <c r="O160" s="47">
        <v>0</v>
      </c>
      <c r="P160" s="28">
        <v>0</v>
      </c>
      <c r="Q160" s="28">
        <v>0</v>
      </c>
      <c r="R160" s="28"/>
      <c r="S160" s="28" t="s">
        <v>481</v>
      </c>
      <c r="T160" s="36" t="str">
        <f>IFERROR(HYPERLINK("#'Main'!B"&amp;MATCH(TRIM(A160),Main!B:B,0),"Open"),HYPERLINK("#'Main'!B1","Open"))</f>
        <v>Open</v>
      </c>
      <c r="U160" s="36"/>
    </row>
    <row r="161" spans="1:21" ht="30" customHeight="1" x14ac:dyDescent="0.25">
      <c r="A161" s="46" t="s">
        <v>199</v>
      </c>
      <c r="B161" s="37" t="s">
        <v>479</v>
      </c>
      <c r="C161" s="39" t="s">
        <v>508</v>
      </c>
      <c r="D161" s="37" t="s">
        <v>509</v>
      </c>
      <c r="E161" s="47">
        <v>200</v>
      </c>
      <c r="F161" s="37" t="b">
        <v>1</v>
      </c>
      <c r="G161" s="37">
        <v>0</v>
      </c>
      <c r="H161" s="47">
        <v>0</v>
      </c>
      <c r="I161" s="37">
        <v>0</v>
      </c>
      <c r="J161" s="37">
        <v>0</v>
      </c>
      <c r="K161" s="37">
        <v>0</v>
      </c>
      <c r="L161" s="41" t="b">
        <v>0</v>
      </c>
      <c r="M161" s="37">
        <v>0</v>
      </c>
      <c r="N161" s="37">
        <v>0</v>
      </c>
      <c r="O161" s="47">
        <v>0</v>
      </c>
      <c r="P161" s="37">
        <v>0</v>
      </c>
      <c r="Q161" s="37">
        <v>0</v>
      </c>
      <c r="R161" s="37"/>
      <c r="S161" s="37" t="s">
        <v>481</v>
      </c>
      <c r="T161" t="str">
        <f>IFERROR(HYPERLINK("#'Main'!B"&amp;MATCH(TRIM(A161),Main!B:B,0),"Open"),HYPERLINK("#'Main'!B1","Open"))</f>
        <v>Open</v>
      </c>
    </row>
    <row r="162" spans="1:21" ht="30" customHeight="1" x14ac:dyDescent="0.25">
      <c r="A162" s="45" t="s">
        <v>199</v>
      </c>
      <c r="B162" s="28" t="s">
        <v>479</v>
      </c>
      <c r="C162" s="32" t="s">
        <v>196</v>
      </c>
      <c r="D162" s="28" t="s">
        <v>510</v>
      </c>
      <c r="E162" s="47">
        <v>200</v>
      </c>
      <c r="F162" s="28" t="b">
        <v>1</v>
      </c>
      <c r="G162" s="28">
        <v>0</v>
      </c>
      <c r="H162" s="47">
        <v>0</v>
      </c>
      <c r="I162" s="28">
        <v>0</v>
      </c>
      <c r="J162" s="28">
        <v>0</v>
      </c>
      <c r="K162" s="28">
        <v>0</v>
      </c>
      <c r="L162" s="35" t="b">
        <v>0</v>
      </c>
      <c r="M162" s="28">
        <v>0</v>
      </c>
      <c r="N162" s="28">
        <v>0</v>
      </c>
      <c r="O162" s="47">
        <v>0</v>
      </c>
      <c r="P162" s="28">
        <v>0</v>
      </c>
      <c r="Q162" s="28">
        <v>0</v>
      </c>
      <c r="R162" s="28"/>
      <c r="S162" s="28" t="s">
        <v>481</v>
      </c>
      <c r="T162" s="36" t="str">
        <f>IFERROR(HYPERLINK("#'Main'!B"&amp;MATCH(TRIM(A162),Main!B:B,0),"Open"),HYPERLINK("#'Main'!B1","Open"))</f>
        <v>Open</v>
      </c>
      <c r="U162" s="36"/>
    </row>
    <row r="163" spans="1:21" ht="30" customHeight="1" x14ac:dyDescent="0.25">
      <c r="A163" s="46" t="s">
        <v>199</v>
      </c>
      <c r="B163" s="37" t="s">
        <v>479</v>
      </c>
      <c r="C163" s="39" t="s">
        <v>511</v>
      </c>
      <c r="D163" s="37" t="s">
        <v>512</v>
      </c>
      <c r="E163" s="47">
        <v>200</v>
      </c>
      <c r="F163" s="37" t="b">
        <v>1</v>
      </c>
      <c r="G163" s="37">
        <v>0</v>
      </c>
      <c r="H163" s="47">
        <v>0</v>
      </c>
      <c r="I163" s="37">
        <v>0</v>
      </c>
      <c r="J163" s="37">
        <v>0</v>
      </c>
      <c r="K163" s="37">
        <v>0</v>
      </c>
      <c r="L163" s="41" t="b">
        <v>0</v>
      </c>
      <c r="M163" s="37">
        <v>0</v>
      </c>
      <c r="N163" s="37">
        <v>0</v>
      </c>
      <c r="O163" s="47">
        <v>0</v>
      </c>
      <c r="P163" s="37">
        <v>0</v>
      </c>
      <c r="Q163" s="37">
        <v>0</v>
      </c>
      <c r="R163" s="37"/>
      <c r="S163" s="37" t="s">
        <v>481</v>
      </c>
      <c r="T163" t="str">
        <f>IFERROR(HYPERLINK("#'Main'!B"&amp;MATCH(TRIM(A163),Main!B:B,0),"Open"),HYPERLINK("#'Main'!B1","Open"))</f>
        <v>Open</v>
      </c>
    </row>
    <row r="164" spans="1:21" ht="30" customHeight="1" x14ac:dyDescent="0.25">
      <c r="A164" s="45" t="s">
        <v>199</v>
      </c>
      <c r="B164" s="28" t="s">
        <v>479</v>
      </c>
      <c r="C164" s="32" t="s">
        <v>513</v>
      </c>
      <c r="D164" s="28" t="s">
        <v>514</v>
      </c>
      <c r="E164" s="47">
        <v>200</v>
      </c>
      <c r="F164" s="28" t="b">
        <v>1</v>
      </c>
      <c r="G164" s="28">
        <v>0</v>
      </c>
      <c r="H164" s="47">
        <v>0</v>
      </c>
      <c r="I164" s="28">
        <v>0</v>
      </c>
      <c r="J164" s="28">
        <v>0</v>
      </c>
      <c r="K164" s="28">
        <v>0</v>
      </c>
      <c r="L164" s="35" t="b">
        <v>0</v>
      </c>
      <c r="M164" s="28">
        <v>0</v>
      </c>
      <c r="N164" s="28">
        <v>0</v>
      </c>
      <c r="O164" s="47">
        <v>0</v>
      </c>
      <c r="P164" s="28">
        <v>0</v>
      </c>
      <c r="Q164" s="28">
        <v>0</v>
      </c>
      <c r="R164" s="28"/>
      <c r="S164" s="28" t="s">
        <v>481</v>
      </c>
      <c r="T164" s="36" t="str">
        <f>IFERROR(HYPERLINK("#'Main'!B"&amp;MATCH(TRIM(A164),Main!B:B,0),"Open"),HYPERLINK("#'Main'!B1","Open"))</f>
        <v>Open</v>
      </c>
      <c r="U164" s="36"/>
    </row>
    <row r="165" spans="1:21" ht="30" customHeight="1" x14ac:dyDescent="0.25">
      <c r="A165" s="46" t="s">
        <v>199</v>
      </c>
      <c r="B165" s="37" t="s">
        <v>479</v>
      </c>
      <c r="C165" s="39" t="s">
        <v>515</v>
      </c>
      <c r="D165" s="37" t="s">
        <v>516</v>
      </c>
      <c r="E165" s="47">
        <v>200</v>
      </c>
      <c r="F165" s="37" t="b">
        <v>1</v>
      </c>
      <c r="G165" s="37">
        <v>0</v>
      </c>
      <c r="H165" s="47">
        <v>0</v>
      </c>
      <c r="I165" s="37">
        <v>0</v>
      </c>
      <c r="J165" s="37">
        <v>0</v>
      </c>
      <c r="K165" s="37">
        <v>0</v>
      </c>
      <c r="L165" s="41" t="b">
        <v>0</v>
      </c>
      <c r="M165" s="37">
        <v>0</v>
      </c>
      <c r="N165" s="37">
        <v>0</v>
      </c>
      <c r="O165" s="47">
        <v>0</v>
      </c>
      <c r="P165" s="37">
        <v>0</v>
      </c>
      <c r="Q165" s="37">
        <v>0</v>
      </c>
      <c r="R165" s="37"/>
      <c r="S165" s="37" t="s">
        <v>481</v>
      </c>
      <c r="T165" t="str">
        <f>IFERROR(HYPERLINK("#'Main'!B"&amp;MATCH(TRIM(A165),Main!B:B,0),"Open"),HYPERLINK("#'Main'!B1","Open"))</f>
        <v>Open</v>
      </c>
    </row>
    <row r="166" spans="1:21" ht="30" customHeight="1" x14ac:dyDescent="0.25">
      <c r="A166" s="45" t="s">
        <v>199</v>
      </c>
      <c r="B166" s="28" t="s">
        <v>479</v>
      </c>
      <c r="C166" s="32" t="s">
        <v>517</v>
      </c>
      <c r="D166" s="28" t="s">
        <v>518</v>
      </c>
      <c r="E166" s="47">
        <v>200</v>
      </c>
      <c r="F166" s="28" t="b">
        <v>1</v>
      </c>
      <c r="G166" s="28">
        <v>0</v>
      </c>
      <c r="H166" s="47">
        <v>0</v>
      </c>
      <c r="I166" s="28">
        <v>0</v>
      </c>
      <c r="J166" s="28">
        <v>0</v>
      </c>
      <c r="K166" s="28">
        <v>0</v>
      </c>
      <c r="L166" s="35" t="b">
        <v>0</v>
      </c>
      <c r="M166" s="28">
        <v>0</v>
      </c>
      <c r="N166" s="28">
        <v>0</v>
      </c>
      <c r="O166" s="47">
        <v>0</v>
      </c>
      <c r="P166" s="28">
        <v>0</v>
      </c>
      <c r="Q166" s="28">
        <v>0</v>
      </c>
      <c r="R166" s="28"/>
      <c r="S166" s="28" t="s">
        <v>481</v>
      </c>
      <c r="T166" s="36" t="str">
        <f>IFERROR(HYPERLINK("#'Main'!B"&amp;MATCH(TRIM(A166),Main!B:B,0),"Open"),HYPERLINK("#'Main'!B1","Open"))</f>
        <v>Open</v>
      </c>
      <c r="U166" s="36"/>
    </row>
    <row r="167" spans="1:21" ht="30" customHeight="1" x14ac:dyDescent="0.25">
      <c r="A167" s="46" t="s">
        <v>199</v>
      </c>
      <c r="B167" s="37" t="s">
        <v>479</v>
      </c>
      <c r="C167" s="39" t="s">
        <v>517</v>
      </c>
      <c r="D167" s="37" t="s">
        <v>519</v>
      </c>
      <c r="E167" s="47">
        <v>200</v>
      </c>
      <c r="F167" s="37" t="b">
        <v>1</v>
      </c>
      <c r="G167" s="37">
        <v>0</v>
      </c>
      <c r="H167" s="47">
        <v>0</v>
      </c>
      <c r="I167" s="37">
        <v>0</v>
      </c>
      <c r="J167" s="37">
        <v>0</v>
      </c>
      <c r="K167" s="37">
        <v>0</v>
      </c>
      <c r="L167" s="41" t="b">
        <v>0</v>
      </c>
      <c r="M167" s="37">
        <v>0</v>
      </c>
      <c r="N167" s="37">
        <v>0</v>
      </c>
      <c r="O167" s="47">
        <v>0</v>
      </c>
      <c r="P167" s="37">
        <v>0</v>
      </c>
      <c r="Q167" s="37">
        <v>0</v>
      </c>
      <c r="R167" s="37"/>
      <c r="S167" s="37" t="s">
        <v>481</v>
      </c>
      <c r="T167" t="str">
        <f>IFERROR(HYPERLINK("#'Main'!B"&amp;MATCH(TRIM(A167),Main!B:B,0),"Open"),HYPERLINK("#'Main'!B1","Open"))</f>
        <v>Open</v>
      </c>
    </row>
    <row r="168" spans="1:21" ht="30" customHeight="1" x14ac:dyDescent="0.25">
      <c r="A168" s="45" t="s">
        <v>199</v>
      </c>
      <c r="B168" s="28" t="s">
        <v>479</v>
      </c>
      <c r="C168" s="32" t="s">
        <v>494</v>
      </c>
      <c r="D168" s="28" t="s">
        <v>520</v>
      </c>
      <c r="E168" s="47">
        <v>200</v>
      </c>
      <c r="F168" s="28" t="b">
        <v>1</v>
      </c>
      <c r="G168" s="28">
        <v>0</v>
      </c>
      <c r="H168" s="47">
        <v>0</v>
      </c>
      <c r="I168" s="28">
        <v>0</v>
      </c>
      <c r="J168" s="28">
        <v>0</v>
      </c>
      <c r="K168" s="28">
        <v>0</v>
      </c>
      <c r="L168" s="35" t="b">
        <v>0</v>
      </c>
      <c r="M168" s="28">
        <v>0</v>
      </c>
      <c r="N168" s="28">
        <v>0</v>
      </c>
      <c r="O168" s="47">
        <v>0</v>
      </c>
      <c r="P168" s="28">
        <v>0</v>
      </c>
      <c r="Q168" s="28">
        <v>0</v>
      </c>
      <c r="R168" s="28"/>
      <c r="S168" s="28" t="s">
        <v>481</v>
      </c>
      <c r="T168" s="36" t="str">
        <f>IFERROR(HYPERLINK("#'Main'!B"&amp;MATCH(TRIM(A168),Main!B:B,0),"Open"),HYPERLINK("#'Main'!B1","Open"))</f>
        <v>Open</v>
      </c>
      <c r="U168" s="36"/>
    </row>
    <row r="169" spans="1:21" ht="30" customHeight="1" x14ac:dyDescent="0.25">
      <c r="A169" s="46" t="s">
        <v>199</v>
      </c>
      <c r="B169" s="37" t="s">
        <v>479</v>
      </c>
      <c r="C169" s="39" t="s">
        <v>521</v>
      </c>
      <c r="D169" s="37" t="s">
        <v>268</v>
      </c>
      <c r="E169" s="47">
        <v>200</v>
      </c>
      <c r="F169" s="37" t="b">
        <v>1</v>
      </c>
      <c r="G169" s="37">
        <v>0</v>
      </c>
      <c r="H169" s="47">
        <v>0</v>
      </c>
      <c r="I169" s="37">
        <v>0</v>
      </c>
      <c r="J169" s="37">
        <v>0</v>
      </c>
      <c r="K169" s="37">
        <v>0</v>
      </c>
      <c r="L169" s="41" t="b">
        <v>0</v>
      </c>
      <c r="M169" s="37">
        <v>0</v>
      </c>
      <c r="N169" s="37">
        <v>0</v>
      </c>
      <c r="O169" s="47">
        <v>0</v>
      </c>
      <c r="P169" s="37">
        <v>0</v>
      </c>
      <c r="Q169" s="37">
        <v>0</v>
      </c>
      <c r="R169" s="37"/>
      <c r="S169" s="37" t="s">
        <v>481</v>
      </c>
      <c r="T169" t="str">
        <f>IFERROR(HYPERLINK("#'Main'!B"&amp;MATCH(TRIM(A169),Main!B:B,0),"Open"),HYPERLINK("#'Main'!B1","Open"))</f>
        <v>Open</v>
      </c>
    </row>
    <row r="170" spans="1:21" ht="30" customHeight="1" x14ac:dyDescent="0.25">
      <c r="A170" s="45" t="s">
        <v>199</v>
      </c>
      <c r="B170" s="28" t="s">
        <v>479</v>
      </c>
      <c r="C170" s="32" t="s">
        <v>522</v>
      </c>
      <c r="D170" s="28" t="s">
        <v>523</v>
      </c>
      <c r="E170" s="47">
        <v>200</v>
      </c>
      <c r="F170" s="28" t="b">
        <v>1</v>
      </c>
      <c r="G170" s="28">
        <v>0</v>
      </c>
      <c r="H170" s="47">
        <v>0</v>
      </c>
      <c r="I170" s="28">
        <v>0</v>
      </c>
      <c r="J170" s="28">
        <v>0</v>
      </c>
      <c r="K170" s="28">
        <v>0</v>
      </c>
      <c r="L170" s="35" t="b">
        <v>0</v>
      </c>
      <c r="M170" s="28">
        <v>0</v>
      </c>
      <c r="N170" s="28">
        <v>0</v>
      </c>
      <c r="O170" s="47">
        <v>0</v>
      </c>
      <c r="P170" s="28">
        <v>0</v>
      </c>
      <c r="Q170" s="28">
        <v>0</v>
      </c>
      <c r="R170" s="28"/>
      <c r="S170" s="28" t="s">
        <v>481</v>
      </c>
      <c r="T170" s="36" t="str">
        <f>IFERROR(HYPERLINK("#'Main'!B"&amp;MATCH(TRIM(A170),Main!B:B,0),"Open"),HYPERLINK("#'Main'!B1","Open"))</f>
        <v>Open</v>
      </c>
      <c r="U170" s="36"/>
    </row>
    <row r="171" spans="1:21" ht="30" customHeight="1" x14ac:dyDescent="0.25">
      <c r="A171" s="46" t="s">
        <v>199</v>
      </c>
      <c r="B171" s="37" t="s">
        <v>479</v>
      </c>
      <c r="C171" s="39" t="s">
        <v>166</v>
      </c>
      <c r="D171" s="37" t="s">
        <v>504</v>
      </c>
      <c r="E171" s="47">
        <v>200</v>
      </c>
      <c r="F171" s="37" t="b">
        <v>1</v>
      </c>
      <c r="G171" s="37">
        <v>0</v>
      </c>
      <c r="H171" s="47">
        <v>0</v>
      </c>
      <c r="I171" s="37">
        <v>0</v>
      </c>
      <c r="J171" s="37">
        <v>0</v>
      </c>
      <c r="K171" s="37">
        <v>0</v>
      </c>
      <c r="L171" s="41" t="b">
        <v>0</v>
      </c>
      <c r="M171" s="37">
        <v>0</v>
      </c>
      <c r="N171" s="37">
        <v>0</v>
      </c>
      <c r="O171" s="47">
        <v>0</v>
      </c>
      <c r="P171" s="37">
        <v>0</v>
      </c>
      <c r="Q171" s="37">
        <v>0</v>
      </c>
      <c r="R171" s="37"/>
      <c r="S171" s="37" t="s">
        <v>481</v>
      </c>
      <c r="T171" t="str">
        <f>IFERROR(HYPERLINK("#'Main'!B"&amp;MATCH(TRIM(A171),Main!B:B,0),"Open"),HYPERLINK("#'Main'!B1","Open"))</f>
        <v>Open</v>
      </c>
    </row>
    <row r="172" spans="1:21" ht="30" customHeight="1" x14ac:dyDescent="0.25">
      <c r="A172" s="45" t="s">
        <v>199</v>
      </c>
      <c r="B172" s="28" t="s">
        <v>479</v>
      </c>
      <c r="C172" s="32" t="s">
        <v>199</v>
      </c>
      <c r="D172" s="28" t="s">
        <v>505</v>
      </c>
      <c r="E172" s="47">
        <v>200</v>
      </c>
      <c r="F172" s="28" t="b">
        <v>1</v>
      </c>
      <c r="G172" s="28">
        <v>0</v>
      </c>
      <c r="H172" s="47">
        <v>0</v>
      </c>
      <c r="I172" s="28">
        <v>0</v>
      </c>
      <c r="J172" s="28">
        <v>0</v>
      </c>
      <c r="K172" s="28">
        <v>0</v>
      </c>
      <c r="L172" s="35" t="b">
        <v>0</v>
      </c>
      <c r="M172" s="28">
        <v>0</v>
      </c>
      <c r="N172" s="28">
        <v>0</v>
      </c>
      <c r="O172" s="47">
        <v>0</v>
      </c>
      <c r="P172" s="28">
        <v>0</v>
      </c>
      <c r="Q172" s="28">
        <v>0</v>
      </c>
      <c r="R172" s="28"/>
      <c r="S172" s="28" t="s">
        <v>481</v>
      </c>
      <c r="T172" s="36" t="str">
        <f>IFERROR(HYPERLINK("#'Main'!B"&amp;MATCH(TRIM(A172),Main!B:B,0),"Open"),HYPERLINK("#'Main'!B1","Open"))</f>
        <v>Open</v>
      </c>
      <c r="U172" s="36"/>
    </row>
    <row r="173" spans="1:21" ht="30" customHeight="1" x14ac:dyDescent="0.25">
      <c r="A173" s="46" t="s">
        <v>199</v>
      </c>
      <c r="B173" s="37" t="s">
        <v>479</v>
      </c>
      <c r="C173" s="39" t="s">
        <v>506</v>
      </c>
      <c r="D173" s="37" t="s">
        <v>507</v>
      </c>
      <c r="E173" s="47">
        <v>200</v>
      </c>
      <c r="F173" s="37" t="b">
        <v>1</v>
      </c>
      <c r="G173" s="37">
        <v>0</v>
      </c>
      <c r="H173" s="47">
        <v>0</v>
      </c>
      <c r="I173" s="37">
        <v>0</v>
      </c>
      <c r="J173" s="37">
        <v>0</v>
      </c>
      <c r="K173" s="37">
        <v>0</v>
      </c>
      <c r="L173" s="41" t="b">
        <v>0</v>
      </c>
      <c r="M173" s="37">
        <v>0</v>
      </c>
      <c r="N173" s="37">
        <v>0</v>
      </c>
      <c r="O173" s="47">
        <v>0</v>
      </c>
      <c r="P173" s="37">
        <v>0</v>
      </c>
      <c r="Q173" s="37">
        <v>0</v>
      </c>
      <c r="R173" s="37"/>
      <c r="S173" s="37" t="s">
        <v>481</v>
      </c>
      <c r="T173" t="str">
        <f>IFERROR(HYPERLINK("#'Main'!B"&amp;MATCH(TRIM(A173),Main!B:B,0),"Open"),HYPERLINK("#'Main'!B1","Open"))</f>
        <v>Open</v>
      </c>
    </row>
    <row r="174" spans="1:21" ht="30" customHeight="1" x14ac:dyDescent="0.25">
      <c r="A174" s="45" t="s">
        <v>199</v>
      </c>
      <c r="B174" s="28" t="s">
        <v>479</v>
      </c>
      <c r="C174" s="32" t="s">
        <v>508</v>
      </c>
      <c r="D174" s="28" t="s">
        <v>509</v>
      </c>
      <c r="E174" s="47">
        <v>200</v>
      </c>
      <c r="F174" s="28" t="b">
        <v>1</v>
      </c>
      <c r="G174" s="28">
        <v>0</v>
      </c>
      <c r="H174" s="47">
        <v>0</v>
      </c>
      <c r="I174" s="28">
        <v>0</v>
      </c>
      <c r="J174" s="28">
        <v>0</v>
      </c>
      <c r="K174" s="28">
        <v>0</v>
      </c>
      <c r="L174" s="35" t="b">
        <v>0</v>
      </c>
      <c r="M174" s="28">
        <v>0</v>
      </c>
      <c r="N174" s="28">
        <v>0</v>
      </c>
      <c r="O174" s="47">
        <v>0</v>
      </c>
      <c r="P174" s="28">
        <v>0</v>
      </c>
      <c r="Q174" s="28">
        <v>0</v>
      </c>
      <c r="R174" s="28"/>
      <c r="S174" s="28" t="s">
        <v>481</v>
      </c>
      <c r="T174" s="36" t="str">
        <f>IFERROR(HYPERLINK("#'Main'!B"&amp;MATCH(TRIM(A174),Main!B:B,0),"Open"),HYPERLINK("#'Main'!B1","Open"))</f>
        <v>Open</v>
      </c>
      <c r="U174" s="36"/>
    </row>
    <row r="175" spans="1:21" ht="30" customHeight="1" x14ac:dyDescent="0.25">
      <c r="A175" s="46" t="s">
        <v>199</v>
      </c>
      <c r="B175" s="37" t="s">
        <v>479</v>
      </c>
      <c r="C175" s="39" t="s">
        <v>196</v>
      </c>
      <c r="D175" s="37" t="s">
        <v>510</v>
      </c>
      <c r="E175" s="47">
        <v>200</v>
      </c>
      <c r="F175" s="37" t="b">
        <v>1</v>
      </c>
      <c r="G175" s="37">
        <v>0</v>
      </c>
      <c r="H175" s="47">
        <v>0</v>
      </c>
      <c r="I175" s="37">
        <v>0</v>
      </c>
      <c r="J175" s="37">
        <v>0</v>
      </c>
      <c r="K175" s="37">
        <v>0</v>
      </c>
      <c r="L175" s="41" t="b">
        <v>0</v>
      </c>
      <c r="M175" s="37">
        <v>0</v>
      </c>
      <c r="N175" s="37">
        <v>0</v>
      </c>
      <c r="O175" s="47">
        <v>0</v>
      </c>
      <c r="P175" s="37">
        <v>0</v>
      </c>
      <c r="Q175" s="37">
        <v>0</v>
      </c>
      <c r="R175" s="37"/>
      <c r="S175" s="37" t="s">
        <v>481</v>
      </c>
      <c r="T175" t="str">
        <f>IFERROR(HYPERLINK("#'Main'!B"&amp;MATCH(TRIM(A175),Main!B:B,0),"Open"),HYPERLINK("#'Main'!B1","Open"))</f>
        <v>Open</v>
      </c>
    </row>
    <row r="176" spans="1:21" ht="30" customHeight="1" x14ac:dyDescent="0.25">
      <c r="A176" s="45" t="s">
        <v>199</v>
      </c>
      <c r="B176" s="28" t="s">
        <v>479</v>
      </c>
      <c r="C176" s="32" t="s">
        <v>511</v>
      </c>
      <c r="D176" s="28" t="s">
        <v>512</v>
      </c>
      <c r="E176" s="47">
        <v>200</v>
      </c>
      <c r="F176" s="28" t="b">
        <v>1</v>
      </c>
      <c r="G176" s="28">
        <v>0</v>
      </c>
      <c r="H176" s="47">
        <v>0</v>
      </c>
      <c r="I176" s="28">
        <v>0</v>
      </c>
      <c r="J176" s="28">
        <v>0</v>
      </c>
      <c r="K176" s="28">
        <v>0</v>
      </c>
      <c r="L176" s="35" t="b">
        <v>0</v>
      </c>
      <c r="M176" s="28">
        <v>0</v>
      </c>
      <c r="N176" s="28">
        <v>0</v>
      </c>
      <c r="O176" s="47">
        <v>0</v>
      </c>
      <c r="P176" s="28">
        <v>0</v>
      </c>
      <c r="Q176" s="28">
        <v>0</v>
      </c>
      <c r="R176" s="28"/>
      <c r="S176" s="28" t="s">
        <v>481</v>
      </c>
      <c r="T176" s="36" t="str">
        <f>IFERROR(HYPERLINK("#'Main'!B"&amp;MATCH(TRIM(A176),Main!B:B,0),"Open"),HYPERLINK("#'Main'!B1","Open"))</f>
        <v>Open</v>
      </c>
      <c r="U176" s="36"/>
    </row>
    <row r="177" spans="1:21" ht="30" customHeight="1" x14ac:dyDescent="0.25">
      <c r="A177" s="46" t="s">
        <v>199</v>
      </c>
      <c r="B177" s="37" t="s">
        <v>479</v>
      </c>
      <c r="C177" s="39" t="s">
        <v>513</v>
      </c>
      <c r="D177" s="37" t="s">
        <v>514</v>
      </c>
      <c r="E177" s="47">
        <v>200</v>
      </c>
      <c r="F177" s="37" t="b">
        <v>1</v>
      </c>
      <c r="G177" s="37">
        <v>0</v>
      </c>
      <c r="H177" s="47">
        <v>0</v>
      </c>
      <c r="I177" s="37">
        <v>0</v>
      </c>
      <c r="J177" s="37">
        <v>0</v>
      </c>
      <c r="K177" s="37">
        <v>0</v>
      </c>
      <c r="L177" s="41" t="b">
        <v>0</v>
      </c>
      <c r="M177" s="37">
        <v>0</v>
      </c>
      <c r="N177" s="37">
        <v>0</v>
      </c>
      <c r="O177" s="47">
        <v>0</v>
      </c>
      <c r="P177" s="37">
        <v>0</v>
      </c>
      <c r="Q177" s="37">
        <v>0</v>
      </c>
      <c r="R177" s="37"/>
      <c r="S177" s="37" t="s">
        <v>481</v>
      </c>
      <c r="T177" t="str">
        <f>IFERROR(HYPERLINK("#'Main'!B"&amp;MATCH(TRIM(A177),Main!B:B,0),"Open"),HYPERLINK("#'Main'!B1","Open"))</f>
        <v>Open</v>
      </c>
    </row>
    <row r="178" spans="1:21" ht="30" customHeight="1" x14ac:dyDescent="0.25">
      <c r="A178" s="45" t="s">
        <v>199</v>
      </c>
      <c r="B178" s="28" t="s">
        <v>479</v>
      </c>
      <c r="C178" s="32" t="s">
        <v>515</v>
      </c>
      <c r="D178" s="28" t="s">
        <v>516</v>
      </c>
      <c r="E178" s="47">
        <v>200</v>
      </c>
      <c r="F178" s="28" t="b">
        <v>1</v>
      </c>
      <c r="G178" s="28">
        <v>0</v>
      </c>
      <c r="H178" s="47">
        <v>0</v>
      </c>
      <c r="I178" s="28">
        <v>0</v>
      </c>
      <c r="J178" s="28">
        <v>0</v>
      </c>
      <c r="K178" s="28">
        <v>0</v>
      </c>
      <c r="L178" s="35" t="b">
        <v>0</v>
      </c>
      <c r="M178" s="28">
        <v>0</v>
      </c>
      <c r="N178" s="28">
        <v>0</v>
      </c>
      <c r="O178" s="47">
        <v>0</v>
      </c>
      <c r="P178" s="28">
        <v>0</v>
      </c>
      <c r="Q178" s="28">
        <v>0</v>
      </c>
      <c r="R178" s="28"/>
      <c r="S178" s="28" t="s">
        <v>481</v>
      </c>
      <c r="T178" s="36" t="str">
        <f>IFERROR(HYPERLINK("#'Main'!B"&amp;MATCH(TRIM(A178),Main!B:B,0),"Open"),HYPERLINK("#'Main'!B1","Open"))</f>
        <v>Open</v>
      </c>
      <c r="U178" s="36"/>
    </row>
    <row r="179" spans="1:21" ht="30" customHeight="1" x14ac:dyDescent="0.25">
      <c r="A179" s="46" t="s">
        <v>199</v>
      </c>
      <c r="B179" s="37" t="s">
        <v>479</v>
      </c>
      <c r="C179" s="39" t="s">
        <v>517</v>
      </c>
      <c r="D179" s="37" t="s">
        <v>518</v>
      </c>
      <c r="E179" s="47">
        <v>200</v>
      </c>
      <c r="F179" s="37" t="b">
        <v>1</v>
      </c>
      <c r="G179" s="37">
        <v>0</v>
      </c>
      <c r="H179" s="47">
        <v>0</v>
      </c>
      <c r="I179" s="37">
        <v>0</v>
      </c>
      <c r="J179" s="37">
        <v>0</v>
      </c>
      <c r="K179" s="37">
        <v>0</v>
      </c>
      <c r="L179" s="41" t="b">
        <v>0</v>
      </c>
      <c r="M179" s="37">
        <v>0</v>
      </c>
      <c r="N179" s="37">
        <v>0</v>
      </c>
      <c r="O179" s="47">
        <v>0</v>
      </c>
      <c r="P179" s="37">
        <v>0</v>
      </c>
      <c r="Q179" s="37">
        <v>0</v>
      </c>
      <c r="R179" s="37"/>
      <c r="S179" s="37" t="s">
        <v>481</v>
      </c>
      <c r="T179" t="str">
        <f>IFERROR(HYPERLINK("#'Main'!B"&amp;MATCH(TRIM(A179),Main!B:B,0),"Open"),HYPERLINK("#'Main'!B1","Open"))</f>
        <v>Open</v>
      </c>
    </row>
    <row r="180" spans="1:21" ht="30" customHeight="1" x14ac:dyDescent="0.25">
      <c r="A180" s="45" t="s">
        <v>199</v>
      </c>
      <c r="B180" s="28" t="s">
        <v>479</v>
      </c>
      <c r="C180" s="32" t="s">
        <v>517</v>
      </c>
      <c r="D180" s="28" t="s">
        <v>519</v>
      </c>
      <c r="E180" s="47">
        <v>200</v>
      </c>
      <c r="F180" s="28" t="b">
        <v>1</v>
      </c>
      <c r="G180" s="28">
        <v>0</v>
      </c>
      <c r="H180" s="47">
        <v>0</v>
      </c>
      <c r="I180" s="28">
        <v>0</v>
      </c>
      <c r="J180" s="28">
        <v>0</v>
      </c>
      <c r="K180" s="28">
        <v>0</v>
      </c>
      <c r="L180" s="35" t="b">
        <v>0</v>
      </c>
      <c r="M180" s="28">
        <v>0</v>
      </c>
      <c r="N180" s="28">
        <v>0</v>
      </c>
      <c r="O180" s="47">
        <v>0</v>
      </c>
      <c r="P180" s="28">
        <v>0</v>
      </c>
      <c r="Q180" s="28">
        <v>0</v>
      </c>
      <c r="R180" s="28"/>
      <c r="S180" s="28" t="s">
        <v>481</v>
      </c>
      <c r="T180" s="36" t="str">
        <f>IFERROR(HYPERLINK("#'Main'!B"&amp;MATCH(TRIM(A180),Main!B:B,0),"Open"),HYPERLINK("#'Main'!B1","Open"))</f>
        <v>Open</v>
      </c>
      <c r="U180" s="36"/>
    </row>
    <row r="181" spans="1:21" ht="30" customHeight="1" x14ac:dyDescent="0.25">
      <c r="A181" s="46" t="s">
        <v>199</v>
      </c>
      <c r="B181" s="37" t="s">
        <v>479</v>
      </c>
      <c r="C181" s="39" t="s">
        <v>494</v>
      </c>
      <c r="D181" s="37" t="s">
        <v>520</v>
      </c>
      <c r="E181" s="47">
        <v>200</v>
      </c>
      <c r="F181" s="37" t="b">
        <v>1</v>
      </c>
      <c r="G181" s="37">
        <v>0</v>
      </c>
      <c r="H181" s="47">
        <v>0</v>
      </c>
      <c r="I181" s="37">
        <v>0</v>
      </c>
      <c r="J181" s="37">
        <v>0</v>
      </c>
      <c r="K181" s="37">
        <v>0</v>
      </c>
      <c r="L181" s="41" t="b">
        <v>0</v>
      </c>
      <c r="M181" s="37">
        <v>0</v>
      </c>
      <c r="N181" s="37">
        <v>0</v>
      </c>
      <c r="O181" s="47">
        <v>0</v>
      </c>
      <c r="P181" s="37">
        <v>0</v>
      </c>
      <c r="Q181" s="37">
        <v>0</v>
      </c>
      <c r="R181" s="37"/>
      <c r="S181" s="37" t="s">
        <v>481</v>
      </c>
      <c r="T181" t="str">
        <f>IFERROR(HYPERLINK("#'Main'!B"&amp;MATCH(TRIM(A181),Main!B:B,0),"Open"),HYPERLINK("#'Main'!B1","Open"))</f>
        <v>Open</v>
      </c>
    </row>
    <row r="182" spans="1:21" ht="30" customHeight="1" x14ac:dyDescent="0.25">
      <c r="A182" s="45" t="s">
        <v>199</v>
      </c>
      <c r="B182" s="28" t="s">
        <v>479</v>
      </c>
      <c r="C182" s="32" t="s">
        <v>521</v>
      </c>
      <c r="D182" s="28" t="s">
        <v>268</v>
      </c>
      <c r="E182" s="47">
        <v>200</v>
      </c>
      <c r="F182" s="28" t="b">
        <v>1</v>
      </c>
      <c r="G182" s="28">
        <v>0</v>
      </c>
      <c r="H182" s="47">
        <v>0</v>
      </c>
      <c r="I182" s="28">
        <v>0</v>
      </c>
      <c r="J182" s="28">
        <v>0</v>
      </c>
      <c r="K182" s="28">
        <v>0</v>
      </c>
      <c r="L182" s="35" t="b">
        <v>0</v>
      </c>
      <c r="M182" s="28">
        <v>0</v>
      </c>
      <c r="N182" s="28">
        <v>0</v>
      </c>
      <c r="O182" s="47">
        <v>0</v>
      </c>
      <c r="P182" s="28">
        <v>0</v>
      </c>
      <c r="Q182" s="28">
        <v>0</v>
      </c>
      <c r="R182" s="28"/>
      <c r="S182" s="28" t="s">
        <v>481</v>
      </c>
      <c r="T182" s="36" t="str">
        <f>IFERROR(HYPERLINK("#'Main'!B"&amp;MATCH(TRIM(A182),Main!B:B,0),"Open"),HYPERLINK("#'Main'!B1","Open"))</f>
        <v>Open</v>
      </c>
      <c r="U182" s="36"/>
    </row>
    <row r="183" spans="1:21" ht="30" customHeight="1" x14ac:dyDescent="0.25">
      <c r="A183" s="46" t="s">
        <v>199</v>
      </c>
      <c r="B183" s="37" t="s">
        <v>479</v>
      </c>
      <c r="C183" s="39" t="s">
        <v>522</v>
      </c>
      <c r="D183" s="37" t="s">
        <v>523</v>
      </c>
      <c r="E183" s="47">
        <v>200</v>
      </c>
      <c r="F183" s="37" t="b">
        <v>1</v>
      </c>
      <c r="G183" s="37">
        <v>0</v>
      </c>
      <c r="H183" s="47">
        <v>0</v>
      </c>
      <c r="I183" s="37">
        <v>0</v>
      </c>
      <c r="J183" s="37">
        <v>0</v>
      </c>
      <c r="K183" s="37">
        <v>0</v>
      </c>
      <c r="L183" s="41" t="b">
        <v>0</v>
      </c>
      <c r="M183" s="37">
        <v>0</v>
      </c>
      <c r="N183" s="37">
        <v>0</v>
      </c>
      <c r="O183" s="47">
        <v>0</v>
      </c>
      <c r="P183" s="37">
        <v>0</v>
      </c>
      <c r="Q183" s="37">
        <v>0</v>
      </c>
      <c r="R183" s="37"/>
      <c r="S183" s="37" t="s">
        <v>481</v>
      </c>
      <c r="T183" t="str">
        <f>IFERROR(HYPERLINK("#'Main'!B"&amp;MATCH(TRIM(A183),Main!B:B,0),"Open"),HYPERLINK("#'Main'!B1","Open"))</f>
        <v>Open</v>
      </c>
    </row>
    <row r="184" spans="1:21" ht="30" customHeight="1" x14ac:dyDescent="0.25">
      <c r="A184" s="45" t="s">
        <v>199</v>
      </c>
      <c r="B184" s="28" t="s">
        <v>479</v>
      </c>
      <c r="C184" s="32" t="s">
        <v>550</v>
      </c>
      <c r="D184" s="28" t="s">
        <v>551</v>
      </c>
      <c r="E184" s="28">
        <v>0</v>
      </c>
      <c r="F184" s="28" t="b">
        <v>1</v>
      </c>
      <c r="G184" s="28">
        <v>0</v>
      </c>
      <c r="H184" s="47">
        <v>0</v>
      </c>
      <c r="I184" s="28">
        <v>0</v>
      </c>
      <c r="J184" s="28">
        <v>0</v>
      </c>
      <c r="K184" s="28">
        <v>0</v>
      </c>
      <c r="L184" s="35" t="b">
        <v>0</v>
      </c>
      <c r="M184" s="28">
        <v>0</v>
      </c>
      <c r="N184" s="28">
        <v>0</v>
      </c>
      <c r="O184" s="47">
        <v>0</v>
      </c>
      <c r="P184" s="28">
        <v>0</v>
      </c>
      <c r="Q184" s="28">
        <v>0</v>
      </c>
      <c r="R184" s="28"/>
      <c r="S184" s="28" t="s">
        <v>481</v>
      </c>
      <c r="T184" s="36" t="str">
        <f>IFERROR(HYPERLINK("#'Main'!B"&amp;MATCH(TRIM(A184),Main!B:B,0),"Open"),HYPERLINK("#'Main'!B1","Open"))</f>
        <v>Open</v>
      </c>
      <c r="U184" s="36"/>
    </row>
    <row r="185" spans="1:21" ht="30" customHeight="1" x14ac:dyDescent="0.25">
      <c r="A185" s="46" t="s">
        <v>199</v>
      </c>
      <c r="B185" s="37" t="s">
        <v>479</v>
      </c>
      <c r="C185" s="39" t="s">
        <v>552</v>
      </c>
      <c r="D185" s="37" t="s">
        <v>551</v>
      </c>
      <c r="E185" s="37">
        <v>0</v>
      </c>
      <c r="F185" s="37" t="b">
        <v>1</v>
      </c>
      <c r="G185" s="37">
        <v>0</v>
      </c>
      <c r="H185" s="47">
        <v>0</v>
      </c>
      <c r="I185" s="37">
        <v>0</v>
      </c>
      <c r="J185" s="37">
        <v>0</v>
      </c>
      <c r="K185" s="37">
        <v>0</v>
      </c>
      <c r="L185" s="41" t="b">
        <v>0</v>
      </c>
      <c r="M185" s="37">
        <v>0</v>
      </c>
      <c r="N185" s="37">
        <v>0</v>
      </c>
      <c r="O185" s="47">
        <v>0</v>
      </c>
      <c r="P185" s="37">
        <v>0</v>
      </c>
      <c r="Q185" s="37">
        <v>0</v>
      </c>
      <c r="R185" s="37"/>
      <c r="S185" s="37" t="s">
        <v>481</v>
      </c>
      <c r="T185" t="str">
        <f>IFERROR(HYPERLINK("#'Main'!B"&amp;MATCH(TRIM(A185),Main!B:B,0),"Open"),HYPERLINK("#'Main'!B1","Open"))</f>
        <v>Open</v>
      </c>
    </row>
    <row r="186" spans="1:21" ht="30" customHeight="1" x14ac:dyDescent="0.25">
      <c r="A186" s="45" t="s">
        <v>199</v>
      </c>
      <c r="B186" s="28" t="s">
        <v>479</v>
      </c>
      <c r="C186" s="32" t="s">
        <v>553</v>
      </c>
      <c r="D186" s="28" t="s">
        <v>551</v>
      </c>
      <c r="E186" s="28">
        <v>0</v>
      </c>
      <c r="F186" s="28" t="b">
        <v>1</v>
      </c>
      <c r="G186" s="28">
        <v>0</v>
      </c>
      <c r="H186" s="47">
        <v>0</v>
      </c>
      <c r="I186" s="28">
        <v>0</v>
      </c>
      <c r="J186" s="28">
        <v>0</v>
      </c>
      <c r="K186" s="28">
        <v>0</v>
      </c>
      <c r="L186" s="35" t="b">
        <v>0</v>
      </c>
      <c r="M186" s="28">
        <v>0</v>
      </c>
      <c r="N186" s="28">
        <v>0</v>
      </c>
      <c r="O186" s="47">
        <v>0</v>
      </c>
      <c r="P186" s="28">
        <v>0</v>
      </c>
      <c r="Q186" s="28">
        <v>0</v>
      </c>
      <c r="R186" s="28"/>
      <c r="S186" s="28" t="s">
        <v>481</v>
      </c>
      <c r="T186" s="36" t="str">
        <f>IFERROR(HYPERLINK("#'Main'!B"&amp;MATCH(TRIM(A186),Main!B:B,0),"Open"),HYPERLINK("#'Main'!B1","Open"))</f>
        <v>Open</v>
      </c>
      <c r="U186" s="36"/>
    </row>
    <row r="187" spans="1:21" ht="30" customHeight="1" x14ac:dyDescent="0.25">
      <c r="A187" s="46" t="s">
        <v>199</v>
      </c>
      <c r="B187" s="37" t="s">
        <v>479</v>
      </c>
      <c r="C187" s="39" t="s">
        <v>554</v>
      </c>
      <c r="D187" s="37" t="s">
        <v>551</v>
      </c>
      <c r="E187" s="37">
        <v>0</v>
      </c>
      <c r="F187" s="37" t="b">
        <v>1</v>
      </c>
      <c r="G187" s="37">
        <v>0</v>
      </c>
      <c r="H187" s="47">
        <v>0</v>
      </c>
      <c r="I187" s="37">
        <v>0</v>
      </c>
      <c r="J187" s="37">
        <v>0</v>
      </c>
      <c r="K187" s="37">
        <v>0</v>
      </c>
      <c r="L187" s="41" t="b">
        <v>0</v>
      </c>
      <c r="M187" s="37">
        <v>0</v>
      </c>
      <c r="N187" s="37">
        <v>0</v>
      </c>
      <c r="O187" s="47">
        <v>0</v>
      </c>
      <c r="P187" s="37">
        <v>0</v>
      </c>
      <c r="Q187" s="37">
        <v>0</v>
      </c>
      <c r="R187" s="37"/>
      <c r="S187" s="37" t="s">
        <v>481</v>
      </c>
      <c r="T187" t="str">
        <f>IFERROR(HYPERLINK("#'Main'!B"&amp;MATCH(TRIM(A187),Main!B:B,0),"Open"),HYPERLINK("#'Main'!B1","Open"))</f>
        <v>Open</v>
      </c>
    </row>
    <row r="188" spans="1:21" ht="30" customHeight="1" x14ac:dyDescent="0.25">
      <c r="A188" s="45" t="s">
        <v>199</v>
      </c>
      <c r="B188" s="28" t="s">
        <v>479</v>
      </c>
      <c r="C188" s="32" t="s">
        <v>555</v>
      </c>
      <c r="D188" s="28" t="s">
        <v>551</v>
      </c>
      <c r="E188" s="28">
        <v>0</v>
      </c>
      <c r="F188" s="28" t="b">
        <v>1</v>
      </c>
      <c r="G188" s="28">
        <v>0</v>
      </c>
      <c r="H188" s="47">
        <v>0</v>
      </c>
      <c r="I188" s="28">
        <v>0</v>
      </c>
      <c r="J188" s="28">
        <v>0</v>
      </c>
      <c r="K188" s="28">
        <v>0</v>
      </c>
      <c r="L188" s="35" t="b">
        <v>0</v>
      </c>
      <c r="M188" s="28">
        <v>0</v>
      </c>
      <c r="N188" s="28">
        <v>0</v>
      </c>
      <c r="O188" s="47">
        <v>0</v>
      </c>
      <c r="P188" s="28">
        <v>0</v>
      </c>
      <c r="Q188" s="28">
        <v>0</v>
      </c>
      <c r="R188" s="28"/>
      <c r="S188" s="28" t="s">
        <v>481</v>
      </c>
      <c r="T188" s="36" t="str">
        <f>IFERROR(HYPERLINK("#'Main'!B"&amp;MATCH(TRIM(A188),Main!B:B,0),"Open"),HYPERLINK("#'Main'!B1","Open"))</f>
        <v>Open</v>
      </c>
      <c r="U188" s="36"/>
    </row>
    <row r="189" spans="1:21" ht="30" customHeight="1" x14ac:dyDescent="0.25">
      <c r="A189" s="46" t="s">
        <v>199</v>
      </c>
      <c r="B189" s="37" t="s">
        <v>479</v>
      </c>
      <c r="C189" s="39" t="s">
        <v>508</v>
      </c>
      <c r="D189" s="37" t="s">
        <v>556</v>
      </c>
      <c r="E189" s="47">
        <v>200</v>
      </c>
      <c r="F189" s="37" t="b">
        <v>1</v>
      </c>
      <c r="G189" s="37">
        <v>0</v>
      </c>
      <c r="H189" s="47">
        <v>0</v>
      </c>
      <c r="I189" s="37">
        <v>0</v>
      </c>
      <c r="J189" s="37">
        <v>0</v>
      </c>
      <c r="K189" s="37">
        <v>0</v>
      </c>
      <c r="L189" s="41" t="b">
        <v>0</v>
      </c>
      <c r="M189" s="37">
        <v>0</v>
      </c>
      <c r="N189" s="37">
        <v>0</v>
      </c>
      <c r="O189" s="47">
        <v>0</v>
      </c>
      <c r="P189" s="37">
        <v>0</v>
      </c>
      <c r="Q189" s="37">
        <v>0</v>
      </c>
      <c r="R189" s="37"/>
      <c r="S189" s="37" t="s">
        <v>481</v>
      </c>
      <c r="T189" t="str">
        <f>IFERROR(HYPERLINK("#'Main'!B"&amp;MATCH(TRIM(A189),Main!B:B,0),"Open"),HYPERLINK("#'Main'!B1","Open"))</f>
        <v>Open</v>
      </c>
    </row>
    <row r="190" spans="1:21" ht="30" customHeight="1" x14ac:dyDescent="0.25">
      <c r="A190" s="45" t="s">
        <v>199</v>
      </c>
      <c r="B190" s="28" t="s">
        <v>479</v>
      </c>
      <c r="C190" s="32" t="s">
        <v>494</v>
      </c>
      <c r="D190" s="28" t="s">
        <v>495</v>
      </c>
      <c r="E190" s="47">
        <v>200</v>
      </c>
      <c r="F190" s="28" t="b">
        <v>1</v>
      </c>
      <c r="G190" s="28">
        <v>0</v>
      </c>
      <c r="H190" s="47">
        <v>0</v>
      </c>
      <c r="I190" s="28">
        <v>0</v>
      </c>
      <c r="J190" s="28">
        <v>0</v>
      </c>
      <c r="K190" s="28">
        <v>0</v>
      </c>
      <c r="L190" s="35" t="b">
        <v>0</v>
      </c>
      <c r="M190" s="28">
        <v>0</v>
      </c>
      <c r="N190" s="28">
        <v>0</v>
      </c>
      <c r="O190" s="47">
        <v>0</v>
      </c>
      <c r="P190" s="28">
        <v>0</v>
      </c>
      <c r="Q190" s="28">
        <v>0</v>
      </c>
      <c r="R190" s="28"/>
      <c r="S190" s="28" t="s">
        <v>481</v>
      </c>
      <c r="T190" s="36" t="str">
        <f>IFERROR(HYPERLINK("#'Main'!B"&amp;MATCH(TRIM(A190),Main!B:B,0),"Open"),HYPERLINK("#'Main'!B1","Open"))</f>
        <v>Open</v>
      </c>
      <c r="U190" s="36"/>
    </row>
    <row r="191" spans="1:21" ht="30" customHeight="1" x14ac:dyDescent="0.25">
      <c r="A191" s="46" t="s">
        <v>199</v>
      </c>
      <c r="B191" s="37" t="s">
        <v>479</v>
      </c>
      <c r="C191" s="39" t="s">
        <v>496</v>
      </c>
      <c r="D191" s="37"/>
      <c r="E191" s="37">
        <v>0</v>
      </c>
      <c r="F191" s="37" t="b">
        <v>1</v>
      </c>
      <c r="G191" s="37">
        <v>0</v>
      </c>
      <c r="H191" s="47">
        <v>0</v>
      </c>
      <c r="I191" s="37">
        <v>0</v>
      </c>
      <c r="J191" s="37">
        <v>0</v>
      </c>
      <c r="K191" s="37">
        <v>0</v>
      </c>
      <c r="L191" s="41" t="b">
        <v>0</v>
      </c>
      <c r="M191" s="37">
        <v>0</v>
      </c>
      <c r="N191" s="37">
        <v>0</v>
      </c>
      <c r="O191" s="47">
        <v>0</v>
      </c>
      <c r="P191" s="37">
        <v>0</v>
      </c>
      <c r="Q191" s="37">
        <v>0</v>
      </c>
      <c r="R191" s="37"/>
      <c r="S191" s="37" t="s">
        <v>481</v>
      </c>
      <c r="T191" t="str">
        <f>IFERROR(HYPERLINK("#'Main'!B"&amp;MATCH(TRIM(A191),Main!B:B,0),"Open"),HYPERLINK("#'Main'!B1","Open"))</f>
        <v>Open</v>
      </c>
    </row>
    <row r="192" spans="1:21" ht="30" customHeight="1" x14ac:dyDescent="0.25">
      <c r="A192" s="45" t="s">
        <v>199</v>
      </c>
      <c r="B192" s="28" t="s">
        <v>479</v>
      </c>
      <c r="C192" s="32" t="s">
        <v>497</v>
      </c>
      <c r="D192" s="28"/>
      <c r="E192" s="28">
        <v>0</v>
      </c>
      <c r="F192" s="28" t="b">
        <v>1</v>
      </c>
      <c r="G192" s="28">
        <v>0</v>
      </c>
      <c r="H192" s="47">
        <v>0</v>
      </c>
      <c r="I192" s="28">
        <v>0</v>
      </c>
      <c r="J192" s="28">
        <v>0</v>
      </c>
      <c r="K192" s="28">
        <v>0</v>
      </c>
      <c r="L192" s="35" t="b">
        <v>0</v>
      </c>
      <c r="M192" s="28">
        <v>0</v>
      </c>
      <c r="N192" s="28">
        <v>0</v>
      </c>
      <c r="O192" s="47">
        <v>0</v>
      </c>
      <c r="P192" s="28">
        <v>0</v>
      </c>
      <c r="Q192" s="28">
        <v>0</v>
      </c>
      <c r="R192" s="28"/>
      <c r="S192" s="28" t="s">
        <v>481</v>
      </c>
      <c r="T192" s="36" t="str">
        <f>IFERROR(HYPERLINK("#'Main'!B"&amp;MATCH(TRIM(A192),Main!B:B,0),"Open"),HYPERLINK("#'Main'!B1","Open"))</f>
        <v>Open</v>
      </c>
      <c r="U192" s="36"/>
    </row>
    <row r="193" spans="1:21" ht="30" customHeight="1" x14ac:dyDescent="0.25">
      <c r="A193" s="46" t="s">
        <v>199</v>
      </c>
      <c r="B193" s="37" t="s">
        <v>479</v>
      </c>
      <c r="C193" s="39" t="s">
        <v>499</v>
      </c>
      <c r="D193" s="37" t="s">
        <v>526</v>
      </c>
      <c r="E193" s="47">
        <v>200</v>
      </c>
      <c r="F193" s="37" t="b">
        <v>1</v>
      </c>
      <c r="G193" s="37">
        <v>0</v>
      </c>
      <c r="H193" s="47">
        <v>0</v>
      </c>
      <c r="I193" s="37">
        <v>0</v>
      </c>
      <c r="J193" s="37">
        <v>0</v>
      </c>
      <c r="K193" s="37">
        <v>0</v>
      </c>
      <c r="L193" s="41" t="b">
        <v>0</v>
      </c>
      <c r="M193" s="37">
        <v>0</v>
      </c>
      <c r="N193" s="37">
        <v>0</v>
      </c>
      <c r="O193" s="47">
        <v>0</v>
      </c>
      <c r="P193" s="37">
        <v>0</v>
      </c>
      <c r="Q193" s="37">
        <v>0</v>
      </c>
      <c r="R193" s="37"/>
      <c r="S193" s="37" t="s">
        <v>481</v>
      </c>
      <c r="T193" t="str">
        <f>IFERROR(HYPERLINK("#'Main'!B"&amp;MATCH(TRIM(A193),Main!B:B,0),"Open"),HYPERLINK("#'Main'!B1","Open"))</f>
        <v>Open</v>
      </c>
    </row>
    <row r="194" spans="1:21" ht="30" customHeight="1" x14ac:dyDescent="0.25">
      <c r="A194" s="45" t="s">
        <v>199</v>
      </c>
      <c r="B194" s="28" t="s">
        <v>479</v>
      </c>
      <c r="C194" s="32" t="s">
        <v>501</v>
      </c>
      <c r="D194" s="28" t="s">
        <v>502</v>
      </c>
      <c r="E194" s="29">
        <v>404</v>
      </c>
      <c r="F194" s="28" t="b">
        <v>0</v>
      </c>
      <c r="G194" s="28">
        <v>0</v>
      </c>
      <c r="H194" s="47">
        <v>0</v>
      </c>
      <c r="I194" s="28">
        <v>0</v>
      </c>
      <c r="J194" s="28">
        <v>0</v>
      </c>
      <c r="K194" s="28">
        <v>0</v>
      </c>
      <c r="L194" s="35" t="b">
        <v>0</v>
      </c>
      <c r="M194" s="28">
        <v>0</v>
      </c>
      <c r="N194" s="28">
        <v>0</v>
      </c>
      <c r="O194" s="47">
        <v>0</v>
      </c>
      <c r="P194" s="28">
        <v>0</v>
      </c>
      <c r="Q194" s="28">
        <v>0</v>
      </c>
      <c r="R194" s="28"/>
      <c r="S194" s="28" t="s">
        <v>481</v>
      </c>
      <c r="T194" s="36" t="str">
        <f>IFERROR(HYPERLINK("#'Main'!B"&amp;MATCH(TRIM(A194),Main!B:B,0),"Open"),HYPERLINK("#'Main'!B1","Open"))</f>
        <v>Open</v>
      </c>
      <c r="U194" s="36"/>
    </row>
    <row r="195" spans="1:21" ht="30" customHeight="1" x14ac:dyDescent="0.25">
      <c r="A195" s="46" t="s">
        <v>199</v>
      </c>
      <c r="B195" s="37" t="s">
        <v>479</v>
      </c>
      <c r="C195" s="39" t="s">
        <v>501</v>
      </c>
      <c r="D195" s="37" t="s">
        <v>503</v>
      </c>
      <c r="E195" s="29">
        <v>404</v>
      </c>
      <c r="F195" s="37" t="b">
        <v>0</v>
      </c>
      <c r="G195" s="37">
        <v>0</v>
      </c>
      <c r="H195" s="47">
        <v>0</v>
      </c>
      <c r="I195" s="37">
        <v>0</v>
      </c>
      <c r="J195" s="37">
        <v>0</v>
      </c>
      <c r="K195" s="37">
        <v>0</v>
      </c>
      <c r="L195" s="41" t="b">
        <v>0</v>
      </c>
      <c r="M195" s="37">
        <v>0</v>
      </c>
      <c r="N195" s="37">
        <v>0</v>
      </c>
      <c r="O195" s="47">
        <v>0</v>
      </c>
      <c r="P195" s="37">
        <v>0</v>
      </c>
      <c r="Q195" s="37">
        <v>0</v>
      </c>
      <c r="R195" s="37"/>
      <c r="S195" s="37" t="s">
        <v>481</v>
      </c>
      <c r="T195" t="str">
        <f>IFERROR(HYPERLINK("#'Main'!B"&amp;MATCH(TRIM(A195),Main!B:B,0),"Open"),HYPERLINK("#'Main'!B1","Open"))</f>
        <v>Open</v>
      </c>
    </row>
    <row r="196" spans="1:21" ht="30" customHeight="1" x14ac:dyDescent="0.25">
      <c r="A196" s="45" t="s">
        <v>146</v>
      </c>
      <c r="B196" s="28" t="s">
        <v>479</v>
      </c>
      <c r="C196" s="32" t="s">
        <v>166</v>
      </c>
      <c r="D196" s="28"/>
      <c r="E196" s="47">
        <v>200</v>
      </c>
      <c r="F196" s="28" t="b">
        <v>1</v>
      </c>
      <c r="G196" s="28">
        <v>0</v>
      </c>
      <c r="H196" s="47">
        <v>0</v>
      </c>
      <c r="I196" s="28">
        <v>0</v>
      </c>
      <c r="J196" s="28">
        <v>0</v>
      </c>
      <c r="K196" s="28">
        <v>0</v>
      </c>
      <c r="L196" s="35" t="b">
        <v>0</v>
      </c>
      <c r="M196" s="28">
        <v>0</v>
      </c>
      <c r="N196" s="28">
        <v>0</v>
      </c>
      <c r="O196" s="47">
        <v>0</v>
      </c>
      <c r="P196" s="28">
        <v>0</v>
      </c>
      <c r="Q196" s="28">
        <v>0</v>
      </c>
      <c r="R196" s="28"/>
      <c r="S196" s="28" t="s">
        <v>481</v>
      </c>
      <c r="T196" s="36" t="str">
        <f>IFERROR(HYPERLINK("#'Main'!B"&amp;MATCH(TRIM(A196),Main!B:B,0),"Open"),HYPERLINK("#'Main'!B1","Open"))</f>
        <v>Open</v>
      </c>
      <c r="U196" s="36"/>
    </row>
    <row r="197" spans="1:21" ht="30" customHeight="1" x14ac:dyDescent="0.25">
      <c r="A197" s="46" t="s">
        <v>146</v>
      </c>
      <c r="B197" s="37" t="s">
        <v>479</v>
      </c>
      <c r="C197" s="39" t="s">
        <v>166</v>
      </c>
      <c r="D197" s="37" t="s">
        <v>504</v>
      </c>
      <c r="E197" s="47">
        <v>200</v>
      </c>
      <c r="F197" s="37" t="b">
        <v>1</v>
      </c>
      <c r="G197" s="37">
        <v>0</v>
      </c>
      <c r="H197" s="47">
        <v>0</v>
      </c>
      <c r="I197" s="37">
        <v>0</v>
      </c>
      <c r="J197" s="37">
        <v>0</v>
      </c>
      <c r="K197" s="37">
        <v>0</v>
      </c>
      <c r="L197" s="41" t="b">
        <v>0</v>
      </c>
      <c r="M197" s="37">
        <v>0</v>
      </c>
      <c r="N197" s="37">
        <v>0</v>
      </c>
      <c r="O197" s="47">
        <v>0</v>
      </c>
      <c r="P197" s="37">
        <v>0</v>
      </c>
      <c r="Q197" s="37">
        <v>0</v>
      </c>
      <c r="R197" s="37"/>
      <c r="S197" s="37" t="s">
        <v>481</v>
      </c>
      <c r="T197" t="str">
        <f>IFERROR(HYPERLINK("#'Main'!B"&amp;MATCH(TRIM(A197),Main!B:B,0),"Open"),HYPERLINK("#'Main'!B1","Open"))</f>
        <v>Open</v>
      </c>
    </row>
    <row r="198" spans="1:21" ht="30" customHeight="1" x14ac:dyDescent="0.25">
      <c r="A198" s="45" t="s">
        <v>146</v>
      </c>
      <c r="B198" s="28" t="s">
        <v>479</v>
      </c>
      <c r="C198" s="32" t="s">
        <v>199</v>
      </c>
      <c r="D198" s="28" t="s">
        <v>505</v>
      </c>
      <c r="E198" s="47">
        <v>200</v>
      </c>
      <c r="F198" s="28" t="b">
        <v>1</v>
      </c>
      <c r="G198" s="28">
        <v>0</v>
      </c>
      <c r="H198" s="47">
        <v>0</v>
      </c>
      <c r="I198" s="28">
        <v>0</v>
      </c>
      <c r="J198" s="28">
        <v>0</v>
      </c>
      <c r="K198" s="28">
        <v>0</v>
      </c>
      <c r="L198" s="35" t="b">
        <v>0</v>
      </c>
      <c r="M198" s="28">
        <v>0</v>
      </c>
      <c r="N198" s="28">
        <v>0</v>
      </c>
      <c r="O198" s="47">
        <v>0</v>
      </c>
      <c r="P198" s="28">
        <v>0</v>
      </c>
      <c r="Q198" s="28">
        <v>0</v>
      </c>
      <c r="R198" s="28"/>
      <c r="S198" s="28" t="s">
        <v>481</v>
      </c>
      <c r="T198" s="36" t="str">
        <f>IFERROR(HYPERLINK("#'Main'!B"&amp;MATCH(TRIM(A198),Main!B:B,0),"Open"),HYPERLINK("#'Main'!B1","Open"))</f>
        <v>Open</v>
      </c>
      <c r="U198" s="36"/>
    </row>
    <row r="199" spans="1:21" ht="30" customHeight="1" x14ac:dyDescent="0.25">
      <c r="A199" s="46" t="s">
        <v>146</v>
      </c>
      <c r="B199" s="37" t="s">
        <v>479</v>
      </c>
      <c r="C199" s="39" t="s">
        <v>506</v>
      </c>
      <c r="D199" s="37" t="s">
        <v>507</v>
      </c>
      <c r="E199" s="47">
        <v>200</v>
      </c>
      <c r="F199" s="37" t="b">
        <v>1</v>
      </c>
      <c r="G199" s="37">
        <v>0</v>
      </c>
      <c r="H199" s="47">
        <v>0</v>
      </c>
      <c r="I199" s="37">
        <v>0</v>
      </c>
      <c r="J199" s="37">
        <v>0</v>
      </c>
      <c r="K199" s="37">
        <v>0</v>
      </c>
      <c r="L199" s="41" t="b">
        <v>0</v>
      </c>
      <c r="M199" s="37">
        <v>0</v>
      </c>
      <c r="N199" s="37">
        <v>0</v>
      </c>
      <c r="O199" s="47">
        <v>0</v>
      </c>
      <c r="P199" s="37">
        <v>0</v>
      </c>
      <c r="Q199" s="37">
        <v>0</v>
      </c>
      <c r="R199" s="37"/>
      <c r="S199" s="37" t="s">
        <v>481</v>
      </c>
      <c r="T199" t="str">
        <f>IFERROR(HYPERLINK("#'Main'!B"&amp;MATCH(TRIM(A199),Main!B:B,0),"Open"),HYPERLINK("#'Main'!B1","Open"))</f>
        <v>Open</v>
      </c>
    </row>
    <row r="200" spans="1:21" ht="30" customHeight="1" x14ac:dyDescent="0.25">
      <c r="A200" s="45" t="s">
        <v>146</v>
      </c>
      <c r="B200" s="28" t="s">
        <v>479</v>
      </c>
      <c r="C200" s="32" t="s">
        <v>508</v>
      </c>
      <c r="D200" s="28" t="s">
        <v>509</v>
      </c>
      <c r="E200" s="47">
        <v>200</v>
      </c>
      <c r="F200" s="28" t="b">
        <v>1</v>
      </c>
      <c r="G200" s="28">
        <v>0</v>
      </c>
      <c r="H200" s="47">
        <v>0</v>
      </c>
      <c r="I200" s="28">
        <v>0</v>
      </c>
      <c r="J200" s="28">
        <v>0</v>
      </c>
      <c r="K200" s="28">
        <v>0</v>
      </c>
      <c r="L200" s="35" t="b">
        <v>0</v>
      </c>
      <c r="M200" s="28">
        <v>0</v>
      </c>
      <c r="N200" s="28">
        <v>0</v>
      </c>
      <c r="O200" s="47">
        <v>0</v>
      </c>
      <c r="P200" s="28">
        <v>0</v>
      </c>
      <c r="Q200" s="28">
        <v>0</v>
      </c>
      <c r="R200" s="28"/>
      <c r="S200" s="28" t="s">
        <v>481</v>
      </c>
      <c r="T200" s="36" t="str">
        <f>IFERROR(HYPERLINK("#'Main'!B"&amp;MATCH(TRIM(A200),Main!B:B,0),"Open"),HYPERLINK("#'Main'!B1","Open"))</f>
        <v>Open</v>
      </c>
      <c r="U200" s="36"/>
    </row>
    <row r="201" spans="1:21" ht="30" customHeight="1" x14ac:dyDescent="0.25">
      <c r="A201" s="46" t="s">
        <v>146</v>
      </c>
      <c r="B201" s="37" t="s">
        <v>479</v>
      </c>
      <c r="C201" s="39" t="s">
        <v>196</v>
      </c>
      <c r="D201" s="37" t="s">
        <v>510</v>
      </c>
      <c r="E201" s="47">
        <v>200</v>
      </c>
      <c r="F201" s="37" t="b">
        <v>1</v>
      </c>
      <c r="G201" s="37">
        <v>0</v>
      </c>
      <c r="H201" s="47">
        <v>0</v>
      </c>
      <c r="I201" s="37">
        <v>0</v>
      </c>
      <c r="J201" s="37">
        <v>0</v>
      </c>
      <c r="K201" s="37">
        <v>0</v>
      </c>
      <c r="L201" s="41" t="b">
        <v>0</v>
      </c>
      <c r="M201" s="37">
        <v>0</v>
      </c>
      <c r="N201" s="37">
        <v>0</v>
      </c>
      <c r="O201" s="47">
        <v>0</v>
      </c>
      <c r="P201" s="37">
        <v>0</v>
      </c>
      <c r="Q201" s="37">
        <v>0</v>
      </c>
      <c r="R201" s="37"/>
      <c r="S201" s="37" t="s">
        <v>481</v>
      </c>
      <c r="T201" t="str">
        <f>IFERROR(HYPERLINK("#'Main'!B"&amp;MATCH(TRIM(A201),Main!B:B,0),"Open"),HYPERLINK("#'Main'!B1","Open"))</f>
        <v>Open</v>
      </c>
    </row>
    <row r="202" spans="1:21" ht="30" customHeight="1" x14ac:dyDescent="0.25">
      <c r="A202" s="45" t="s">
        <v>146</v>
      </c>
      <c r="B202" s="28" t="s">
        <v>479</v>
      </c>
      <c r="C202" s="32" t="s">
        <v>511</v>
      </c>
      <c r="D202" s="28" t="s">
        <v>512</v>
      </c>
      <c r="E202" s="47">
        <v>200</v>
      </c>
      <c r="F202" s="28" t="b">
        <v>1</v>
      </c>
      <c r="G202" s="28">
        <v>0</v>
      </c>
      <c r="H202" s="47">
        <v>0</v>
      </c>
      <c r="I202" s="28">
        <v>0</v>
      </c>
      <c r="J202" s="28">
        <v>0</v>
      </c>
      <c r="K202" s="28">
        <v>0</v>
      </c>
      <c r="L202" s="35" t="b">
        <v>0</v>
      </c>
      <c r="M202" s="28">
        <v>0</v>
      </c>
      <c r="N202" s="28">
        <v>0</v>
      </c>
      <c r="O202" s="47">
        <v>0</v>
      </c>
      <c r="P202" s="28">
        <v>0</v>
      </c>
      <c r="Q202" s="28">
        <v>0</v>
      </c>
      <c r="R202" s="28"/>
      <c r="S202" s="28" t="s">
        <v>481</v>
      </c>
      <c r="T202" s="36" t="str">
        <f>IFERROR(HYPERLINK("#'Main'!B"&amp;MATCH(TRIM(A202),Main!B:B,0),"Open"),HYPERLINK("#'Main'!B1","Open"))</f>
        <v>Open</v>
      </c>
      <c r="U202" s="36"/>
    </row>
    <row r="203" spans="1:21" ht="30" customHeight="1" x14ac:dyDescent="0.25">
      <c r="A203" s="46" t="s">
        <v>146</v>
      </c>
      <c r="B203" s="37" t="s">
        <v>479</v>
      </c>
      <c r="C203" s="39" t="s">
        <v>513</v>
      </c>
      <c r="D203" s="37" t="s">
        <v>514</v>
      </c>
      <c r="E203" s="47">
        <v>200</v>
      </c>
      <c r="F203" s="37" t="b">
        <v>1</v>
      </c>
      <c r="G203" s="37">
        <v>0</v>
      </c>
      <c r="H203" s="47">
        <v>0</v>
      </c>
      <c r="I203" s="37">
        <v>0</v>
      </c>
      <c r="J203" s="37">
        <v>0</v>
      </c>
      <c r="K203" s="37">
        <v>0</v>
      </c>
      <c r="L203" s="41" t="b">
        <v>0</v>
      </c>
      <c r="M203" s="37">
        <v>0</v>
      </c>
      <c r="N203" s="37">
        <v>0</v>
      </c>
      <c r="O203" s="47">
        <v>0</v>
      </c>
      <c r="P203" s="37">
        <v>0</v>
      </c>
      <c r="Q203" s="37">
        <v>0</v>
      </c>
      <c r="R203" s="37"/>
      <c r="S203" s="37" t="s">
        <v>481</v>
      </c>
      <c r="T203" t="str">
        <f>IFERROR(HYPERLINK("#'Main'!B"&amp;MATCH(TRIM(A203),Main!B:B,0),"Open"),HYPERLINK("#'Main'!B1","Open"))</f>
        <v>Open</v>
      </c>
    </row>
    <row r="204" spans="1:21" ht="30" customHeight="1" x14ac:dyDescent="0.25">
      <c r="A204" s="45" t="s">
        <v>146</v>
      </c>
      <c r="B204" s="28" t="s">
        <v>479</v>
      </c>
      <c r="C204" s="32" t="s">
        <v>515</v>
      </c>
      <c r="D204" s="28" t="s">
        <v>516</v>
      </c>
      <c r="E204" s="47">
        <v>200</v>
      </c>
      <c r="F204" s="28" t="b">
        <v>1</v>
      </c>
      <c r="G204" s="28">
        <v>0</v>
      </c>
      <c r="H204" s="47">
        <v>0</v>
      </c>
      <c r="I204" s="28">
        <v>0</v>
      </c>
      <c r="J204" s="28">
        <v>0</v>
      </c>
      <c r="K204" s="28">
        <v>0</v>
      </c>
      <c r="L204" s="35" t="b">
        <v>0</v>
      </c>
      <c r="M204" s="28">
        <v>0</v>
      </c>
      <c r="N204" s="28">
        <v>0</v>
      </c>
      <c r="O204" s="47">
        <v>0</v>
      </c>
      <c r="P204" s="28">
        <v>0</v>
      </c>
      <c r="Q204" s="28">
        <v>0</v>
      </c>
      <c r="R204" s="28"/>
      <c r="S204" s="28" t="s">
        <v>481</v>
      </c>
      <c r="T204" s="36" t="str">
        <f>IFERROR(HYPERLINK("#'Main'!B"&amp;MATCH(TRIM(A204),Main!B:B,0),"Open"),HYPERLINK("#'Main'!B1","Open"))</f>
        <v>Open</v>
      </c>
      <c r="U204" s="36"/>
    </row>
    <row r="205" spans="1:21" ht="30" customHeight="1" x14ac:dyDescent="0.25">
      <c r="A205" s="46" t="s">
        <v>146</v>
      </c>
      <c r="B205" s="37" t="s">
        <v>479</v>
      </c>
      <c r="C205" s="39" t="s">
        <v>517</v>
      </c>
      <c r="D205" s="37" t="s">
        <v>518</v>
      </c>
      <c r="E205" s="47">
        <v>200</v>
      </c>
      <c r="F205" s="37" t="b">
        <v>1</v>
      </c>
      <c r="G205" s="37">
        <v>0</v>
      </c>
      <c r="H205" s="47">
        <v>0</v>
      </c>
      <c r="I205" s="37">
        <v>0</v>
      </c>
      <c r="J205" s="37">
        <v>0</v>
      </c>
      <c r="K205" s="37">
        <v>0</v>
      </c>
      <c r="L205" s="41" t="b">
        <v>0</v>
      </c>
      <c r="M205" s="37">
        <v>0</v>
      </c>
      <c r="N205" s="37">
        <v>0</v>
      </c>
      <c r="O205" s="47">
        <v>0</v>
      </c>
      <c r="P205" s="37">
        <v>0</v>
      </c>
      <c r="Q205" s="37">
        <v>0</v>
      </c>
      <c r="R205" s="37"/>
      <c r="S205" s="37" t="s">
        <v>481</v>
      </c>
      <c r="T205" t="str">
        <f>IFERROR(HYPERLINK("#'Main'!B"&amp;MATCH(TRIM(A205),Main!B:B,0),"Open"),HYPERLINK("#'Main'!B1","Open"))</f>
        <v>Open</v>
      </c>
    </row>
    <row r="206" spans="1:21" ht="30" customHeight="1" x14ac:dyDescent="0.25">
      <c r="A206" s="45" t="s">
        <v>146</v>
      </c>
      <c r="B206" s="28" t="s">
        <v>479</v>
      </c>
      <c r="C206" s="32" t="s">
        <v>517</v>
      </c>
      <c r="D206" s="28" t="s">
        <v>519</v>
      </c>
      <c r="E206" s="47">
        <v>200</v>
      </c>
      <c r="F206" s="28" t="b">
        <v>1</v>
      </c>
      <c r="G206" s="28">
        <v>0</v>
      </c>
      <c r="H206" s="47">
        <v>0</v>
      </c>
      <c r="I206" s="28">
        <v>0</v>
      </c>
      <c r="J206" s="28">
        <v>0</v>
      </c>
      <c r="K206" s="28">
        <v>0</v>
      </c>
      <c r="L206" s="35" t="b">
        <v>0</v>
      </c>
      <c r="M206" s="28">
        <v>0</v>
      </c>
      <c r="N206" s="28">
        <v>0</v>
      </c>
      <c r="O206" s="47">
        <v>0</v>
      </c>
      <c r="P206" s="28">
        <v>0</v>
      </c>
      <c r="Q206" s="28">
        <v>0</v>
      </c>
      <c r="R206" s="28"/>
      <c r="S206" s="28" t="s">
        <v>481</v>
      </c>
      <c r="T206" s="36" t="str">
        <f>IFERROR(HYPERLINK("#'Main'!B"&amp;MATCH(TRIM(A206),Main!B:B,0),"Open"),HYPERLINK("#'Main'!B1","Open"))</f>
        <v>Open</v>
      </c>
      <c r="U206" s="36"/>
    </row>
    <row r="207" spans="1:21" ht="30" customHeight="1" x14ac:dyDescent="0.25">
      <c r="A207" s="46" t="s">
        <v>146</v>
      </c>
      <c r="B207" s="37" t="s">
        <v>479</v>
      </c>
      <c r="C207" s="39" t="s">
        <v>494</v>
      </c>
      <c r="D207" s="37" t="s">
        <v>520</v>
      </c>
      <c r="E207" s="47">
        <v>200</v>
      </c>
      <c r="F207" s="37" t="b">
        <v>1</v>
      </c>
      <c r="G207" s="37">
        <v>0</v>
      </c>
      <c r="H207" s="47">
        <v>0</v>
      </c>
      <c r="I207" s="37">
        <v>0</v>
      </c>
      <c r="J207" s="37">
        <v>0</v>
      </c>
      <c r="K207" s="37">
        <v>0</v>
      </c>
      <c r="L207" s="41" t="b">
        <v>0</v>
      </c>
      <c r="M207" s="37">
        <v>0</v>
      </c>
      <c r="N207" s="37">
        <v>0</v>
      </c>
      <c r="O207" s="47">
        <v>0</v>
      </c>
      <c r="P207" s="37">
        <v>0</v>
      </c>
      <c r="Q207" s="37">
        <v>0</v>
      </c>
      <c r="R207" s="37"/>
      <c r="S207" s="37" t="s">
        <v>481</v>
      </c>
      <c r="T207" t="str">
        <f>IFERROR(HYPERLINK("#'Main'!B"&amp;MATCH(TRIM(A207),Main!B:B,0),"Open"),HYPERLINK("#'Main'!B1","Open"))</f>
        <v>Open</v>
      </c>
    </row>
    <row r="208" spans="1:21" ht="30" customHeight="1" x14ac:dyDescent="0.25">
      <c r="A208" s="45" t="s">
        <v>146</v>
      </c>
      <c r="B208" s="28" t="s">
        <v>479</v>
      </c>
      <c r="C208" s="32" t="s">
        <v>521</v>
      </c>
      <c r="D208" s="28" t="s">
        <v>268</v>
      </c>
      <c r="E208" s="47">
        <v>200</v>
      </c>
      <c r="F208" s="28" t="b">
        <v>1</v>
      </c>
      <c r="G208" s="28">
        <v>0</v>
      </c>
      <c r="H208" s="47">
        <v>0</v>
      </c>
      <c r="I208" s="28">
        <v>0</v>
      </c>
      <c r="J208" s="28">
        <v>0</v>
      </c>
      <c r="K208" s="28">
        <v>0</v>
      </c>
      <c r="L208" s="35" t="b">
        <v>0</v>
      </c>
      <c r="M208" s="28">
        <v>0</v>
      </c>
      <c r="N208" s="28">
        <v>0</v>
      </c>
      <c r="O208" s="47">
        <v>0</v>
      </c>
      <c r="P208" s="28">
        <v>0</v>
      </c>
      <c r="Q208" s="28">
        <v>0</v>
      </c>
      <c r="R208" s="28"/>
      <c r="S208" s="28" t="s">
        <v>481</v>
      </c>
      <c r="T208" s="36" t="str">
        <f>IFERROR(HYPERLINK("#'Main'!B"&amp;MATCH(TRIM(A208),Main!B:B,0),"Open"),HYPERLINK("#'Main'!B1","Open"))</f>
        <v>Open</v>
      </c>
      <c r="U208" s="36"/>
    </row>
    <row r="209" spans="1:21" ht="30" customHeight="1" x14ac:dyDescent="0.25">
      <c r="A209" s="46" t="s">
        <v>146</v>
      </c>
      <c r="B209" s="37" t="s">
        <v>479</v>
      </c>
      <c r="C209" s="39" t="s">
        <v>522</v>
      </c>
      <c r="D209" s="37" t="s">
        <v>523</v>
      </c>
      <c r="E209" s="47">
        <v>200</v>
      </c>
      <c r="F209" s="37" t="b">
        <v>1</v>
      </c>
      <c r="G209" s="37">
        <v>0</v>
      </c>
      <c r="H209" s="47">
        <v>0</v>
      </c>
      <c r="I209" s="37">
        <v>0</v>
      </c>
      <c r="J209" s="37">
        <v>0</v>
      </c>
      <c r="K209" s="37">
        <v>0</v>
      </c>
      <c r="L209" s="41" t="b">
        <v>0</v>
      </c>
      <c r="M209" s="37">
        <v>0</v>
      </c>
      <c r="N209" s="37">
        <v>0</v>
      </c>
      <c r="O209" s="47">
        <v>0</v>
      </c>
      <c r="P209" s="37">
        <v>0</v>
      </c>
      <c r="Q209" s="37">
        <v>0</v>
      </c>
      <c r="R209" s="37"/>
      <c r="S209" s="37" t="s">
        <v>481</v>
      </c>
      <c r="T209" t="str">
        <f>IFERROR(HYPERLINK("#'Main'!B"&amp;MATCH(TRIM(A209),Main!B:B,0),"Open"),HYPERLINK("#'Main'!B1","Open"))</f>
        <v>Open</v>
      </c>
    </row>
    <row r="210" spans="1:21" ht="30" customHeight="1" x14ac:dyDescent="0.25">
      <c r="A210" s="45" t="s">
        <v>146</v>
      </c>
      <c r="B210" s="28" t="s">
        <v>479</v>
      </c>
      <c r="C210" s="32" t="s">
        <v>166</v>
      </c>
      <c r="D210" s="28" t="s">
        <v>504</v>
      </c>
      <c r="E210" s="47">
        <v>200</v>
      </c>
      <c r="F210" s="28" t="b">
        <v>1</v>
      </c>
      <c r="G210" s="28">
        <v>0</v>
      </c>
      <c r="H210" s="47">
        <v>0</v>
      </c>
      <c r="I210" s="28">
        <v>0</v>
      </c>
      <c r="J210" s="28">
        <v>0</v>
      </c>
      <c r="K210" s="28">
        <v>0</v>
      </c>
      <c r="L210" s="35" t="b">
        <v>0</v>
      </c>
      <c r="M210" s="28">
        <v>0</v>
      </c>
      <c r="N210" s="28">
        <v>0</v>
      </c>
      <c r="O210" s="47">
        <v>0</v>
      </c>
      <c r="P210" s="28">
        <v>0</v>
      </c>
      <c r="Q210" s="28">
        <v>0</v>
      </c>
      <c r="R210" s="28"/>
      <c r="S210" s="28" t="s">
        <v>481</v>
      </c>
      <c r="T210" s="36" t="str">
        <f>IFERROR(HYPERLINK("#'Main'!B"&amp;MATCH(TRIM(A210),Main!B:B,0),"Open"),HYPERLINK("#'Main'!B1","Open"))</f>
        <v>Open</v>
      </c>
      <c r="U210" s="36"/>
    </row>
    <row r="211" spans="1:21" ht="30" customHeight="1" x14ac:dyDescent="0.25">
      <c r="A211" s="46" t="s">
        <v>146</v>
      </c>
      <c r="B211" s="37" t="s">
        <v>479</v>
      </c>
      <c r="C211" s="39" t="s">
        <v>199</v>
      </c>
      <c r="D211" s="37" t="s">
        <v>505</v>
      </c>
      <c r="E211" s="47">
        <v>200</v>
      </c>
      <c r="F211" s="37" t="b">
        <v>1</v>
      </c>
      <c r="G211" s="37">
        <v>0</v>
      </c>
      <c r="H211" s="47">
        <v>0</v>
      </c>
      <c r="I211" s="37">
        <v>0</v>
      </c>
      <c r="J211" s="37">
        <v>0</v>
      </c>
      <c r="K211" s="37">
        <v>0</v>
      </c>
      <c r="L211" s="41" t="b">
        <v>0</v>
      </c>
      <c r="M211" s="37">
        <v>0</v>
      </c>
      <c r="N211" s="37">
        <v>0</v>
      </c>
      <c r="O211" s="47">
        <v>0</v>
      </c>
      <c r="P211" s="37">
        <v>0</v>
      </c>
      <c r="Q211" s="37">
        <v>0</v>
      </c>
      <c r="R211" s="37"/>
      <c r="S211" s="37" t="s">
        <v>481</v>
      </c>
      <c r="T211" t="str">
        <f>IFERROR(HYPERLINK("#'Main'!B"&amp;MATCH(TRIM(A211),Main!B:B,0),"Open"),HYPERLINK("#'Main'!B1","Open"))</f>
        <v>Open</v>
      </c>
    </row>
    <row r="212" spans="1:21" ht="30" customHeight="1" x14ac:dyDescent="0.25">
      <c r="A212" s="45" t="s">
        <v>146</v>
      </c>
      <c r="B212" s="28" t="s">
        <v>479</v>
      </c>
      <c r="C212" s="32" t="s">
        <v>506</v>
      </c>
      <c r="D212" s="28" t="s">
        <v>507</v>
      </c>
      <c r="E212" s="47">
        <v>200</v>
      </c>
      <c r="F212" s="28" t="b">
        <v>1</v>
      </c>
      <c r="G212" s="28">
        <v>0</v>
      </c>
      <c r="H212" s="47">
        <v>0</v>
      </c>
      <c r="I212" s="28">
        <v>0</v>
      </c>
      <c r="J212" s="28">
        <v>0</v>
      </c>
      <c r="K212" s="28">
        <v>0</v>
      </c>
      <c r="L212" s="35" t="b">
        <v>0</v>
      </c>
      <c r="M212" s="28">
        <v>0</v>
      </c>
      <c r="N212" s="28">
        <v>0</v>
      </c>
      <c r="O212" s="47">
        <v>0</v>
      </c>
      <c r="P212" s="28">
        <v>0</v>
      </c>
      <c r="Q212" s="28">
        <v>0</v>
      </c>
      <c r="R212" s="28"/>
      <c r="S212" s="28" t="s">
        <v>481</v>
      </c>
      <c r="T212" s="36" t="str">
        <f>IFERROR(HYPERLINK("#'Main'!B"&amp;MATCH(TRIM(A212),Main!B:B,0),"Open"),HYPERLINK("#'Main'!B1","Open"))</f>
        <v>Open</v>
      </c>
      <c r="U212" s="36"/>
    </row>
    <row r="213" spans="1:21" ht="30" customHeight="1" x14ac:dyDescent="0.25">
      <c r="A213" s="46" t="s">
        <v>146</v>
      </c>
      <c r="B213" s="37" t="s">
        <v>479</v>
      </c>
      <c r="C213" s="39" t="s">
        <v>508</v>
      </c>
      <c r="D213" s="37" t="s">
        <v>509</v>
      </c>
      <c r="E213" s="47">
        <v>200</v>
      </c>
      <c r="F213" s="37" t="b">
        <v>1</v>
      </c>
      <c r="G213" s="37">
        <v>0</v>
      </c>
      <c r="H213" s="47">
        <v>0</v>
      </c>
      <c r="I213" s="37">
        <v>0</v>
      </c>
      <c r="J213" s="37">
        <v>0</v>
      </c>
      <c r="K213" s="37">
        <v>0</v>
      </c>
      <c r="L213" s="41" t="b">
        <v>0</v>
      </c>
      <c r="M213" s="37">
        <v>0</v>
      </c>
      <c r="N213" s="37">
        <v>0</v>
      </c>
      <c r="O213" s="47">
        <v>0</v>
      </c>
      <c r="P213" s="37">
        <v>0</v>
      </c>
      <c r="Q213" s="37">
        <v>0</v>
      </c>
      <c r="R213" s="37"/>
      <c r="S213" s="37" t="s">
        <v>481</v>
      </c>
      <c r="T213" t="str">
        <f>IFERROR(HYPERLINK("#'Main'!B"&amp;MATCH(TRIM(A213),Main!B:B,0),"Open"),HYPERLINK("#'Main'!B1","Open"))</f>
        <v>Open</v>
      </c>
    </row>
    <row r="214" spans="1:21" ht="30" customHeight="1" x14ac:dyDescent="0.25">
      <c r="A214" s="45" t="s">
        <v>146</v>
      </c>
      <c r="B214" s="28" t="s">
        <v>479</v>
      </c>
      <c r="C214" s="32" t="s">
        <v>196</v>
      </c>
      <c r="D214" s="28" t="s">
        <v>510</v>
      </c>
      <c r="E214" s="47">
        <v>200</v>
      </c>
      <c r="F214" s="28" t="b">
        <v>1</v>
      </c>
      <c r="G214" s="28">
        <v>0</v>
      </c>
      <c r="H214" s="47">
        <v>0</v>
      </c>
      <c r="I214" s="28">
        <v>0</v>
      </c>
      <c r="J214" s="28">
        <v>0</v>
      </c>
      <c r="K214" s="28">
        <v>0</v>
      </c>
      <c r="L214" s="35" t="b">
        <v>0</v>
      </c>
      <c r="M214" s="28">
        <v>0</v>
      </c>
      <c r="N214" s="28">
        <v>0</v>
      </c>
      <c r="O214" s="47">
        <v>0</v>
      </c>
      <c r="P214" s="28">
        <v>0</v>
      </c>
      <c r="Q214" s="28">
        <v>0</v>
      </c>
      <c r="R214" s="28"/>
      <c r="S214" s="28" t="s">
        <v>481</v>
      </c>
      <c r="T214" s="36" t="str">
        <f>IFERROR(HYPERLINK("#'Main'!B"&amp;MATCH(TRIM(A214),Main!B:B,0),"Open"),HYPERLINK("#'Main'!B1","Open"))</f>
        <v>Open</v>
      </c>
      <c r="U214" s="36"/>
    </row>
    <row r="215" spans="1:21" ht="30" customHeight="1" x14ac:dyDescent="0.25">
      <c r="A215" s="46" t="s">
        <v>146</v>
      </c>
      <c r="B215" s="37" t="s">
        <v>479</v>
      </c>
      <c r="C215" s="39" t="s">
        <v>511</v>
      </c>
      <c r="D215" s="37" t="s">
        <v>512</v>
      </c>
      <c r="E215" s="47">
        <v>200</v>
      </c>
      <c r="F215" s="37" t="b">
        <v>1</v>
      </c>
      <c r="G215" s="37">
        <v>0</v>
      </c>
      <c r="H215" s="47">
        <v>0</v>
      </c>
      <c r="I215" s="37">
        <v>0</v>
      </c>
      <c r="J215" s="37">
        <v>0</v>
      </c>
      <c r="K215" s="37">
        <v>0</v>
      </c>
      <c r="L215" s="41" t="b">
        <v>0</v>
      </c>
      <c r="M215" s="37">
        <v>0</v>
      </c>
      <c r="N215" s="37">
        <v>0</v>
      </c>
      <c r="O215" s="47">
        <v>0</v>
      </c>
      <c r="P215" s="37">
        <v>0</v>
      </c>
      <c r="Q215" s="37">
        <v>0</v>
      </c>
      <c r="R215" s="37"/>
      <c r="S215" s="37" t="s">
        <v>481</v>
      </c>
      <c r="T215" t="str">
        <f>IFERROR(HYPERLINK("#'Main'!B"&amp;MATCH(TRIM(A215),Main!B:B,0),"Open"),HYPERLINK("#'Main'!B1","Open"))</f>
        <v>Open</v>
      </c>
    </row>
    <row r="216" spans="1:21" ht="30" customHeight="1" x14ac:dyDescent="0.25">
      <c r="A216" s="45" t="s">
        <v>146</v>
      </c>
      <c r="B216" s="28" t="s">
        <v>479</v>
      </c>
      <c r="C216" s="32" t="s">
        <v>513</v>
      </c>
      <c r="D216" s="28" t="s">
        <v>514</v>
      </c>
      <c r="E216" s="47">
        <v>200</v>
      </c>
      <c r="F216" s="28" t="b">
        <v>1</v>
      </c>
      <c r="G216" s="28">
        <v>0</v>
      </c>
      <c r="H216" s="47">
        <v>0</v>
      </c>
      <c r="I216" s="28">
        <v>0</v>
      </c>
      <c r="J216" s="28">
        <v>0</v>
      </c>
      <c r="K216" s="28">
        <v>0</v>
      </c>
      <c r="L216" s="35" t="b">
        <v>0</v>
      </c>
      <c r="M216" s="28">
        <v>0</v>
      </c>
      <c r="N216" s="28">
        <v>0</v>
      </c>
      <c r="O216" s="47">
        <v>0</v>
      </c>
      <c r="P216" s="28">
        <v>0</v>
      </c>
      <c r="Q216" s="28">
        <v>0</v>
      </c>
      <c r="R216" s="28"/>
      <c r="S216" s="28" t="s">
        <v>481</v>
      </c>
      <c r="T216" s="36" t="str">
        <f>IFERROR(HYPERLINK("#'Main'!B"&amp;MATCH(TRIM(A216),Main!B:B,0),"Open"),HYPERLINK("#'Main'!B1","Open"))</f>
        <v>Open</v>
      </c>
      <c r="U216" s="36"/>
    </row>
    <row r="217" spans="1:21" ht="30" customHeight="1" x14ac:dyDescent="0.25">
      <c r="A217" s="46" t="s">
        <v>146</v>
      </c>
      <c r="B217" s="37" t="s">
        <v>479</v>
      </c>
      <c r="C217" s="39" t="s">
        <v>515</v>
      </c>
      <c r="D217" s="37" t="s">
        <v>516</v>
      </c>
      <c r="E217" s="47">
        <v>200</v>
      </c>
      <c r="F217" s="37" t="b">
        <v>1</v>
      </c>
      <c r="G217" s="37">
        <v>0</v>
      </c>
      <c r="H217" s="47">
        <v>0</v>
      </c>
      <c r="I217" s="37">
        <v>0</v>
      </c>
      <c r="J217" s="37">
        <v>0</v>
      </c>
      <c r="K217" s="37">
        <v>0</v>
      </c>
      <c r="L217" s="41" t="b">
        <v>0</v>
      </c>
      <c r="M217" s="37">
        <v>0</v>
      </c>
      <c r="N217" s="37">
        <v>0</v>
      </c>
      <c r="O217" s="47">
        <v>0</v>
      </c>
      <c r="P217" s="37">
        <v>0</v>
      </c>
      <c r="Q217" s="37">
        <v>0</v>
      </c>
      <c r="R217" s="37"/>
      <c r="S217" s="37" t="s">
        <v>481</v>
      </c>
      <c r="T217" t="str">
        <f>IFERROR(HYPERLINK("#'Main'!B"&amp;MATCH(TRIM(A217),Main!B:B,0),"Open"),HYPERLINK("#'Main'!B1","Open"))</f>
        <v>Open</v>
      </c>
    </row>
    <row r="218" spans="1:21" ht="30" customHeight="1" x14ac:dyDescent="0.25">
      <c r="A218" s="45" t="s">
        <v>146</v>
      </c>
      <c r="B218" s="28" t="s">
        <v>479</v>
      </c>
      <c r="C218" s="32" t="s">
        <v>517</v>
      </c>
      <c r="D218" s="28" t="s">
        <v>518</v>
      </c>
      <c r="E218" s="47">
        <v>200</v>
      </c>
      <c r="F218" s="28" t="b">
        <v>1</v>
      </c>
      <c r="G218" s="28">
        <v>0</v>
      </c>
      <c r="H218" s="47">
        <v>0</v>
      </c>
      <c r="I218" s="28">
        <v>0</v>
      </c>
      <c r="J218" s="28">
        <v>0</v>
      </c>
      <c r="K218" s="28">
        <v>0</v>
      </c>
      <c r="L218" s="35" t="b">
        <v>0</v>
      </c>
      <c r="M218" s="28">
        <v>0</v>
      </c>
      <c r="N218" s="28">
        <v>0</v>
      </c>
      <c r="O218" s="47">
        <v>0</v>
      </c>
      <c r="P218" s="28">
        <v>0</v>
      </c>
      <c r="Q218" s="28">
        <v>0</v>
      </c>
      <c r="R218" s="28"/>
      <c r="S218" s="28" t="s">
        <v>481</v>
      </c>
      <c r="T218" s="36" t="str">
        <f>IFERROR(HYPERLINK("#'Main'!B"&amp;MATCH(TRIM(A218),Main!B:B,0),"Open"),HYPERLINK("#'Main'!B1","Open"))</f>
        <v>Open</v>
      </c>
      <c r="U218" s="36"/>
    </row>
    <row r="219" spans="1:21" ht="30" customHeight="1" x14ac:dyDescent="0.25">
      <c r="A219" s="46" t="s">
        <v>146</v>
      </c>
      <c r="B219" s="37" t="s">
        <v>479</v>
      </c>
      <c r="C219" s="39" t="s">
        <v>517</v>
      </c>
      <c r="D219" s="37" t="s">
        <v>519</v>
      </c>
      <c r="E219" s="47">
        <v>200</v>
      </c>
      <c r="F219" s="37" t="b">
        <v>1</v>
      </c>
      <c r="G219" s="37">
        <v>0</v>
      </c>
      <c r="H219" s="47">
        <v>0</v>
      </c>
      <c r="I219" s="37">
        <v>0</v>
      </c>
      <c r="J219" s="37">
        <v>0</v>
      </c>
      <c r="K219" s="37">
        <v>0</v>
      </c>
      <c r="L219" s="41" t="b">
        <v>0</v>
      </c>
      <c r="M219" s="37">
        <v>0</v>
      </c>
      <c r="N219" s="37">
        <v>0</v>
      </c>
      <c r="O219" s="47">
        <v>0</v>
      </c>
      <c r="P219" s="37">
        <v>0</v>
      </c>
      <c r="Q219" s="37">
        <v>0</v>
      </c>
      <c r="R219" s="37"/>
      <c r="S219" s="37" t="s">
        <v>481</v>
      </c>
      <c r="T219" t="str">
        <f>IFERROR(HYPERLINK("#'Main'!B"&amp;MATCH(TRIM(A219),Main!B:B,0),"Open"),HYPERLINK("#'Main'!B1","Open"))</f>
        <v>Open</v>
      </c>
    </row>
    <row r="220" spans="1:21" ht="30" customHeight="1" x14ac:dyDescent="0.25">
      <c r="A220" s="45" t="s">
        <v>146</v>
      </c>
      <c r="B220" s="28" t="s">
        <v>479</v>
      </c>
      <c r="C220" s="32" t="s">
        <v>494</v>
      </c>
      <c r="D220" s="28" t="s">
        <v>520</v>
      </c>
      <c r="E220" s="47">
        <v>200</v>
      </c>
      <c r="F220" s="28" t="b">
        <v>1</v>
      </c>
      <c r="G220" s="28">
        <v>0</v>
      </c>
      <c r="H220" s="47">
        <v>0</v>
      </c>
      <c r="I220" s="28">
        <v>0</v>
      </c>
      <c r="J220" s="28">
        <v>0</v>
      </c>
      <c r="K220" s="28">
        <v>0</v>
      </c>
      <c r="L220" s="35" t="b">
        <v>0</v>
      </c>
      <c r="M220" s="28">
        <v>0</v>
      </c>
      <c r="N220" s="28">
        <v>0</v>
      </c>
      <c r="O220" s="47">
        <v>0</v>
      </c>
      <c r="P220" s="28">
        <v>0</v>
      </c>
      <c r="Q220" s="28">
        <v>0</v>
      </c>
      <c r="R220" s="28"/>
      <c r="S220" s="28" t="s">
        <v>481</v>
      </c>
      <c r="T220" s="36" t="str">
        <f>IFERROR(HYPERLINK("#'Main'!B"&amp;MATCH(TRIM(A220),Main!B:B,0),"Open"),HYPERLINK("#'Main'!B1","Open"))</f>
        <v>Open</v>
      </c>
      <c r="U220" s="36"/>
    </row>
    <row r="221" spans="1:21" ht="30" customHeight="1" x14ac:dyDescent="0.25">
      <c r="A221" s="46" t="s">
        <v>146</v>
      </c>
      <c r="B221" s="37" t="s">
        <v>479</v>
      </c>
      <c r="C221" s="39" t="s">
        <v>521</v>
      </c>
      <c r="D221" s="37" t="s">
        <v>268</v>
      </c>
      <c r="E221" s="47">
        <v>200</v>
      </c>
      <c r="F221" s="37" t="b">
        <v>1</v>
      </c>
      <c r="G221" s="37">
        <v>0</v>
      </c>
      <c r="H221" s="47">
        <v>0</v>
      </c>
      <c r="I221" s="37">
        <v>0</v>
      </c>
      <c r="J221" s="37">
        <v>0</v>
      </c>
      <c r="K221" s="37">
        <v>0</v>
      </c>
      <c r="L221" s="41" t="b">
        <v>0</v>
      </c>
      <c r="M221" s="37">
        <v>0</v>
      </c>
      <c r="N221" s="37">
        <v>0</v>
      </c>
      <c r="O221" s="47">
        <v>0</v>
      </c>
      <c r="P221" s="37">
        <v>0</v>
      </c>
      <c r="Q221" s="37">
        <v>0</v>
      </c>
      <c r="R221" s="37"/>
      <c r="S221" s="37" t="s">
        <v>481</v>
      </c>
      <c r="T221" t="str">
        <f>IFERROR(HYPERLINK("#'Main'!B"&amp;MATCH(TRIM(A221),Main!B:B,0),"Open"),HYPERLINK("#'Main'!B1","Open"))</f>
        <v>Open</v>
      </c>
    </row>
    <row r="222" spans="1:21" ht="30" customHeight="1" x14ac:dyDescent="0.25">
      <c r="A222" s="45" t="s">
        <v>146</v>
      </c>
      <c r="B222" s="28" t="s">
        <v>479</v>
      </c>
      <c r="C222" s="32" t="s">
        <v>522</v>
      </c>
      <c r="D222" s="28" t="s">
        <v>523</v>
      </c>
      <c r="E222" s="47">
        <v>200</v>
      </c>
      <c r="F222" s="28" t="b">
        <v>1</v>
      </c>
      <c r="G222" s="28">
        <v>0</v>
      </c>
      <c r="H222" s="47">
        <v>0</v>
      </c>
      <c r="I222" s="28">
        <v>0</v>
      </c>
      <c r="J222" s="28">
        <v>0</v>
      </c>
      <c r="K222" s="28">
        <v>0</v>
      </c>
      <c r="L222" s="35" t="b">
        <v>0</v>
      </c>
      <c r="M222" s="28">
        <v>0</v>
      </c>
      <c r="N222" s="28">
        <v>0</v>
      </c>
      <c r="O222" s="47">
        <v>0</v>
      </c>
      <c r="P222" s="28">
        <v>0</v>
      </c>
      <c r="Q222" s="28">
        <v>0</v>
      </c>
      <c r="R222" s="28"/>
      <c r="S222" s="28" t="s">
        <v>481</v>
      </c>
      <c r="T222" s="36" t="str">
        <f>IFERROR(HYPERLINK("#'Main'!B"&amp;MATCH(TRIM(A222),Main!B:B,0),"Open"),HYPERLINK("#'Main'!B1","Open"))</f>
        <v>Open</v>
      </c>
      <c r="U222" s="36"/>
    </row>
    <row r="223" spans="1:21" ht="30" customHeight="1" x14ac:dyDescent="0.25">
      <c r="A223" s="46" t="s">
        <v>146</v>
      </c>
      <c r="B223" s="37" t="s">
        <v>479</v>
      </c>
      <c r="C223" s="39" t="s">
        <v>557</v>
      </c>
      <c r="D223" s="37" t="s">
        <v>558</v>
      </c>
      <c r="E223" s="37">
        <v>0</v>
      </c>
      <c r="F223" s="37" t="b">
        <v>1</v>
      </c>
      <c r="G223" s="37">
        <v>0</v>
      </c>
      <c r="H223" s="47">
        <v>0</v>
      </c>
      <c r="I223" s="37">
        <v>0</v>
      </c>
      <c r="J223" s="37">
        <v>0</v>
      </c>
      <c r="K223" s="37">
        <v>0</v>
      </c>
      <c r="L223" s="41" t="b">
        <v>0</v>
      </c>
      <c r="M223" s="37">
        <v>0</v>
      </c>
      <c r="N223" s="37">
        <v>0</v>
      </c>
      <c r="O223" s="47">
        <v>0</v>
      </c>
      <c r="P223" s="37">
        <v>0</v>
      </c>
      <c r="Q223" s="37">
        <v>0</v>
      </c>
      <c r="R223" s="37"/>
      <c r="S223" s="37" t="s">
        <v>481</v>
      </c>
      <c r="T223" t="str">
        <f>IFERROR(HYPERLINK("#'Main'!B"&amp;MATCH(TRIM(A223),Main!B:B,0),"Open"),HYPERLINK("#'Main'!B1","Open"))</f>
        <v>Open</v>
      </c>
    </row>
    <row r="224" spans="1:21" ht="30" customHeight="1" x14ac:dyDescent="0.25">
      <c r="A224" s="45" t="s">
        <v>146</v>
      </c>
      <c r="B224" s="28" t="s">
        <v>479</v>
      </c>
      <c r="C224" s="32" t="s">
        <v>499</v>
      </c>
      <c r="D224" s="28" t="s">
        <v>559</v>
      </c>
      <c r="E224" s="47">
        <v>200</v>
      </c>
      <c r="F224" s="28" t="b">
        <v>1</v>
      </c>
      <c r="G224" s="28">
        <v>0</v>
      </c>
      <c r="H224" s="47">
        <v>0</v>
      </c>
      <c r="I224" s="28">
        <v>0</v>
      </c>
      <c r="J224" s="28">
        <v>0</v>
      </c>
      <c r="K224" s="28">
        <v>0</v>
      </c>
      <c r="L224" s="35" t="b">
        <v>0</v>
      </c>
      <c r="M224" s="28">
        <v>0</v>
      </c>
      <c r="N224" s="28">
        <v>0</v>
      </c>
      <c r="O224" s="47">
        <v>0</v>
      </c>
      <c r="P224" s="28">
        <v>0</v>
      </c>
      <c r="Q224" s="28">
        <v>0</v>
      </c>
      <c r="R224" s="28"/>
      <c r="S224" s="28" t="s">
        <v>481</v>
      </c>
      <c r="T224" s="36" t="str">
        <f>IFERROR(HYPERLINK("#'Main'!B"&amp;MATCH(TRIM(A224),Main!B:B,0),"Open"),HYPERLINK("#'Main'!B1","Open"))</f>
        <v>Open</v>
      </c>
      <c r="U224" s="36"/>
    </row>
    <row r="225" spans="1:21" ht="30" customHeight="1" x14ac:dyDescent="0.25">
      <c r="A225" s="46" t="s">
        <v>146</v>
      </c>
      <c r="B225" s="37" t="s">
        <v>479</v>
      </c>
      <c r="C225" s="39" t="s">
        <v>557</v>
      </c>
      <c r="D225" s="37" t="s">
        <v>558</v>
      </c>
      <c r="E225" s="37">
        <v>0</v>
      </c>
      <c r="F225" s="37" t="b">
        <v>1</v>
      </c>
      <c r="G225" s="37">
        <v>0</v>
      </c>
      <c r="H225" s="47">
        <v>0</v>
      </c>
      <c r="I225" s="37">
        <v>0</v>
      </c>
      <c r="J225" s="37">
        <v>0</v>
      </c>
      <c r="K225" s="37">
        <v>0</v>
      </c>
      <c r="L225" s="41" t="b">
        <v>0</v>
      </c>
      <c r="M225" s="37">
        <v>0</v>
      </c>
      <c r="N225" s="37">
        <v>0</v>
      </c>
      <c r="O225" s="47">
        <v>0</v>
      </c>
      <c r="P225" s="37">
        <v>0</v>
      </c>
      <c r="Q225" s="37">
        <v>0</v>
      </c>
      <c r="R225" s="37"/>
      <c r="S225" s="37" t="s">
        <v>481</v>
      </c>
      <c r="T225" t="str">
        <f>IFERROR(HYPERLINK("#'Main'!B"&amp;MATCH(TRIM(A225),Main!B:B,0),"Open"),HYPERLINK("#'Main'!B1","Open"))</f>
        <v>Open</v>
      </c>
    </row>
    <row r="226" spans="1:21" ht="30" customHeight="1" x14ac:dyDescent="0.25">
      <c r="A226" s="45" t="s">
        <v>146</v>
      </c>
      <c r="B226" s="28" t="s">
        <v>479</v>
      </c>
      <c r="C226" s="32" t="s">
        <v>494</v>
      </c>
      <c r="D226" s="28" t="s">
        <v>495</v>
      </c>
      <c r="E226" s="47">
        <v>200</v>
      </c>
      <c r="F226" s="28" t="b">
        <v>1</v>
      </c>
      <c r="G226" s="28">
        <v>0</v>
      </c>
      <c r="H226" s="47">
        <v>0</v>
      </c>
      <c r="I226" s="28">
        <v>0</v>
      </c>
      <c r="J226" s="28">
        <v>0</v>
      </c>
      <c r="K226" s="28">
        <v>0</v>
      </c>
      <c r="L226" s="35" t="b">
        <v>0</v>
      </c>
      <c r="M226" s="28">
        <v>0</v>
      </c>
      <c r="N226" s="28">
        <v>0</v>
      </c>
      <c r="O226" s="47">
        <v>0</v>
      </c>
      <c r="P226" s="28">
        <v>0</v>
      </c>
      <c r="Q226" s="28">
        <v>0</v>
      </c>
      <c r="R226" s="28"/>
      <c r="S226" s="28" t="s">
        <v>481</v>
      </c>
      <c r="T226" s="36" t="str">
        <f>IFERROR(HYPERLINK("#'Main'!B"&amp;MATCH(TRIM(A226),Main!B:B,0),"Open"),HYPERLINK("#'Main'!B1","Open"))</f>
        <v>Open</v>
      </c>
      <c r="U226" s="36"/>
    </row>
    <row r="227" spans="1:21" ht="30" customHeight="1" x14ac:dyDescent="0.25">
      <c r="A227" s="46" t="s">
        <v>146</v>
      </c>
      <c r="B227" s="37" t="s">
        <v>479</v>
      </c>
      <c r="C227" s="39" t="s">
        <v>496</v>
      </c>
      <c r="D227" s="37"/>
      <c r="E227" s="37">
        <v>0</v>
      </c>
      <c r="F227" s="37" t="b">
        <v>1</v>
      </c>
      <c r="G227" s="37">
        <v>0</v>
      </c>
      <c r="H227" s="47">
        <v>0</v>
      </c>
      <c r="I227" s="37">
        <v>0</v>
      </c>
      <c r="J227" s="37">
        <v>0</v>
      </c>
      <c r="K227" s="37">
        <v>0</v>
      </c>
      <c r="L227" s="41" t="b">
        <v>0</v>
      </c>
      <c r="M227" s="37">
        <v>0</v>
      </c>
      <c r="N227" s="37">
        <v>0</v>
      </c>
      <c r="O227" s="47">
        <v>0</v>
      </c>
      <c r="P227" s="37">
        <v>0</v>
      </c>
      <c r="Q227" s="37">
        <v>0</v>
      </c>
      <c r="R227" s="37"/>
      <c r="S227" s="37" t="s">
        <v>481</v>
      </c>
      <c r="T227" t="str">
        <f>IFERROR(HYPERLINK("#'Main'!B"&amp;MATCH(TRIM(A227),Main!B:B,0),"Open"),HYPERLINK("#'Main'!B1","Open"))</f>
        <v>Open</v>
      </c>
    </row>
    <row r="228" spans="1:21" ht="30" customHeight="1" x14ac:dyDescent="0.25">
      <c r="A228" s="45" t="s">
        <v>146</v>
      </c>
      <c r="B228" s="28" t="s">
        <v>479</v>
      </c>
      <c r="C228" s="32" t="s">
        <v>497</v>
      </c>
      <c r="D228" s="28"/>
      <c r="E228" s="28">
        <v>0</v>
      </c>
      <c r="F228" s="28" t="b">
        <v>1</v>
      </c>
      <c r="G228" s="28">
        <v>0</v>
      </c>
      <c r="H228" s="47">
        <v>0</v>
      </c>
      <c r="I228" s="28">
        <v>0</v>
      </c>
      <c r="J228" s="28">
        <v>0</v>
      </c>
      <c r="K228" s="28">
        <v>0</v>
      </c>
      <c r="L228" s="35" t="b">
        <v>0</v>
      </c>
      <c r="M228" s="28">
        <v>0</v>
      </c>
      <c r="N228" s="28">
        <v>0</v>
      </c>
      <c r="O228" s="47">
        <v>0</v>
      </c>
      <c r="P228" s="28">
        <v>0</v>
      </c>
      <c r="Q228" s="28">
        <v>0</v>
      </c>
      <c r="R228" s="28"/>
      <c r="S228" s="28" t="s">
        <v>481</v>
      </c>
      <c r="T228" s="36" t="str">
        <f>IFERROR(HYPERLINK("#'Main'!B"&amp;MATCH(TRIM(A228),Main!B:B,0),"Open"),HYPERLINK("#'Main'!B1","Open"))</f>
        <v>Open</v>
      </c>
      <c r="U228" s="36"/>
    </row>
    <row r="229" spans="1:21" ht="30" customHeight="1" x14ac:dyDescent="0.25">
      <c r="A229" s="46" t="s">
        <v>146</v>
      </c>
      <c r="B229" s="37" t="s">
        <v>479</v>
      </c>
      <c r="C229" s="39" t="s">
        <v>499</v>
      </c>
      <c r="D229" s="37" t="s">
        <v>526</v>
      </c>
      <c r="E229" s="47">
        <v>200</v>
      </c>
      <c r="F229" s="37" t="b">
        <v>1</v>
      </c>
      <c r="G229" s="37">
        <v>0</v>
      </c>
      <c r="H229" s="47">
        <v>0</v>
      </c>
      <c r="I229" s="37">
        <v>0</v>
      </c>
      <c r="J229" s="37">
        <v>0</v>
      </c>
      <c r="K229" s="37">
        <v>0</v>
      </c>
      <c r="L229" s="41" t="b">
        <v>0</v>
      </c>
      <c r="M229" s="37">
        <v>0</v>
      </c>
      <c r="N229" s="37">
        <v>0</v>
      </c>
      <c r="O229" s="47">
        <v>0</v>
      </c>
      <c r="P229" s="37">
        <v>0</v>
      </c>
      <c r="Q229" s="37">
        <v>0</v>
      </c>
      <c r="R229" s="37"/>
      <c r="S229" s="37" t="s">
        <v>481</v>
      </c>
      <c r="T229" t="str">
        <f>IFERROR(HYPERLINK("#'Main'!B"&amp;MATCH(TRIM(A229),Main!B:B,0),"Open"),HYPERLINK("#'Main'!B1","Open"))</f>
        <v>Open</v>
      </c>
    </row>
    <row r="230" spans="1:21" ht="30" customHeight="1" x14ac:dyDescent="0.25">
      <c r="A230" s="45" t="s">
        <v>146</v>
      </c>
      <c r="B230" s="28" t="s">
        <v>479</v>
      </c>
      <c r="C230" s="32" t="s">
        <v>501</v>
      </c>
      <c r="D230" s="28" t="s">
        <v>502</v>
      </c>
      <c r="E230" s="29">
        <v>404</v>
      </c>
      <c r="F230" s="28" t="b">
        <v>0</v>
      </c>
      <c r="G230" s="28">
        <v>0</v>
      </c>
      <c r="H230" s="47">
        <v>0</v>
      </c>
      <c r="I230" s="28">
        <v>0</v>
      </c>
      <c r="J230" s="28">
        <v>0</v>
      </c>
      <c r="K230" s="28">
        <v>0</v>
      </c>
      <c r="L230" s="35" t="b">
        <v>0</v>
      </c>
      <c r="M230" s="28">
        <v>0</v>
      </c>
      <c r="N230" s="28">
        <v>0</v>
      </c>
      <c r="O230" s="47">
        <v>0</v>
      </c>
      <c r="P230" s="28">
        <v>0</v>
      </c>
      <c r="Q230" s="28">
        <v>0</v>
      </c>
      <c r="R230" s="28"/>
      <c r="S230" s="28" t="s">
        <v>481</v>
      </c>
      <c r="T230" s="36" t="str">
        <f>IFERROR(HYPERLINK("#'Main'!B"&amp;MATCH(TRIM(A230),Main!B:B,0),"Open"),HYPERLINK("#'Main'!B1","Open"))</f>
        <v>Open</v>
      </c>
      <c r="U230" s="36"/>
    </row>
    <row r="231" spans="1:21" ht="30" customHeight="1" x14ac:dyDescent="0.25">
      <c r="A231" s="46" t="s">
        <v>146</v>
      </c>
      <c r="B231" s="37" t="s">
        <v>479</v>
      </c>
      <c r="C231" s="39" t="s">
        <v>501</v>
      </c>
      <c r="D231" s="37" t="s">
        <v>503</v>
      </c>
      <c r="E231" s="29">
        <v>404</v>
      </c>
      <c r="F231" s="37" t="b">
        <v>0</v>
      </c>
      <c r="G231" s="37">
        <v>0</v>
      </c>
      <c r="H231" s="47">
        <v>0</v>
      </c>
      <c r="I231" s="37">
        <v>0</v>
      </c>
      <c r="J231" s="37">
        <v>0</v>
      </c>
      <c r="K231" s="37">
        <v>0</v>
      </c>
      <c r="L231" s="41" t="b">
        <v>0</v>
      </c>
      <c r="M231" s="37">
        <v>0</v>
      </c>
      <c r="N231" s="37">
        <v>0</v>
      </c>
      <c r="O231" s="47">
        <v>0</v>
      </c>
      <c r="P231" s="37">
        <v>0</v>
      </c>
      <c r="Q231" s="37">
        <v>0</v>
      </c>
      <c r="R231" s="37"/>
      <c r="S231" s="37" t="s">
        <v>481</v>
      </c>
      <c r="T231" t="str">
        <f>IFERROR(HYPERLINK("#'Main'!B"&amp;MATCH(TRIM(A231),Main!B:B,0),"Open"),HYPERLINK("#'Main'!B1","Open"))</f>
        <v>Open</v>
      </c>
    </row>
    <row r="232" spans="1:21" ht="30" customHeight="1" x14ac:dyDescent="0.25">
      <c r="A232" s="45" t="s">
        <v>197</v>
      </c>
      <c r="B232" s="28" t="s">
        <v>479</v>
      </c>
      <c r="C232" s="32" t="s">
        <v>166</v>
      </c>
      <c r="D232" s="28"/>
      <c r="E232" s="47">
        <v>200</v>
      </c>
      <c r="F232" s="28" t="b">
        <v>1</v>
      </c>
      <c r="G232" s="28">
        <v>0</v>
      </c>
      <c r="H232" s="47">
        <v>0</v>
      </c>
      <c r="I232" s="28">
        <v>0</v>
      </c>
      <c r="J232" s="28">
        <v>0</v>
      </c>
      <c r="K232" s="28">
        <v>0</v>
      </c>
      <c r="L232" s="35" t="b">
        <v>0</v>
      </c>
      <c r="M232" s="28">
        <v>0</v>
      </c>
      <c r="N232" s="28">
        <v>0</v>
      </c>
      <c r="O232" s="47">
        <v>0</v>
      </c>
      <c r="P232" s="28">
        <v>0</v>
      </c>
      <c r="Q232" s="28">
        <v>0</v>
      </c>
      <c r="R232" s="28"/>
      <c r="S232" s="28" t="s">
        <v>481</v>
      </c>
      <c r="T232" s="36" t="str">
        <f>IFERROR(HYPERLINK("#'Main'!B"&amp;MATCH(TRIM(A232),Main!B:B,0),"Open"),HYPERLINK("#'Main'!B1","Open"))</f>
        <v>Open</v>
      </c>
      <c r="U232" s="36"/>
    </row>
    <row r="233" spans="1:21" ht="30" customHeight="1" x14ac:dyDescent="0.25">
      <c r="A233" s="46" t="s">
        <v>197</v>
      </c>
      <c r="B233" s="37" t="s">
        <v>479</v>
      </c>
      <c r="C233" s="39" t="s">
        <v>166</v>
      </c>
      <c r="D233" s="37" t="s">
        <v>504</v>
      </c>
      <c r="E233" s="47">
        <v>200</v>
      </c>
      <c r="F233" s="37" t="b">
        <v>1</v>
      </c>
      <c r="G233" s="37">
        <v>0</v>
      </c>
      <c r="H233" s="47">
        <v>0</v>
      </c>
      <c r="I233" s="37">
        <v>0</v>
      </c>
      <c r="J233" s="37">
        <v>0</v>
      </c>
      <c r="K233" s="37">
        <v>0</v>
      </c>
      <c r="L233" s="41" t="b">
        <v>0</v>
      </c>
      <c r="M233" s="37">
        <v>0</v>
      </c>
      <c r="N233" s="37">
        <v>0</v>
      </c>
      <c r="O233" s="47">
        <v>0</v>
      </c>
      <c r="P233" s="37">
        <v>0</v>
      </c>
      <c r="Q233" s="37">
        <v>0</v>
      </c>
      <c r="R233" s="37"/>
      <c r="S233" s="37" t="s">
        <v>481</v>
      </c>
      <c r="T233" t="str">
        <f>IFERROR(HYPERLINK("#'Main'!B"&amp;MATCH(TRIM(A233),Main!B:B,0),"Open"),HYPERLINK("#'Main'!B1","Open"))</f>
        <v>Open</v>
      </c>
    </row>
    <row r="234" spans="1:21" ht="30" customHeight="1" x14ac:dyDescent="0.25">
      <c r="A234" s="45" t="s">
        <v>197</v>
      </c>
      <c r="B234" s="28" t="s">
        <v>479</v>
      </c>
      <c r="C234" s="32" t="s">
        <v>199</v>
      </c>
      <c r="D234" s="28" t="s">
        <v>505</v>
      </c>
      <c r="E234" s="47">
        <v>200</v>
      </c>
      <c r="F234" s="28" t="b">
        <v>1</v>
      </c>
      <c r="G234" s="28">
        <v>0</v>
      </c>
      <c r="H234" s="47">
        <v>0</v>
      </c>
      <c r="I234" s="28">
        <v>0</v>
      </c>
      <c r="J234" s="28">
        <v>0</v>
      </c>
      <c r="K234" s="28">
        <v>0</v>
      </c>
      <c r="L234" s="35" t="b">
        <v>0</v>
      </c>
      <c r="M234" s="28">
        <v>0</v>
      </c>
      <c r="N234" s="28">
        <v>0</v>
      </c>
      <c r="O234" s="47">
        <v>0</v>
      </c>
      <c r="P234" s="28">
        <v>0</v>
      </c>
      <c r="Q234" s="28">
        <v>0</v>
      </c>
      <c r="R234" s="28"/>
      <c r="S234" s="28" t="s">
        <v>481</v>
      </c>
      <c r="T234" s="36" t="str">
        <f>IFERROR(HYPERLINK("#'Main'!B"&amp;MATCH(TRIM(A234),Main!B:B,0),"Open"),HYPERLINK("#'Main'!B1","Open"))</f>
        <v>Open</v>
      </c>
      <c r="U234" s="36"/>
    </row>
    <row r="235" spans="1:21" ht="30" customHeight="1" x14ac:dyDescent="0.25">
      <c r="A235" s="46" t="s">
        <v>197</v>
      </c>
      <c r="B235" s="37" t="s">
        <v>479</v>
      </c>
      <c r="C235" s="39" t="s">
        <v>506</v>
      </c>
      <c r="D235" s="37" t="s">
        <v>507</v>
      </c>
      <c r="E235" s="47">
        <v>200</v>
      </c>
      <c r="F235" s="37" t="b">
        <v>1</v>
      </c>
      <c r="G235" s="37">
        <v>0</v>
      </c>
      <c r="H235" s="47">
        <v>0</v>
      </c>
      <c r="I235" s="37">
        <v>0</v>
      </c>
      <c r="J235" s="37">
        <v>0</v>
      </c>
      <c r="K235" s="37">
        <v>0</v>
      </c>
      <c r="L235" s="41" t="b">
        <v>0</v>
      </c>
      <c r="M235" s="37">
        <v>0</v>
      </c>
      <c r="N235" s="37">
        <v>0</v>
      </c>
      <c r="O235" s="47">
        <v>0</v>
      </c>
      <c r="P235" s="37">
        <v>0</v>
      </c>
      <c r="Q235" s="37">
        <v>0</v>
      </c>
      <c r="R235" s="37"/>
      <c r="S235" s="37" t="s">
        <v>481</v>
      </c>
      <c r="T235" t="str">
        <f>IFERROR(HYPERLINK("#'Main'!B"&amp;MATCH(TRIM(A235),Main!B:B,0),"Open"),HYPERLINK("#'Main'!B1","Open"))</f>
        <v>Open</v>
      </c>
    </row>
    <row r="236" spans="1:21" ht="30" customHeight="1" x14ac:dyDescent="0.25">
      <c r="A236" s="45" t="s">
        <v>197</v>
      </c>
      <c r="B236" s="28" t="s">
        <v>479</v>
      </c>
      <c r="C236" s="32" t="s">
        <v>508</v>
      </c>
      <c r="D236" s="28" t="s">
        <v>509</v>
      </c>
      <c r="E236" s="47">
        <v>200</v>
      </c>
      <c r="F236" s="28" t="b">
        <v>1</v>
      </c>
      <c r="G236" s="28">
        <v>0</v>
      </c>
      <c r="H236" s="47">
        <v>0</v>
      </c>
      <c r="I236" s="28">
        <v>0</v>
      </c>
      <c r="J236" s="28">
        <v>0</v>
      </c>
      <c r="K236" s="28">
        <v>0</v>
      </c>
      <c r="L236" s="35" t="b">
        <v>0</v>
      </c>
      <c r="M236" s="28">
        <v>0</v>
      </c>
      <c r="N236" s="28">
        <v>0</v>
      </c>
      <c r="O236" s="47">
        <v>0</v>
      </c>
      <c r="P236" s="28">
        <v>0</v>
      </c>
      <c r="Q236" s="28">
        <v>0</v>
      </c>
      <c r="R236" s="28"/>
      <c r="S236" s="28" t="s">
        <v>481</v>
      </c>
      <c r="T236" s="36" t="str">
        <f>IFERROR(HYPERLINK("#'Main'!B"&amp;MATCH(TRIM(A236),Main!B:B,0),"Open"),HYPERLINK("#'Main'!B1","Open"))</f>
        <v>Open</v>
      </c>
      <c r="U236" s="36"/>
    </row>
    <row r="237" spans="1:21" ht="30" customHeight="1" x14ac:dyDescent="0.25">
      <c r="A237" s="46" t="s">
        <v>197</v>
      </c>
      <c r="B237" s="37" t="s">
        <v>479</v>
      </c>
      <c r="C237" s="39" t="s">
        <v>196</v>
      </c>
      <c r="D237" s="37" t="s">
        <v>510</v>
      </c>
      <c r="E237" s="47">
        <v>200</v>
      </c>
      <c r="F237" s="37" t="b">
        <v>1</v>
      </c>
      <c r="G237" s="37">
        <v>0</v>
      </c>
      <c r="H237" s="47">
        <v>0</v>
      </c>
      <c r="I237" s="37">
        <v>0</v>
      </c>
      <c r="J237" s="37">
        <v>0</v>
      </c>
      <c r="K237" s="37">
        <v>0</v>
      </c>
      <c r="L237" s="41" t="b">
        <v>0</v>
      </c>
      <c r="M237" s="37">
        <v>0</v>
      </c>
      <c r="N237" s="37">
        <v>0</v>
      </c>
      <c r="O237" s="47">
        <v>0</v>
      </c>
      <c r="P237" s="37">
        <v>0</v>
      </c>
      <c r="Q237" s="37">
        <v>0</v>
      </c>
      <c r="R237" s="37"/>
      <c r="S237" s="37" t="s">
        <v>481</v>
      </c>
      <c r="T237" t="str">
        <f>IFERROR(HYPERLINK("#'Main'!B"&amp;MATCH(TRIM(A237),Main!B:B,0),"Open"),HYPERLINK("#'Main'!B1","Open"))</f>
        <v>Open</v>
      </c>
    </row>
    <row r="238" spans="1:21" ht="30" customHeight="1" x14ac:dyDescent="0.25">
      <c r="A238" s="45" t="s">
        <v>197</v>
      </c>
      <c r="B238" s="28" t="s">
        <v>479</v>
      </c>
      <c r="C238" s="32" t="s">
        <v>511</v>
      </c>
      <c r="D238" s="28" t="s">
        <v>512</v>
      </c>
      <c r="E238" s="47">
        <v>200</v>
      </c>
      <c r="F238" s="28" t="b">
        <v>1</v>
      </c>
      <c r="G238" s="28">
        <v>0</v>
      </c>
      <c r="H238" s="47">
        <v>0</v>
      </c>
      <c r="I238" s="28">
        <v>0</v>
      </c>
      <c r="J238" s="28">
        <v>0</v>
      </c>
      <c r="K238" s="28">
        <v>0</v>
      </c>
      <c r="L238" s="35" t="b">
        <v>0</v>
      </c>
      <c r="M238" s="28">
        <v>0</v>
      </c>
      <c r="N238" s="28">
        <v>0</v>
      </c>
      <c r="O238" s="47">
        <v>0</v>
      </c>
      <c r="P238" s="28">
        <v>0</v>
      </c>
      <c r="Q238" s="28">
        <v>0</v>
      </c>
      <c r="R238" s="28"/>
      <c r="S238" s="28" t="s">
        <v>481</v>
      </c>
      <c r="T238" s="36" t="str">
        <f>IFERROR(HYPERLINK("#'Main'!B"&amp;MATCH(TRIM(A238),Main!B:B,0),"Open"),HYPERLINK("#'Main'!B1","Open"))</f>
        <v>Open</v>
      </c>
      <c r="U238" s="36"/>
    </row>
    <row r="239" spans="1:21" ht="30" customHeight="1" x14ac:dyDescent="0.25">
      <c r="A239" s="46" t="s">
        <v>197</v>
      </c>
      <c r="B239" s="37" t="s">
        <v>479</v>
      </c>
      <c r="C239" s="39" t="s">
        <v>513</v>
      </c>
      <c r="D239" s="37" t="s">
        <v>514</v>
      </c>
      <c r="E239" s="47">
        <v>200</v>
      </c>
      <c r="F239" s="37" t="b">
        <v>1</v>
      </c>
      <c r="G239" s="37">
        <v>0</v>
      </c>
      <c r="H239" s="47">
        <v>0</v>
      </c>
      <c r="I239" s="37">
        <v>0</v>
      </c>
      <c r="J239" s="37">
        <v>0</v>
      </c>
      <c r="K239" s="37">
        <v>0</v>
      </c>
      <c r="L239" s="41" t="b">
        <v>0</v>
      </c>
      <c r="M239" s="37">
        <v>0</v>
      </c>
      <c r="N239" s="37">
        <v>0</v>
      </c>
      <c r="O239" s="47">
        <v>0</v>
      </c>
      <c r="P239" s="37">
        <v>0</v>
      </c>
      <c r="Q239" s="37">
        <v>0</v>
      </c>
      <c r="R239" s="37"/>
      <c r="S239" s="37" t="s">
        <v>481</v>
      </c>
      <c r="T239" t="str">
        <f>IFERROR(HYPERLINK("#'Main'!B"&amp;MATCH(TRIM(A239),Main!B:B,0),"Open"),HYPERLINK("#'Main'!B1","Open"))</f>
        <v>Open</v>
      </c>
    </row>
    <row r="240" spans="1:21" ht="30" customHeight="1" x14ac:dyDescent="0.25">
      <c r="A240" s="45" t="s">
        <v>197</v>
      </c>
      <c r="B240" s="28" t="s">
        <v>479</v>
      </c>
      <c r="C240" s="32" t="s">
        <v>515</v>
      </c>
      <c r="D240" s="28" t="s">
        <v>516</v>
      </c>
      <c r="E240" s="47">
        <v>200</v>
      </c>
      <c r="F240" s="28" t="b">
        <v>1</v>
      </c>
      <c r="G240" s="28">
        <v>0</v>
      </c>
      <c r="H240" s="47">
        <v>0</v>
      </c>
      <c r="I240" s="28">
        <v>0</v>
      </c>
      <c r="J240" s="28">
        <v>0</v>
      </c>
      <c r="K240" s="28">
        <v>0</v>
      </c>
      <c r="L240" s="35" t="b">
        <v>0</v>
      </c>
      <c r="M240" s="28">
        <v>0</v>
      </c>
      <c r="N240" s="28">
        <v>0</v>
      </c>
      <c r="O240" s="47">
        <v>0</v>
      </c>
      <c r="P240" s="28">
        <v>0</v>
      </c>
      <c r="Q240" s="28">
        <v>0</v>
      </c>
      <c r="R240" s="28"/>
      <c r="S240" s="28" t="s">
        <v>481</v>
      </c>
      <c r="T240" s="36" t="str">
        <f>IFERROR(HYPERLINK("#'Main'!B"&amp;MATCH(TRIM(A240),Main!B:B,0),"Open"),HYPERLINK("#'Main'!B1","Open"))</f>
        <v>Open</v>
      </c>
      <c r="U240" s="36"/>
    </row>
    <row r="241" spans="1:21" ht="30" customHeight="1" x14ac:dyDescent="0.25">
      <c r="A241" s="46" t="s">
        <v>197</v>
      </c>
      <c r="B241" s="37" t="s">
        <v>479</v>
      </c>
      <c r="C241" s="39" t="s">
        <v>517</v>
      </c>
      <c r="D241" s="37" t="s">
        <v>518</v>
      </c>
      <c r="E241" s="47">
        <v>200</v>
      </c>
      <c r="F241" s="37" t="b">
        <v>1</v>
      </c>
      <c r="G241" s="37">
        <v>0</v>
      </c>
      <c r="H241" s="47">
        <v>0</v>
      </c>
      <c r="I241" s="37">
        <v>0</v>
      </c>
      <c r="J241" s="37">
        <v>0</v>
      </c>
      <c r="K241" s="37">
        <v>0</v>
      </c>
      <c r="L241" s="41" t="b">
        <v>0</v>
      </c>
      <c r="M241" s="37">
        <v>0</v>
      </c>
      <c r="N241" s="37">
        <v>0</v>
      </c>
      <c r="O241" s="47">
        <v>0</v>
      </c>
      <c r="P241" s="37">
        <v>0</v>
      </c>
      <c r="Q241" s="37">
        <v>0</v>
      </c>
      <c r="R241" s="37"/>
      <c r="S241" s="37" t="s">
        <v>481</v>
      </c>
      <c r="T241" t="str">
        <f>IFERROR(HYPERLINK("#'Main'!B"&amp;MATCH(TRIM(A241),Main!B:B,0),"Open"),HYPERLINK("#'Main'!B1","Open"))</f>
        <v>Open</v>
      </c>
    </row>
    <row r="242" spans="1:21" ht="30" customHeight="1" x14ac:dyDescent="0.25">
      <c r="A242" s="45" t="s">
        <v>197</v>
      </c>
      <c r="B242" s="28" t="s">
        <v>479</v>
      </c>
      <c r="C242" s="32" t="s">
        <v>517</v>
      </c>
      <c r="D242" s="28" t="s">
        <v>519</v>
      </c>
      <c r="E242" s="47">
        <v>200</v>
      </c>
      <c r="F242" s="28" t="b">
        <v>1</v>
      </c>
      <c r="G242" s="28">
        <v>0</v>
      </c>
      <c r="H242" s="47">
        <v>0</v>
      </c>
      <c r="I242" s="28">
        <v>0</v>
      </c>
      <c r="J242" s="28">
        <v>0</v>
      </c>
      <c r="K242" s="28">
        <v>0</v>
      </c>
      <c r="L242" s="35" t="b">
        <v>0</v>
      </c>
      <c r="M242" s="28">
        <v>0</v>
      </c>
      <c r="N242" s="28">
        <v>0</v>
      </c>
      <c r="O242" s="47">
        <v>0</v>
      </c>
      <c r="P242" s="28">
        <v>0</v>
      </c>
      <c r="Q242" s="28">
        <v>0</v>
      </c>
      <c r="R242" s="28"/>
      <c r="S242" s="28" t="s">
        <v>481</v>
      </c>
      <c r="T242" s="36" t="str">
        <f>IFERROR(HYPERLINK("#'Main'!B"&amp;MATCH(TRIM(A242),Main!B:B,0),"Open"),HYPERLINK("#'Main'!B1","Open"))</f>
        <v>Open</v>
      </c>
      <c r="U242" s="36"/>
    </row>
    <row r="243" spans="1:21" ht="30" customHeight="1" x14ac:dyDescent="0.25">
      <c r="A243" s="46" t="s">
        <v>197</v>
      </c>
      <c r="B243" s="37" t="s">
        <v>479</v>
      </c>
      <c r="C243" s="39" t="s">
        <v>494</v>
      </c>
      <c r="D243" s="37" t="s">
        <v>520</v>
      </c>
      <c r="E243" s="47">
        <v>200</v>
      </c>
      <c r="F243" s="37" t="b">
        <v>1</v>
      </c>
      <c r="G243" s="37">
        <v>0</v>
      </c>
      <c r="H243" s="47">
        <v>0</v>
      </c>
      <c r="I243" s="37">
        <v>0</v>
      </c>
      <c r="J243" s="37">
        <v>0</v>
      </c>
      <c r="K243" s="37">
        <v>0</v>
      </c>
      <c r="L243" s="41" t="b">
        <v>0</v>
      </c>
      <c r="M243" s="37">
        <v>0</v>
      </c>
      <c r="N243" s="37">
        <v>0</v>
      </c>
      <c r="O243" s="47">
        <v>0</v>
      </c>
      <c r="P243" s="37">
        <v>0</v>
      </c>
      <c r="Q243" s="37">
        <v>0</v>
      </c>
      <c r="R243" s="37"/>
      <c r="S243" s="37" t="s">
        <v>481</v>
      </c>
      <c r="T243" t="str">
        <f>IFERROR(HYPERLINK("#'Main'!B"&amp;MATCH(TRIM(A243),Main!B:B,0),"Open"),HYPERLINK("#'Main'!B1","Open"))</f>
        <v>Open</v>
      </c>
    </row>
    <row r="244" spans="1:21" ht="30" customHeight="1" x14ac:dyDescent="0.25">
      <c r="A244" s="45" t="s">
        <v>197</v>
      </c>
      <c r="B244" s="28" t="s">
        <v>479</v>
      </c>
      <c r="C244" s="32" t="s">
        <v>521</v>
      </c>
      <c r="D244" s="28" t="s">
        <v>268</v>
      </c>
      <c r="E244" s="47">
        <v>200</v>
      </c>
      <c r="F244" s="28" t="b">
        <v>1</v>
      </c>
      <c r="G244" s="28">
        <v>0</v>
      </c>
      <c r="H244" s="47">
        <v>0</v>
      </c>
      <c r="I244" s="28">
        <v>0</v>
      </c>
      <c r="J244" s="28">
        <v>0</v>
      </c>
      <c r="K244" s="28">
        <v>0</v>
      </c>
      <c r="L244" s="35" t="b">
        <v>0</v>
      </c>
      <c r="M244" s="28">
        <v>0</v>
      </c>
      <c r="N244" s="28">
        <v>0</v>
      </c>
      <c r="O244" s="47">
        <v>0</v>
      </c>
      <c r="P244" s="28">
        <v>0</v>
      </c>
      <c r="Q244" s="28">
        <v>0</v>
      </c>
      <c r="R244" s="28"/>
      <c r="S244" s="28" t="s">
        <v>481</v>
      </c>
      <c r="T244" s="36" t="str">
        <f>IFERROR(HYPERLINK("#'Main'!B"&amp;MATCH(TRIM(A244),Main!B:B,0),"Open"),HYPERLINK("#'Main'!B1","Open"))</f>
        <v>Open</v>
      </c>
      <c r="U244" s="36"/>
    </row>
    <row r="245" spans="1:21" ht="30" customHeight="1" x14ac:dyDescent="0.25">
      <c r="A245" s="46" t="s">
        <v>197</v>
      </c>
      <c r="B245" s="37" t="s">
        <v>479</v>
      </c>
      <c r="C245" s="39" t="s">
        <v>522</v>
      </c>
      <c r="D245" s="37" t="s">
        <v>523</v>
      </c>
      <c r="E245" s="47">
        <v>200</v>
      </c>
      <c r="F245" s="37" t="b">
        <v>1</v>
      </c>
      <c r="G245" s="37">
        <v>0</v>
      </c>
      <c r="H245" s="47">
        <v>0</v>
      </c>
      <c r="I245" s="37">
        <v>0</v>
      </c>
      <c r="J245" s="37">
        <v>0</v>
      </c>
      <c r="K245" s="37">
        <v>0</v>
      </c>
      <c r="L245" s="41" t="b">
        <v>0</v>
      </c>
      <c r="M245" s="37">
        <v>0</v>
      </c>
      <c r="N245" s="37">
        <v>0</v>
      </c>
      <c r="O245" s="47">
        <v>0</v>
      </c>
      <c r="P245" s="37">
        <v>0</v>
      </c>
      <c r="Q245" s="37">
        <v>0</v>
      </c>
      <c r="R245" s="37"/>
      <c r="S245" s="37" t="s">
        <v>481</v>
      </c>
      <c r="T245" t="str">
        <f>IFERROR(HYPERLINK("#'Main'!B"&amp;MATCH(TRIM(A245),Main!B:B,0),"Open"),HYPERLINK("#'Main'!B1","Open"))</f>
        <v>Open</v>
      </c>
    </row>
    <row r="246" spans="1:21" ht="30" customHeight="1" x14ac:dyDescent="0.25">
      <c r="A246" s="45" t="s">
        <v>197</v>
      </c>
      <c r="B246" s="28" t="s">
        <v>479</v>
      </c>
      <c r="C246" s="32" t="s">
        <v>166</v>
      </c>
      <c r="D246" s="28" t="s">
        <v>504</v>
      </c>
      <c r="E246" s="47">
        <v>200</v>
      </c>
      <c r="F246" s="28" t="b">
        <v>1</v>
      </c>
      <c r="G246" s="28">
        <v>0</v>
      </c>
      <c r="H246" s="47">
        <v>0</v>
      </c>
      <c r="I246" s="28">
        <v>0</v>
      </c>
      <c r="J246" s="28">
        <v>0</v>
      </c>
      <c r="K246" s="28">
        <v>0</v>
      </c>
      <c r="L246" s="35" t="b">
        <v>0</v>
      </c>
      <c r="M246" s="28">
        <v>0</v>
      </c>
      <c r="N246" s="28">
        <v>0</v>
      </c>
      <c r="O246" s="47">
        <v>0</v>
      </c>
      <c r="P246" s="28">
        <v>0</v>
      </c>
      <c r="Q246" s="28">
        <v>0</v>
      </c>
      <c r="R246" s="28"/>
      <c r="S246" s="28" t="s">
        <v>481</v>
      </c>
      <c r="T246" s="36" t="str">
        <f>IFERROR(HYPERLINK("#'Main'!B"&amp;MATCH(TRIM(A246),Main!B:B,0),"Open"),HYPERLINK("#'Main'!B1","Open"))</f>
        <v>Open</v>
      </c>
      <c r="U246" s="36"/>
    </row>
    <row r="247" spans="1:21" ht="30" customHeight="1" x14ac:dyDescent="0.25">
      <c r="A247" s="46" t="s">
        <v>197</v>
      </c>
      <c r="B247" s="37" t="s">
        <v>479</v>
      </c>
      <c r="C247" s="39" t="s">
        <v>199</v>
      </c>
      <c r="D247" s="37" t="s">
        <v>505</v>
      </c>
      <c r="E247" s="47">
        <v>200</v>
      </c>
      <c r="F247" s="37" t="b">
        <v>1</v>
      </c>
      <c r="G247" s="37">
        <v>0</v>
      </c>
      <c r="H247" s="47">
        <v>0</v>
      </c>
      <c r="I247" s="37">
        <v>0</v>
      </c>
      <c r="J247" s="37">
        <v>0</v>
      </c>
      <c r="K247" s="37">
        <v>0</v>
      </c>
      <c r="L247" s="41" t="b">
        <v>0</v>
      </c>
      <c r="M247" s="37">
        <v>0</v>
      </c>
      <c r="N247" s="37">
        <v>0</v>
      </c>
      <c r="O247" s="47">
        <v>0</v>
      </c>
      <c r="P247" s="37">
        <v>0</v>
      </c>
      <c r="Q247" s="37">
        <v>0</v>
      </c>
      <c r="R247" s="37"/>
      <c r="S247" s="37" t="s">
        <v>481</v>
      </c>
      <c r="T247" t="str">
        <f>IFERROR(HYPERLINK("#'Main'!B"&amp;MATCH(TRIM(A247),Main!B:B,0),"Open"),HYPERLINK("#'Main'!B1","Open"))</f>
        <v>Open</v>
      </c>
    </row>
    <row r="248" spans="1:21" ht="30" customHeight="1" x14ac:dyDescent="0.25">
      <c r="A248" s="45" t="s">
        <v>197</v>
      </c>
      <c r="B248" s="28" t="s">
        <v>479</v>
      </c>
      <c r="C248" s="32" t="s">
        <v>506</v>
      </c>
      <c r="D248" s="28" t="s">
        <v>507</v>
      </c>
      <c r="E248" s="47">
        <v>200</v>
      </c>
      <c r="F248" s="28" t="b">
        <v>1</v>
      </c>
      <c r="G248" s="28">
        <v>0</v>
      </c>
      <c r="H248" s="47">
        <v>0</v>
      </c>
      <c r="I248" s="28">
        <v>0</v>
      </c>
      <c r="J248" s="28">
        <v>0</v>
      </c>
      <c r="K248" s="28">
        <v>0</v>
      </c>
      <c r="L248" s="35" t="b">
        <v>0</v>
      </c>
      <c r="M248" s="28">
        <v>0</v>
      </c>
      <c r="N248" s="28">
        <v>0</v>
      </c>
      <c r="O248" s="47">
        <v>0</v>
      </c>
      <c r="P248" s="28">
        <v>0</v>
      </c>
      <c r="Q248" s="28">
        <v>0</v>
      </c>
      <c r="R248" s="28"/>
      <c r="S248" s="28" t="s">
        <v>481</v>
      </c>
      <c r="T248" s="36" t="str">
        <f>IFERROR(HYPERLINK("#'Main'!B"&amp;MATCH(TRIM(A248),Main!B:B,0),"Open"),HYPERLINK("#'Main'!B1","Open"))</f>
        <v>Open</v>
      </c>
      <c r="U248" s="36"/>
    </row>
    <row r="249" spans="1:21" ht="30" customHeight="1" x14ac:dyDescent="0.25">
      <c r="A249" s="46" t="s">
        <v>197</v>
      </c>
      <c r="B249" s="37" t="s">
        <v>479</v>
      </c>
      <c r="C249" s="39" t="s">
        <v>508</v>
      </c>
      <c r="D249" s="37" t="s">
        <v>509</v>
      </c>
      <c r="E249" s="47">
        <v>200</v>
      </c>
      <c r="F249" s="37" t="b">
        <v>1</v>
      </c>
      <c r="G249" s="37">
        <v>0</v>
      </c>
      <c r="H249" s="47">
        <v>0</v>
      </c>
      <c r="I249" s="37">
        <v>0</v>
      </c>
      <c r="J249" s="37">
        <v>0</v>
      </c>
      <c r="K249" s="37">
        <v>0</v>
      </c>
      <c r="L249" s="41" t="b">
        <v>0</v>
      </c>
      <c r="M249" s="37">
        <v>0</v>
      </c>
      <c r="N249" s="37">
        <v>0</v>
      </c>
      <c r="O249" s="47">
        <v>0</v>
      </c>
      <c r="P249" s="37">
        <v>0</v>
      </c>
      <c r="Q249" s="37">
        <v>0</v>
      </c>
      <c r="R249" s="37"/>
      <c r="S249" s="37" t="s">
        <v>481</v>
      </c>
      <c r="T249" t="str">
        <f>IFERROR(HYPERLINK("#'Main'!B"&amp;MATCH(TRIM(A249),Main!B:B,0),"Open"),HYPERLINK("#'Main'!B1","Open"))</f>
        <v>Open</v>
      </c>
    </row>
    <row r="250" spans="1:21" ht="30" customHeight="1" x14ac:dyDescent="0.25">
      <c r="A250" s="45" t="s">
        <v>197</v>
      </c>
      <c r="B250" s="28" t="s">
        <v>479</v>
      </c>
      <c r="C250" s="32" t="s">
        <v>196</v>
      </c>
      <c r="D250" s="28" t="s">
        <v>510</v>
      </c>
      <c r="E250" s="47">
        <v>200</v>
      </c>
      <c r="F250" s="28" t="b">
        <v>1</v>
      </c>
      <c r="G250" s="28">
        <v>0</v>
      </c>
      <c r="H250" s="47">
        <v>0</v>
      </c>
      <c r="I250" s="28">
        <v>0</v>
      </c>
      <c r="J250" s="28">
        <v>0</v>
      </c>
      <c r="K250" s="28">
        <v>0</v>
      </c>
      <c r="L250" s="35" t="b">
        <v>0</v>
      </c>
      <c r="M250" s="28">
        <v>0</v>
      </c>
      <c r="N250" s="28">
        <v>0</v>
      </c>
      <c r="O250" s="47">
        <v>0</v>
      </c>
      <c r="P250" s="28">
        <v>0</v>
      </c>
      <c r="Q250" s="28">
        <v>0</v>
      </c>
      <c r="R250" s="28"/>
      <c r="S250" s="28" t="s">
        <v>481</v>
      </c>
      <c r="T250" s="36" t="str">
        <f>IFERROR(HYPERLINK("#'Main'!B"&amp;MATCH(TRIM(A250),Main!B:B,0),"Open"),HYPERLINK("#'Main'!B1","Open"))</f>
        <v>Open</v>
      </c>
      <c r="U250" s="36"/>
    </row>
    <row r="251" spans="1:21" ht="30" customHeight="1" x14ac:dyDescent="0.25">
      <c r="A251" s="46" t="s">
        <v>197</v>
      </c>
      <c r="B251" s="37" t="s">
        <v>479</v>
      </c>
      <c r="C251" s="39" t="s">
        <v>511</v>
      </c>
      <c r="D251" s="37" t="s">
        <v>512</v>
      </c>
      <c r="E251" s="47">
        <v>200</v>
      </c>
      <c r="F251" s="37" t="b">
        <v>1</v>
      </c>
      <c r="G251" s="37">
        <v>0</v>
      </c>
      <c r="H251" s="47">
        <v>0</v>
      </c>
      <c r="I251" s="37">
        <v>0</v>
      </c>
      <c r="J251" s="37">
        <v>0</v>
      </c>
      <c r="K251" s="37">
        <v>0</v>
      </c>
      <c r="L251" s="41" t="b">
        <v>0</v>
      </c>
      <c r="M251" s="37">
        <v>0</v>
      </c>
      <c r="N251" s="37">
        <v>0</v>
      </c>
      <c r="O251" s="47">
        <v>0</v>
      </c>
      <c r="P251" s="37">
        <v>0</v>
      </c>
      <c r="Q251" s="37">
        <v>0</v>
      </c>
      <c r="R251" s="37"/>
      <c r="S251" s="37" t="s">
        <v>481</v>
      </c>
      <c r="T251" t="str">
        <f>IFERROR(HYPERLINK("#'Main'!B"&amp;MATCH(TRIM(A251),Main!B:B,0),"Open"),HYPERLINK("#'Main'!B1","Open"))</f>
        <v>Open</v>
      </c>
    </row>
    <row r="252" spans="1:21" ht="30" customHeight="1" x14ac:dyDescent="0.25">
      <c r="A252" s="45" t="s">
        <v>197</v>
      </c>
      <c r="B252" s="28" t="s">
        <v>479</v>
      </c>
      <c r="C252" s="32" t="s">
        <v>513</v>
      </c>
      <c r="D252" s="28" t="s">
        <v>514</v>
      </c>
      <c r="E252" s="47">
        <v>200</v>
      </c>
      <c r="F252" s="28" t="b">
        <v>1</v>
      </c>
      <c r="G252" s="28">
        <v>0</v>
      </c>
      <c r="H252" s="47">
        <v>0</v>
      </c>
      <c r="I252" s="28">
        <v>0</v>
      </c>
      <c r="J252" s="28">
        <v>0</v>
      </c>
      <c r="K252" s="28">
        <v>0</v>
      </c>
      <c r="L252" s="35" t="b">
        <v>0</v>
      </c>
      <c r="M252" s="28">
        <v>0</v>
      </c>
      <c r="N252" s="28">
        <v>0</v>
      </c>
      <c r="O252" s="47">
        <v>0</v>
      </c>
      <c r="P252" s="28">
        <v>0</v>
      </c>
      <c r="Q252" s="28">
        <v>0</v>
      </c>
      <c r="R252" s="28"/>
      <c r="S252" s="28" t="s">
        <v>481</v>
      </c>
      <c r="T252" s="36" t="str">
        <f>IFERROR(HYPERLINK("#'Main'!B"&amp;MATCH(TRIM(A252),Main!B:B,0),"Open"),HYPERLINK("#'Main'!B1","Open"))</f>
        <v>Open</v>
      </c>
      <c r="U252" s="36"/>
    </row>
    <row r="253" spans="1:21" ht="30" customHeight="1" x14ac:dyDescent="0.25">
      <c r="A253" s="46" t="s">
        <v>197</v>
      </c>
      <c r="B253" s="37" t="s">
        <v>479</v>
      </c>
      <c r="C253" s="39" t="s">
        <v>515</v>
      </c>
      <c r="D253" s="37" t="s">
        <v>516</v>
      </c>
      <c r="E253" s="47">
        <v>200</v>
      </c>
      <c r="F253" s="37" t="b">
        <v>1</v>
      </c>
      <c r="G253" s="37">
        <v>0</v>
      </c>
      <c r="H253" s="47">
        <v>0</v>
      </c>
      <c r="I253" s="37">
        <v>0</v>
      </c>
      <c r="J253" s="37">
        <v>0</v>
      </c>
      <c r="K253" s="37">
        <v>0</v>
      </c>
      <c r="L253" s="41" t="b">
        <v>0</v>
      </c>
      <c r="M253" s="37">
        <v>0</v>
      </c>
      <c r="N253" s="37">
        <v>0</v>
      </c>
      <c r="O253" s="47">
        <v>0</v>
      </c>
      <c r="P253" s="37">
        <v>0</v>
      </c>
      <c r="Q253" s="37">
        <v>0</v>
      </c>
      <c r="R253" s="37"/>
      <c r="S253" s="37" t="s">
        <v>481</v>
      </c>
      <c r="T253" t="str">
        <f>IFERROR(HYPERLINK("#'Main'!B"&amp;MATCH(TRIM(A253),Main!B:B,0),"Open"),HYPERLINK("#'Main'!B1","Open"))</f>
        <v>Open</v>
      </c>
    </row>
    <row r="254" spans="1:21" ht="30" customHeight="1" x14ac:dyDescent="0.25">
      <c r="A254" s="45" t="s">
        <v>197</v>
      </c>
      <c r="B254" s="28" t="s">
        <v>479</v>
      </c>
      <c r="C254" s="32" t="s">
        <v>517</v>
      </c>
      <c r="D254" s="28" t="s">
        <v>518</v>
      </c>
      <c r="E254" s="47">
        <v>200</v>
      </c>
      <c r="F254" s="28" t="b">
        <v>1</v>
      </c>
      <c r="G254" s="28">
        <v>0</v>
      </c>
      <c r="H254" s="47">
        <v>0</v>
      </c>
      <c r="I254" s="28">
        <v>0</v>
      </c>
      <c r="J254" s="28">
        <v>0</v>
      </c>
      <c r="K254" s="28">
        <v>0</v>
      </c>
      <c r="L254" s="35" t="b">
        <v>0</v>
      </c>
      <c r="M254" s="28">
        <v>0</v>
      </c>
      <c r="N254" s="28">
        <v>0</v>
      </c>
      <c r="O254" s="47">
        <v>0</v>
      </c>
      <c r="P254" s="28">
        <v>0</v>
      </c>
      <c r="Q254" s="28">
        <v>0</v>
      </c>
      <c r="R254" s="28"/>
      <c r="S254" s="28" t="s">
        <v>481</v>
      </c>
      <c r="T254" s="36" t="str">
        <f>IFERROR(HYPERLINK("#'Main'!B"&amp;MATCH(TRIM(A254),Main!B:B,0),"Open"),HYPERLINK("#'Main'!B1","Open"))</f>
        <v>Open</v>
      </c>
      <c r="U254" s="36"/>
    </row>
    <row r="255" spans="1:21" ht="30" customHeight="1" x14ac:dyDescent="0.25">
      <c r="A255" s="46" t="s">
        <v>197</v>
      </c>
      <c r="B255" s="37" t="s">
        <v>479</v>
      </c>
      <c r="C255" s="39" t="s">
        <v>517</v>
      </c>
      <c r="D255" s="37" t="s">
        <v>519</v>
      </c>
      <c r="E255" s="47">
        <v>200</v>
      </c>
      <c r="F255" s="37" t="b">
        <v>1</v>
      </c>
      <c r="G255" s="37">
        <v>0</v>
      </c>
      <c r="H255" s="47">
        <v>0</v>
      </c>
      <c r="I255" s="37">
        <v>0</v>
      </c>
      <c r="J255" s="37">
        <v>0</v>
      </c>
      <c r="K255" s="37">
        <v>0</v>
      </c>
      <c r="L255" s="41" t="b">
        <v>0</v>
      </c>
      <c r="M255" s="37">
        <v>0</v>
      </c>
      <c r="N255" s="37">
        <v>0</v>
      </c>
      <c r="O255" s="47">
        <v>0</v>
      </c>
      <c r="P255" s="37">
        <v>0</v>
      </c>
      <c r="Q255" s="37">
        <v>0</v>
      </c>
      <c r="R255" s="37"/>
      <c r="S255" s="37" t="s">
        <v>481</v>
      </c>
      <c r="T255" t="str">
        <f>IFERROR(HYPERLINK("#'Main'!B"&amp;MATCH(TRIM(A255),Main!B:B,0),"Open"),HYPERLINK("#'Main'!B1","Open"))</f>
        <v>Open</v>
      </c>
    </row>
    <row r="256" spans="1:21" ht="30" customHeight="1" x14ac:dyDescent="0.25">
      <c r="A256" s="45" t="s">
        <v>197</v>
      </c>
      <c r="B256" s="28" t="s">
        <v>479</v>
      </c>
      <c r="C256" s="32" t="s">
        <v>494</v>
      </c>
      <c r="D256" s="28" t="s">
        <v>520</v>
      </c>
      <c r="E256" s="47">
        <v>200</v>
      </c>
      <c r="F256" s="28" t="b">
        <v>1</v>
      </c>
      <c r="G256" s="28">
        <v>0</v>
      </c>
      <c r="H256" s="47">
        <v>0</v>
      </c>
      <c r="I256" s="28">
        <v>0</v>
      </c>
      <c r="J256" s="28">
        <v>0</v>
      </c>
      <c r="K256" s="28">
        <v>0</v>
      </c>
      <c r="L256" s="35" t="b">
        <v>0</v>
      </c>
      <c r="M256" s="28">
        <v>0</v>
      </c>
      <c r="N256" s="28">
        <v>0</v>
      </c>
      <c r="O256" s="47">
        <v>0</v>
      </c>
      <c r="P256" s="28">
        <v>0</v>
      </c>
      <c r="Q256" s="28">
        <v>0</v>
      </c>
      <c r="R256" s="28"/>
      <c r="S256" s="28" t="s">
        <v>481</v>
      </c>
      <c r="T256" s="36" t="str">
        <f>IFERROR(HYPERLINK("#'Main'!B"&amp;MATCH(TRIM(A256),Main!B:B,0),"Open"),HYPERLINK("#'Main'!B1","Open"))</f>
        <v>Open</v>
      </c>
      <c r="U256" s="36"/>
    </row>
    <row r="257" spans="1:21" ht="30" customHeight="1" x14ac:dyDescent="0.25">
      <c r="A257" s="46" t="s">
        <v>197</v>
      </c>
      <c r="B257" s="37" t="s">
        <v>479</v>
      </c>
      <c r="C257" s="39" t="s">
        <v>521</v>
      </c>
      <c r="D257" s="37" t="s">
        <v>268</v>
      </c>
      <c r="E257" s="47">
        <v>200</v>
      </c>
      <c r="F257" s="37" t="b">
        <v>1</v>
      </c>
      <c r="G257" s="37">
        <v>0</v>
      </c>
      <c r="H257" s="47">
        <v>0</v>
      </c>
      <c r="I257" s="37">
        <v>0</v>
      </c>
      <c r="J257" s="37">
        <v>0</v>
      </c>
      <c r="K257" s="37">
        <v>0</v>
      </c>
      <c r="L257" s="41" t="b">
        <v>0</v>
      </c>
      <c r="M257" s="37">
        <v>0</v>
      </c>
      <c r="N257" s="37">
        <v>0</v>
      </c>
      <c r="O257" s="47">
        <v>0</v>
      </c>
      <c r="P257" s="37">
        <v>0</v>
      </c>
      <c r="Q257" s="37">
        <v>0</v>
      </c>
      <c r="R257" s="37"/>
      <c r="S257" s="37" t="s">
        <v>481</v>
      </c>
      <c r="T257" t="str">
        <f>IFERROR(HYPERLINK("#'Main'!B"&amp;MATCH(TRIM(A257),Main!B:B,0),"Open"),HYPERLINK("#'Main'!B1","Open"))</f>
        <v>Open</v>
      </c>
    </row>
    <row r="258" spans="1:21" ht="30" customHeight="1" x14ac:dyDescent="0.25">
      <c r="A258" s="45" t="s">
        <v>197</v>
      </c>
      <c r="B258" s="28" t="s">
        <v>479</v>
      </c>
      <c r="C258" s="32" t="s">
        <v>522</v>
      </c>
      <c r="D258" s="28" t="s">
        <v>523</v>
      </c>
      <c r="E258" s="47">
        <v>200</v>
      </c>
      <c r="F258" s="28" t="b">
        <v>1</v>
      </c>
      <c r="G258" s="28">
        <v>0</v>
      </c>
      <c r="H258" s="47">
        <v>0</v>
      </c>
      <c r="I258" s="28">
        <v>0</v>
      </c>
      <c r="J258" s="28">
        <v>0</v>
      </c>
      <c r="K258" s="28">
        <v>0</v>
      </c>
      <c r="L258" s="35" t="b">
        <v>0</v>
      </c>
      <c r="M258" s="28">
        <v>0</v>
      </c>
      <c r="N258" s="28">
        <v>0</v>
      </c>
      <c r="O258" s="47">
        <v>0</v>
      </c>
      <c r="P258" s="28">
        <v>0</v>
      </c>
      <c r="Q258" s="28">
        <v>0</v>
      </c>
      <c r="R258" s="28"/>
      <c r="S258" s="28" t="s">
        <v>481</v>
      </c>
      <c r="T258" s="36" t="str">
        <f>IFERROR(HYPERLINK("#'Main'!B"&amp;MATCH(TRIM(A258),Main!B:B,0),"Open"),HYPERLINK("#'Main'!B1","Open"))</f>
        <v>Open</v>
      </c>
      <c r="U258" s="36"/>
    </row>
    <row r="259" spans="1:21" ht="30" customHeight="1" x14ac:dyDescent="0.25">
      <c r="A259" s="46" t="s">
        <v>197</v>
      </c>
      <c r="B259" s="37" t="s">
        <v>479</v>
      </c>
      <c r="C259" s="39" t="s">
        <v>560</v>
      </c>
      <c r="D259" s="37" t="s">
        <v>561</v>
      </c>
      <c r="E259" s="29">
        <v>404</v>
      </c>
      <c r="F259" s="37" t="b">
        <v>0</v>
      </c>
      <c r="G259" s="37">
        <v>0</v>
      </c>
      <c r="H259" s="47">
        <v>0</v>
      </c>
      <c r="I259" s="37">
        <v>0</v>
      </c>
      <c r="J259" s="37">
        <v>0</v>
      </c>
      <c r="K259" s="37">
        <v>0</v>
      </c>
      <c r="L259" s="41" t="b">
        <v>0</v>
      </c>
      <c r="M259" s="37">
        <v>0</v>
      </c>
      <c r="N259" s="37">
        <v>0</v>
      </c>
      <c r="O259" s="47">
        <v>0</v>
      </c>
      <c r="P259" s="37">
        <v>0</v>
      </c>
      <c r="Q259" s="37">
        <v>0</v>
      </c>
      <c r="R259" s="37"/>
      <c r="S259" s="37" t="s">
        <v>481</v>
      </c>
      <c r="T259" t="str">
        <f>IFERROR(HYPERLINK("#'Main'!B"&amp;MATCH(TRIM(A259),Main!B:B,0),"Open"),HYPERLINK("#'Main'!B1","Open"))</f>
        <v>Open</v>
      </c>
    </row>
    <row r="260" spans="1:21" ht="30" customHeight="1" x14ac:dyDescent="0.25">
      <c r="A260" s="45" t="s">
        <v>197</v>
      </c>
      <c r="B260" s="28" t="s">
        <v>479</v>
      </c>
      <c r="C260" s="32" t="s">
        <v>494</v>
      </c>
      <c r="D260" s="28" t="s">
        <v>495</v>
      </c>
      <c r="E260" s="47">
        <v>200</v>
      </c>
      <c r="F260" s="28" t="b">
        <v>1</v>
      </c>
      <c r="G260" s="28">
        <v>0</v>
      </c>
      <c r="H260" s="47">
        <v>0</v>
      </c>
      <c r="I260" s="28">
        <v>0</v>
      </c>
      <c r="J260" s="28">
        <v>0</v>
      </c>
      <c r="K260" s="28">
        <v>0</v>
      </c>
      <c r="L260" s="35" t="b">
        <v>0</v>
      </c>
      <c r="M260" s="28">
        <v>0</v>
      </c>
      <c r="N260" s="28">
        <v>0</v>
      </c>
      <c r="O260" s="47">
        <v>0</v>
      </c>
      <c r="P260" s="28">
        <v>0</v>
      </c>
      <c r="Q260" s="28">
        <v>0</v>
      </c>
      <c r="R260" s="28"/>
      <c r="S260" s="28" t="s">
        <v>481</v>
      </c>
      <c r="T260" s="36" t="str">
        <f>IFERROR(HYPERLINK("#'Main'!B"&amp;MATCH(TRIM(A260),Main!B:B,0),"Open"),HYPERLINK("#'Main'!B1","Open"))</f>
        <v>Open</v>
      </c>
      <c r="U260" s="36"/>
    </row>
    <row r="261" spans="1:21" ht="30" customHeight="1" x14ac:dyDescent="0.25">
      <c r="A261" s="46" t="s">
        <v>197</v>
      </c>
      <c r="B261" s="37" t="s">
        <v>479</v>
      </c>
      <c r="C261" s="39" t="s">
        <v>496</v>
      </c>
      <c r="D261" s="37"/>
      <c r="E261" s="37">
        <v>0</v>
      </c>
      <c r="F261" s="37" t="b">
        <v>1</v>
      </c>
      <c r="G261" s="37">
        <v>0</v>
      </c>
      <c r="H261" s="47">
        <v>0</v>
      </c>
      <c r="I261" s="37">
        <v>0</v>
      </c>
      <c r="J261" s="37">
        <v>0</v>
      </c>
      <c r="K261" s="37">
        <v>0</v>
      </c>
      <c r="L261" s="41" t="b">
        <v>0</v>
      </c>
      <c r="M261" s="37">
        <v>0</v>
      </c>
      <c r="N261" s="37">
        <v>0</v>
      </c>
      <c r="O261" s="47">
        <v>0</v>
      </c>
      <c r="P261" s="37">
        <v>0</v>
      </c>
      <c r="Q261" s="37">
        <v>0</v>
      </c>
      <c r="R261" s="37"/>
      <c r="S261" s="37" t="s">
        <v>481</v>
      </c>
      <c r="T261" t="str">
        <f>IFERROR(HYPERLINK("#'Main'!B"&amp;MATCH(TRIM(A261),Main!B:B,0),"Open"),HYPERLINK("#'Main'!B1","Open"))</f>
        <v>Open</v>
      </c>
    </row>
    <row r="262" spans="1:21" ht="30" customHeight="1" x14ac:dyDescent="0.25">
      <c r="A262" s="45" t="s">
        <v>197</v>
      </c>
      <c r="B262" s="28" t="s">
        <v>479</v>
      </c>
      <c r="C262" s="32" t="s">
        <v>497</v>
      </c>
      <c r="D262" s="28"/>
      <c r="E262" s="28">
        <v>0</v>
      </c>
      <c r="F262" s="28" t="b">
        <v>1</v>
      </c>
      <c r="G262" s="28">
        <v>0</v>
      </c>
      <c r="H262" s="47">
        <v>0</v>
      </c>
      <c r="I262" s="28">
        <v>0</v>
      </c>
      <c r="J262" s="28">
        <v>0</v>
      </c>
      <c r="K262" s="28">
        <v>0</v>
      </c>
      <c r="L262" s="35" t="b">
        <v>0</v>
      </c>
      <c r="M262" s="28">
        <v>0</v>
      </c>
      <c r="N262" s="28">
        <v>0</v>
      </c>
      <c r="O262" s="47">
        <v>0</v>
      </c>
      <c r="P262" s="28">
        <v>0</v>
      </c>
      <c r="Q262" s="28">
        <v>0</v>
      </c>
      <c r="R262" s="28"/>
      <c r="S262" s="28" t="s">
        <v>481</v>
      </c>
      <c r="T262" s="36" t="str">
        <f>IFERROR(HYPERLINK("#'Main'!B"&amp;MATCH(TRIM(A262),Main!B:B,0),"Open"),HYPERLINK("#'Main'!B1","Open"))</f>
        <v>Open</v>
      </c>
      <c r="U262" s="36"/>
    </row>
    <row r="263" spans="1:21" ht="30" customHeight="1" x14ac:dyDescent="0.25">
      <c r="A263" s="46" t="s">
        <v>197</v>
      </c>
      <c r="B263" s="37" t="s">
        <v>479</v>
      </c>
      <c r="C263" s="39" t="s">
        <v>499</v>
      </c>
      <c r="D263" s="37" t="s">
        <v>526</v>
      </c>
      <c r="E263" s="47">
        <v>200</v>
      </c>
      <c r="F263" s="37" t="b">
        <v>1</v>
      </c>
      <c r="G263" s="37">
        <v>0</v>
      </c>
      <c r="H263" s="47">
        <v>0</v>
      </c>
      <c r="I263" s="37">
        <v>0</v>
      </c>
      <c r="J263" s="37">
        <v>0</v>
      </c>
      <c r="K263" s="37">
        <v>0</v>
      </c>
      <c r="L263" s="41" t="b">
        <v>0</v>
      </c>
      <c r="M263" s="37">
        <v>0</v>
      </c>
      <c r="N263" s="37">
        <v>0</v>
      </c>
      <c r="O263" s="47">
        <v>0</v>
      </c>
      <c r="P263" s="37">
        <v>0</v>
      </c>
      <c r="Q263" s="37">
        <v>0</v>
      </c>
      <c r="R263" s="37"/>
      <c r="S263" s="37" t="s">
        <v>481</v>
      </c>
      <c r="T263" t="str">
        <f>IFERROR(HYPERLINK("#'Main'!B"&amp;MATCH(TRIM(A263),Main!B:B,0),"Open"),HYPERLINK("#'Main'!B1","Open"))</f>
        <v>Open</v>
      </c>
    </row>
    <row r="264" spans="1:21" ht="30" customHeight="1" x14ac:dyDescent="0.25">
      <c r="A264" s="45" t="s">
        <v>197</v>
      </c>
      <c r="B264" s="28" t="s">
        <v>479</v>
      </c>
      <c r="C264" s="32" t="s">
        <v>501</v>
      </c>
      <c r="D264" s="28" t="s">
        <v>502</v>
      </c>
      <c r="E264" s="29">
        <v>404</v>
      </c>
      <c r="F264" s="28" t="b">
        <v>0</v>
      </c>
      <c r="G264" s="28">
        <v>0</v>
      </c>
      <c r="H264" s="47">
        <v>0</v>
      </c>
      <c r="I264" s="28">
        <v>0</v>
      </c>
      <c r="J264" s="28">
        <v>0</v>
      </c>
      <c r="K264" s="28">
        <v>0</v>
      </c>
      <c r="L264" s="35" t="b">
        <v>0</v>
      </c>
      <c r="M264" s="28">
        <v>0</v>
      </c>
      <c r="N264" s="28">
        <v>0</v>
      </c>
      <c r="O264" s="47">
        <v>0</v>
      </c>
      <c r="P264" s="28">
        <v>0</v>
      </c>
      <c r="Q264" s="28">
        <v>0</v>
      </c>
      <c r="R264" s="28"/>
      <c r="S264" s="28" t="s">
        <v>481</v>
      </c>
      <c r="T264" s="36" t="str">
        <f>IFERROR(HYPERLINK("#'Main'!B"&amp;MATCH(TRIM(A264),Main!B:B,0),"Open"),HYPERLINK("#'Main'!B1","Open"))</f>
        <v>Open</v>
      </c>
      <c r="U264" s="36"/>
    </row>
    <row r="265" spans="1:21" ht="30" customHeight="1" x14ac:dyDescent="0.25">
      <c r="A265" s="46" t="s">
        <v>197</v>
      </c>
      <c r="B265" s="37" t="s">
        <v>479</v>
      </c>
      <c r="C265" s="39" t="s">
        <v>501</v>
      </c>
      <c r="D265" s="37" t="s">
        <v>503</v>
      </c>
      <c r="E265" s="29">
        <v>404</v>
      </c>
      <c r="F265" s="37" t="b">
        <v>0</v>
      </c>
      <c r="G265" s="37">
        <v>0</v>
      </c>
      <c r="H265" s="47">
        <v>0</v>
      </c>
      <c r="I265" s="37">
        <v>0</v>
      </c>
      <c r="J265" s="37">
        <v>0</v>
      </c>
      <c r="K265" s="37">
        <v>0</v>
      </c>
      <c r="L265" s="41" t="b">
        <v>0</v>
      </c>
      <c r="M265" s="37">
        <v>0</v>
      </c>
      <c r="N265" s="37">
        <v>0</v>
      </c>
      <c r="O265" s="47">
        <v>0</v>
      </c>
      <c r="P265" s="37">
        <v>0</v>
      </c>
      <c r="Q265" s="37">
        <v>0</v>
      </c>
      <c r="R265" s="37"/>
      <c r="S265" s="37" t="s">
        <v>481</v>
      </c>
      <c r="T265" t="str">
        <f>IFERROR(HYPERLINK("#'Main'!B"&amp;MATCH(TRIM(A265),Main!B:B,0),"Open"),HYPERLINK("#'Main'!B1","Open"))</f>
        <v>Open</v>
      </c>
    </row>
    <row r="266" spans="1:21" ht="30" customHeight="1" x14ac:dyDescent="0.25">
      <c r="A266" s="45" t="s">
        <v>198</v>
      </c>
      <c r="B266" s="28" t="s">
        <v>479</v>
      </c>
      <c r="C266" s="32" t="s">
        <v>166</v>
      </c>
      <c r="D266" s="28"/>
      <c r="E266" s="47">
        <v>200</v>
      </c>
      <c r="F266" s="28" t="b">
        <v>1</v>
      </c>
      <c r="G266" s="28">
        <v>0</v>
      </c>
      <c r="H266" s="47">
        <v>0</v>
      </c>
      <c r="I266" s="28">
        <v>0</v>
      </c>
      <c r="J266" s="28">
        <v>0</v>
      </c>
      <c r="K266" s="28">
        <v>0</v>
      </c>
      <c r="L266" s="35" t="b">
        <v>0</v>
      </c>
      <c r="M266" s="28">
        <v>0</v>
      </c>
      <c r="N266" s="28">
        <v>0</v>
      </c>
      <c r="O266" s="47">
        <v>0</v>
      </c>
      <c r="P266" s="28">
        <v>0</v>
      </c>
      <c r="Q266" s="28">
        <v>0</v>
      </c>
      <c r="R266" s="28"/>
      <c r="S266" s="28" t="s">
        <v>481</v>
      </c>
      <c r="T266" s="36" t="str">
        <f>IFERROR(HYPERLINK("#'Main'!B"&amp;MATCH(TRIM(A266),Main!B:B,0),"Open"),HYPERLINK("#'Main'!B1","Open"))</f>
        <v>Open</v>
      </c>
      <c r="U266" s="36"/>
    </row>
    <row r="267" spans="1:21" ht="30" customHeight="1" x14ac:dyDescent="0.25">
      <c r="A267" s="46" t="s">
        <v>198</v>
      </c>
      <c r="B267" s="37" t="s">
        <v>479</v>
      </c>
      <c r="C267" s="39" t="s">
        <v>166</v>
      </c>
      <c r="D267" s="37" t="s">
        <v>504</v>
      </c>
      <c r="E267" s="47">
        <v>200</v>
      </c>
      <c r="F267" s="37" t="b">
        <v>1</v>
      </c>
      <c r="G267" s="37">
        <v>0</v>
      </c>
      <c r="H267" s="47">
        <v>0</v>
      </c>
      <c r="I267" s="37">
        <v>0</v>
      </c>
      <c r="J267" s="37">
        <v>0</v>
      </c>
      <c r="K267" s="37">
        <v>0</v>
      </c>
      <c r="L267" s="41" t="b">
        <v>0</v>
      </c>
      <c r="M267" s="37">
        <v>0</v>
      </c>
      <c r="N267" s="37">
        <v>0</v>
      </c>
      <c r="O267" s="47">
        <v>0</v>
      </c>
      <c r="P267" s="37">
        <v>0</v>
      </c>
      <c r="Q267" s="37">
        <v>0</v>
      </c>
      <c r="R267" s="37"/>
      <c r="S267" s="37" t="s">
        <v>481</v>
      </c>
      <c r="T267" t="str">
        <f>IFERROR(HYPERLINK("#'Main'!B"&amp;MATCH(TRIM(A267),Main!B:B,0),"Open"),HYPERLINK("#'Main'!B1","Open"))</f>
        <v>Open</v>
      </c>
    </row>
    <row r="268" spans="1:21" ht="30" customHeight="1" x14ac:dyDescent="0.25">
      <c r="A268" s="45" t="s">
        <v>198</v>
      </c>
      <c r="B268" s="28" t="s">
        <v>479</v>
      </c>
      <c r="C268" s="32" t="s">
        <v>199</v>
      </c>
      <c r="D268" s="28" t="s">
        <v>505</v>
      </c>
      <c r="E268" s="47">
        <v>200</v>
      </c>
      <c r="F268" s="28" t="b">
        <v>1</v>
      </c>
      <c r="G268" s="28">
        <v>0</v>
      </c>
      <c r="H268" s="47">
        <v>0</v>
      </c>
      <c r="I268" s="28">
        <v>0</v>
      </c>
      <c r="J268" s="28">
        <v>0</v>
      </c>
      <c r="K268" s="28">
        <v>0</v>
      </c>
      <c r="L268" s="35" t="b">
        <v>0</v>
      </c>
      <c r="M268" s="28">
        <v>0</v>
      </c>
      <c r="N268" s="28">
        <v>0</v>
      </c>
      <c r="O268" s="47">
        <v>0</v>
      </c>
      <c r="P268" s="28">
        <v>0</v>
      </c>
      <c r="Q268" s="28">
        <v>0</v>
      </c>
      <c r="R268" s="28"/>
      <c r="S268" s="28" t="s">
        <v>481</v>
      </c>
      <c r="T268" s="36" t="str">
        <f>IFERROR(HYPERLINK("#'Main'!B"&amp;MATCH(TRIM(A268),Main!B:B,0),"Open"),HYPERLINK("#'Main'!B1","Open"))</f>
        <v>Open</v>
      </c>
      <c r="U268" s="36"/>
    </row>
    <row r="269" spans="1:21" ht="30" customHeight="1" x14ac:dyDescent="0.25">
      <c r="A269" s="46" t="s">
        <v>198</v>
      </c>
      <c r="B269" s="37" t="s">
        <v>479</v>
      </c>
      <c r="C269" s="39" t="s">
        <v>506</v>
      </c>
      <c r="D269" s="37" t="s">
        <v>507</v>
      </c>
      <c r="E269" s="47">
        <v>200</v>
      </c>
      <c r="F269" s="37" t="b">
        <v>1</v>
      </c>
      <c r="G269" s="37">
        <v>0</v>
      </c>
      <c r="H269" s="47">
        <v>0</v>
      </c>
      <c r="I269" s="37">
        <v>0</v>
      </c>
      <c r="J269" s="37">
        <v>0</v>
      </c>
      <c r="K269" s="37">
        <v>0</v>
      </c>
      <c r="L269" s="41" t="b">
        <v>0</v>
      </c>
      <c r="M269" s="37">
        <v>0</v>
      </c>
      <c r="N269" s="37">
        <v>0</v>
      </c>
      <c r="O269" s="47">
        <v>0</v>
      </c>
      <c r="P269" s="37">
        <v>0</v>
      </c>
      <c r="Q269" s="37">
        <v>0</v>
      </c>
      <c r="R269" s="37"/>
      <c r="S269" s="37" t="s">
        <v>481</v>
      </c>
      <c r="T269" t="str">
        <f>IFERROR(HYPERLINK("#'Main'!B"&amp;MATCH(TRIM(A269),Main!B:B,0),"Open"),HYPERLINK("#'Main'!B1","Open"))</f>
        <v>Open</v>
      </c>
    </row>
    <row r="270" spans="1:21" ht="30" customHeight="1" x14ac:dyDescent="0.25">
      <c r="A270" s="45" t="s">
        <v>198</v>
      </c>
      <c r="B270" s="28" t="s">
        <v>479</v>
      </c>
      <c r="C270" s="32" t="s">
        <v>508</v>
      </c>
      <c r="D270" s="28" t="s">
        <v>509</v>
      </c>
      <c r="E270" s="47">
        <v>200</v>
      </c>
      <c r="F270" s="28" t="b">
        <v>1</v>
      </c>
      <c r="G270" s="28">
        <v>0</v>
      </c>
      <c r="H270" s="47">
        <v>0</v>
      </c>
      <c r="I270" s="28">
        <v>0</v>
      </c>
      <c r="J270" s="28">
        <v>0</v>
      </c>
      <c r="K270" s="28">
        <v>0</v>
      </c>
      <c r="L270" s="35" t="b">
        <v>0</v>
      </c>
      <c r="M270" s="28">
        <v>0</v>
      </c>
      <c r="N270" s="28">
        <v>0</v>
      </c>
      <c r="O270" s="47">
        <v>0</v>
      </c>
      <c r="P270" s="28">
        <v>0</v>
      </c>
      <c r="Q270" s="28">
        <v>0</v>
      </c>
      <c r="R270" s="28"/>
      <c r="S270" s="28" t="s">
        <v>481</v>
      </c>
      <c r="T270" s="36" t="str">
        <f>IFERROR(HYPERLINK("#'Main'!B"&amp;MATCH(TRIM(A270),Main!B:B,0),"Open"),HYPERLINK("#'Main'!B1","Open"))</f>
        <v>Open</v>
      </c>
      <c r="U270" s="36"/>
    </row>
    <row r="271" spans="1:21" ht="30" customHeight="1" x14ac:dyDescent="0.25">
      <c r="A271" s="46" t="s">
        <v>198</v>
      </c>
      <c r="B271" s="37" t="s">
        <v>479</v>
      </c>
      <c r="C271" s="39" t="s">
        <v>196</v>
      </c>
      <c r="D271" s="37" t="s">
        <v>510</v>
      </c>
      <c r="E271" s="47">
        <v>200</v>
      </c>
      <c r="F271" s="37" t="b">
        <v>1</v>
      </c>
      <c r="G271" s="37">
        <v>0</v>
      </c>
      <c r="H271" s="47">
        <v>0</v>
      </c>
      <c r="I271" s="37">
        <v>0</v>
      </c>
      <c r="J271" s="37">
        <v>0</v>
      </c>
      <c r="K271" s="37">
        <v>0</v>
      </c>
      <c r="L271" s="41" t="b">
        <v>0</v>
      </c>
      <c r="M271" s="37">
        <v>0</v>
      </c>
      <c r="N271" s="37">
        <v>0</v>
      </c>
      <c r="O271" s="47">
        <v>0</v>
      </c>
      <c r="P271" s="37">
        <v>0</v>
      </c>
      <c r="Q271" s="37">
        <v>0</v>
      </c>
      <c r="R271" s="37"/>
      <c r="S271" s="37" t="s">
        <v>481</v>
      </c>
      <c r="T271" t="str">
        <f>IFERROR(HYPERLINK("#'Main'!B"&amp;MATCH(TRIM(A271),Main!B:B,0),"Open"),HYPERLINK("#'Main'!B1","Open"))</f>
        <v>Open</v>
      </c>
    </row>
    <row r="272" spans="1:21" ht="30" customHeight="1" x14ac:dyDescent="0.25">
      <c r="A272" s="45" t="s">
        <v>198</v>
      </c>
      <c r="B272" s="28" t="s">
        <v>479</v>
      </c>
      <c r="C272" s="32" t="s">
        <v>511</v>
      </c>
      <c r="D272" s="28" t="s">
        <v>512</v>
      </c>
      <c r="E272" s="47">
        <v>200</v>
      </c>
      <c r="F272" s="28" t="b">
        <v>1</v>
      </c>
      <c r="G272" s="28">
        <v>0</v>
      </c>
      <c r="H272" s="47">
        <v>0</v>
      </c>
      <c r="I272" s="28">
        <v>0</v>
      </c>
      <c r="J272" s="28">
        <v>0</v>
      </c>
      <c r="K272" s="28">
        <v>0</v>
      </c>
      <c r="L272" s="35" t="b">
        <v>0</v>
      </c>
      <c r="M272" s="28">
        <v>0</v>
      </c>
      <c r="N272" s="28">
        <v>0</v>
      </c>
      <c r="O272" s="47">
        <v>0</v>
      </c>
      <c r="P272" s="28">
        <v>0</v>
      </c>
      <c r="Q272" s="28">
        <v>0</v>
      </c>
      <c r="R272" s="28"/>
      <c r="S272" s="28" t="s">
        <v>481</v>
      </c>
      <c r="T272" s="36" t="str">
        <f>IFERROR(HYPERLINK("#'Main'!B"&amp;MATCH(TRIM(A272),Main!B:B,0),"Open"),HYPERLINK("#'Main'!B1","Open"))</f>
        <v>Open</v>
      </c>
      <c r="U272" s="36"/>
    </row>
    <row r="273" spans="1:21" ht="30" customHeight="1" x14ac:dyDescent="0.25">
      <c r="A273" s="46" t="s">
        <v>198</v>
      </c>
      <c r="B273" s="37" t="s">
        <v>479</v>
      </c>
      <c r="C273" s="39" t="s">
        <v>513</v>
      </c>
      <c r="D273" s="37" t="s">
        <v>514</v>
      </c>
      <c r="E273" s="47">
        <v>200</v>
      </c>
      <c r="F273" s="37" t="b">
        <v>1</v>
      </c>
      <c r="G273" s="37">
        <v>0</v>
      </c>
      <c r="H273" s="47">
        <v>0</v>
      </c>
      <c r="I273" s="37">
        <v>0</v>
      </c>
      <c r="J273" s="37">
        <v>0</v>
      </c>
      <c r="K273" s="37">
        <v>0</v>
      </c>
      <c r="L273" s="41" t="b">
        <v>0</v>
      </c>
      <c r="M273" s="37">
        <v>0</v>
      </c>
      <c r="N273" s="37">
        <v>0</v>
      </c>
      <c r="O273" s="47">
        <v>0</v>
      </c>
      <c r="P273" s="37">
        <v>0</v>
      </c>
      <c r="Q273" s="37">
        <v>0</v>
      </c>
      <c r="R273" s="37"/>
      <c r="S273" s="37" t="s">
        <v>481</v>
      </c>
      <c r="T273" t="str">
        <f>IFERROR(HYPERLINK("#'Main'!B"&amp;MATCH(TRIM(A273),Main!B:B,0),"Open"),HYPERLINK("#'Main'!B1","Open"))</f>
        <v>Open</v>
      </c>
    </row>
    <row r="274" spans="1:21" ht="30" customHeight="1" x14ac:dyDescent="0.25">
      <c r="A274" s="45" t="s">
        <v>198</v>
      </c>
      <c r="B274" s="28" t="s">
        <v>479</v>
      </c>
      <c r="C274" s="32" t="s">
        <v>515</v>
      </c>
      <c r="D274" s="28" t="s">
        <v>516</v>
      </c>
      <c r="E274" s="47">
        <v>200</v>
      </c>
      <c r="F274" s="28" t="b">
        <v>1</v>
      </c>
      <c r="G274" s="28">
        <v>0</v>
      </c>
      <c r="H274" s="47">
        <v>0</v>
      </c>
      <c r="I274" s="28">
        <v>0</v>
      </c>
      <c r="J274" s="28">
        <v>0</v>
      </c>
      <c r="K274" s="28">
        <v>0</v>
      </c>
      <c r="L274" s="35" t="b">
        <v>0</v>
      </c>
      <c r="M274" s="28">
        <v>0</v>
      </c>
      <c r="N274" s="28">
        <v>0</v>
      </c>
      <c r="O274" s="47">
        <v>0</v>
      </c>
      <c r="P274" s="28">
        <v>0</v>
      </c>
      <c r="Q274" s="28">
        <v>0</v>
      </c>
      <c r="R274" s="28"/>
      <c r="S274" s="28" t="s">
        <v>481</v>
      </c>
      <c r="T274" s="36" t="str">
        <f>IFERROR(HYPERLINK("#'Main'!B"&amp;MATCH(TRIM(A274),Main!B:B,0),"Open"),HYPERLINK("#'Main'!B1","Open"))</f>
        <v>Open</v>
      </c>
      <c r="U274" s="36"/>
    </row>
    <row r="275" spans="1:21" ht="30" customHeight="1" x14ac:dyDescent="0.25">
      <c r="A275" s="46" t="s">
        <v>198</v>
      </c>
      <c r="B275" s="37" t="s">
        <v>479</v>
      </c>
      <c r="C275" s="39" t="s">
        <v>517</v>
      </c>
      <c r="D275" s="37" t="s">
        <v>518</v>
      </c>
      <c r="E275" s="47">
        <v>200</v>
      </c>
      <c r="F275" s="37" t="b">
        <v>1</v>
      </c>
      <c r="G275" s="37">
        <v>0</v>
      </c>
      <c r="H275" s="47">
        <v>0</v>
      </c>
      <c r="I275" s="37">
        <v>0</v>
      </c>
      <c r="J275" s="37">
        <v>0</v>
      </c>
      <c r="K275" s="37">
        <v>0</v>
      </c>
      <c r="L275" s="41" t="b">
        <v>0</v>
      </c>
      <c r="M275" s="37">
        <v>0</v>
      </c>
      <c r="N275" s="37">
        <v>0</v>
      </c>
      <c r="O275" s="47">
        <v>0</v>
      </c>
      <c r="P275" s="37">
        <v>0</v>
      </c>
      <c r="Q275" s="37">
        <v>0</v>
      </c>
      <c r="R275" s="37"/>
      <c r="S275" s="37" t="s">
        <v>481</v>
      </c>
      <c r="T275" t="str">
        <f>IFERROR(HYPERLINK("#'Main'!B"&amp;MATCH(TRIM(A275),Main!B:B,0),"Open"),HYPERLINK("#'Main'!B1","Open"))</f>
        <v>Open</v>
      </c>
    </row>
    <row r="276" spans="1:21" ht="30" customHeight="1" x14ac:dyDescent="0.25">
      <c r="A276" s="45" t="s">
        <v>198</v>
      </c>
      <c r="B276" s="28" t="s">
        <v>479</v>
      </c>
      <c r="C276" s="32" t="s">
        <v>517</v>
      </c>
      <c r="D276" s="28" t="s">
        <v>519</v>
      </c>
      <c r="E276" s="47">
        <v>200</v>
      </c>
      <c r="F276" s="28" t="b">
        <v>1</v>
      </c>
      <c r="G276" s="28">
        <v>0</v>
      </c>
      <c r="H276" s="47">
        <v>0</v>
      </c>
      <c r="I276" s="28">
        <v>0</v>
      </c>
      <c r="J276" s="28">
        <v>0</v>
      </c>
      <c r="K276" s="28">
        <v>0</v>
      </c>
      <c r="L276" s="35" t="b">
        <v>0</v>
      </c>
      <c r="M276" s="28">
        <v>0</v>
      </c>
      <c r="N276" s="28">
        <v>0</v>
      </c>
      <c r="O276" s="47">
        <v>0</v>
      </c>
      <c r="P276" s="28">
        <v>0</v>
      </c>
      <c r="Q276" s="28">
        <v>0</v>
      </c>
      <c r="R276" s="28"/>
      <c r="S276" s="28" t="s">
        <v>481</v>
      </c>
      <c r="T276" s="36" t="str">
        <f>IFERROR(HYPERLINK("#'Main'!B"&amp;MATCH(TRIM(A276),Main!B:B,0),"Open"),HYPERLINK("#'Main'!B1","Open"))</f>
        <v>Open</v>
      </c>
      <c r="U276" s="36"/>
    </row>
    <row r="277" spans="1:21" ht="30" customHeight="1" x14ac:dyDescent="0.25">
      <c r="A277" s="46" t="s">
        <v>198</v>
      </c>
      <c r="B277" s="37" t="s">
        <v>479</v>
      </c>
      <c r="C277" s="39" t="s">
        <v>494</v>
      </c>
      <c r="D277" s="37" t="s">
        <v>520</v>
      </c>
      <c r="E277" s="47">
        <v>200</v>
      </c>
      <c r="F277" s="37" t="b">
        <v>1</v>
      </c>
      <c r="G277" s="37">
        <v>0</v>
      </c>
      <c r="H277" s="47">
        <v>0</v>
      </c>
      <c r="I277" s="37">
        <v>0</v>
      </c>
      <c r="J277" s="37">
        <v>0</v>
      </c>
      <c r="K277" s="37">
        <v>0</v>
      </c>
      <c r="L277" s="41" t="b">
        <v>0</v>
      </c>
      <c r="M277" s="37">
        <v>0</v>
      </c>
      <c r="N277" s="37">
        <v>0</v>
      </c>
      <c r="O277" s="47">
        <v>0</v>
      </c>
      <c r="P277" s="37">
        <v>0</v>
      </c>
      <c r="Q277" s="37">
        <v>0</v>
      </c>
      <c r="R277" s="37"/>
      <c r="S277" s="37" t="s">
        <v>481</v>
      </c>
      <c r="T277" t="str">
        <f>IFERROR(HYPERLINK("#'Main'!B"&amp;MATCH(TRIM(A277),Main!B:B,0),"Open"),HYPERLINK("#'Main'!B1","Open"))</f>
        <v>Open</v>
      </c>
    </row>
    <row r="278" spans="1:21" ht="30" customHeight="1" x14ac:dyDescent="0.25">
      <c r="A278" s="45" t="s">
        <v>198</v>
      </c>
      <c r="B278" s="28" t="s">
        <v>479</v>
      </c>
      <c r="C278" s="32" t="s">
        <v>521</v>
      </c>
      <c r="D278" s="28" t="s">
        <v>268</v>
      </c>
      <c r="E278" s="47">
        <v>200</v>
      </c>
      <c r="F278" s="28" t="b">
        <v>1</v>
      </c>
      <c r="G278" s="28">
        <v>0</v>
      </c>
      <c r="H278" s="47">
        <v>0</v>
      </c>
      <c r="I278" s="28">
        <v>0</v>
      </c>
      <c r="J278" s="28">
        <v>0</v>
      </c>
      <c r="K278" s="28">
        <v>0</v>
      </c>
      <c r="L278" s="35" t="b">
        <v>0</v>
      </c>
      <c r="M278" s="28">
        <v>0</v>
      </c>
      <c r="N278" s="28">
        <v>0</v>
      </c>
      <c r="O278" s="47">
        <v>0</v>
      </c>
      <c r="P278" s="28">
        <v>0</v>
      </c>
      <c r="Q278" s="28">
        <v>0</v>
      </c>
      <c r="R278" s="28"/>
      <c r="S278" s="28" t="s">
        <v>481</v>
      </c>
      <c r="T278" s="36" t="str">
        <f>IFERROR(HYPERLINK("#'Main'!B"&amp;MATCH(TRIM(A278),Main!B:B,0),"Open"),HYPERLINK("#'Main'!B1","Open"))</f>
        <v>Open</v>
      </c>
      <c r="U278" s="36"/>
    </row>
    <row r="279" spans="1:21" ht="30" customHeight="1" x14ac:dyDescent="0.25">
      <c r="A279" s="46" t="s">
        <v>198</v>
      </c>
      <c r="B279" s="37" t="s">
        <v>479</v>
      </c>
      <c r="C279" s="39" t="s">
        <v>522</v>
      </c>
      <c r="D279" s="37" t="s">
        <v>523</v>
      </c>
      <c r="E279" s="47">
        <v>200</v>
      </c>
      <c r="F279" s="37" t="b">
        <v>1</v>
      </c>
      <c r="G279" s="37">
        <v>0</v>
      </c>
      <c r="H279" s="47">
        <v>0</v>
      </c>
      <c r="I279" s="37">
        <v>0</v>
      </c>
      <c r="J279" s="37">
        <v>0</v>
      </c>
      <c r="K279" s="37">
        <v>0</v>
      </c>
      <c r="L279" s="41" t="b">
        <v>0</v>
      </c>
      <c r="M279" s="37">
        <v>0</v>
      </c>
      <c r="N279" s="37">
        <v>0</v>
      </c>
      <c r="O279" s="47">
        <v>0</v>
      </c>
      <c r="P279" s="37">
        <v>0</v>
      </c>
      <c r="Q279" s="37">
        <v>0</v>
      </c>
      <c r="R279" s="37"/>
      <c r="S279" s="37" t="s">
        <v>481</v>
      </c>
      <c r="T279" t="str">
        <f>IFERROR(HYPERLINK("#'Main'!B"&amp;MATCH(TRIM(A279),Main!B:B,0),"Open"),HYPERLINK("#'Main'!B1","Open"))</f>
        <v>Open</v>
      </c>
    </row>
    <row r="280" spans="1:21" ht="30" customHeight="1" x14ac:dyDescent="0.25">
      <c r="A280" s="45" t="s">
        <v>198</v>
      </c>
      <c r="B280" s="28" t="s">
        <v>479</v>
      </c>
      <c r="C280" s="32" t="s">
        <v>166</v>
      </c>
      <c r="D280" s="28" t="s">
        <v>504</v>
      </c>
      <c r="E280" s="47">
        <v>200</v>
      </c>
      <c r="F280" s="28" t="b">
        <v>1</v>
      </c>
      <c r="G280" s="28">
        <v>0</v>
      </c>
      <c r="H280" s="47">
        <v>0</v>
      </c>
      <c r="I280" s="28">
        <v>0</v>
      </c>
      <c r="J280" s="28">
        <v>0</v>
      </c>
      <c r="K280" s="28">
        <v>0</v>
      </c>
      <c r="L280" s="35" t="b">
        <v>0</v>
      </c>
      <c r="M280" s="28">
        <v>0</v>
      </c>
      <c r="N280" s="28">
        <v>0</v>
      </c>
      <c r="O280" s="47">
        <v>0</v>
      </c>
      <c r="P280" s="28">
        <v>0</v>
      </c>
      <c r="Q280" s="28">
        <v>0</v>
      </c>
      <c r="R280" s="28"/>
      <c r="S280" s="28" t="s">
        <v>481</v>
      </c>
      <c r="T280" s="36" t="str">
        <f>IFERROR(HYPERLINK("#'Main'!B"&amp;MATCH(TRIM(A280),Main!B:B,0),"Open"),HYPERLINK("#'Main'!B1","Open"))</f>
        <v>Open</v>
      </c>
      <c r="U280" s="36"/>
    </row>
    <row r="281" spans="1:21" ht="30" customHeight="1" x14ac:dyDescent="0.25">
      <c r="A281" s="46" t="s">
        <v>198</v>
      </c>
      <c r="B281" s="37" t="s">
        <v>479</v>
      </c>
      <c r="C281" s="39" t="s">
        <v>199</v>
      </c>
      <c r="D281" s="37" t="s">
        <v>505</v>
      </c>
      <c r="E281" s="47">
        <v>200</v>
      </c>
      <c r="F281" s="37" t="b">
        <v>1</v>
      </c>
      <c r="G281" s="37">
        <v>0</v>
      </c>
      <c r="H281" s="47">
        <v>0</v>
      </c>
      <c r="I281" s="37">
        <v>0</v>
      </c>
      <c r="J281" s="37">
        <v>0</v>
      </c>
      <c r="K281" s="37">
        <v>0</v>
      </c>
      <c r="L281" s="41" t="b">
        <v>0</v>
      </c>
      <c r="M281" s="37">
        <v>0</v>
      </c>
      <c r="N281" s="37">
        <v>0</v>
      </c>
      <c r="O281" s="47">
        <v>0</v>
      </c>
      <c r="P281" s="37">
        <v>0</v>
      </c>
      <c r="Q281" s="37">
        <v>0</v>
      </c>
      <c r="R281" s="37"/>
      <c r="S281" s="37" t="s">
        <v>481</v>
      </c>
      <c r="T281" t="str">
        <f>IFERROR(HYPERLINK("#'Main'!B"&amp;MATCH(TRIM(A281),Main!B:B,0),"Open"),HYPERLINK("#'Main'!B1","Open"))</f>
        <v>Open</v>
      </c>
    </row>
    <row r="282" spans="1:21" ht="30" customHeight="1" x14ac:dyDescent="0.25">
      <c r="A282" s="45" t="s">
        <v>198</v>
      </c>
      <c r="B282" s="28" t="s">
        <v>479</v>
      </c>
      <c r="C282" s="32" t="s">
        <v>506</v>
      </c>
      <c r="D282" s="28" t="s">
        <v>507</v>
      </c>
      <c r="E282" s="47">
        <v>200</v>
      </c>
      <c r="F282" s="28" t="b">
        <v>1</v>
      </c>
      <c r="G282" s="28">
        <v>0</v>
      </c>
      <c r="H282" s="47">
        <v>0</v>
      </c>
      <c r="I282" s="28">
        <v>0</v>
      </c>
      <c r="J282" s="28">
        <v>0</v>
      </c>
      <c r="K282" s="28">
        <v>0</v>
      </c>
      <c r="L282" s="35" t="b">
        <v>0</v>
      </c>
      <c r="M282" s="28">
        <v>0</v>
      </c>
      <c r="N282" s="28">
        <v>0</v>
      </c>
      <c r="O282" s="47">
        <v>0</v>
      </c>
      <c r="P282" s="28">
        <v>0</v>
      </c>
      <c r="Q282" s="28">
        <v>0</v>
      </c>
      <c r="R282" s="28"/>
      <c r="S282" s="28" t="s">
        <v>481</v>
      </c>
      <c r="T282" s="36" t="str">
        <f>IFERROR(HYPERLINK("#'Main'!B"&amp;MATCH(TRIM(A282),Main!B:B,0),"Open"),HYPERLINK("#'Main'!B1","Open"))</f>
        <v>Open</v>
      </c>
      <c r="U282" s="36"/>
    </row>
    <row r="283" spans="1:21" ht="30" customHeight="1" x14ac:dyDescent="0.25">
      <c r="A283" s="46" t="s">
        <v>198</v>
      </c>
      <c r="B283" s="37" t="s">
        <v>479</v>
      </c>
      <c r="C283" s="39" t="s">
        <v>508</v>
      </c>
      <c r="D283" s="37" t="s">
        <v>509</v>
      </c>
      <c r="E283" s="47">
        <v>200</v>
      </c>
      <c r="F283" s="37" t="b">
        <v>1</v>
      </c>
      <c r="G283" s="37">
        <v>0</v>
      </c>
      <c r="H283" s="47">
        <v>0</v>
      </c>
      <c r="I283" s="37">
        <v>0</v>
      </c>
      <c r="J283" s="37">
        <v>0</v>
      </c>
      <c r="K283" s="37">
        <v>0</v>
      </c>
      <c r="L283" s="41" t="b">
        <v>0</v>
      </c>
      <c r="M283" s="37">
        <v>0</v>
      </c>
      <c r="N283" s="37">
        <v>0</v>
      </c>
      <c r="O283" s="47">
        <v>0</v>
      </c>
      <c r="P283" s="37">
        <v>0</v>
      </c>
      <c r="Q283" s="37">
        <v>0</v>
      </c>
      <c r="R283" s="37"/>
      <c r="S283" s="37" t="s">
        <v>481</v>
      </c>
      <c r="T283" t="str">
        <f>IFERROR(HYPERLINK("#'Main'!B"&amp;MATCH(TRIM(A283),Main!B:B,0),"Open"),HYPERLINK("#'Main'!B1","Open"))</f>
        <v>Open</v>
      </c>
    </row>
    <row r="284" spans="1:21" ht="30" customHeight="1" x14ac:dyDescent="0.25">
      <c r="A284" s="45" t="s">
        <v>198</v>
      </c>
      <c r="B284" s="28" t="s">
        <v>479</v>
      </c>
      <c r="C284" s="32" t="s">
        <v>196</v>
      </c>
      <c r="D284" s="28" t="s">
        <v>510</v>
      </c>
      <c r="E284" s="47">
        <v>200</v>
      </c>
      <c r="F284" s="28" t="b">
        <v>1</v>
      </c>
      <c r="G284" s="28">
        <v>0</v>
      </c>
      <c r="H284" s="47">
        <v>0</v>
      </c>
      <c r="I284" s="28">
        <v>0</v>
      </c>
      <c r="J284" s="28">
        <v>0</v>
      </c>
      <c r="K284" s="28">
        <v>0</v>
      </c>
      <c r="L284" s="35" t="b">
        <v>0</v>
      </c>
      <c r="M284" s="28">
        <v>0</v>
      </c>
      <c r="N284" s="28">
        <v>0</v>
      </c>
      <c r="O284" s="47">
        <v>0</v>
      </c>
      <c r="P284" s="28">
        <v>0</v>
      </c>
      <c r="Q284" s="28">
        <v>0</v>
      </c>
      <c r="R284" s="28"/>
      <c r="S284" s="28" t="s">
        <v>481</v>
      </c>
      <c r="T284" s="36" t="str">
        <f>IFERROR(HYPERLINK("#'Main'!B"&amp;MATCH(TRIM(A284),Main!B:B,0),"Open"),HYPERLINK("#'Main'!B1","Open"))</f>
        <v>Open</v>
      </c>
      <c r="U284" s="36"/>
    </row>
    <row r="285" spans="1:21" ht="30" customHeight="1" x14ac:dyDescent="0.25">
      <c r="A285" s="46" t="s">
        <v>198</v>
      </c>
      <c r="B285" s="37" t="s">
        <v>479</v>
      </c>
      <c r="C285" s="39" t="s">
        <v>511</v>
      </c>
      <c r="D285" s="37" t="s">
        <v>512</v>
      </c>
      <c r="E285" s="47">
        <v>200</v>
      </c>
      <c r="F285" s="37" t="b">
        <v>1</v>
      </c>
      <c r="G285" s="37">
        <v>0</v>
      </c>
      <c r="H285" s="47">
        <v>0</v>
      </c>
      <c r="I285" s="37">
        <v>0</v>
      </c>
      <c r="J285" s="37">
        <v>0</v>
      </c>
      <c r="K285" s="37">
        <v>0</v>
      </c>
      <c r="L285" s="41" t="b">
        <v>0</v>
      </c>
      <c r="M285" s="37">
        <v>0</v>
      </c>
      <c r="N285" s="37">
        <v>0</v>
      </c>
      <c r="O285" s="47">
        <v>0</v>
      </c>
      <c r="P285" s="37">
        <v>0</v>
      </c>
      <c r="Q285" s="37">
        <v>0</v>
      </c>
      <c r="R285" s="37"/>
      <c r="S285" s="37" t="s">
        <v>481</v>
      </c>
      <c r="T285" t="str">
        <f>IFERROR(HYPERLINK("#'Main'!B"&amp;MATCH(TRIM(A285),Main!B:B,0),"Open"),HYPERLINK("#'Main'!B1","Open"))</f>
        <v>Open</v>
      </c>
    </row>
    <row r="286" spans="1:21" ht="30" customHeight="1" x14ac:dyDescent="0.25">
      <c r="A286" s="45" t="s">
        <v>198</v>
      </c>
      <c r="B286" s="28" t="s">
        <v>479</v>
      </c>
      <c r="C286" s="32" t="s">
        <v>513</v>
      </c>
      <c r="D286" s="28" t="s">
        <v>514</v>
      </c>
      <c r="E286" s="47">
        <v>200</v>
      </c>
      <c r="F286" s="28" t="b">
        <v>1</v>
      </c>
      <c r="G286" s="28">
        <v>0</v>
      </c>
      <c r="H286" s="47">
        <v>0</v>
      </c>
      <c r="I286" s="28">
        <v>0</v>
      </c>
      <c r="J286" s="28">
        <v>0</v>
      </c>
      <c r="K286" s="28">
        <v>0</v>
      </c>
      <c r="L286" s="35" t="b">
        <v>0</v>
      </c>
      <c r="M286" s="28">
        <v>0</v>
      </c>
      <c r="N286" s="28">
        <v>0</v>
      </c>
      <c r="O286" s="47">
        <v>0</v>
      </c>
      <c r="P286" s="28">
        <v>0</v>
      </c>
      <c r="Q286" s="28">
        <v>0</v>
      </c>
      <c r="R286" s="28"/>
      <c r="S286" s="28" t="s">
        <v>481</v>
      </c>
      <c r="T286" s="36" t="str">
        <f>IFERROR(HYPERLINK("#'Main'!B"&amp;MATCH(TRIM(A286),Main!B:B,0),"Open"),HYPERLINK("#'Main'!B1","Open"))</f>
        <v>Open</v>
      </c>
      <c r="U286" s="36"/>
    </row>
    <row r="287" spans="1:21" ht="30" customHeight="1" x14ac:dyDescent="0.25">
      <c r="A287" s="46" t="s">
        <v>198</v>
      </c>
      <c r="B287" s="37" t="s">
        <v>479</v>
      </c>
      <c r="C287" s="39" t="s">
        <v>515</v>
      </c>
      <c r="D287" s="37" t="s">
        <v>516</v>
      </c>
      <c r="E287" s="47">
        <v>200</v>
      </c>
      <c r="F287" s="37" t="b">
        <v>1</v>
      </c>
      <c r="G287" s="37">
        <v>0</v>
      </c>
      <c r="H287" s="47">
        <v>0</v>
      </c>
      <c r="I287" s="37">
        <v>0</v>
      </c>
      <c r="J287" s="37">
        <v>0</v>
      </c>
      <c r="K287" s="37">
        <v>0</v>
      </c>
      <c r="L287" s="41" t="b">
        <v>0</v>
      </c>
      <c r="M287" s="37">
        <v>0</v>
      </c>
      <c r="N287" s="37">
        <v>0</v>
      </c>
      <c r="O287" s="47">
        <v>0</v>
      </c>
      <c r="P287" s="37">
        <v>0</v>
      </c>
      <c r="Q287" s="37">
        <v>0</v>
      </c>
      <c r="R287" s="37"/>
      <c r="S287" s="37" t="s">
        <v>481</v>
      </c>
      <c r="T287" t="str">
        <f>IFERROR(HYPERLINK("#'Main'!B"&amp;MATCH(TRIM(A287),Main!B:B,0),"Open"),HYPERLINK("#'Main'!B1","Open"))</f>
        <v>Open</v>
      </c>
    </row>
    <row r="288" spans="1:21" ht="30" customHeight="1" x14ac:dyDescent="0.25">
      <c r="A288" s="45" t="s">
        <v>198</v>
      </c>
      <c r="B288" s="28" t="s">
        <v>479</v>
      </c>
      <c r="C288" s="32" t="s">
        <v>517</v>
      </c>
      <c r="D288" s="28" t="s">
        <v>518</v>
      </c>
      <c r="E288" s="47">
        <v>200</v>
      </c>
      <c r="F288" s="28" t="b">
        <v>1</v>
      </c>
      <c r="G288" s="28">
        <v>0</v>
      </c>
      <c r="H288" s="47">
        <v>0</v>
      </c>
      <c r="I288" s="28">
        <v>0</v>
      </c>
      <c r="J288" s="28">
        <v>0</v>
      </c>
      <c r="K288" s="28">
        <v>0</v>
      </c>
      <c r="L288" s="35" t="b">
        <v>0</v>
      </c>
      <c r="M288" s="28">
        <v>0</v>
      </c>
      <c r="N288" s="28">
        <v>0</v>
      </c>
      <c r="O288" s="47">
        <v>0</v>
      </c>
      <c r="P288" s="28">
        <v>0</v>
      </c>
      <c r="Q288" s="28">
        <v>0</v>
      </c>
      <c r="R288" s="28"/>
      <c r="S288" s="28" t="s">
        <v>481</v>
      </c>
      <c r="T288" s="36" t="str">
        <f>IFERROR(HYPERLINK("#'Main'!B"&amp;MATCH(TRIM(A288),Main!B:B,0),"Open"),HYPERLINK("#'Main'!B1","Open"))</f>
        <v>Open</v>
      </c>
      <c r="U288" s="36"/>
    </row>
    <row r="289" spans="1:21" ht="30" customHeight="1" x14ac:dyDescent="0.25">
      <c r="A289" s="46" t="s">
        <v>198</v>
      </c>
      <c r="B289" s="37" t="s">
        <v>479</v>
      </c>
      <c r="C289" s="39" t="s">
        <v>517</v>
      </c>
      <c r="D289" s="37" t="s">
        <v>519</v>
      </c>
      <c r="E289" s="47">
        <v>200</v>
      </c>
      <c r="F289" s="37" t="b">
        <v>1</v>
      </c>
      <c r="G289" s="37">
        <v>0</v>
      </c>
      <c r="H289" s="47">
        <v>0</v>
      </c>
      <c r="I289" s="37">
        <v>0</v>
      </c>
      <c r="J289" s="37">
        <v>0</v>
      </c>
      <c r="K289" s="37">
        <v>0</v>
      </c>
      <c r="L289" s="41" t="b">
        <v>0</v>
      </c>
      <c r="M289" s="37">
        <v>0</v>
      </c>
      <c r="N289" s="37">
        <v>0</v>
      </c>
      <c r="O289" s="47">
        <v>0</v>
      </c>
      <c r="P289" s="37">
        <v>0</v>
      </c>
      <c r="Q289" s="37">
        <v>0</v>
      </c>
      <c r="R289" s="37"/>
      <c r="S289" s="37" t="s">
        <v>481</v>
      </c>
      <c r="T289" t="str">
        <f>IFERROR(HYPERLINK("#'Main'!B"&amp;MATCH(TRIM(A289),Main!B:B,0),"Open"),HYPERLINK("#'Main'!B1","Open"))</f>
        <v>Open</v>
      </c>
    </row>
    <row r="290" spans="1:21" ht="30" customHeight="1" x14ac:dyDescent="0.25">
      <c r="A290" s="45" t="s">
        <v>198</v>
      </c>
      <c r="B290" s="28" t="s">
        <v>479</v>
      </c>
      <c r="C290" s="32" t="s">
        <v>494</v>
      </c>
      <c r="D290" s="28" t="s">
        <v>520</v>
      </c>
      <c r="E290" s="47">
        <v>200</v>
      </c>
      <c r="F290" s="28" t="b">
        <v>1</v>
      </c>
      <c r="G290" s="28">
        <v>0</v>
      </c>
      <c r="H290" s="47">
        <v>0</v>
      </c>
      <c r="I290" s="28">
        <v>0</v>
      </c>
      <c r="J290" s="28">
        <v>0</v>
      </c>
      <c r="K290" s="28">
        <v>0</v>
      </c>
      <c r="L290" s="35" t="b">
        <v>0</v>
      </c>
      <c r="M290" s="28">
        <v>0</v>
      </c>
      <c r="N290" s="28">
        <v>0</v>
      </c>
      <c r="O290" s="47">
        <v>0</v>
      </c>
      <c r="P290" s="28">
        <v>0</v>
      </c>
      <c r="Q290" s="28">
        <v>0</v>
      </c>
      <c r="R290" s="28"/>
      <c r="S290" s="28" t="s">
        <v>481</v>
      </c>
      <c r="T290" s="36" t="str">
        <f>IFERROR(HYPERLINK("#'Main'!B"&amp;MATCH(TRIM(A290),Main!B:B,0),"Open"),HYPERLINK("#'Main'!B1","Open"))</f>
        <v>Open</v>
      </c>
      <c r="U290" s="36"/>
    </row>
    <row r="291" spans="1:21" ht="30" customHeight="1" x14ac:dyDescent="0.25">
      <c r="A291" s="46" t="s">
        <v>198</v>
      </c>
      <c r="B291" s="37" t="s">
        <v>479</v>
      </c>
      <c r="C291" s="39" t="s">
        <v>521</v>
      </c>
      <c r="D291" s="37" t="s">
        <v>268</v>
      </c>
      <c r="E291" s="47">
        <v>200</v>
      </c>
      <c r="F291" s="37" t="b">
        <v>1</v>
      </c>
      <c r="G291" s="37">
        <v>0</v>
      </c>
      <c r="H291" s="47">
        <v>0</v>
      </c>
      <c r="I291" s="37">
        <v>0</v>
      </c>
      <c r="J291" s="37">
        <v>0</v>
      </c>
      <c r="K291" s="37">
        <v>0</v>
      </c>
      <c r="L291" s="41" t="b">
        <v>0</v>
      </c>
      <c r="M291" s="37">
        <v>0</v>
      </c>
      <c r="N291" s="37">
        <v>0</v>
      </c>
      <c r="O291" s="47">
        <v>0</v>
      </c>
      <c r="P291" s="37">
        <v>0</v>
      </c>
      <c r="Q291" s="37">
        <v>0</v>
      </c>
      <c r="R291" s="37"/>
      <c r="S291" s="37" t="s">
        <v>481</v>
      </c>
      <c r="T291" t="str">
        <f>IFERROR(HYPERLINK("#'Main'!B"&amp;MATCH(TRIM(A291),Main!B:B,0),"Open"),HYPERLINK("#'Main'!B1","Open"))</f>
        <v>Open</v>
      </c>
    </row>
    <row r="292" spans="1:21" ht="30" customHeight="1" x14ac:dyDescent="0.25">
      <c r="A292" s="45" t="s">
        <v>198</v>
      </c>
      <c r="B292" s="28" t="s">
        <v>479</v>
      </c>
      <c r="C292" s="32" t="s">
        <v>522</v>
      </c>
      <c r="D292" s="28" t="s">
        <v>523</v>
      </c>
      <c r="E292" s="47">
        <v>200</v>
      </c>
      <c r="F292" s="28" t="b">
        <v>1</v>
      </c>
      <c r="G292" s="28">
        <v>0</v>
      </c>
      <c r="H292" s="47">
        <v>0</v>
      </c>
      <c r="I292" s="28">
        <v>0</v>
      </c>
      <c r="J292" s="28">
        <v>0</v>
      </c>
      <c r="K292" s="28">
        <v>0</v>
      </c>
      <c r="L292" s="35" t="b">
        <v>0</v>
      </c>
      <c r="M292" s="28">
        <v>0</v>
      </c>
      <c r="N292" s="28">
        <v>0</v>
      </c>
      <c r="O292" s="47">
        <v>0</v>
      </c>
      <c r="P292" s="28">
        <v>0</v>
      </c>
      <c r="Q292" s="28">
        <v>0</v>
      </c>
      <c r="R292" s="28"/>
      <c r="S292" s="28" t="s">
        <v>481</v>
      </c>
      <c r="T292" s="36" t="str">
        <f>IFERROR(HYPERLINK("#'Main'!B"&amp;MATCH(TRIM(A292),Main!B:B,0),"Open"),HYPERLINK("#'Main'!B1","Open"))</f>
        <v>Open</v>
      </c>
      <c r="U292" s="36"/>
    </row>
    <row r="293" spans="1:21" ht="30" customHeight="1" x14ac:dyDescent="0.25">
      <c r="A293" s="46" t="s">
        <v>198</v>
      </c>
      <c r="B293" s="37" t="s">
        <v>479</v>
      </c>
      <c r="C293" s="39" t="s">
        <v>480</v>
      </c>
      <c r="D293" s="37"/>
      <c r="E293" s="37">
        <v>0</v>
      </c>
      <c r="F293" s="37" t="b">
        <v>1</v>
      </c>
      <c r="G293" s="37">
        <v>0</v>
      </c>
      <c r="H293" s="47">
        <v>0</v>
      </c>
      <c r="I293" s="37">
        <v>0</v>
      </c>
      <c r="J293" s="37">
        <v>0</v>
      </c>
      <c r="K293" s="37">
        <v>0</v>
      </c>
      <c r="L293" s="41" t="b">
        <v>0</v>
      </c>
      <c r="M293" s="37">
        <v>0</v>
      </c>
      <c r="N293" s="37">
        <v>0</v>
      </c>
      <c r="O293" s="47">
        <v>0</v>
      </c>
      <c r="P293" s="37">
        <v>0</v>
      </c>
      <c r="Q293" s="37">
        <v>0</v>
      </c>
      <c r="R293" s="37"/>
      <c r="S293" s="37" t="s">
        <v>481</v>
      </c>
      <c r="T293" t="str">
        <f>IFERROR(HYPERLINK("#'Main'!B"&amp;MATCH(TRIM(A293),Main!B:B,0),"Open"),HYPERLINK("#'Main'!B1","Open"))</f>
        <v>Open</v>
      </c>
    </row>
    <row r="294" spans="1:21" ht="30" customHeight="1" x14ac:dyDescent="0.25">
      <c r="A294" s="45" t="s">
        <v>198</v>
      </c>
      <c r="B294" s="28" t="s">
        <v>479</v>
      </c>
      <c r="C294" s="32" t="s">
        <v>482</v>
      </c>
      <c r="D294" s="28" t="s">
        <v>483</v>
      </c>
      <c r="E294" s="47">
        <v>200</v>
      </c>
      <c r="F294" s="28" t="b">
        <v>1</v>
      </c>
      <c r="G294" s="28">
        <v>0</v>
      </c>
      <c r="H294" s="47">
        <v>0</v>
      </c>
      <c r="I294" s="28">
        <v>0</v>
      </c>
      <c r="J294" s="28">
        <v>0</v>
      </c>
      <c r="K294" s="28">
        <v>0</v>
      </c>
      <c r="L294" s="35" t="b">
        <v>0</v>
      </c>
      <c r="M294" s="28">
        <v>0</v>
      </c>
      <c r="N294" s="28">
        <v>0</v>
      </c>
      <c r="O294" s="47">
        <v>0</v>
      </c>
      <c r="P294" s="28">
        <v>0</v>
      </c>
      <c r="Q294" s="28">
        <v>0</v>
      </c>
      <c r="R294" s="28"/>
      <c r="S294" s="28" t="s">
        <v>481</v>
      </c>
      <c r="T294" s="36" t="str">
        <f>IFERROR(HYPERLINK("#'Main'!B"&amp;MATCH(TRIM(A294),Main!B:B,0),"Open"),HYPERLINK("#'Main'!B1","Open"))</f>
        <v>Open</v>
      </c>
      <c r="U294" s="36"/>
    </row>
    <row r="295" spans="1:21" ht="30" customHeight="1" x14ac:dyDescent="0.25">
      <c r="A295" s="46" t="s">
        <v>198</v>
      </c>
      <c r="B295" s="37" t="s">
        <v>479</v>
      </c>
      <c r="C295" s="39" t="s">
        <v>484</v>
      </c>
      <c r="D295" s="37" t="s">
        <v>485</v>
      </c>
      <c r="E295" s="47">
        <v>200</v>
      </c>
      <c r="F295" s="37" t="b">
        <v>1</v>
      </c>
      <c r="G295" s="37">
        <v>0</v>
      </c>
      <c r="H295" s="47">
        <v>0</v>
      </c>
      <c r="I295" s="37">
        <v>0</v>
      </c>
      <c r="J295" s="37">
        <v>0</v>
      </c>
      <c r="K295" s="37">
        <v>0</v>
      </c>
      <c r="L295" s="41" t="b">
        <v>0</v>
      </c>
      <c r="M295" s="37">
        <v>0</v>
      </c>
      <c r="N295" s="37">
        <v>0</v>
      </c>
      <c r="O295" s="47">
        <v>0</v>
      </c>
      <c r="P295" s="37">
        <v>0</v>
      </c>
      <c r="Q295" s="37">
        <v>0</v>
      </c>
      <c r="R295" s="37"/>
      <c r="S295" s="37" t="s">
        <v>481</v>
      </c>
      <c r="T295" t="str">
        <f>IFERROR(HYPERLINK("#'Main'!B"&amp;MATCH(TRIM(A295),Main!B:B,0),"Open"),HYPERLINK("#'Main'!B1","Open"))</f>
        <v>Open</v>
      </c>
    </row>
    <row r="296" spans="1:21" ht="30" customHeight="1" x14ac:dyDescent="0.25">
      <c r="A296" s="45" t="s">
        <v>198</v>
      </c>
      <c r="B296" s="28" t="s">
        <v>479</v>
      </c>
      <c r="C296" s="32" t="s">
        <v>486</v>
      </c>
      <c r="D296" s="28" t="s">
        <v>487</v>
      </c>
      <c r="E296" s="47">
        <v>200</v>
      </c>
      <c r="F296" s="28" t="b">
        <v>1</v>
      </c>
      <c r="G296" s="28">
        <v>0</v>
      </c>
      <c r="H296" s="47">
        <v>0</v>
      </c>
      <c r="I296" s="28">
        <v>0</v>
      </c>
      <c r="J296" s="28">
        <v>0</v>
      </c>
      <c r="K296" s="28">
        <v>0</v>
      </c>
      <c r="L296" s="35" t="b">
        <v>0</v>
      </c>
      <c r="M296" s="28">
        <v>0</v>
      </c>
      <c r="N296" s="28">
        <v>0</v>
      </c>
      <c r="O296" s="47">
        <v>0</v>
      </c>
      <c r="P296" s="28">
        <v>0</v>
      </c>
      <c r="Q296" s="28">
        <v>0</v>
      </c>
      <c r="R296" s="28"/>
      <c r="S296" s="28" t="s">
        <v>481</v>
      </c>
      <c r="T296" s="36" t="str">
        <f>IFERROR(HYPERLINK("#'Main'!B"&amp;MATCH(TRIM(A296),Main!B:B,0),"Open"),HYPERLINK("#'Main'!B1","Open"))</f>
        <v>Open</v>
      </c>
      <c r="U296" s="36"/>
    </row>
    <row r="297" spans="1:21" ht="30" customHeight="1" x14ac:dyDescent="0.25">
      <c r="A297" s="46" t="s">
        <v>198</v>
      </c>
      <c r="B297" s="37" t="s">
        <v>479</v>
      </c>
      <c r="C297" s="39" t="s">
        <v>488</v>
      </c>
      <c r="D297" s="37" t="s">
        <v>489</v>
      </c>
      <c r="E297" s="47">
        <v>200</v>
      </c>
      <c r="F297" s="37" t="b">
        <v>1</v>
      </c>
      <c r="G297" s="37">
        <v>0</v>
      </c>
      <c r="H297" s="47">
        <v>0</v>
      </c>
      <c r="I297" s="37">
        <v>0</v>
      </c>
      <c r="J297" s="37">
        <v>0</v>
      </c>
      <c r="K297" s="37">
        <v>0</v>
      </c>
      <c r="L297" s="41" t="b">
        <v>0</v>
      </c>
      <c r="M297" s="37">
        <v>0</v>
      </c>
      <c r="N297" s="37">
        <v>0</v>
      </c>
      <c r="O297" s="47">
        <v>0</v>
      </c>
      <c r="P297" s="37">
        <v>0</v>
      </c>
      <c r="Q297" s="37">
        <v>0</v>
      </c>
      <c r="R297" s="37"/>
      <c r="S297" s="37" t="s">
        <v>481</v>
      </c>
      <c r="T297" t="str">
        <f>IFERROR(HYPERLINK("#'Main'!B"&amp;MATCH(TRIM(A297),Main!B:B,0),"Open"),HYPERLINK("#'Main'!B1","Open"))</f>
        <v>Open</v>
      </c>
    </row>
    <row r="298" spans="1:21" ht="30" customHeight="1" x14ac:dyDescent="0.25">
      <c r="A298" s="45" t="s">
        <v>198</v>
      </c>
      <c r="B298" s="28" t="s">
        <v>479</v>
      </c>
      <c r="C298" s="32" t="s">
        <v>490</v>
      </c>
      <c r="D298" s="28" t="s">
        <v>491</v>
      </c>
      <c r="E298" s="47">
        <v>200</v>
      </c>
      <c r="F298" s="28" t="b">
        <v>1</v>
      </c>
      <c r="G298" s="28">
        <v>0</v>
      </c>
      <c r="H298" s="47">
        <v>0</v>
      </c>
      <c r="I298" s="28">
        <v>0</v>
      </c>
      <c r="J298" s="28">
        <v>0</v>
      </c>
      <c r="K298" s="28">
        <v>0</v>
      </c>
      <c r="L298" s="35" t="b">
        <v>0</v>
      </c>
      <c r="M298" s="28">
        <v>0</v>
      </c>
      <c r="N298" s="28">
        <v>0</v>
      </c>
      <c r="O298" s="47">
        <v>0</v>
      </c>
      <c r="P298" s="28">
        <v>0</v>
      </c>
      <c r="Q298" s="28">
        <v>0</v>
      </c>
      <c r="R298" s="28"/>
      <c r="S298" s="28" t="s">
        <v>481</v>
      </c>
      <c r="T298" s="36" t="str">
        <f>IFERROR(HYPERLINK("#'Main'!B"&amp;MATCH(TRIM(A298),Main!B:B,0),"Open"),HYPERLINK("#'Main'!B1","Open"))</f>
        <v>Open</v>
      </c>
      <c r="U298" s="36"/>
    </row>
    <row r="299" spans="1:21" ht="30" customHeight="1" x14ac:dyDescent="0.25">
      <c r="A299" s="46" t="s">
        <v>198</v>
      </c>
      <c r="B299" s="37" t="s">
        <v>479</v>
      </c>
      <c r="C299" s="39" t="s">
        <v>492</v>
      </c>
      <c r="D299" s="37" t="s">
        <v>493</v>
      </c>
      <c r="E299" s="47">
        <v>200</v>
      </c>
      <c r="F299" s="37" t="b">
        <v>1</v>
      </c>
      <c r="G299" s="37">
        <v>0</v>
      </c>
      <c r="H299" s="47">
        <v>0</v>
      </c>
      <c r="I299" s="37">
        <v>0</v>
      </c>
      <c r="J299" s="37">
        <v>0</v>
      </c>
      <c r="K299" s="37">
        <v>0</v>
      </c>
      <c r="L299" s="41" t="b">
        <v>0</v>
      </c>
      <c r="M299" s="37">
        <v>0</v>
      </c>
      <c r="N299" s="37">
        <v>0</v>
      </c>
      <c r="O299" s="47">
        <v>0</v>
      </c>
      <c r="P299" s="37">
        <v>0</v>
      </c>
      <c r="Q299" s="37">
        <v>0</v>
      </c>
      <c r="R299" s="37"/>
      <c r="S299" s="37" t="s">
        <v>481</v>
      </c>
      <c r="T299" t="str">
        <f>IFERROR(HYPERLINK("#'Main'!B"&amp;MATCH(TRIM(A299),Main!B:B,0),"Open"),HYPERLINK("#'Main'!B1","Open"))</f>
        <v>Open</v>
      </c>
    </row>
    <row r="300" spans="1:21" ht="30" customHeight="1" x14ac:dyDescent="0.25">
      <c r="A300" s="45" t="s">
        <v>198</v>
      </c>
      <c r="B300" s="28" t="s">
        <v>479</v>
      </c>
      <c r="C300" s="32" t="s">
        <v>482</v>
      </c>
      <c r="D300" s="28" t="s">
        <v>483</v>
      </c>
      <c r="E300" s="47">
        <v>200</v>
      </c>
      <c r="F300" s="28" t="b">
        <v>1</v>
      </c>
      <c r="G300" s="28">
        <v>0</v>
      </c>
      <c r="H300" s="47">
        <v>0</v>
      </c>
      <c r="I300" s="28">
        <v>0</v>
      </c>
      <c r="J300" s="28">
        <v>0</v>
      </c>
      <c r="K300" s="28">
        <v>0</v>
      </c>
      <c r="L300" s="35" t="b">
        <v>0</v>
      </c>
      <c r="M300" s="28">
        <v>0</v>
      </c>
      <c r="N300" s="28">
        <v>0</v>
      </c>
      <c r="O300" s="47">
        <v>0</v>
      </c>
      <c r="P300" s="28">
        <v>0</v>
      </c>
      <c r="Q300" s="28">
        <v>0</v>
      </c>
      <c r="R300" s="28"/>
      <c r="S300" s="28" t="s">
        <v>481</v>
      </c>
      <c r="T300" s="36" t="str">
        <f>IFERROR(HYPERLINK("#'Main'!B"&amp;MATCH(TRIM(A300),Main!B:B,0),"Open"),HYPERLINK("#'Main'!B1","Open"))</f>
        <v>Open</v>
      </c>
      <c r="U300" s="36"/>
    </row>
    <row r="301" spans="1:21" ht="30" customHeight="1" x14ac:dyDescent="0.25">
      <c r="A301" s="46" t="s">
        <v>198</v>
      </c>
      <c r="B301" s="37" t="s">
        <v>479</v>
      </c>
      <c r="C301" s="39" t="s">
        <v>484</v>
      </c>
      <c r="D301" s="37" t="s">
        <v>485</v>
      </c>
      <c r="E301" s="47">
        <v>200</v>
      </c>
      <c r="F301" s="37" t="b">
        <v>1</v>
      </c>
      <c r="G301" s="37">
        <v>0</v>
      </c>
      <c r="H301" s="47">
        <v>0</v>
      </c>
      <c r="I301" s="37">
        <v>0</v>
      </c>
      <c r="J301" s="37">
        <v>0</v>
      </c>
      <c r="K301" s="37">
        <v>0</v>
      </c>
      <c r="L301" s="41" t="b">
        <v>0</v>
      </c>
      <c r="M301" s="37">
        <v>0</v>
      </c>
      <c r="N301" s="37">
        <v>0</v>
      </c>
      <c r="O301" s="47">
        <v>0</v>
      </c>
      <c r="P301" s="37">
        <v>0</v>
      </c>
      <c r="Q301" s="37">
        <v>0</v>
      </c>
      <c r="R301" s="37"/>
      <c r="S301" s="37" t="s">
        <v>481</v>
      </c>
      <c r="T301" t="str">
        <f>IFERROR(HYPERLINK("#'Main'!B"&amp;MATCH(TRIM(A301),Main!B:B,0),"Open"),HYPERLINK("#'Main'!B1","Open"))</f>
        <v>Open</v>
      </c>
    </row>
    <row r="302" spans="1:21" ht="30" customHeight="1" x14ac:dyDescent="0.25">
      <c r="A302" s="45" t="s">
        <v>198</v>
      </c>
      <c r="B302" s="28" t="s">
        <v>479</v>
      </c>
      <c r="C302" s="32" t="s">
        <v>486</v>
      </c>
      <c r="D302" s="28" t="s">
        <v>487</v>
      </c>
      <c r="E302" s="47">
        <v>200</v>
      </c>
      <c r="F302" s="28" t="b">
        <v>1</v>
      </c>
      <c r="G302" s="28">
        <v>0</v>
      </c>
      <c r="H302" s="47">
        <v>0</v>
      </c>
      <c r="I302" s="28">
        <v>0</v>
      </c>
      <c r="J302" s="28">
        <v>0</v>
      </c>
      <c r="K302" s="28">
        <v>0</v>
      </c>
      <c r="L302" s="35" t="b">
        <v>0</v>
      </c>
      <c r="M302" s="28">
        <v>0</v>
      </c>
      <c r="N302" s="28">
        <v>0</v>
      </c>
      <c r="O302" s="47">
        <v>0</v>
      </c>
      <c r="P302" s="28">
        <v>0</v>
      </c>
      <c r="Q302" s="28">
        <v>0</v>
      </c>
      <c r="R302" s="28"/>
      <c r="S302" s="28" t="s">
        <v>481</v>
      </c>
      <c r="T302" s="36" t="str">
        <f>IFERROR(HYPERLINK("#'Main'!B"&amp;MATCH(TRIM(A302),Main!B:B,0),"Open"),HYPERLINK("#'Main'!B1","Open"))</f>
        <v>Open</v>
      </c>
      <c r="U302" s="36"/>
    </row>
    <row r="303" spans="1:21" ht="30" customHeight="1" x14ac:dyDescent="0.25">
      <c r="A303" s="46" t="s">
        <v>198</v>
      </c>
      <c r="B303" s="37" t="s">
        <v>479</v>
      </c>
      <c r="C303" s="39" t="s">
        <v>488</v>
      </c>
      <c r="D303" s="37" t="s">
        <v>489</v>
      </c>
      <c r="E303" s="47">
        <v>200</v>
      </c>
      <c r="F303" s="37" t="b">
        <v>1</v>
      </c>
      <c r="G303" s="37">
        <v>0</v>
      </c>
      <c r="H303" s="47">
        <v>0</v>
      </c>
      <c r="I303" s="37">
        <v>0</v>
      </c>
      <c r="J303" s="37">
        <v>0</v>
      </c>
      <c r="K303" s="37">
        <v>0</v>
      </c>
      <c r="L303" s="41" t="b">
        <v>0</v>
      </c>
      <c r="M303" s="37">
        <v>0</v>
      </c>
      <c r="N303" s="37">
        <v>0</v>
      </c>
      <c r="O303" s="47">
        <v>0</v>
      </c>
      <c r="P303" s="37">
        <v>0</v>
      </c>
      <c r="Q303" s="37">
        <v>0</v>
      </c>
      <c r="R303" s="37"/>
      <c r="S303" s="37" t="s">
        <v>481</v>
      </c>
      <c r="T303" t="str">
        <f>IFERROR(HYPERLINK("#'Main'!B"&amp;MATCH(TRIM(A303),Main!B:B,0),"Open"),HYPERLINK("#'Main'!B1","Open"))</f>
        <v>Open</v>
      </c>
    </row>
    <row r="304" spans="1:21" ht="30" customHeight="1" x14ac:dyDescent="0.25">
      <c r="A304" s="45" t="s">
        <v>198</v>
      </c>
      <c r="B304" s="28" t="s">
        <v>479</v>
      </c>
      <c r="C304" s="32" t="s">
        <v>490</v>
      </c>
      <c r="D304" s="28" t="s">
        <v>491</v>
      </c>
      <c r="E304" s="47">
        <v>200</v>
      </c>
      <c r="F304" s="28" t="b">
        <v>1</v>
      </c>
      <c r="G304" s="28">
        <v>0</v>
      </c>
      <c r="H304" s="47">
        <v>0</v>
      </c>
      <c r="I304" s="28">
        <v>0</v>
      </c>
      <c r="J304" s="28">
        <v>0</v>
      </c>
      <c r="K304" s="28">
        <v>0</v>
      </c>
      <c r="L304" s="35" t="b">
        <v>0</v>
      </c>
      <c r="M304" s="28">
        <v>0</v>
      </c>
      <c r="N304" s="28">
        <v>0</v>
      </c>
      <c r="O304" s="47">
        <v>0</v>
      </c>
      <c r="P304" s="28">
        <v>0</v>
      </c>
      <c r="Q304" s="28">
        <v>0</v>
      </c>
      <c r="R304" s="28"/>
      <c r="S304" s="28" t="s">
        <v>481</v>
      </c>
      <c r="T304" s="36" t="str">
        <f>IFERROR(HYPERLINK("#'Main'!B"&amp;MATCH(TRIM(A304),Main!B:B,0),"Open"),HYPERLINK("#'Main'!B1","Open"))</f>
        <v>Open</v>
      </c>
      <c r="U304" s="36"/>
    </row>
    <row r="305" spans="1:21" ht="30" customHeight="1" x14ac:dyDescent="0.25">
      <c r="A305" s="46" t="s">
        <v>198</v>
      </c>
      <c r="B305" s="37" t="s">
        <v>479</v>
      </c>
      <c r="C305" s="39" t="s">
        <v>492</v>
      </c>
      <c r="D305" s="37" t="s">
        <v>493</v>
      </c>
      <c r="E305" s="47">
        <v>200</v>
      </c>
      <c r="F305" s="37" t="b">
        <v>1</v>
      </c>
      <c r="G305" s="37">
        <v>0</v>
      </c>
      <c r="H305" s="47">
        <v>0</v>
      </c>
      <c r="I305" s="37">
        <v>0</v>
      </c>
      <c r="J305" s="37">
        <v>0</v>
      </c>
      <c r="K305" s="37">
        <v>0</v>
      </c>
      <c r="L305" s="41" t="b">
        <v>0</v>
      </c>
      <c r="M305" s="37">
        <v>0</v>
      </c>
      <c r="N305" s="37">
        <v>0</v>
      </c>
      <c r="O305" s="47">
        <v>0</v>
      </c>
      <c r="P305" s="37">
        <v>0</v>
      </c>
      <c r="Q305" s="37">
        <v>0</v>
      </c>
      <c r="R305" s="37"/>
      <c r="S305" s="37" t="s">
        <v>481</v>
      </c>
      <c r="T305" t="str">
        <f>IFERROR(HYPERLINK("#'Main'!B"&amp;MATCH(TRIM(A305),Main!B:B,0),"Open"),HYPERLINK("#'Main'!B1","Open"))</f>
        <v>Open</v>
      </c>
    </row>
    <row r="306" spans="1:21" ht="30" customHeight="1" x14ac:dyDescent="0.25">
      <c r="A306" s="45" t="s">
        <v>198</v>
      </c>
      <c r="B306" s="28" t="s">
        <v>479</v>
      </c>
      <c r="C306" s="32" t="s">
        <v>562</v>
      </c>
      <c r="D306" s="28"/>
      <c r="E306" s="47">
        <v>200</v>
      </c>
      <c r="F306" s="28" t="b">
        <v>1</v>
      </c>
      <c r="G306" s="28">
        <v>0</v>
      </c>
      <c r="H306" s="47">
        <v>0</v>
      </c>
      <c r="I306" s="28">
        <v>0</v>
      </c>
      <c r="J306" s="28">
        <v>0</v>
      </c>
      <c r="K306" s="28">
        <v>0</v>
      </c>
      <c r="L306" s="35" t="b">
        <v>0</v>
      </c>
      <c r="M306" s="28">
        <v>0</v>
      </c>
      <c r="N306" s="28">
        <v>0</v>
      </c>
      <c r="O306" s="47">
        <v>0</v>
      </c>
      <c r="P306" s="28">
        <v>0</v>
      </c>
      <c r="Q306" s="28">
        <v>0</v>
      </c>
      <c r="R306" s="28"/>
      <c r="S306" s="28" t="s">
        <v>481</v>
      </c>
      <c r="T306" s="36" t="str">
        <f>IFERROR(HYPERLINK("#'Main'!B"&amp;MATCH(TRIM(A306),Main!B:B,0),"Open"),HYPERLINK("#'Main'!B1","Open"))</f>
        <v>Open</v>
      </c>
      <c r="U306" s="36"/>
    </row>
    <row r="307" spans="1:21" ht="30" customHeight="1" x14ac:dyDescent="0.25">
      <c r="A307" s="46" t="s">
        <v>198</v>
      </c>
      <c r="B307" s="37" t="s">
        <v>479</v>
      </c>
      <c r="C307" s="39" t="s">
        <v>562</v>
      </c>
      <c r="D307" s="37" t="s">
        <v>563</v>
      </c>
      <c r="E307" s="47">
        <v>200</v>
      </c>
      <c r="F307" s="37" t="b">
        <v>1</v>
      </c>
      <c r="G307" s="37">
        <v>0</v>
      </c>
      <c r="H307" s="47">
        <v>0</v>
      </c>
      <c r="I307" s="37">
        <v>0</v>
      </c>
      <c r="J307" s="37">
        <v>0</v>
      </c>
      <c r="K307" s="37">
        <v>0</v>
      </c>
      <c r="L307" s="41" t="b">
        <v>0</v>
      </c>
      <c r="M307" s="37">
        <v>0</v>
      </c>
      <c r="N307" s="37">
        <v>0</v>
      </c>
      <c r="O307" s="47">
        <v>0</v>
      </c>
      <c r="P307" s="37">
        <v>0</v>
      </c>
      <c r="Q307" s="37">
        <v>0</v>
      </c>
      <c r="R307" s="37"/>
      <c r="S307" s="37" t="s">
        <v>481</v>
      </c>
      <c r="T307" t="str">
        <f>IFERROR(HYPERLINK("#'Main'!B"&amp;MATCH(TRIM(A307),Main!B:B,0),"Open"),HYPERLINK("#'Main'!B1","Open"))</f>
        <v>Open</v>
      </c>
    </row>
    <row r="308" spans="1:21" ht="30" customHeight="1" x14ac:dyDescent="0.25">
      <c r="A308" s="45" t="s">
        <v>198</v>
      </c>
      <c r="B308" s="28" t="s">
        <v>479</v>
      </c>
      <c r="C308" s="32" t="s">
        <v>562</v>
      </c>
      <c r="D308" s="28" t="s">
        <v>538</v>
      </c>
      <c r="E308" s="47">
        <v>200</v>
      </c>
      <c r="F308" s="28" t="b">
        <v>1</v>
      </c>
      <c r="G308" s="28">
        <v>0</v>
      </c>
      <c r="H308" s="47">
        <v>0</v>
      </c>
      <c r="I308" s="28">
        <v>0</v>
      </c>
      <c r="J308" s="28">
        <v>0</v>
      </c>
      <c r="K308" s="28">
        <v>0</v>
      </c>
      <c r="L308" s="35" t="b">
        <v>0</v>
      </c>
      <c r="M308" s="28">
        <v>0</v>
      </c>
      <c r="N308" s="28">
        <v>0</v>
      </c>
      <c r="O308" s="47">
        <v>0</v>
      </c>
      <c r="P308" s="28">
        <v>0</v>
      </c>
      <c r="Q308" s="28">
        <v>0</v>
      </c>
      <c r="R308" s="28"/>
      <c r="S308" s="28" t="s">
        <v>481</v>
      </c>
      <c r="T308" s="36" t="str">
        <f>IFERROR(HYPERLINK("#'Main'!B"&amp;MATCH(TRIM(A308),Main!B:B,0),"Open"),HYPERLINK("#'Main'!B1","Open"))</f>
        <v>Open</v>
      </c>
      <c r="U308" s="36"/>
    </row>
    <row r="309" spans="1:21" ht="30" customHeight="1" x14ac:dyDescent="0.25">
      <c r="A309" s="46" t="s">
        <v>198</v>
      </c>
      <c r="B309" s="37" t="s">
        <v>479</v>
      </c>
      <c r="C309" s="39" t="s">
        <v>564</v>
      </c>
      <c r="D309" s="37"/>
      <c r="E309" s="47">
        <v>200</v>
      </c>
      <c r="F309" s="37" t="b">
        <v>1</v>
      </c>
      <c r="G309" s="37">
        <v>0</v>
      </c>
      <c r="H309" s="47">
        <v>0</v>
      </c>
      <c r="I309" s="37">
        <v>0</v>
      </c>
      <c r="J309" s="37">
        <v>0</v>
      </c>
      <c r="K309" s="37">
        <v>0</v>
      </c>
      <c r="L309" s="41" t="b">
        <v>0</v>
      </c>
      <c r="M309" s="37">
        <v>0</v>
      </c>
      <c r="N309" s="37">
        <v>0</v>
      </c>
      <c r="O309" s="47">
        <v>0</v>
      </c>
      <c r="P309" s="37">
        <v>0</v>
      </c>
      <c r="Q309" s="37">
        <v>0</v>
      </c>
      <c r="R309" s="37"/>
      <c r="S309" s="37" t="s">
        <v>481</v>
      </c>
      <c r="T309" t="str">
        <f>IFERROR(HYPERLINK("#'Main'!B"&amp;MATCH(TRIM(A309),Main!B:B,0),"Open"),HYPERLINK("#'Main'!B1","Open"))</f>
        <v>Open</v>
      </c>
    </row>
    <row r="310" spans="1:21" ht="30" customHeight="1" x14ac:dyDescent="0.25">
      <c r="A310" s="45" t="s">
        <v>198</v>
      </c>
      <c r="B310" s="28" t="s">
        <v>479</v>
      </c>
      <c r="C310" s="32" t="s">
        <v>564</v>
      </c>
      <c r="D310" s="28" t="s">
        <v>565</v>
      </c>
      <c r="E310" s="47">
        <v>200</v>
      </c>
      <c r="F310" s="28" t="b">
        <v>1</v>
      </c>
      <c r="G310" s="28">
        <v>0</v>
      </c>
      <c r="H310" s="47">
        <v>0</v>
      </c>
      <c r="I310" s="28">
        <v>0</v>
      </c>
      <c r="J310" s="28">
        <v>0</v>
      </c>
      <c r="K310" s="28">
        <v>0</v>
      </c>
      <c r="L310" s="35" t="b">
        <v>0</v>
      </c>
      <c r="M310" s="28">
        <v>0</v>
      </c>
      <c r="N310" s="28">
        <v>0</v>
      </c>
      <c r="O310" s="47">
        <v>0</v>
      </c>
      <c r="P310" s="28">
        <v>0</v>
      </c>
      <c r="Q310" s="28">
        <v>0</v>
      </c>
      <c r="R310" s="28"/>
      <c r="S310" s="28" t="s">
        <v>481</v>
      </c>
      <c r="T310" s="36" t="str">
        <f>IFERROR(HYPERLINK("#'Main'!B"&amp;MATCH(TRIM(A310),Main!B:B,0),"Open"),HYPERLINK("#'Main'!B1","Open"))</f>
        <v>Open</v>
      </c>
      <c r="U310" s="36"/>
    </row>
    <row r="311" spans="1:21" ht="30" customHeight="1" x14ac:dyDescent="0.25">
      <c r="A311" s="46" t="s">
        <v>198</v>
      </c>
      <c r="B311" s="37" t="s">
        <v>479</v>
      </c>
      <c r="C311" s="39" t="s">
        <v>564</v>
      </c>
      <c r="D311" s="37" t="s">
        <v>538</v>
      </c>
      <c r="E311" s="47">
        <v>200</v>
      </c>
      <c r="F311" s="37" t="b">
        <v>1</v>
      </c>
      <c r="G311" s="37">
        <v>0</v>
      </c>
      <c r="H311" s="47">
        <v>0</v>
      </c>
      <c r="I311" s="37">
        <v>0</v>
      </c>
      <c r="J311" s="37">
        <v>0</v>
      </c>
      <c r="K311" s="37">
        <v>0</v>
      </c>
      <c r="L311" s="41" t="b">
        <v>0</v>
      </c>
      <c r="M311" s="37">
        <v>0</v>
      </c>
      <c r="N311" s="37">
        <v>0</v>
      </c>
      <c r="O311" s="47">
        <v>0</v>
      </c>
      <c r="P311" s="37">
        <v>0</v>
      </c>
      <c r="Q311" s="37">
        <v>0</v>
      </c>
      <c r="R311" s="37"/>
      <c r="S311" s="37" t="s">
        <v>481</v>
      </c>
      <c r="T311" t="str">
        <f>IFERROR(HYPERLINK("#'Main'!B"&amp;MATCH(TRIM(A311),Main!B:B,0),"Open"),HYPERLINK("#'Main'!B1","Open"))</f>
        <v>Open</v>
      </c>
    </row>
    <row r="312" spans="1:21" ht="30" customHeight="1" x14ac:dyDescent="0.25">
      <c r="A312" s="45" t="s">
        <v>198</v>
      </c>
      <c r="B312" s="28" t="s">
        <v>479</v>
      </c>
      <c r="C312" s="32" t="s">
        <v>566</v>
      </c>
      <c r="D312" s="28"/>
      <c r="E312" s="47">
        <v>200</v>
      </c>
      <c r="F312" s="28" t="b">
        <v>1</v>
      </c>
      <c r="G312" s="28">
        <v>0</v>
      </c>
      <c r="H312" s="47">
        <v>0</v>
      </c>
      <c r="I312" s="28">
        <v>0</v>
      </c>
      <c r="J312" s="28">
        <v>0</v>
      </c>
      <c r="K312" s="28">
        <v>0</v>
      </c>
      <c r="L312" s="35" t="b">
        <v>0</v>
      </c>
      <c r="M312" s="28">
        <v>0</v>
      </c>
      <c r="N312" s="28">
        <v>0</v>
      </c>
      <c r="O312" s="47">
        <v>0</v>
      </c>
      <c r="P312" s="28">
        <v>0</v>
      </c>
      <c r="Q312" s="28">
        <v>0</v>
      </c>
      <c r="R312" s="28"/>
      <c r="S312" s="28" t="s">
        <v>481</v>
      </c>
      <c r="T312" s="36" t="str">
        <f>IFERROR(HYPERLINK("#'Main'!B"&amp;MATCH(TRIM(A312),Main!B:B,0),"Open"),HYPERLINK("#'Main'!B1","Open"))</f>
        <v>Open</v>
      </c>
      <c r="U312" s="36"/>
    </row>
    <row r="313" spans="1:21" ht="30" customHeight="1" x14ac:dyDescent="0.25">
      <c r="A313" s="46" t="s">
        <v>198</v>
      </c>
      <c r="B313" s="37" t="s">
        <v>479</v>
      </c>
      <c r="C313" s="39" t="s">
        <v>566</v>
      </c>
      <c r="D313" s="37" t="s">
        <v>567</v>
      </c>
      <c r="E313" s="47">
        <v>200</v>
      </c>
      <c r="F313" s="37" t="b">
        <v>1</v>
      </c>
      <c r="G313" s="37">
        <v>0</v>
      </c>
      <c r="H313" s="47">
        <v>0</v>
      </c>
      <c r="I313" s="37">
        <v>0</v>
      </c>
      <c r="J313" s="37">
        <v>0</v>
      </c>
      <c r="K313" s="37">
        <v>0</v>
      </c>
      <c r="L313" s="41" t="b">
        <v>0</v>
      </c>
      <c r="M313" s="37">
        <v>0</v>
      </c>
      <c r="N313" s="37">
        <v>0</v>
      </c>
      <c r="O313" s="47">
        <v>0</v>
      </c>
      <c r="P313" s="37">
        <v>0</v>
      </c>
      <c r="Q313" s="37">
        <v>0</v>
      </c>
      <c r="R313" s="37"/>
      <c r="S313" s="37" t="s">
        <v>481</v>
      </c>
      <c r="T313" t="str">
        <f>IFERROR(HYPERLINK("#'Main'!B"&amp;MATCH(TRIM(A313),Main!B:B,0),"Open"),HYPERLINK("#'Main'!B1","Open"))</f>
        <v>Open</v>
      </c>
    </row>
    <row r="314" spans="1:21" ht="30" customHeight="1" x14ac:dyDescent="0.25">
      <c r="A314" s="45" t="s">
        <v>198</v>
      </c>
      <c r="B314" s="28" t="s">
        <v>479</v>
      </c>
      <c r="C314" s="32" t="s">
        <v>566</v>
      </c>
      <c r="D314" s="28" t="s">
        <v>538</v>
      </c>
      <c r="E314" s="47">
        <v>200</v>
      </c>
      <c r="F314" s="28" t="b">
        <v>1</v>
      </c>
      <c r="G314" s="28">
        <v>0</v>
      </c>
      <c r="H314" s="47">
        <v>0</v>
      </c>
      <c r="I314" s="28">
        <v>0</v>
      </c>
      <c r="J314" s="28">
        <v>0</v>
      </c>
      <c r="K314" s="28">
        <v>0</v>
      </c>
      <c r="L314" s="35" t="b">
        <v>0</v>
      </c>
      <c r="M314" s="28">
        <v>0</v>
      </c>
      <c r="N314" s="28">
        <v>0</v>
      </c>
      <c r="O314" s="47">
        <v>0</v>
      </c>
      <c r="P314" s="28">
        <v>0</v>
      </c>
      <c r="Q314" s="28">
        <v>0</v>
      </c>
      <c r="R314" s="28"/>
      <c r="S314" s="28" t="s">
        <v>481</v>
      </c>
      <c r="T314" s="36" t="str">
        <f>IFERROR(HYPERLINK("#'Main'!B"&amp;MATCH(TRIM(A314),Main!B:B,0),"Open"),HYPERLINK("#'Main'!B1","Open"))</f>
        <v>Open</v>
      </c>
      <c r="U314" s="36"/>
    </row>
    <row r="315" spans="1:21" ht="30" customHeight="1" x14ac:dyDescent="0.25">
      <c r="A315" s="46" t="s">
        <v>198</v>
      </c>
      <c r="B315" s="37" t="s">
        <v>479</v>
      </c>
      <c r="C315" s="39" t="s">
        <v>568</v>
      </c>
      <c r="D315" s="37"/>
      <c r="E315" s="47">
        <v>200</v>
      </c>
      <c r="F315" s="37" t="b">
        <v>1</v>
      </c>
      <c r="G315" s="37">
        <v>0</v>
      </c>
      <c r="H315" s="47">
        <v>0</v>
      </c>
      <c r="I315" s="37">
        <v>0</v>
      </c>
      <c r="J315" s="37">
        <v>0</v>
      </c>
      <c r="K315" s="37">
        <v>0</v>
      </c>
      <c r="L315" s="41" t="b">
        <v>0</v>
      </c>
      <c r="M315" s="37">
        <v>0</v>
      </c>
      <c r="N315" s="37">
        <v>0</v>
      </c>
      <c r="O315" s="47">
        <v>0</v>
      </c>
      <c r="P315" s="37">
        <v>0</v>
      </c>
      <c r="Q315" s="37">
        <v>0</v>
      </c>
      <c r="R315" s="37"/>
      <c r="S315" s="37" t="s">
        <v>481</v>
      </c>
      <c r="T315" t="str">
        <f>IFERROR(HYPERLINK("#'Main'!B"&amp;MATCH(TRIM(A315),Main!B:B,0),"Open"),HYPERLINK("#'Main'!B1","Open"))</f>
        <v>Open</v>
      </c>
    </row>
    <row r="316" spans="1:21" ht="30" customHeight="1" x14ac:dyDescent="0.25">
      <c r="A316" s="45" t="s">
        <v>198</v>
      </c>
      <c r="B316" s="28" t="s">
        <v>479</v>
      </c>
      <c r="C316" s="32" t="s">
        <v>568</v>
      </c>
      <c r="D316" s="28" t="s">
        <v>569</v>
      </c>
      <c r="E316" s="47">
        <v>200</v>
      </c>
      <c r="F316" s="28" t="b">
        <v>1</v>
      </c>
      <c r="G316" s="28">
        <v>0</v>
      </c>
      <c r="H316" s="47">
        <v>0</v>
      </c>
      <c r="I316" s="28">
        <v>0</v>
      </c>
      <c r="J316" s="28">
        <v>0</v>
      </c>
      <c r="K316" s="28">
        <v>0</v>
      </c>
      <c r="L316" s="35" t="b">
        <v>0</v>
      </c>
      <c r="M316" s="28">
        <v>0</v>
      </c>
      <c r="N316" s="28">
        <v>0</v>
      </c>
      <c r="O316" s="47">
        <v>0</v>
      </c>
      <c r="P316" s="28">
        <v>0</v>
      </c>
      <c r="Q316" s="28">
        <v>0</v>
      </c>
      <c r="R316" s="28"/>
      <c r="S316" s="28" t="s">
        <v>481</v>
      </c>
      <c r="T316" s="36" t="str">
        <f>IFERROR(HYPERLINK("#'Main'!B"&amp;MATCH(TRIM(A316),Main!B:B,0),"Open"),HYPERLINK("#'Main'!B1","Open"))</f>
        <v>Open</v>
      </c>
      <c r="U316" s="36"/>
    </row>
    <row r="317" spans="1:21" ht="30" customHeight="1" x14ac:dyDescent="0.25">
      <c r="A317" s="46" t="s">
        <v>198</v>
      </c>
      <c r="B317" s="37" t="s">
        <v>479</v>
      </c>
      <c r="C317" s="39" t="s">
        <v>568</v>
      </c>
      <c r="D317" s="37" t="s">
        <v>538</v>
      </c>
      <c r="E317" s="47">
        <v>200</v>
      </c>
      <c r="F317" s="37" t="b">
        <v>1</v>
      </c>
      <c r="G317" s="37">
        <v>0</v>
      </c>
      <c r="H317" s="47">
        <v>0</v>
      </c>
      <c r="I317" s="37">
        <v>0</v>
      </c>
      <c r="J317" s="37">
        <v>0</v>
      </c>
      <c r="K317" s="37">
        <v>0</v>
      </c>
      <c r="L317" s="41" t="b">
        <v>0</v>
      </c>
      <c r="M317" s="37">
        <v>0</v>
      </c>
      <c r="N317" s="37">
        <v>0</v>
      </c>
      <c r="O317" s="47">
        <v>0</v>
      </c>
      <c r="P317" s="37">
        <v>0</v>
      </c>
      <c r="Q317" s="37">
        <v>0</v>
      </c>
      <c r="R317" s="37"/>
      <c r="S317" s="37" t="s">
        <v>481</v>
      </c>
      <c r="T317" t="str">
        <f>IFERROR(HYPERLINK("#'Main'!B"&amp;MATCH(TRIM(A317),Main!B:B,0),"Open"),HYPERLINK("#'Main'!B1","Open"))</f>
        <v>Open</v>
      </c>
    </row>
    <row r="318" spans="1:21" ht="30" customHeight="1" x14ac:dyDescent="0.25">
      <c r="A318" s="45" t="s">
        <v>198</v>
      </c>
      <c r="B318" s="28" t="s">
        <v>479</v>
      </c>
      <c r="C318" s="32" t="s">
        <v>570</v>
      </c>
      <c r="D318" s="28"/>
      <c r="E318" s="47">
        <v>200</v>
      </c>
      <c r="F318" s="28" t="b">
        <v>1</v>
      </c>
      <c r="G318" s="28">
        <v>0</v>
      </c>
      <c r="H318" s="47">
        <v>0</v>
      </c>
      <c r="I318" s="28">
        <v>0</v>
      </c>
      <c r="J318" s="28">
        <v>0</v>
      </c>
      <c r="K318" s="28">
        <v>0</v>
      </c>
      <c r="L318" s="35" t="b">
        <v>0</v>
      </c>
      <c r="M318" s="28">
        <v>0</v>
      </c>
      <c r="N318" s="28">
        <v>0</v>
      </c>
      <c r="O318" s="47">
        <v>0</v>
      </c>
      <c r="P318" s="28">
        <v>0</v>
      </c>
      <c r="Q318" s="28">
        <v>0</v>
      </c>
      <c r="R318" s="28"/>
      <c r="S318" s="28" t="s">
        <v>481</v>
      </c>
      <c r="T318" s="36" t="str">
        <f>IFERROR(HYPERLINK("#'Main'!B"&amp;MATCH(TRIM(A318),Main!B:B,0),"Open"),HYPERLINK("#'Main'!B1","Open"))</f>
        <v>Open</v>
      </c>
      <c r="U318" s="36"/>
    </row>
    <row r="319" spans="1:21" ht="30" customHeight="1" x14ac:dyDescent="0.25">
      <c r="A319" s="46" t="s">
        <v>198</v>
      </c>
      <c r="B319" s="37" t="s">
        <v>479</v>
      </c>
      <c r="C319" s="39" t="s">
        <v>570</v>
      </c>
      <c r="D319" s="37" t="s">
        <v>571</v>
      </c>
      <c r="E319" s="47">
        <v>200</v>
      </c>
      <c r="F319" s="37" t="b">
        <v>1</v>
      </c>
      <c r="G319" s="37">
        <v>0</v>
      </c>
      <c r="H319" s="47">
        <v>0</v>
      </c>
      <c r="I319" s="37">
        <v>0</v>
      </c>
      <c r="J319" s="37">
        <v>0</v>
      </c>
      <c r="K319" s="37">
        <v>0</v>
      </c>
      <c r="L319" s="41" t="b">
        <v>0</v>
      </c>
      <c r="M319" s="37">
        <v>0</v>
      </c>
      <c r="N319" s="37">
        <v>0</v>
      </c>
      <c r="O319" s="47">
        <v>0</v>
      </c>
      <c r="P319" s="37">
        <v>0</v>
      </c>
      <c r="Q319" s="37">
        <v>0</v>
      </c>
      <c r="R319" s="37"/>
      <c r="S319" s="37" t="s">
        <v>481</v>
      </c>
      <c r="T319" t="str">
        <f>IFERROR(HYPERLINK("#'Main'!B"&amp;MATCH(TRIM(A319),Main!B:B,0),"Open"),HYPERLINK("#'Main'!B1","Open"))</f>
        <v>Open</v>
      </c>
    </row>
    <row r="320" spans="1:21" ht="30" customHeight="1" x14ac:dyDescent="0.25">
      <c r="A320" s="45" t="s">
        <v>198</v>
      </c>
      <c r="B320" s="28" t="s">
        <v>479</v>
      </c>
      <c r="C320" s="32" t="s">
        <v>570</v>
      </c>
      <c r="D320" s="28" t="s">
        <v>538</v>
      </c>
      <c r="E320" s="47">
        <v>200</v>
      </c>
      <c r="F320" s="28" t="b">
        <v>1</v>
      </c>
      <c r="G320" s="28">
        <v>0</v>
      </c>
      <c r="H320" s="47">
        <v>0</v>
      </c>
      <c r="I320" s="28">
        <v>0</v>
      </c>
      <c r="J320" s="28">
        <v>0</v>
      </c>
      <c r="K320" s="28">
        <v>0</v>
      </c>
      <c r="L320" s="35" t="b">
        <v>0</v>
      </c>
      <c r="M320" s="28">
        <v>0</v>
      </c>
      <c r="N320" s="28">
        <v>0</v>
      </c>
      <c r="O320" s="47">
        <v>0</v>
      </c>
      <c r="P320" s="28">
        <v>0</v>
      </c>
      <c r="Q320" s="28">
        <v>0</v>
      </c>
      <c r="R320" s="28"/>
      <c r="S320" s="28" t="s">
        <v>481</v>
      </c>
      <c r="T320" s="36" t="str">
        <f>IFERROR(HYPERLINK("#'Main'!B"&amp;MATCH(TRIM(A320),Main!B:B,0),"Open"),HYPERLINK("#'Main'!B1","Open"))</f>
        <v>Open</v>
      </c>
      <c r="U320" s="36"/>
    </row>
    <row r="321" spans="1:21" ht="30" customHeight="1" x14ac:dyDescent="0.25">
      <c r="A321" s="46" t="s">
        <v>198</v>
      </c>
      <c r="B321" s="37" t="s">
        <v>479</v>
      </c>
      <c r="C321" s="39" t="s">
        <v>572</v>
      </c>
      <c r="D321" s="37"/>
      <c r="E321" s="47">
        <v>200</v>
      </c>
      <c r="F321" s="37" t="b">
        <v>1</v>
      </c>
      <c r="G321" s="37">
        <v>0</v>
      </c>
      <c r="H321" s="47">
        <v>0</v>
      </c>
      <c r="I321" s="37">
        <v>0</v>
      </c>
      <c r="J321" s="37">
        <v>0</v>
      </c>
      <c r="K321" s="37">
        <v>0</v>
      </c>
      <c r="L321" s="41" t="b">
        <v>0</v>
      </c>
      <c r="M321" s="37">
        <v>0</v>
      </c>
      <c r="N321" s="37">
        <v>0</v>
      </c>
      <c r="O321" s="47">
        <v>0</v>
      </c>
      <c r="P321" s="37">
        <v>0</v>
      </c>
      <c r="Q321" s="37">
        <v>0</v>
      </c>
      <c r="R321" s="37"/>
      <c r="S321" s="37" t="s">
        <v>481</v>
      </c>
      <c r="T321" t="str">
        <f>IFERROR(HYPERLINK("#'Main'!B"&amp;MATCH(TRIM(A321),Main!B:B,0),"Open"),HYPERLINK("#'Main'!B1","Open"))</f>
        <v>Open</v>
      </c>
    </row>
    <row r="322" spans="1:21" ht="30" customHeight="1" x14ac:dyDescent="0.25">
      <c r="A322" s="45" t="s">
        <v>198</v>
      </c>
      <c r="B322" s="28" t="s">
        <v>479</v>
      </c>
      <c r="C322" s="32" t="s">
        <v>572</v>
      </c>
      <c r="D322" s="28" t="s">
        <v>573</v>
      </c>
      <c r="E322" s="47">
        <v>200</v>
      </c>
      <c r="F322" s="28" t="b">
        <v>1</v>
      </c>
      <c r="G322" s="28">
        <v>0</v>
      </c>
      <c r="H322" s="47">
        <v>0</v>
      </c>
      <c r="I322" s="28">
        <v>0</v>
      </c>
      <c r="J322" s="28">
        <v>0</v>
      </c>
      <c r="K322" s="28">
        <v>0</v>
      </c>
      <c r="L322" s="35" t="b">
        <v>0</v>
      </c>
      <c r="M322" s="28">
        <v>0</v>
      </c>
      <c r="N322" s="28">
        <v>0</v>
      </c>
      <c r="O322" s="47">
        <v>0</v>
      </c>
      <c r="P322" s="28">
        <v>0</v>
      </c>
      <c r="Q322" s="28">
        <v>0</v>
      </c>
      <c r="R322" s="28"/>
      <c r="S322" s="28" t="s">
        <v>481</v>
      </c>
      <c r="T322" s="36" t="str">
        <f>IFERROR(HYPERLINK("#'Main'!B"&amp;MATCH(TRIM(A322),Main!B:B,0),"Open"),HYPERLINK("#'Main'!B1","Open"))</f>
        <v>Open</v>
      </c>
      <c r="U322" s="36"/>
    </row>
    <row r="323" spans="1:21" ht="30" customHeight="1" x14ac:dyDescent="0.25">
      <c r="A323" s="46" t="s">
        <v>198</v>
      </c>
      <c r="B323" s="37" t="s">
        <v>479</v>
      </c>
      <c r="C323" s="39" t="s">
        <v>572</v>
      </c>
      <c r="D323" s="37" t="s">
        <v>538</v>
      </c>
      <c r="E323" s="47">
        <v>200</v>
      </c>
      <c r="F323" s="37" t="b">
        <v>1</v>
      </c>
      <c r="G323" s="37">
        <v>0</v>
      </c>
      <c r="H323" s="47">
        <v>0</v>
      </c>
      <c r="I323" s="37">
        <v>0</v>
      </c>
      <c r="J323" s="37">
        <v>0</v>
      </c>
      <c r="K323" s="37">
        <v>0</v>
      </c>
      <c r="L323" s="41" t="b">
        <v>0</v>
      </c>
      <c r="M323" s="37">
        <v>0</v>
      </c>
      <c r="N323" s="37">
        <v>0</v>
      </c>
      <c r="O323" s="47">
        <v>0</v>
      </c>
      <c r="P323" s="37">
        <v>0</v>
      </c>
      <c r="Q323" s="37">
        <v>0</v>
      </c>
      <c r="R323" s="37"/>
      <c r="S323" s="37" t="s">
        <v>481</v>
      </c>
      <c r="T323" t="str">
        <f>IFERROR(HYPERLINK("#'Main'!B"&amp;MATCH(TRIM(A323),Main!B:B,0),"Open"),HYPERLINK("#'Main'!B1","Open"))</f>
        <v>Open</v>
      </c>
    </row>
    <row r="324" spans="1:21" ht="30" customHeight="1" x14ac:dyDescent="0.25">
      <c r="A324" s="45" t="s">
        <v>198</v>
      </c>
      <c r="B324" s="28" t="s">
        <v>479</v>
      </c>
      <c r="C324" s="32" t="s">
        <v>574</v>
      </c>
      <c r="D324" s="28"/>
      <c r="E324" s="47">
        <v>200</v>
      </c>
      <c r="F324" s="28" t="b">
        <v>1</v>
      </c>
      <c r="G324" s="28">
        <v>0</v>
      </c>
      <c r="H324" s="47">
        <v>0</v>
      </c>
      <c r="I324" s="28">
        <v>0</v>
      </c>
      <c r="J324" s="28">
        <v>0</v>
      </c>
      <c r="K324" s="28">
        <v>0</v>
      </c>
      <c r="L324" s="35" t="b">
        <v>0</v>
      </c>
      <c r="M324" s="28">
        <v>0</v>
      </c>
      <c r="N324" s="28">
        <v>0</v>
      </c>
      <c r="O324" s="47">
        <v>0</v>
      </c>
      <c r="P324" s="28">
        <v>0</v>
      </c>
      <c r="Q324" s="28">
        <v>0</v>
      </c>
      <c r="R324" s="28"/>
      <c r="S324" s="28" t="s">
        <v>481</v>
      </c>
      <c r="T324" s="36" t="str">
        <f>IFERROR(HYPERLINK("#'Main'!B"&amp;MATCH(TRIM(A324),Main!B:B,0),"Open"),HYPERLINK("#'Main'!B1","Open"))</f>
        <v>Open</v>
      </c>
      <c r="U324" s="36"/>
    </row>
    <row r="325" spans="1:21" ht="30" customHeight="1" x14ac:dyDescent="0.25">
      <c r="A325" s="46" t="s">
        <v>198</v>
      </c>
      <c r="B325" s="37" t="s">
        <v>479</v>
      </c>
      <c r="C325" s="39" t="s">
        <v>575</v>
      </c>
      <c r="D325" s="37"/>
      <c r="E325" s="47">
        <v>200</v>
      </c>
      <c r="F325" s="37" t="b">
        <v>1</v>
      </c>
      <c r="G325" s="37">
        <v>0</v>
      </c>
      <c r="H325" s="47">
        <v>0</v>
      </c>
      <c r="I325" s="37">
        <v>0</v>
      </c>
      <c r="J325" s="37">
        <v>0</v>
      </c>
      <c r="K325" s="37">
        <v>0</v>
      </c>
      <c r="L325" s="41" t="b">
        <v>0</v>
      </c>
      <c r="M325" s="37">
        <v>0</v>
      </c>
      <c r="N325" s="37">
        <v>0</v>
      </c>
      <c r="O325" s="47">
        <v>0</v>
      </c>
      <c r="P325" s="37">
        <v>0</v>
      </c>
      <c r="Q325" s="37">
        <v>0</v>
      </c>
      <c r="R325" s="37"/>
      <c r="S325" s="37" t="s">
        <v>481</v>
      </c>
      <c r="T325" t="str">
        <f>IFERROR(HYPERLINK("#'Main'!B"&amp;MATCH(TRIM(A325),Main!B:B,0),"Open"),HYPERLINK("#'Main'!B1","Open"))</f>
        <v>Open</v>
      </c>
    </row>
    <row r="326" spans="1:21" ht="30" customHeight="1" x14ac:dyDescent="0.25">
      <c r="A326" s="45" t="s">
        <v>198</v>
      </c>
      <c r="B326" s="28" t="s">
        <v>479</v>
      </c>
      <c r="C326" s="32" t="s">
        <v>576</v>
      </c>
      <c r="D326" s="28"/>
      <c r="E326" s="47">
        <v>200</v>
      </c>
      <c r="F326" s="28" t="b">
        <v>1</v>
      </c>
      <c r="G326" s="28">
        <v>0</v>
      </c>
      <c r="H326" s="47">
        <v>0</v>
      </c>
      <c r="I326" s="28">
        <v>0</v>
      </c>
      <c r="J326" s="28">
        <v>0</v>
      </c>
      <c r="K326" s="28">
        <v>0</v>
      </c>
      <c r="L326" s="35" t="b">
        <v>0</v>
      </c>
      <c r="M326" s="28">
        <v>0</v>
      </c>
      <c r="N326" s="28">
        <v>0</v>
      </c>
      <c r="O326" s="47">
        <v>0</v>
      </c>
      <c r="P326" s="28">
        <v>0</v>
      </c>
      <c r="Q326" s="28">
        <v>0</v>
      </c>
      <c r="R326" s="28"/>
      <c r="S326" s="28" t="s">
        <v>481</v>
      </c>
      <c r="T326" s="36" t="str">
        <f>IFERROR(HYPERLINK("#'Main'!B"&amp;MATCH(TRIM(A326),Main!B:B,0),"Open"),HYPERLINK("#'Main'!B1","Open"))</f>
        <v>Open</v>
      </c>
      <c r="U326" s="36"/>
    </row>
    <row r="327" spans="1:21" ht="30" customHeight="1" x14ac:dyDescent="0.25">
      <c r="A327" s="46" t="s">
        <v>198</v>
      </c>
      <c r="B327" s="37" t="s">
        <v>479</v>
      </c>
      <c r="C327" s="39" t="s">
        <v>577</v>
      </c>
      <c r="D327" s="37"/>
      <c r="E327" s="47">
        <v>200</v>
      </c>
      <c r="F327" s="37" t="b">
        <v>1</v>
      </c>
      <c r="G327" s="37">
        <v>0</v>
      </c>
      <c r="H327" s="47">
        <v>0</v>
      </c>
      <c r="I327" s="37">
        <v>0</v>
      </c>
      <c r="J327" s="37">
        <v>0</v>
      </c>
      <c r="K327" s="37">
        <v>0</v>
      </c>
      <c r="L327" s="41" t="b">
        <v>0</v>
      </c>
      <c r="M327" s="37">
        <v>0</v>
      </c>
      <c r="N327" s="37">
        <v>0</v>
      </c>
      <c r="O327" s="47">
        <v>0</v>
      </c>
      <c r="P327" s="37">
        <v>0</v>
      </c>
      <c r="Q327" s="37">
        <v>0</v>
      </c>
      <c r="R327" s="37"/>
      <c r="S327" s="37" t="s">
        <v>481</v>
      </c>
      <c r="T327" t="str">
        <f>IFERROR(HYPERLINK("#'Main'!B"&amp;MATCH(TRIM(A327),Main!B:B,0),"Open"),HYPERLINK("#'Main'!B1","Open"))</f>
        <v>Open</v>
      </c>
    </row>
    <row r="328" spans="1:21" ht="30" customHeight="1" x14ac:dyDescent="0.25">
      <c r="A328" s="45" t="s">
        <v>198</v>
      </c>
      <c r="B328" s="28" t="s">
        <v>479</v>
      </c>
      <c r="C328" s="32" t="s">
        <v>578</v>
      </c>
      <c r="D328" s="28"/>
      <c r="E328" s="47">
        <v>200</v>
      </c>
      <c r="F328" s="28" t="b">
        <v>1</v>
      </c>
      <c r="G328" s="28">
        <v>0</v>
      </c>
      <c r="H328" s="47">
        <v>0</v>
      </c>
      <c r="I328" s="28">
        <v>0</v>
      </c>
      <c r="J328" s="28">
        <v>0</v>
      </c>
      <c r="K328" s="28">
        <v>0</v>
      </c>
      <c r="L328" s="35" t="b">
        <v>0</v>
      </c>
      <c r="M328" s="28">
        <v>0</v>
      </c>
      <c r="N328" s="28">
        <v>0</v>
      </c>
      <c r="O328" s="47">
        <v>0</v>
      </c>
      <c r="P328" s="28">
        <v>0</v>
      </c>
      <c r="Q328" s="28">
        <v>0</v>
      </c>
      <c r="R328" s="28"/>
      <c r="S328" s="28" t="s">
        <v>481</v>
      </c>
      <c r="T328" s="36" t="str">
        <f>IFERROR(HYPERLINK("#'Main'!B"&amp;MATCH(TRIM(A328),Main!B:B,0),"Open"),HYPERLINK("#'Main'!B1","Open"))</f>
        <v>Open</v>
      </c>
      <c r="U328" s="36"/>
    </row>
    <row r="329" spans="1:21" ht="30" customHeight="1" x14ac:dyDescent="0.25">
      <c r="A329" s="46" t="s">
        <v>198</v>
      </c>
      <c r="B329" s="37" t="s">
        <v>479</v>
      </c>
      <c r="C329" s="39" t="s">
        <v>579</v>
      </c>
      <c r="D329" s="37"/>
      <c r="E329" s="47">
        <v>200</v>
      </c>
      <c r="F329" s="37" t="b">
        <v>1</v>
      </c>
      <c r="G329" s="37">
        <v>0</v>
      </c>
      <c r="H329" s="47">
        <v>0</v>
      </c>
      <c r="I329" s="37">
        <v>0</v>
      </c>
      <c r="J329" s="37">
        <v>0</v>
      </c>
      <c r="K329" s="37">
        <v>0</v>
      </c>
      <c r="L329" s="41" t="b">
        <v>0</v>
      </c>
      <c r="M329" s="37">
        <v>0</v>
      </c>
      <c r="N329" s="37">
        <v>0</v>
      </c>
      <c r="O329" s="47">
        <v>0</v>
      </c>
      <c r="P329" s="37">
        <v>0</v>
      </c>
      <c r="Q329" s="37">
        <v>0</v>
      </c>
      <c r="R329" s="37"/>
      <c r="S329" s="37" t="s">
        <v>481</v>
      </c>
      <c r="T329" t="str">
        <f>IFERROR(HYPERLINK("#'Main'!B"&amp;MATCH(TRIM(A329),Main!B:B,0),"Open"),HYPERLINK("#'Main'!B1","Open"))</f>
        <v>Open</v>
      </c>
    </row>
    <row r="330" spans="1:21" ht="30" customHeight="1" x14ac:dyDescent="0.25">
      <c r="A330" s="45" t="s">
        <v>198</v>
      </c>
      <c r="B330" s="28" t="s">
        <v>479</v>
      </c>
      <c r="C330" s="32" t="s">
        <v>580</v>
      </c>
      <c r="D330" s="28"/>
      <c r="E330" s="47">
        <v>200</v>
      </c>
      <c r="F330" s="28" t="b">
        <v>1</v>
      </c>
      <c r="G330" s="28">
        <v>0</v>
      </c>
      <c r="H330" s="47">
        <v>0</v>
      </c>
      <c r="I330" s="28">
        <v>0</v>
      </c>
      <c r="J330" s="28">
        <v>0</v>
      </c>
      <c r="K330" s="28">
        <v>0</v>
      </c>
      <c r="L330" s="35" t="b">
        <v>0</v>
      </c>
      <c r="M330" s="28">
        <v>0</v>
      </c>
      <c r="N330" s="28">
        <v>0</v>
      </c>
      <c r="O330" s="47">
        <v>0</v>
      </c>
      <c r="P330" s="28">
        <v>0</v>
      </c>
      <c r="Q330" s="28">
        <v>0</v>
      </c>
      <c r="R330" s="28"/>
      <c r="S330" s="28" t="s">
        <v>481</v>
      </c>
      <c r="T330" s="36" t="str">
        <f>IFERROR(HYPERLINK("#'Main'!B"&amp;MATCH(TRIM(A330),Main!B:B,0),"Open"),HYPERLINK("#'Main'!B1","Open"))</f>
        <v>Open</v>
      </c>
      <c r="U330" s="36"/>
    </row>
    <row r="331" spans="1:21" ht="30" customHeight="1" x14ac:dyDescent="0.25">
      <c r="A331" s="46" t="s">
        <v>198</v>
      </c>
      <c r="B331" s="37" t="s">
        <v>479</v>
      </c>
      <c r="C331" s="39" t="s">
        <v>581</v>
      </c>
      <c r="D331" s="37"/>
      <c r="E331" s="47">
        <v>200</v>
      </c>
      <c r="F331" s="37" t="b">
        <v>1</v>
      </c>
      <c r="G331" s="37">
        <v>0</v>
      </c>
      <c r="H331" s="47">
        <v>0</v>
      </c>
      <c r="I331" s="37">
        <v>0</v>
      </c>
      <c r="J331" s="37">
        <v>0</v>
      </c>
      <c r="K331" s="37">
        <v>0</v>
      </c>
      <c r="L331" s="41" t="b">
        <v>0</v>
      </c>
      <c r="M331" s="37">
        <v>0</v>
      </c>
      <c r="N331" s="37">
        <v>0</v>
      </c>
      <c r="O331" s="47">
        <v>0</v>
      </c>
      <c r="P331" s="37">
        <v>0</v>
      </c>
      <c r="Q331" s="37">
        <v>0</v>
      </c>
      <c r="R331" s="37"/>
      <c r="S331" s="37" t="s">
        <v>481</v>
      </c>
      <c r="T331" t="str">
        <f>IFERROR(HYPERLINK("#'Main'!B"&amp;MATCH(TRIM(A331),Main!B:B,0),"Open"),HYPERLINK("#'Main'!B1","Open"))</f>
        <v>Open</v>
      </c>
    </row>
    <row r="332" spans="1:21" ht="30" customHeight="1" x14ac:dyDescent="0.25">
      <c r="A332" s="45" t="s">
        <v>198</v>
      </c>
      <c r="B332" s="28" t="s">
        <v>479</v>
      </c>
      <c r="C332" s="32" t="s">
        <v>582</v>
      </c>
      <c r="D332" s="28"/>
      <c r="E332" s="47">
        <v>200</v>
      </c>
      <c r="F332" s="28" t="b">
        <v>1</v>
      </c>
      <c r="G332" s="28">
        <v>0</v>
      </c>
      <c r="H332" s="47">
        <v>0</v>
      </c>
      <c r="I332" s="28">
        <v>0</v>
      </c>
      <c r="J332" s="28">
        <v>0</v>
      </c>
      <c r="K332" s="28">
        <v>0</v>
      </c>
      <c r="L332" s="35" t="b">
        <v>0</v>
      </c>
      <c r="M332" s="28">
        <v>0</v>
      </c>
      <c r="N332" s="28">
        <v>0</v>
      </c>
      <c r="O332" s="47">
        <v>0</v>
      </c>
      <c r="P332" s="28">
        <v>0</v>
      </c>
      <c r="Q332" s="28">
        <v>0</v>
      </c>
      <c r="R332" s="28"/>
      <c r="S332" s="28" t="s">
        <v>481</v>
      </c>
      <c r="T332" s="36" t="str">
        <f>IFERROR(HYPERLINK("#'Main'!B"&amp;MATCH(TRIM(A332),Main!B:B,0),"Open"),HYPERLINK("#'Main'!B1","Open"))</f>
        <v>Open</v>
      </c>
      <c r="U332" s="36"/>
    </row>
    <row r="333" spans="1:21" ht="30" customHeight="1" x14ac:dyDescent="0.25">
      <c r="A333" s="46" t="s">
        <v>198</v>
      </c>
      <c r="B333" s="37" t="s">
        <v>479</v>
      </c>
      <c r="C333" s="39" t="s">
        <v>583</v>
      </c>
      <c r="D333" s="37"/>
      <c r="E333" s="47">
        <v>200</v>
      </c>
      <c r="F333" s="37" t="b">
        <v>1</v>
      </c>
      <c r="G333" s="37">
        <v>0</v>
      </c>
      <c r="H333" s="47">
        <v>0</v>
      </c>
      <c r="I333" s="37">
        <v>0</v>
      </c>
      <c r="J333" s="37">
        <v>0</v>
      </c>
      <c r="K333" s="37">
        <v>0</v>
      </c>
      <c r="L333" s="41" t="b">
        <v>0</v>
      </c>
      <c r="M333" s="37">
        <v>0</v>
      </c>
      <c r="N333" s="37">
        <v>0</v>
      </c>
      <c r="O333" s="47">
        <v>0</v>
      </c>
      <c r="P333" s="37">
        <v>0</v>
      </c>
      <c r="Q333" s="37">
        <v>0</v>
      </c>
      <c r="R333" s="37"/>
      <c r="S333" s="37" t="s">
        <v>481</v>
      </c>
      <c r="T333" t="str">
        <f>IFERROR(HYPERLINK("#'Main'!B"&amp;MATCH(TRIM(A333),Main!B:B,0),"Open"),HYPERLINK("#'Main'!B1","Open"))</f>
        <v>Open</v>
      </c>
    </row>
    <row r="334" spans="1:21" ht="30" customHeight="1" x14ac:dyDescent="0.25">
      <c r="A334" s="45" t="s">
        <v>198</v>
      </c>
      <c r="B334" s="28" t="s">
        <v>479</v>
      </c>
      <c r="C334" s="32" t="s">
        <v>584</v>
      </c>
      <c r="D334" s="28"/>
      <c r="E334" s="47">
        <v>200</v>
      </c>
      <c r="F334" s="28" t="b">
        <v>1</v>
      </c>
      <c r="G334" s="28">
        <v>0</v>
      </c>
      <c r="H334" s="47">
        <v>0</v>
      </c>
      <c r="I334" s="28">
        <v>0</v>
      </c>
      <c r="J334" s="28">
        <v>0</v>
      </c>
      <c r="K334" s="28">
        <v>0</v>
      </c>
      <c r="L334" s="35" t="b">
        <v>0</v>
      </c>
      <c r="M334" s="28">
        <v>0</v>
      </c>
      <c r="N334" s="28">
        <v>0</v>
      </c>
      <c r="O334" s="47">
        <v>0</v>
      </c>
      <c r="P334" s="28">
        <v>0</v>
      </c>
      <c r="Q334" s="28">
        <v>0</v>
      </c>
      <c r="R334" s="28"/>
      <c r="S334" s="28" t="s">
        <v>481</v>
      </c>
      <c r="T334" s="36" t="str">
        <f>IFERROR(HYPERLINK("#'Main'!B"&amp;MATCH(TRIM(A334),Main!B:B,0),"Open"),HYPERLINK("#'Main'!B1","Open"))</f>
        <v>Open</v>
      </c>
      <c r="U334" s="36"/>
    </row>
    <row r="335" spans="1:21" ht="30" customHeight="1" x14ac:dyDescent="0.25">
      <c r="A335" s="46" t="s">
        <v>198</v>
      </c>
      <c r="B335" s="37" t="s">
        <v>479</v>
      </c>
      <c r="C335" s="39" t="s">
        <v>585</v>
      </c>
      <c r="D335" s="37"/>
      <c r="E335" s="47">
        <v>200</v>
      </c>
      <c r="F335" s="37" t="b">
        <v>1</v>
      </c>
      <c r="G335" s="37">
        <v>0</v>
      </c>
      <c r="H335" s="47">
        <v>0</v>
      </c>
      <c r="I335" s="37">
        <v>0</v>
      </c>
      <c r="J335" s="37">
        <v>0</v>
      </c>
      <c r="K335" s="37">
        <v>0</v>
      </c>
      <c r="L335" s="41" t="b">
        <v>0</v>
      </c>
      <c r="M335" s="37">
        <v>0</v>
      </c>
      <c r="N335" s="37">
        <v>0</v>
      </c>
      <c r="O335" s="47">
        <v>0</v>
      </c>
      <c r="P335" s="37">
        <v>0</v>
      </c>
      <c r="Q335" s="37">
        <v>0</v>
      </c>
      <c r="R335" s="37"/>
      <c r="S335" s="37" t="s">
        <v>481</v>
      </c>
      <c r="T335" t="str">
        <f>IFERROR(HYPERLINK("#'Main'!B"&amp;MATCH(TRIM(A335),Main!B:B,0),"Open"),HYPERLINK("#'Main'!B1","Open"))</f>
        <v>Open</v>
      </c>
    </row>
    <row r="336" spans="1:21" ht="30" customHeight="1" x14ac:dyDescent="0.25">
      <c r="A336" s="45" t="s">
        <v>198</v>
      </c>
      <c r="B336" s="28" t="s">
        <v>479</v>
      </c>
      <c r="C336" s="32" t="s">
        <v>586</v>
      </c>
      <c r="D336" s="28"/>
      <c r="E336" s="47">
        <v>200</v>
      </c>
      <c r="F336" s="28" t="b">
        <v>1</v>
      </c>
      <c r="G336" s="28">
        <v>0</v>
      </c>
      <c r="H336" s="47">
        <v>0</v>
      </c>
      <c r="I336" s="28">
        <v>0</v>
      </c>
      <c r="J336" s="28">
        <v>0</v>
      </c>
      <c r="K336" s="28">
        <v>0</v>
      </c>
      <c r="L336" s="35" t="b">
        <v>0</v>
      </c>
      <c r="M336" s="28">
        <v>0</v>
      </c>
      <c r="N336" s="28">
        <v>0</v>
      </c>
      <c r="O336" s="47">
        <v>0</v>
      </c>
      <c r="P336" s="28">
        <v>0</v>
      </c>
      <c r="Q336" s="28">
        <v>0</v>
      </c>
      <c r="R336" s="28"/>
      <c r="S336" s="28" t="s">
        <v>481</v>
      </c>
      <c r="T336" s="36" t="str">
        <f>IFERROR(HYPERLINK("#'Main'!B"&amp;MATCH(TRIM(A336),Main!B:B,0),"Open"),HYPERLINK("#'Main'!B1","Open"))</f>
        <v>Open</v>
      </c>
      <c r="U336" s="36"/>
    </row>
    <row r="337" spans="1:21" ht="30" customHeight="1" x14ac:dyDescent="0.25">
      <c r="A337" s="46" t="s">
        <v>198</v>
      </c>
      <c r="B337" s="37" t="s">
        <v>479</v>
      </c>
      <c r="C337" s="39" t="s">
        <v>587</v>
      </c>
      <c r="D337" s="37"/>
      <c r="E337" s="47">
        <v>200</v>
      </c>
      <c r="F337" s="37" t="b">
        <v>1</v>
      </c>
      <c r="G337" s="37">
        <v>0</v>
      </c>
      <c r="H337" s="47">
        <v>0</v>
      </c>
      <c r="I337" s="37">
        <v>0</v>
      </c>
      <c r="J337" s="37">
        <v>0</v>
      </c>
      <c r="K337" s="37">
        <v>0</v>
      </c>
      <c r="L337" s="41" t="b">
        <v>0</v>
      </c>
      <c r="M337" s="37">
        <v>0</v>
      </c>
      <c r="N337" s="37">
        <v>0</v>
      </c>
      <c r="O337" s="47">
        <v>0</v>
      </c>
      <c r="P337" s="37">
        <v>0</v>
      </c>
      <c r="Q337" s="37">
        <v>0</v>
      </c>
      <c r="R337" s="37"/>
      <c r="S337" s="37" t="s">
        <v>481</v>
      </c>
      <c r="T337" t="str">
        <f>IFERROR(HYPERLINK("#'Main'!B"&amp;MATCH(TRIM(A337),Main!B:B,0),"Open"),HYPERLINK("#'Main'!B1","Open"))</f>
        <v>Open</v>
      </c>
    </row>
    <row r="338" spans="1:21" ht="30" customHeight="1" x14ac:dyDescent="0.25">
      <c r="A338" s="45" t="s">
        <v>198</v>
      </c>
      <c r="B338" s="28" t="s">
        <v>479</v>
      </c>
      <c r="C338" s="32" t="s">
        <v>588</v>
      </c>
      <c r="D338" s="28"/>
      <c r="E338" s="47">
        <v>200</v>
      </c>
      <c r="F338" s="28" t="b">
        <v>1</v>
      </c>
      <c r="G338" s="28">
        <v>0</v>
      </c>
      <c r="H338" s="47">
        <v>0</v>
      </c>
      <c r="I338" s="28">
        <v>0</v>
      </c>
      <c r="J338" s="28">
        <v>0</v>
      </c>
      <c r="K338" s="28">
        <v>0</v>
      </c>
      <c r="L338" s="35" t="b">
        <v>0</v>
      </c>
      <c r="M338" s="28">
        <v>0</v>
      </c>
      <c r="N338" s="28">
        <v>0</v>
      </c>
      <c r="O338" s="47">
        <v>0</v>
      </c>
      <c r="P338" s="28">
        <v>0</v>
      </c>
      <c r="Q338" s="28">
        <v>0</v>
      </c>
      <c r="R338" s="28"/>
      <c r="S338" s="28" t="s">
        <v>481</v>
      </c>
      <c r="T338" s="36" t="str">
        <f>IFERROR(HYPERLINK("#'Main'!B"&amp;MATCH(TRIM(A338),Main!B:B,0),"Open"),HYPERLINK("#'Main'!B1","Open"))</f>
        <v>Open</v>
      </c>
      <c r="U338" s="36"/>
    </row>
    <row r="339" spans="1:21" ht="30" customHeight="1" x14ac:dyDescent="0.25">
      <c r="A339" s="46" t="s">
        <v>198</v>
      </c>
      <c r="B339" s="37" t="s">
        <v>479</v>
      </c>
      <c r="C339" s="39" t="s">
        <v>589</v>
      </c>
      <c r="D339" s="37"/>
      <c r="E339" s="47">
        <v>200</v>
      </c>
      <c r="F339" s="37" t="b">
        <v>1</v>
      </c>
      <c r="G339" s="37">
        <v>0</v>
      </c>
      <c r="H339" s="47">
        <v>0</v>
      </c>
      <c r="I339" s="37">
        <v>0</v>
      </c>
      <c r="J339" s="37">
        <v>0</v>
      </c>
      <c r="K339" s="37">
        <v>0</v>
      </c>
      <c r="L339" s="41" t="b">
        <v>0</v>
      </c>
      <c r="M339" s="37">
        <v>0</v>
      </c>
      <c r="N339" s="37">
        <v>0</v>
      </c>
      <c r="O339" s="47">
        <v>0</v>
      </c>
      <c r="P339" s="37">
        <v>0</v>
      </c>
      <c r="Q339" s="37">
        <v>0</v>
      </c>
      <c r="R339" s="37"/>
      <c r="S339" s="37" t="s">
        <v>481</v>
      </c>
      <c r="T339" t="str">
        <f>IFERROR(HYPERLINK("#'Main'!B"&amp;MATCH(TRIM(A339),Main!B:B,0),"Open"),HYPERLINK("#'Main'!B1","Open"))</f>
        <v>Open</v>
      </c>
    </row>
    <row r="340" spans="1:21" ht="30" customHeight="1" x14ac:dyDescent="0.25">
      <c r="A340" s="45" t="s">
        <v>198</v>
      </c>
      <c r="B340" s="28" t="s">
        <v>479</v>
      </c>
      <c r="C340" s="32" t="s">
        <v>590</v>
      </c>
      <c r="D340" s="28"/>
      <c r="E340" s="47">
        <v>200</v>
      </c>
      <c r="F340" s="28" t="b">
        <v>1</v>
      </c>
      <c r="G340" s="28">
        <v>0</v>
      </c>
      <c r="H340" s="47">
        <v>0</v>
      </c>
      <c r="I340" s="28">
        <v>0</v>
      </c>
      <c r="J340" s="28">
        <v>0</v>
      </c>
      <c r="K340" s="28">
        <v>0</v>
      </c>
      <c r="L340" s="35" t="b">
        <v>0</v>
      </c>
      <c r="M340" s="28">
        <v>0</v>
      </c>
      <c r="N340" s="28">
        <v>0</v>
      </c>
      <c r="O340" s="47">
        <v>0</v>
      </c>
      <c r="P340" s="28">
        <v>0</v>
      </c>
      <c r="Q340" s="28">
        <v>0</v>
      </c>
      <c r="R340" s="28"/>
      <c r="S340" s="28" t="s">
        <v>481</v>
      </c>
      <c r="T340" s="36" t="str">
        <f>IFERROR(HYPERLINK("#'Main'!B"&amp;MATCH(TRIM(A340),Main!B:B,0),"Open"),HYPERLINK("#'Main'!B1","Open"))</f>
        <v>Open</v>
      </c>
      <c r="U340" s="36"/>
    </row>
    <row r="341" spans="1:21" ht="30" customHeight="1" x14ac:dyDescent="0.25">
      <c r="A341" s="46" t="s">
        <v>198</v>
      </c>
      <c r="B341" s="37" t="s">
        <v>479</v>
      </c>
      <c r="C341" s="39" t="s">
        <v>591</v>
      </c>
      <c r="D341" s="37"/>
      <c r="E341" s="47">
        <v>200</v>
      </c>
      <c r="F341" s="37" t="b">
        <v>1</v>
      </c>
      <c r="G341" s="37">
        <v>0</v>
      </c>
      <c r="H341" s="47">
        <v>0</v>
      </c>
      <c r="I341" s="37">
        <v>0</v>
      </c>
      <c r="J341" s="37">
        <v>0</v>
      </c>
      <c r="K341" s="37">
        <v>0</v>
      </c>
      <c r="L341" s="41" t="b">
        <v>0</v>
      </c>
      <c r="M341" s="37">
        <v>0</v>
      </c>
      <c r="N341" s="37">
        <v>0</v>
      </c>
      <c r="O341" s="47">
        <v>0</v>
      </c>
      <c r="P341" s="37">
        <v>0</v>
      </c>
      <c r="Q341" s="37">
        <v>0</v>
      </c>
      <c r="R341" s="37"/>
      <c r="S341" s="37" t="s">
        <v>481</v>
      </c>
      <c r="T341" t="str">
        <f>IFERROR(HYPERLINK("#'Main'!B"&amp;MATCH(TRIM(A341),Main!B:B,0),"Open"),HYPERLINK("#'Main'!B1","Open"))</f>
        <v>Open</v>
      </c>
    </row>
    <row r="342" spans="1:21" ht="30" customHeight="1" x14ac:dyDescent="0.25">
      <c r="A342" s="45" t="s">
        <v>198</v>
      </c>
      <c r="B342" s="28" t="s">
        <v>479</v>
      </c>
      <c r="C342" s="32" t="s">
        <v>592</v>
      </c>
      <c r="D342" s="28"/>
      <c r="E342" s="47">
        <v>200</v>
      </c>
      <c r="F342" s="28" t="b">
        <v>1</v>
      </c>
      <c r="G342" s="28">
        <v>0</v>
      </c>
      <c r="H342" s="47">
        <v>0</v>
      </c>
      <c r="I342" s="28">
        <v>0</v>
      </c>
      <c r="J342" s="28">
        <v>0</v>
      </c>
      <c r="K342" s="28">
        <v>0</v>
      </c>
      <c r="L342" s="35" t="b">
        <v>0</v>
      </c>
      <c r="M342" s="28">
        <v>0</v>
      </c>
      <c r="N342" s="28">
        <v>0</v>
      </c>
      <c r="O342" s="47">
        <v>0</v>
      </c>
      <c r="P342" s="28">
        <v>0</v>
      </c>
      <c r="Q342" s="28">
        <v>0</v>
      </c>
      <c r="R342" s="28"/>
      <c r="S342" s="28" t="s">
        <v>481</v>
      </c>
      <c r="T342" s="36" t="str">
        <f>IFERROR(HYPERLINK("#'Main'!B"&amp;MATCH(TRIM(A342),Main!B:B,0),"Open"),HYPERLINK("#'Main'!B1","Open"))</f>
        <v>Open</v>
      </c>
      <c r="U342" s="36"/>
    </row>
    <row r="343" spans="1:21" ht="30" customHeight="1" x14ac:dyDescent="0.25">
      <c r="A343" s="46" t="s">
        <v>198</v>
      </c>
      <c r="B343" s="37" t="s">
        <v>479</v>
      </c>
      <c r="C343" s="39" t="s">
        <v>593</v>
      </c>
      <c r="D343" s="37"/>
      <c r="E343" s="47">
        <v>200</v>
      </c>
      <c r="F343" s="37" t="b">
        <v>1</v>
      </c>
      <c r="G343" s="37">
        <v>0</v>
      </c>
      <c r="H343" s="47">
        <v>0</v>
      </c>
      <c r="I343" s="37">
        <v>0</v>
      </c>
      <c r="J343" s="37">
        <v>0</v>
      </c>
      <c r="K343" s="37">
        <v>0</v>
      </c>
      <c r="L343" s="41" t="b">
        <v>0</v>
      </c>
      <c r="M343" s="37">
        <v>0</v>
      </c>
      <c r="N343" s="37">
        <v>0</v>
      </c>
      <c r="O343" s="47">
        <v>0</v>
      </c>
      <c r="P343" s="37">
        <v>0</v>
      </c>
      <c r="Q343" s="37">
        <v>0</v>
      </c>
      <c r="R343" s="37"/>
      <c r="S343" s="37" t="s">
        <v>481</v>
      </c>
      <c r="T343" t="str">
        <f>IFERROR(HYPERLINK("#'Main'!B"&amp;MATCH(TRIM(A343),Main!B:B,0),"Open"),HYPERLINK("#'Main'!B1","Open"))</f>
        <v>Open</v>
      </c>
    </row>
    <row r="344" spans="1:21" ht="30" customHeight="1" x14ac:dyDescent="0.25">
      <c r="A344" s="45" t="s">
        <v>198</v>
      </c>
      <c r="B344" s="28" t="s">
        <v>479</v>
      </c>
      <c r="C344" s="32" t="s">
        <v>594</v>
      </c>
      <c r="D344" s="28"/>
      <c r="E344" s="47">
        <v>200</v>
      </c>
      <c r="F344" s="28" t="b">
        <v>1</v>
      </c>
      <c r="G344" s="28">
        <v>0</v>
      </c>
      <c r="H344" s="47">
        <v>0</v>
      </c>
      <c r="I344" s="28">
        <v>0</v>
      </c>
      <c r="J344" s="28">
        <v>0</v>
      </c>
      <c r="K344" s="28">
        <v>0</v>
      </c>
      <c r="L344" s="35" t="b">
        <v>0</v>
      </c>
      <c r="M344" s="28">
        <v>0</v>
      </c>
      <c r="N344" s="28">
        <v>0</v>
      </c>
      <c r="O344" s="47">
        <v>0</v>
      </c>
      <c r="P344" s="28">
        <v>0</v>
      </c>
      <c r="Q344" s="28">
        <v>0</v>
      </c>
      <c r="R344" s="28"/>
      <c r="S344" s="28" t="s">
        <v>481</v>
      </c>
      <c r="T344" s="36" t="str">
        <f>IFERROR(HYPERLINK("#'Main'!B"&amp;MATCH(TRIM(A344),Main!B:B,0),"Open"),HYPERLINK("#'Main'!B1","Open"))</f>
        <v>Open</v>
      </c>
      <c r="U344" s="36"/>
    </row>
    <row r="345" spans="1:21" ht="30" customHeight="1" x14ac:dyDescent="0.25">
      <c r="A345" s="46" t="s">
        <v>198</v>
      </c>
      <c r="B345" s="37" t="s">
        <v>479</v>
      </c>
      <c r="C345" s="39" t="s">
        <v>595</v>
      </c>
      <c r="D345" s="37"/>
      <c r="E345" s="47">
        <v>200</v>
      </c>
      <c r="F345" s="37" t="b">
        <v>1</v>
      </c>
      <c r="G345" s="37">
        <v>0</v>
      </c>
      <c r="H345" s="47">
        <v>0</v>
      </c>
      <c r="I345" s="37">
        <v>0</v>
      </c>
      <c r="J345" s="37">
        <v>0</v>
      </c>
      <c r="K345" s="37">
        <v>0</v>
      </c>
      <c r="L345" s="41" t="b">
        <v>0</v>
      </c>
      <c r="M345" s="37">
        <v>0</v>
      </c>
      <c r="N345" s="37">
        <v>0</v>
      </c>
      <c r="O345" s="47">
        <v>0</v>
      </c>
      <c r="P345" s="37">
        <v>0</v>
      </c>
      <c r="Q345" s="37">
        <v>0</v>
      </c>
      <c r="R345" s="37"/>
      <c r="S345" s="37" t="s">
        <v>481</v>
      </c>
      <c r="T345" t="str">
        <f>IFERROR(HYPERLINK("#'Main'!B"&amp;MATCH(TRIM(A345),Main!B:B,0),"Open"),HYPERLINK("#'Main'!B1","Open"))</f>
        <v>Open</v>
      </c>
    </row>
    <row r="346" spans="1:21" ht="30" customHeight="1" x14ac:dyDescent="0.25">
      <c r="A346" s="45" t="s">
        <v>198</v>
      </c>
      <c r="B346" s="28" t="s">
        <v>479</v>
      </c>
      <c r="C346" s="32" t="s">
        <v>596</v>
      </c>
      <c r="D346" s="28"/>
      <c r="E346" s="47">
        <v>200</v>
      </c>
      <c r="F346" s="28" t="b">
        <v>1</v>
      </c>
      <c r="G346" s="28">
        <v>0</v>
      </c>
      <c r="H346" s="47">
        <v>0</v>
      </c>
      <c r="I346" s="28">
        <v>0</v>
      </c>
      <c r="J346" s="28">
        <v>0</v>
      </c>
      <c r="K346" s="28">
        <v>0</v>
      </c>
      <c r="L346" s="35" t="b">
        <v>0</v>
      </c>
      <c r="M346" s="28">
        <v>0</v>
      </c>
      <c r="N346" s="28">
        <v>0</v>
      </c>
      <c r="O346" s="47">
        <v>0</v>
      </c>
      <c r="P346" s="28">
        <v>0</v>
      </c>
      <c r="Q346" s="28">
        <v>0</v>
      </c>
      <c r="R346" s="28"/>
      <c r="S346" s="28" t="s">
        <v>481</v>
      </c>
      <c r="T346" s="36" t="str">
        <f>IFERROR(HYPERLINK("#'Main'!B"&amp;MATCH(TRIM(A346),Main!B:B,0),"Open"),HYPERLINK("#'Main'!B1","Open"))</f>
        <v>Open</v>
      </c>
      <c r="U346" s="36"/>
    </row>
    <row r="347" spans="1:21" ht="30" customHeight="1" x14ac:dyDescent="0.25">
      <c r="A347" s="46" t="s">
        <v>198</v>
      </c>
      <c r="B347" s="37" t="s">
        <v>479</v>
      </c>
      <c r="C347" s="39" t="s">
        <v>597</v>
      </c>
      <c r="D347" s="37"/>
      <c r="E347" s="47">
        <v>200</v>
      </c>
      <c r="F347" s="37" t="b">
        <v>1</v>
      </c>
      <c r="G347" s="37">
        <v>0</v>
      </c>
      <c r="H347" s="47">
        <v>0</v>
      </c>
      <c r="I347" s="37">
        <v>0</v>
      </c>
      <c r="J347" s="37">
        <v>0</v>
      </c>
      <c r="K347" s="37">
        <v>0</v>
      </c>
      <c r="L347" s="41" t="b">
        <v>0</v>
      </c>
      <c r="M347" s="37">
        <v>0</v>
      </c>
      <c r="N347" s="37">
        <v>0</v>
      </c>
      <c r="O347" s="47">
        <v>0</v>
      </c>
      <c r="P347" s="37">
        <v>0</v>
      </c>
      <c r="Q347" s="37">
        <v>0</v>
      </c>
      <c r="R347" s="37"/>
      <c r="S347" s="37" t="s">
        <v>481</v>
      </c>
      <c r="T347" t="str">
        <f>IFERROR(HYPERLINK("#'Main'!B"&amp;MATCH(TRIM(A347),Main!B:B,0),"Open"),HYPERLINK("#'Main'!B1","Open"))</f>
        <v>Open</v>
      </c>
    </row>
    <row r="348" spans="1:21" ht="30" customHeight="1" x14ac:dyDescent="0.25">
      <c r="A348" s="45" t="s">
        <v>198</v>
      </c>
      <c r="B348" s="28" t="s">
        <v>479</v>
      </c>
      <c r="C348" s="32" t="s">
        <v>598</v>
      </c>
      <c r="D348" s="28"/>
      <c r="E348" s="47">
        <v>200</v>
      </c>
      <c r="F348" s="28" t="b">
        <v>1</v>
      </c>
      <c r="G348" s="28">
        <v>0</v>
      </c>
      <c r="H348" s="47">
        <v>0</v>
      </c>
      <c r="I348" s="28">
        <v>0</v>
      </c>
      <c r="J348" s="28">
        <v>0</v>
      </c>
      <c r="K348" s="28">
        <v>0</v>
      </c>
      <c r="L348" s="35" t="b">
        <v>0</v>
      </c>
      <c r="M348" s="28">
        <v>0</v>
      </c>
      <c r="N348" s="28">
        <v>0</v>
      </c>
      <c r="O348" s="47">
        <v>0</v>
      </c>
      <c r="P348" s="28">
        <v>0</v>
      </c>
      <c r="Q348" s="28">
        <v>0</v>
      </c>
      <c r="R348" s="28"/>
      <c r="S348" s="28" t="s">
        <v>481</v>
      </c>
      <c r="T348" s="36" t="str">
        <f>IFERROR(HYPERLINK("#'Main'!B"&amp;MATCH(TRIM(A348),Main!B:B,0),"Open"),HYPERLINK("#'Main'!B1","Open"))</f>
        <v>Open</v>
      </c>
      <c r="U348" s="36"/>
    </row>
    <row r="349" spans="1:21" ht="30" customHeight="1" x14ac:dyDescent="0.25">
      <c r="A349" s="46" t="s">
        <v>198</v>
      </c>
      <c r="B349" s="37" t="s">
        <v>479</v>
      </c>
      <c r="C349" s="39" t="s">
        <v>599</v>
      </c>
      <c r="D349" s="37"/>
      <c r="E349" s="47">
        <v>200</v>
      </c>
      <c r="F349" s="37" t="b">
        <v>1</v>
      </c>
      <c r="G349" s="37">
        <v>0</v>
      </c>
      <c r="H349" s="47">
        <v>0</v>
      </c>
      <c r="I349" s="37">
        <v>0</v>
      </c>
      <c r="J349" s="37">
        <v>0</v>
      </c>
      <c r="K349" s="37">
        <v>0</v>
      </c>
      <c r="L349" s="41" t="b">
        <v>0</v>
      </c>
      <c r="M349" s="37">
        <v>0</v>
      </c>
      <c r="N349" s="37">
        <v>0</v>
      </c>
      <c r="O349" s="47">
        <v>0</v>
      </c>
      <c r="P349" s="37">
        <v>0</v>
      </c>
      <c r="Q349" s="37">
        <v>0</v>
      </c>
      <c r="R349" s="37"/>
      <c r="S349" s="37" t="s">
        <v>481</v>
      </c>
      <c r="T349" t="str">
        <f>IFERROR(HYPERLINK("#'Main'!B"&amp;MATCH(TRIM(A349),Main!B:B,0),"Open"),HYPERLINK("#'Main'!B1","Open"))</f>
        <v>Open</v>
      </c>
    </row>
    <row r="350" spans="1:21" ht="30" customHeight="1" x14ac:dyDescent="0.25">
      <c r="A350" s="45" t="s">
        <v>198</v>
      </c>
      <c r="B350" s="28" t="s">
        <v>479</v>
      </c>
      <c r="C350" s="32" t="s">
        <v>600</v>
      </c>
      <c r="D350" s="28"/>
      <c r="E350" s="47">
        <v>200</v>
      </c>
      <c r="F350" s="28" t="b">
        <v>1</v>
      </c>
      <c r="G350" s="28">
        <v>0</v>
      </c>
      <c r="H350" s="47">
        <v>0</v>
      </c>
      <c r="I350" s="28">
        <v>0</v>
      </c>
      <c r="J350" s="28">
        <v>0</v>
      </c>
      <c r="K350" s="28">
        <v>0</v>
      </c>
      <c r="L350" s="35" t="b">
        <v>0</v>
      </c>
      <c r="M350" s="28">
        <v>0</v>
      </c>
      <c r="N350" s="28">
        <v>0</v>
      </c>
      <c r="O350" s="47">
        <v>0</v>
      </c>
      <c r="P350" s="28">
        <v>0</v>
      </c>
      <c r="Q350" s="28">
        <v>0</v>
      </c>
      <c r="R350" s="28"/>
      <c r="S350" s="28" t="s">
        <v>481</v>
      </c>
      <c r="T350" s="36" t="str">
        <f>IFERROR(HYPERLINK("#'Main'!B"&amp;MATCH(TRIM(A350),Main!B:B,0),"Open"),HYPERLINK("#'Main'!B1","Open"))</f>
        <v>Open</v>
      </c>
      <c r="U350" s="36"/>
    </row>
    <row r="351" spans="1:21" ht="30" customHeight="1" x14ac:dyDescent="0.25">
      <c r="A351" s="46" t="s">
        <v>198</v>
      </c>
      <c r="B351" s="37" t="s">
        <v>479</v>
      </c>
      <c r="C351" s="39" t="s">
        <v>601</v>
      </c>
      <c r="D351" s="37"/>
      <c r="E351" s="47">
        <v>200</v>
      </c>
      <c r="F351" s="37" t="b">
        <v>1</v>
      </c>
      <c r="G351" s="37">
        <v>0</v>
      </c>
      <c r="H351" s="47">
        <v>0</v>
      </c>
      <c r="I351" s="37">
        <v>0</v>
      </c>
      <c r="J351" s="37">
        <v>0</v>
      </c>
      <c r="K351" s="37">
        <v>0</v>
      </c>
      <c r="L351" s="41" t="b">
        <v>0</v>
      </c>
      <c r="M351" s="37">
        <v>0</v>
      </c>
      <c r="N351" s="37">
        <v>0</v>
      </c>
      <c r="O351" s="47">
        <v>0</v>
      </c>
      <c r="P351" s="37">
        <v>0</v>
      </c>
      <c r="Q351" s="37">
        <v>0</v>
      </c>
      <c r="R351" s="37"/>
      <c r="S351" s="37" t="s">
        <v>481</v>
      </c>
      <c r="T351" t="str">
        <f>IFERROR(HYPERLINK("#'Main'!B"&amp;MATCH(TRIM(A351),Main!B:B,0),"Open"),HYPERLINK("#'Main'!B1","Open"))</f>
        <v>Open</v>
      </c>
    </row>
    <row r="352" spans="1:21" ht="30" customHeight="1" x14ac:dyDescent="0.25">
      <c r="A352" s="45" t="s">
        <v>198</v>
      </c>
      <c r="B352" s="28" t="s">
        <v>479</v>
      </c>
      <c r="C352" s="32" t="s">
        <v>602</v>
      </c>
      <c r="D352" s="28"/>
      <c r="E352" s="47">
        <v>200</v>
      </c>
      <c r="F352" s="28" t="b">
        <v>1</v>
      </c>
      <c r="G352" s="28">
        <v>0</v>
      </c>
      <c r="H352" s="47">
        <v>0</v>
      </c>
      <c r="I352" s="28">
        <v>0</v>
      </c>
      <c r="J352" s="28">
        <v>0</v>
      </c>
      <c r="K352" s="28">
        <v>0</v>
      </c>
      <c r="L352" s="35" t="b">
        <v>0</v>
      </c>
      <c r="M352" s="28">
        <v>0</v>
      </c>
      <c r="N352" s="28">
        <v>0</v>
      </c>
      <c r="O352" s="47">
        <v>0</v>
      </c>
      <c r="P352" s="28">
        <v>0</v>
      </c>
      <c r="Q352" s="28">
        <v>0</v>
      </c>
      <c r="R352" s="28"/>
      <c r="S352" s="28" t="s">
        <v>481</v>
      </c>
      <c r="T352" s="36" t="str">
        <f>IFERROR(HYPERLINK("#'Main'!B"&amp;MATCH(TRIM(A352),Main!B:B,0),"Open"),HYPERLINK("#'Main'!B1","Open"))</f>
        <v>Open</v>
      </c>
      <c r="U352" s="36"/>
    </row>
    <row r="353" spans="1:21" ht="30" customHeight="1" x14ac:dyDescent="0.25">
      <c r="A353" s="46" t="s">
        <v>198</v>
      </c>
      <c r="B353" s="37" t="s">
        <v>479</v>
      </c>
      <c r="C353" s="39" t="s">
        <v>603</v>
      </c>
      <c r="D353" s="37"/>
      <c r="E353" s="47">
        <v>200</v>
      </c>
      <c r="F353" s="37" t="b">
        <v>1</v>
      </c>
      <c r="G353" s="37">
        <v>0</v>
      </c>
      <c r="H353" s="47">
        <v>0</v>
      </c>
      <c r="I353" s="37">
        <v>0</v>
      </c>
      <c r="J353" s="37">
        <v>0</v>
      </c>
      <c r="K353" s="37">
        <v>0</v>
      </c>
      <c r="L353" s="41" t="b">
        <v>0</v>
      </c>
      <c r="M353" s="37">
        <v>0</v>
      </c>
      <c r="N353" s="37">
        <v>0</v>
      </c>
      <c r="O353" s="47">
        <v>0</v>
      </c>
      <c r="P353" s="37">
        <v>0</v>
      </c>
      <c r="Q353" s="37">
        <v>0</v>
      </c>
      <c r="R353" s="37"/>
      <c r="S353" s="37" t="s">
        <v>481</v>
      </c>
      <c r="T353" t="str">
        <f>IFERROR(HYPERLINK("#'Main'!B"&amp;MATCH(TRIM(A353),Main!B:B,0),"Open"),HYPERLINK("#'Main'!B1","Open"))</f>
        <v>Open</v>
      </c>
    </row>
    <row r="354" spans="1:21" ht="30" customHeight="1" x14ac:dyDescent="0.25">
      <c r="A354" s="45" t="s">
        <v>198</v>
      </c>
      <c r="B354" s="28" t="s">
        <v>479</v>
      </c>
      <c r="C354" s="32" t="s">
        <v>604</v>
      </c>
      <c r="D354" s="28"/>
      <c r="E354" s="47">
        <v>200</v>
      </c>
      <c r="F354" s="28" t="b">
        <v>1</v>
      </c>
      <c r="G354" s="28">
        <v>0</v>
      </c>
      <c r="H354" s="47">
        <v>0</v>
      </c>
      <c r="I354" s="28">
        <v>0</v>
      </c>
      <c r="J354" s="28">
        <v>0</v>
      </c>
      <c r="K354" s="28">
        <v>0</v>
      </c>
      <c r="L354" s="35" t="b">
        <v>0</v>
      </c>
      <c r="M354" s="28">
        <v>0</v>
      </c>
      <c r="N354" s="28">
        <v>0</v>
      </c>
      <c r="O354" s="47">
        <v>0</v>
      </c>
      <c r="P354" s="28">
        <v>0</v>
      </c>
      <c r="Q354" s="28">
        <v>0</v>
      </c>
      <c r="R354" s="28"/>
      <c r="S354" s="28" t="s">
        <v>481</v>
      </c>
      <c r="T354" s="36" t="str">
        <f>IFERROR(HYPERLINK("#'Main'!B"&amp;MATCH(TRIM(A354),Main!B:B,0),"Open"),HYPERLINK("#'Main'!B1","Open"))</f>
        <v>Open</v>
      </c>
      <c r="U354" s="36"/>
    </row>
    <row r="355" spans="1:21" ht="30" customHeight="1" x14ac:dyDescent="0.25">
      <c r="A355" s="46" t="s">
        <v>198</v>
      </c>
      <c r="B355" s="37" t="s">
        <v>479</v>
      </c>
      <c r="C355" s="39" t="s">
        <v>605</v>
      </c>
      <c r="D355" s="37"/>
      <c r="E355" s="47">
        <v>200</v>
      </c>
      <c r="F355" s="37" t="b">
        <v>1</v>
      </c>
      <c r="G355" s="37">
        <v>0</v>
      </c>
      <c r="H355" s="47">
        <v>0</v>
      </c>
      <c r="I355" s="37">
        <v>0</v>
      </c>
      <c r="J355" s="37">
        <v>0</v>
      </c>
      <c r="K355" s="37">
        <v>0</v>
      </c>
      <c r="L355" s="41" t="b">
        <v>0</v>
      </c>
      <c r="M355" s="37">
        <v>0</v>
      </c>
      <c r="N355" s="37">
        <v>0</v>
      </c>
      <c r="O355" s="47">
        <v>0</v>
      </c>
      <c r="P355" s="37">
        <v>0</v>
      </c>
      <c r="Q355" s="37">
        <v>0</v>
      </c>
      <c r="R355" s="37"/>
      <c r="S355" s="37" t="s">
        <v>481</v>
      </c>
      <c r="T355" t="str">
        <f>IFERROR(HYPERLINK("#'Main'!B"&amp;MATCH(TRIM(A355),Main!B:B,0),"Open"),HYPERLINK("#'Main'!B1","Open"))</f>
        <v>Open</v>
      </c>
    </row>
    <row r="356" spans="1:21" ht="30" customHeight="1" x14ac:dyDescent="0.25">
      <c r="A356" s="45" t="s">
        <v>198</v>
      </c>
      <c r="B356" s="28" t="s">
        <v>479</v>
      </c>
      <c r="C356" s="32" t="s">
        <v>606</v>
      </c>
      <c r="D356" s="28"/>
      <c r="E356" s="47">
        <v>200</v>
      </c>
      <c r="F356" s="28" t="b">
        <v>1</v>
      </c>
      <c r="G356" s="28">
        <v>0</v>
      </c>
      <c r="H356" s="47">
        <v>0</v>
      </c>
      <c r="I356" s="28">
        <v>0</v>
      </c>
      <c r="J356" s="28">
        <v>0</v>
      </c>
      <c r="K356" s="28">
        <v>0</v>
      </c>
      <c r="L356" s="35" t="b">
        <v>0</v>
      </c>
      <c r="M356" s="28">
        <v>0</v>
      </c>
      <c r="N356" s="28">
        <v>0</v>
      </c>
      <c r="O356" s="47">
        <v>0</v>
      </c>
      <c r="P356" s="28">
        <v>0</v>
      </c>
      <c r="Q356" s="28">
        <v>0</v>
      </c>
      <c r="R356" s="28"/>
      <c r="S356" s="28" t="s">
        <v>481</v>
      </c>
      <c r="T356" s="36" t="str">
        <f>IFERROR(HYPERLINK("#'Main'!B"&amp;MATCH(TRIM(A356),Main!B:B,0),"Open"),HYPERLINK("#'Main'!B1","Open"))</f>
        <v>Open</v>
      </c>
      <c r="U356" s="36"/>
    </row>
    <row r="357" spans="1:21" ht="30" customHeight="1" x14ac:dyDescent="0.25">
      <c r="A357" s="46" t="s">
        <v>198</v>
      </c>
      <c r="B357" s="37" t="s">
        <v>479</v>
      </c>
      <c r="C357" s="39" t="s">
        <v>607</v>
      </c>
      <c r="D357" s="37"/>
      <c r="E357" s="47">
        <v>200</v>
      </c>
      <c r="F357" s="37" t="b">
        <v>1</v>
      </c>
      <c r="G357" s="37">
        <v>0</v>
      </c>
      <c r="H357" s="47">
        <v>0</v>
      </c>
      <c r="I357" s="37">
        <v>0</v>
      </c>
      <c r="J357" s="37">
        <v>0</v>
      </c>
      <c r="K357" s="37">
        <v>0</v>
      </c>
      <c r="L357" s="41" t="b">
        <v>0</v>
      </c>
      <c r="M357" s="37">
        <v>0</v>
      </c>
      <c r="N357" s="37">
        <v>0</v>
      </c>
      <c r="O357" s="47">
        <v>0</v>
      </c>
      <c r="P357" s="37">
        <v>0</v>
      </c>
      <c r="Q357" s="37">
        <v>0</v>
      </c>
      <c r="R357" s="37"/>
      <c r="S357" s="37" t="s">
        <v>481</v>
      </c>
      <c r="T357" t="str">
        <f>IFERROR(HYPERLINK("#'Main'!B"&amp;MATCH(TRIM(A357),Main!B:B,0),"Open"),HYPERLINK("#'Main'!B1","Open"))</f>
        <v>Open</v>
      </c>
    </row>
    <row r="358" spans="1:21" ht="30" customHeight="1" x14ac:dyDescent="0.25">
      <c r="A358" s="45" t="s">
        <v>198</v>
      </c>
      <c r="B358" s="28" t="s">
        <v>479</v>
      </c>
      <c r="C358" s="32" t="s">
        <v>608</v>
      </c>
      <c r="D358" s="28"/>
      <c r="E358" s="47">
        <v>200</v>
      </c>
      <c r="F358" s="28" t="b">
        <v>1</v>
      </c>
      <c r="G358" s="28">
        <v>0</v>
      </c>
      <c r="H358" s="47">
        <v>0</v>
      </c>
      <c r="I358" s="28">
        <v>0</v>
      </c>
      <c r="J358" s="28">
        <v>0</v>
      </c>
      <c r="K358" s="28">
        <v>0</v>
      </c>
      <c r="L358" s="35" t="b">
        <v>0</v>
      </c>
      <c r="M358" s="28">
        <v>0</v>
      </c>
      <c r="N358" s="28">
        <v>0</v>
      </c>
      <c r="O358" s="47">
        <v>0</v>
      </c>
      <c r="P358" s="28">
        <v>0</v>
      </c>
      <c r="Q358" s="28">
        <v>0</v>
      </c>
      <c r="R358" s="28"/>
      <c r="S358" s="28" t="s">
        <v>481</v>
      </c>
      <c r="T358" s="36" t="str">
        <f>IFERROR(HYPERLINK("#'Main'!B"&amp;MATCH(TRIM(A358),Main!B:B,0),"Open"),HYPERLINK("#'Main'!B1","Open"))</f>
        <v>Open</v>
      </c>
      <c r="U358" s="36"/>
    </row>
    <row r="359" spans="1:21" ht="30" customHeight="1" x14ac:dyDescent="0.25">
      <c r="A359" s="46" t="s">
        <v>198</v>
      </c>
      <c r="B359" s="37" t="s">
        <v>479</v>
      </c>
      <c r="C359" s="39" t="s">
        <v>609</v>
      </c>
      <c r="D359" s="37"/>
      <c r="E359" s="47">
        <v>200</v>
      </c>
      <c r="F359" s="37" t="b">
        <v>1</v>
      </c>
      <c r="G359" s="37">
        <v>0</v>
      </c>
      <c r="H359" s="47">
        <v>0</v>
      </c>
      <c r="I359" s="37">
        <v>0</v>
      </c>
      <c r="J359" s="37">
        <v>0</v>
      </c>
      <c r="K359" s="37">
        <v>0</v>
      </c>
      <c r="L359" s="41" t="b">
        <v>0</v>
      </c>
      <c r="M359" s="37">
        <v>0</v>
      </c>
      <c r="N359" s="37">
        <v>0</v>
      </c>
      <c r="O359" s="47">
        <v>0</v>
      </c>
      <c r="P359" s="37">
        <v>0</v>
      </c>
      <c r="Q359" s="37">
        <v>0</v>
      </c>
      <c r="R359" s="37"/>
      <c r="S359" s="37" t="s">
        <v>481</v>
      </c>
      <c r="T359" t="str">
        <f>IFERROR(HYPERLINK("#'Main'!B"&amp;MATCH(TRIM(A359),Main!B:B,0),"Open"),HYPERLINK("#'Main'!B1","Open"))</f>
        <v>Open</v>
      </c>
    </row>
    <row r="360" spans="1:21" ht="30" customHeight="1" x14ac:dyDescent="0.25">
      <c r="A360" s="45" t="s">
        <v>198</v>
      </c>
      <c r="B360" s="28" t="s">
        <v>479</v>
      </c>
      <c r="C360" s="32" t="s">
        <v>610</v>
      </c>
      <c r="D360" s="28"/>
      <c r="E360" s="47">
        <v>200</v>
      </c>
      <c r="F360" s="28" t="b">
        <v>1</v>
      </c>
      <c r="G360" s="28">
        <v>0</v>
      </c>
      <c r="H360" s="47">
        <v>0</v>
      </c>
      <c r="I360" s="28">
        <v>0</v>
      </c>
      <c r="J360" s="28">
        <v>0</v>
      </c>
      <c r="K360" s="28">
        <v>0</v>
      </c>
      <c r="L360" s="35" t="b">
        <v>0</v>
      </c>
      <c r="M360" s="28">
        <v>0</v>
      </c>
      <c r="N360" s="28">
        <v>0</v>
      </c>
      <c r="O360" s="47">
        <v>0</v>
      </c>
      <c r="P360" s="28">
        <v>0</v>
      </c>
      <c r="Q360" s="28">
        <v>0</v>
      </c>
      <c r="R360" s="28"/>
      <c r="S360" s="28" t="s">
        <v>481</v>
      </c>
      <c r="T360" s="36" t="str">
        <f>IFERROR(HYPERLINK("#'Main'!B"&amp;MATCH(TRIM(A360),Main!B:B,0),"Open"),HYPERLINK("#'Main'!B1","Open"))</f>
        <v>Open</v>
      </c>
      <c r="U360" s="36"/>
    </row>
    <row r="361" spans="1:21" ht="30" customHeight="1" x14ac:dyDescent="0.25">
      <c r="A361" s="46" t="s">
        <v>198</v>
      </c>
      <c r="B361" s="37" t="s">
        <v>479</v>
      </c>
      <c r="C361" s="39" t="s">
        <v>611</v>
      </c>
      <c r="D361" s="37"/>
      <c r="E361" s="47">
        <v>200</v>
      </c>
      <c r="F361" s="37" t="b">
        <v>1</v>
      </c>
      <c r="G361" s="37">
        <v>0</v>
      </c>
      <c r="H361" s="47">
        <v>0</v>
      </c>
      <c r="I361" s="37">
        <v>0</v>
      </c>
      <c r="J361" s="37">
        <v>0</v>
      </c>
      <c r="K361" s="37">
        <v>0</v>
      </c>
      <c r="L361" s="41" t="b">
        <v>0</v>
      </c>
      <c r="M361" s="37">
        <v>0</v>
      </c>
      <c r="N361" s="37">
        <v>0</v>
      </c>
      <c r="O361" s="47">
        <v>0</v>
      </c>
      <c r="P361" s="37">
        <v>0</v>
      </c>
      <c r="Q361" s="37">
        <v>0</v>
      </c>
      <c r="R361" s="37"/>
      <c r="S361" s="37" t="s">
        <v>481</v>
      </c>
      <c r="T361" t="str">
        <f>IFERROR(HYPERLINK("#'Main'!B"&amp;MATCH(TRIM(A361),Main!B:B,0),"Open"),HYPERLINK("#'Main'!B1","Open"))</f>
        <v>Open</v>
      </c>
    </row>
    <row r="362" spans="1:21" ht="30" customHeight="1" x14ac:dyDescent="0.25">
      <c r="A362" s="45" t="s">
        <v>198</v>
      </c>
      <c r="B362" s="28" t="s">
        <v>479</v>
      </c>
      <c r="C362" s="32" t="s">
        <v>494</v>
      </c>
      <c r="D362" s="28" t="s">
        <v>495</v>
      </c>
      <c r="E362" s="47">
        <v>200</v>
      </c>
      <c r="F362" s="28" t="b">
        <v>1</v>
      </c>
      <c r="G362" s="28">
        <v>0</v>
      </c>
      <c r="H362" s="47">
        <v>0</v>
      </c>
      <c r="I362" s="28">
        <v>0</v>
      </c>
      <c r="J362" s="28">
        <v>0</v>
      </c>
      <c r="K362" s="28">
        <v>0</v>
      </c>
      <c r="L362" s="35" t="b">
        <v>0</v>
      </c>
      <c r="M362" s="28">
        <v>0</v>
      </c>
      <c r="N362" s="28">
        <v>0</v>
      </c>
      <c r="O362" s="47">
        <v>0</v>
      </c>
      <c r="P362" s="28">
        <v>0</v>
      </c>
      <c r="Q362" s="28">
        <v>0</v>
      </c>
      <c r="R362" s="28"/>
      <c r="S362" s="28" t="s">
        <v>481</v>
      </c>
      <c r="T362" s="36" t="str">
        <f>IFERROR(HYPERLINK("#'Main'!B"&amp;MATCH(TRIM(A362),Main!B:B,0),"Open"),HYPERLINK("#'Main'!B1","Open"))</f>
        <v>Open</v>
      </c>
      <c r="U362" s="36"/>
    </row>
    <row r="363" spans="1:21" ht="30" customHeight="1" x14ac:dyDescent="0.25">
      <c r="A363" s="46" t="s">
        <v>198</v>
      </c>
      <c r="B363" s="37" t="s">
        <v>479</v>
      </c>
      <c r="C363" s="39" t="s">
        <v>496</v>
      </c>
      <c r="D363" s="37"/>
      <c r="E363" s="37">
        <v>0</v>
      </c>
      <c r="F363" s="37" t="b">
        <v>1</v>
      </c>
      <c r="G363" s="37">
        <v>0</v>
      </c>
      <c r="H363" s="47">
        <v>0</v>
      </c>
      <c r="I363" s="37">
        <v>0</v>
      </c>
      <c r="J363" s="37">
        <v>0</v>
      </c>
      <c r="K363" s="37">
        <v>0</v>
      </c>
      <c r="L363" s="41" t="b">
        <v>0</v>
      </c>
      <c r="M363" s="37">
        <v>0</v>
      </c>
      <c r="N363" s="37">
        <v>0</v>
      </c>
      <c r="O363" s="47">
        <v>0</v>
      </c>
      <c r="P363" s="37">
        <v>0</v>
      </c>
      <c r="Q363" s="37">
        <v>0</v>
      </c>
      <c r="R363" s="37"/>
      <c r="S363" s="37" t="s">
        <v>481</v>
      </c>
      <c r="T363" t="str">
        <f>IFERROR(HYPERLINK("#'Main'!B"&amp;MATCH(TRIM(A363),Main!B:B,0),"Open"),HYPERLINK("#'Main'!B1","Open"))</f>
        <v>Open</v>
      </c>
    </row>
    <row r="364" spans="1:21" ht="30" customHeight="1" x14ac:dyDescent="0.25">
      <c r="A364" s="45" t="s">
        <v>198</v>
      </c>
      <c r="B364" s="28" t="s">
        <v>479</v>
      </c>
      <c r="C364" s="32" t="s">
        <v>497</v>
      </c>
      <c r="D364" s="28"/>
      <c r="E364" s="28">
        <v>0</v>
      </c>
      <c r="F364" s="28" t="b">
        <v>1</v>
      </c>
      <c r="G364" s="28">
        <v>0</v>
      </c>
      <c r="H364" s="47">
        <v>0</v>
      </c>
      <c r="I364" s="28">
        <v>0</v>
      </c>
      <c r="J364" s="28">
        <v>0</v>
      </c>
      <c r="K364" s="28">
        <v>0</v>
      </c>
      <c r="L364" s="35" t="b">
        <v>0</v>
      </c>
      <c r="M364" s="28">
        <v>0</v>
      </c>
      <c r="N364" s="28">
        <v>0</v>
      </c>
      <c r="O364" s="47">
        <v>0</v>
      </c>
      <c r="P364" s="28">
        <v>0</v>
      </c>
      <c r="Q364" s="28">
        <v>0</v>
      </c>
      <c r="R364" s="28"/>
      <c r="S364" s="28" t="s">
        <v>481</v>
      </c>
      <c r="T364" s="36" t="str">
        <f>IFERROR(HYPERLINK("#'Main'!B"&amp;MATCH(TRIM(A364),Main!B:B,0),"Open"),HYPERLINK("#'Main'!B1","Open"))</f>
        <v>Open</v>
      </c>
      <c r="U364" s="36"/>
    </row>
    <row r="365" spans="1:21" ht="30" customHeight="1" x14ac:dyDescent="0.25">
      <c r="A365" s="46" t="s">
        <v>198</v>
      </c>
      <c r="B365" s="37" t="s">
        <v>479</v>
      </c>
      <c r="C365" s="39" t="s">
        <v>499</v>
      </c>
      <c r="D365" s="37" t="s">
        <v>526</v>
      </c>
      <c r="E365" s="47">
        <v>200</v>
      </c>
      <c r="F365" s="37" t="b">
        <v>1</v>
      </c>
      <c r="G365" s="37">
        <v>0</v>
      </c>
      <c r="H365" s="47">
        <v>0</v>
      </c>
      <c r="I365" s="37">
        <v>0</v>
      </c>
      <c r="J365" s="37">
        <v>0</v>
      </c>
      <c r="K365" s="37">
        <v>0</v>
      </c>
      <c r="L365" s="41" t="b">
        <v>0</v>
      </c>
      <c r="M365" s="37">
        <v>0</v>
      </c>
      <c r="N365" s="37">
        <v>0</v>
      </c>
      <c r="O365" s="47">
        <v>0</v>
      </c>
      <c r="P365" s="37">
        <v>0</v>
      </c>
      <c r="Q365" s="37">
        <v>0</v>
      </c>
      <c r="R365" s="37"/>
      <c r="S365" s="37" t="s">
        <v>481</v>
      </c>
      <c r="T365" t="str">
        <f>IFERROR(HYPERLINK("#'Main'!B"&amp;MATCH(TRIM(A365),Main!B:B,0),"Open"),HYPERLINK("#'Main'!B1","Open"))</f>
        <v>Open</v>
      </c>
    </row>
    <row r="366" spans="1:21" ht="30" customHeight="1" x14ac:dyDescent="0.25">
      <c r="A366" s="45" t="s">
        <v>198</v>
      </c>
      <c r="B366" s="28" t="s">
        <v>479</v>
      </c>
      <c r="C366" s="32" t="s">
        <v>501</v>
      </c>
      <c r="D366" s="28" t="s">
        <v>502</v>
      </c>
      <c r="E366" s="29">
        <v>404</v>
      </c>
      <c r="F366" s="28" t="b">
        <v>0</v>
      </c>
      <c r="G366" s="28">
        <v>0</v>
      </c>
      <c r="H366" s="47">
        <v>0</v>
      </c>
      <c r="I366" s="28">
        <v>0</v>
      </c>
      <c r="J366" s="28">
        <v>0</v>
      </c>
      <c r="K366" s="28">
        <v>0</v>
      </c>
      <c r="L366" s="35" t="b">
        <v>0</v>
      </c>
      <c r="M366" s="28">
        <v>0</v>
      </c>
      <c r="N366" s="28">
        <v>0</v>
      </c>
      <c r="O366" s="47">
        <v>0</v>
      </c>
      <c r="P366" s="28">
        <v>0</v>
      </c>
      <c r="Q366" s="28">
        <v>0</v>
      </c>
      <c r="R366" s="28"/>
      <c r="S366" s="28" t="s">
        <v>481</v>
      </c>
      <c r="T366" s="36" t="str">
        <f>IFERROR(HYPERLINK("#'Main'!B"&amp;MATCH(TRIM(A366),Main!B:B,0),"Open"),HYPERLINK("#'Main'!B1","Open"))</f>
        <v>Open</v>
      </c>
      <c r="U366" s="36"/>
    </row>
    <row r="367" spans="1:21" ht="30" customHeight="1" x14ac:dyDescent="0.25">
      <c r="A367" s="46" t="s">
        <v>198</v>
      </c>
      <c r="B367" s="37" t="s">
        <v>479</v>
      </c>
      <c r="C367" s="39" t="s">
        <v>501</v>
      </c>
      <c r="D367" s="37" t="s">
        <v>503</v>
      </c>
      <c r="E367" s="29">
        <v>404</v>
      </c>
      <c r="F367" s="37" t="b">
        <v>0</v>
      </c>
      <c r="G367" s="37">
        <v>0</v>
      </c>
      <c r="H367" s="47">
        <v>0</v>
      </c>
      <c r="I367" s="37">
        <v>0</v>
      </c>
      <c r="J367" s="37">
        <v>0</v>
      </c>
      <c r="K367" s="37">
        <v>0</v>
      </c>
      <c r="L367" s="41" t="b">
        <v>0</v>
      </c>
      <c r="M367" s="37">
        <v>0</v>
      </c>
      <c r="N367" s="37">
        <v>0</v>
      </c>
      <c r="O367" s="47">
        <v>0</v>
      </c>
      <c r="P367" s="37">
        <v>0</v>
      </c>
      <c r="Q367" s="37">
        <v>0</v>
      </c>
      <c r="R367" s="37"/>
      <c r="S367" s="37" t="s">
        <v>481</v>
      </c>
      <c r="T367" t="str">
        <f>IFERROR(HYPERLINK("#'Main'!B"&amp;MATCH(TRIM(A367),Main!B:B,0),"Open"),HYPERLINK("#'Main'!B1","Open"))</f>
        <v>Open</v>
      </c>
    </row>
    <row r="368" spans="1:21" ht="30" customHeight="1" x14ac:dyDescent="0.25">
      <c r="A368" s="45" t="s">
        <v>200</v>
      </c>
      <c r="B368" s="28" t="s">
        <v>479</v>
      </c>
      <c r="C368" s="32" t="s">
        <v>482</v>
      </c>
      <c r="D368" s="28" t="s">
        <v>483</v>
      </c>
      <c r="E368" s="47">
        <v>200</v>
      </c>
      <c r="F368" s="28" t="b">
        <v>1</v>
      </c>
      <c r="G368" s="28">
        <v>0</v>
      </c>
      <c r="H368" s="47">
        <v>0</v>
      </c>
      <c r="I368" s="28">
        <v>0</v>
      </c>
      <c r="J368" s="28">
        <v>0</v>
      </c>
      <c r="K368" s="28">
        <v>0</v>
      </c>
      <c r="L368" s="35" t="b">
        <v>0</v>
      </c>
      <c r="M368" s="28">
        <v>0</v>
      </c>
      <c r="N368" s="28">
        <v>0</v>
      </c>
      <c r="O368" s="47">
        <v>0</v>
      </c>
      <c r="P368" s="28">
        <v>0</v>
      </c>
      <c r="Q368" s="28">
        <v>0</v>
      </c>
      <c r="R368" s="28"/>
      <c r="S368" s="28" t="s">
        <v>481</v>
      </c>
      <c r="T368" s="36" t="str">
        <f>IFERROR(HYPERLINK("#'Main'!B"&amp;MATCH(TRIM(A368),Main!B:B,0),"Open"),HYPERLINK("#'Main'!B1","Open"))</f>
        <v>Open</v>
      </c>
      <c r="U368" s="36"/>
    </row>
    <row r="369" spans="1:21" ht="30" customHeight="1" x14ac:dyDescent="0.25">
      <c r="A369" s="46" t="s">
        <v>200</v>
      </c>
      <c r="B369" s="37" t="s">
        <v>479</v>
      </c>
      <c r="C369" s="39" t="s">
        <v>484</v>
      </c>
      <c r="D369" s="37" t="s">
        <v>485</v>
      </c>
      <c r="E369" s="47">
        <v>200</v>
      </c>
      <c r="F369" s="37" t="b">
        <v>1</v>
      </c>
      <c r="G369" s="37">
        <v>0</v>
      </c>
      <c r="H369" s="47">
        <v>0</v>
      </c>
      <c r="I369" s="37">
        <v>0</v>
      </c>
      <c r="J369" s="37">
        <v>0</v>
      </c>
      <c r="K369" s="37">
        <v>0</v>
      </c>
      <c r="L369" s="41" t="b">
        <v>0</v>
      </c>
      <c r="M369" s="37">
        <v>0</v>
      </c>
      <c r="N369" s="37">
        <v>0</v>
      </c>
      <c r="O369" s="47">
        <v>0</v>
      </c>
      <c r="P369" s="37">
        <v>0</v>
      </c>
      <c r="Q369" s="37">
        <v>0</v>
      </c>
      <c r="R369" s="37"/>
      <c r="S369" s="37" t="s">
        <v>481</v>
      </c>
      <c r="T369" t="str">
        <f>IFERROR(HYPERLINK("#'Main'!B"&amp;MATCH(TRIM(A369),Main!B:B,0),"Open"),HYPERLINK("#'Main'!B1","Open"))</f>
        <v>Open</v>
      </c>
    </row>
    <row r="370" spans="1:21" ht="30" customHeight="1" x14ac:dyDescent="0.25">
      <c r="A370" s="45" t="s">
        <v>200</v>
      </c>
      <c r="B370" s="28" t="s">
        <v>479</v>
      </c>
      <c r="C370" s="32" t="s">
        <v>486</v>
      </c>
      <c r="D370" s="28" t="s">
        <v>487</v>
      </c>
      <c r="E370" s="47">
        <v>200</v>
      </c>
      <c r="F370" s="28" t="b">
        <v>1</v>
      </c>
      <c r="G370" s="28">
        <v>0</v>
      </c>
      <c r="H370" s="47">
        <v>0</v>
      </c>
      <c r="I370" s="28">
        <v>0</v>
      </c>
      <c r="J370" s="28">
        <v>0</v>
      </c>
      <c r="K370" s="28">
        <v>0</v>
      </c>
      <c r="L370" s="35" t="b">
        <v>0</v>
      </c>
      <c r="M370" s="28">
        <v>0</v>
      </c>
      <c r="N370" s="28">
        <v>0</v>
      </c>
      <c r="O370" s="47">
        <v>0</v>
      </c>
      <c r="P370" s="28">
        <v>0</v>
      </c>
      <c r="Q370" s="28">
        <v>0</v>
      </c>
      <c r="R370" s="28"/>
      <c r="S370" s="28" t="s">
        <v>481</v>
      </c>
      <c r="T370" s="36" t="str">
        <f>IFERROR(HYPERLINK("#'Main'!B"&amp;MATCH(TRIM(A370),Main!B:B,0),"Open"),HYPERLINK("#'Main'!B1","Open"))</f>
        <v>Open</v>
      </c>
      <c r="U370" s="36"/>
    </row>
    <row r="371" spans="1:21" ht="30" customHeight="1" x14ac:dyDescent="0.25">
      <c r="A371" s="46" t="s">
        <v>200</v>
      </c>
      <c r="B371" s="37" t="s">
        <v>479</v>
      </c>
      <c r="C371" s="39" t="s">
        <v>488</v>
      </c>
      <c r="D371" s="37" t="s">
        <v>489</v>
      </c>
      <c r="E371" s="47">
        <v>200</v>
      </c>
      <c r="F371" s="37" t="b">
        <v>1</v>
      </c>
      <c r="G371" s="37">
        <v>0</v>
      </c>
      <c r="H371" s="47">
        <v>0</v>
      </c>
      <c r="I371" s="37">
        <v>0</v>
      </c>
      <c r="J371" s="37">
        <v>0</v>
      </c>
      <c r="K371" s="37">
        <v>0</v>
      </c>
      <c r="L371" s="41" t="b">
        <v>0</v>
      </c>
      <c r="M371" s="37">
        <v>0</v>
      </c>
      <c r="N371" s="37">
        <v>0</v>
      </c>
      <c r="O371" s="47">
        <v>0</v>
      </c>
      <c r="P371" s="37">
        <v>0</v>
      </c>
      <c r="Q371" s="37">
        <v>0</v>
      </c>
      <c r="R371" s="37"/>
      <c r="S371" s="37" t="s">
        <v>481</v>
      </c>
      <c r="T371" t="str">
        <f>IFERROR(HYPERLINK("#'Main'!B"&amp;MATCH(TRIM(A371),Main!B:B,0),"Open"),HYPERLINK("#'Main'!B1","Open"))</f>
        <v>Open</v>
      </c>
    </row>
    <row r="372" spans="1:21" ht="30" customHeight="1" x14ac:dyDescent="0.25">
      <c r="A372" s="45" t="s">
        <v>200</v>
      </c>
      <c r="B372" s="28" t="s">
        <v>479</v>
      </c>
      <c r="C372" s="32" t="s">
        <v>490</v>
      </c>
      <c r="D372" s="28" t="s">
        <v>491</v>
      </c>
      <c r="E372" s="47">
        <v>200</v>
      </c>
      <c r="F372" s="28" t="b">
        <v>1</v>
      </c>
      <c r="G372" s="28">
        <v>0</v>
      </c>
      <c r="H372" s="47">
        <v>0</v>
      </c>
      <c r="I372" s="28">
        <v>0</v>
      </c>
      <c r="J372" s="28">
        <v>0</v>
      </c>
      <c r="K372" s="28">
        <v>0</v>
      </c>
      <c r="L372" s="35" t="b">
        <v>0</v>
      </c>
      <c r="M372" s="28">
        <v>0</v>
      </c>
      <c r="N372" s="28">
        <v>0</v>
      </c>
      <c r="O372" s="47">
        <v>0</v>
      </c>
      <c r="P372" s="28">
        <v>0</v>
      </c>
      <c r="Q372" s="28">
        <v>0</v>
      </c>
      <c r="R372" s="28"/>
      <c r="S372" s="28" t="s">
        <v>481</v>
      </c>
      <c r="T372" s="36" t="str">
        <f>IFERROR(HYPERLINK("#'Main'!B"&amp;MATCH(TRIM(A372),Main!B:B,0),"Open"),HYPERLINK("#'Main'!B1","Open"))</f>
        <v>Open</v>
      </c>
      <c r="U372" s="36"/>
    </row>
    <row r="373" spans="1:21" ht="30" customHeight="1" x14ac:dyDescent="0.25">
      <c r="A373" s="46" t="s">
        <v>200</v>
      </c>
      <c r="B373" s="37" t="s">
        <v>479</v>
      </c>
      <c r="C373" s="39" t="s">
        <v>492</v>
      </c>
      <c r="D373" s="37" t="s">
        <v>493</v>
      </c>
      <c r="E373" s="47">
        <v>200</v>
      </c>
      <c r="F373" s="37" t="b">
        <v>1</v>
      </c>
      <c r="G373" s="37">
        <v>0</v>
      </c>
      <c r="H373" s="47">
        <v>0</v>
      </c>
      <c r="I373" s="37">
        <v>0</v>
      </c>
      <c r="J373" s="37">
        <v>0</v>
      </c>
      <c r="K373" s="37">
        <v>0</v>
      </c>
      <c r="L373" s="41" t="b">
        <v>0</v>
      </c>
      <c r="M373" s="37">
        <v>0</v>
      </c>
      <c r="N373" s="37">
        <v>0</v>
      </c>
      <c r="O373" s="47">
        <v>0</v>
      </c>
      <c r="P373" s="37">
        <v>0</v>
      </c>
      <c r="Q373" s="37">
        <v>0</v>
      </c>
      <c r="R373" s="37"/>
      <c r="S373" s="37" t="s">
        <v>481</v>
      </c>
      <c r="T373" t="str">
        <f>IFERROR(HYPERLINK("#'Main'!B"&amp;MATCH(TRIM(A373),Main!B:B,0),"Open"),HYPERLINK("#'Main'!B1","Open"))</f>
        <v>Open</v>
      </c>
    </row>
    <row r="374" spans="1:21" ht="30" customHeight="1" x14ac:dyDescent="0.25">
      <c r="A374" s="45" t="s">
        <v>200</v>
      </c>
      <c r="B374" s="28" t="s">
        <v>479</v>
      </c>
      <c r="C374" s="32" t="s">
        <v>482</v>
      </c>
      <c r="D374" s="28" t="s">
        <v>483</v>
      </c>
      <c r="E374" s="47">
        <v>200</v>
      </c>
      <c r="F374" s="28" t="b">
        <v>1</v>
      </c>
      <c r="G374" s="28">
        <v>0</v>
      </c>
      <c r="H374" s="47">
        <v>0</v>
      </c>
      <c r="I374" s="28">
        <v>0</v>
      </c>
      <c r="J374" s="28">
        <v>0</v>
      </c>
      <c r="K374" s="28">
        <v>0</v>
      </c>
      <c r="L374" s="35" t="b">
        <v>0</v>
      </c>
      <c r="M374" s="28">
        <v>0</v>
      </c>
      <c r="N374" s="28">
        <v>0</v>
      </c>
      <c r="O374" s="47">
        <v>0</v>
      </c>
      <c r="P374" s="28">
        <v>0</v>
      </c>
      <c r="Q374" s="28">
        <v>0</v>
      </c>
      <c r="R374" s="28"/>
      <c r="S374" s="28" t="s">
        <v>481</v>
      </c>
      <c r="T374" s="36" t="str">
        <f>IFERROR(HYPERLINK("#'Main'!B"&amp;MATCH(TRIM(A374),Main!B:B,0),"Open"),HYPERLINK("#'Main'!B1","Open"))</f>
        <v>Open</v>
      </c>
      <c r="U374" s="36"/>
    </row>
    <row r="375" spans="1:21" ht="30" customHeight="1" x14ac:dyDescent="0.25">
      <c r="A375" s="46" t="s">
        <v>200</v>
      </c>
      <c r="B375" s="37" t="s">
        <v>479</v>
      </c>
      <c r="C375" s="39" t="s">
        <v>484</v>
      </c>
      <c r="D375" s="37" t="s">
        <v>485</v>
      </c>
      <c r="E375" s="47">
        <v>200</v>
      </c>
      <c r="F375" s="37" t="b">
        <v>1</v>
      </c>
      <c r="G375" s="37">
        <v>0</v>
      </c>
      <c r="H375" s="47">
        <v>0</v>
      </c>
      <c r="I375" s="37">
        <v>0</v>
      </c>
      <c r="J375" s="37">
        <v>0</v>
      </c>
      <c r="K375" s="37">
        <v>0</v>
      </c>
      <c r="L375" s="41" t="b">
        <v>0</v>
      </c>
      <c r="M375" s="37">
        <v>0</v>
      </c>
      <c r="N375" s="37">
        <v>0</v>
      </c>
      <c r="O375" s="47">
        <v>0</v>
      </c>
      <c r="P375" s="37">
        <v>0</v>
      </c>
      <c r="Q375" s="37">
        <v>0</v>
      </c>
      <c r="R375" s="37"/>
      <c r="S375" s="37" t="s">
        <v>481</v>
      </c>
      <c r="T375" t="str">
        <f>IFERROR(HYPERLINK("#'Main'!B"&amp;MATCH(TRIM(A375),Main!B:B,0),"Open"),HYPERLINK("#'Main'!B1","Open"))</f>
        <v>Open</v>
      </c>
    </row>
    <row r="376" spans="1:21" ht="30" customHeight="1" x14ac:dyDescent="0.25">
      <c r="A376" s="45" t="s">
        <v>200</v>
      </c>
      <c r="B376" s="28" t="s">
        <v>479</v>
      </c>
      <c r="C376" s="32" t="s">
        <v>486</v>
      </c>
      <c r="D376" s="28" t="s">
        <v>487</v>
      </c>
      <c r="E376" s="47">
        <v>200</v>
      </c>
      <c r="F376" s="28" t="b">
        <v>1</v>
      </c>
      <c r="G376" s="28">
        <v>0</v>
      </c>
      <c r="H376" s="47">
        <v>0</v>
      </c>
      <c r="I376" s="28">
        <v>0</v>
      </c>
      <c r="J376" s="28">
        <v>0</v>
      </c>
      <c r="K376" s="28">
        <v>0</v>
      </c>
      <c r="L376" s="35" t="b">
        <v>0</v>
      </c>
      <c r="M376" s="28">
        <v>0</v>
      </c>
      <c r="N376" s="28">
        <v>0</v>
      </c>
      <c r="O376" s="47">
        <v>0</v>
      </c>
      <c r="P376" s="28">
        <v>0</v>
      </c>
      <c r="Q376" s="28">
        <v>0</v>
      </c>
      <c r="R376" s="28"/>
      <c r="S376" s="28" t="s">
        <v>481</v>
      </c>
      <c r="T376" s="36" t="str">
        <f>IFERROR(HYPERLINK("#'Main'!B"&amp;MATCH(TRIM(A376),Main!B:B,0),"Open"),HYPERLINK("#'Main'!B1","Open"))</f>
        <v>Open</v>
      </c>
      <c r="U376" s="36"/>
    </row>
    <row r="377" spans="1:21" ht="30" customHeight="1" x14ac:dyDescent="0.25">
      <c r="A377" s="46" t="s">
        <v>200</v>
      </c>
      <c r="B377" s="37" t="s">
        <v>479</v>
      </c>
      <c r="C377" s="39" t="s">
        <v>488</v>
      </c>
      <c r="D377" s="37" t="s">
        <v>489</v>
      </c>
      <c r="E377" s="47">
        <v>200</v>
      </c>
      <c r="F377" s="37" t="b">
        <v>1</v>
      </c>
      <c r="G377" s="37">
        <v>0</v>
      </c>
      <c r="H377" s="47">
        <v>0</v>
      </c>
      <c r="I377" s="37">
        <v>0</v>
      </c>
      <c r="J377" s="37">
        <v>0</v>
      </c>
      <c r="K377" s="37">
        <v>0</v>
      </c>
      <c r="L377" s="41" t="b">
        <v>0</v>
      </c>
      <c r="M377" s="37">
        <v>0</v>
      </c>
      <c r="N377" s="37">
        <v>0</v>
      </c>
      <c r="O377" s="47">
        <v>0</v>
      </c>
      <c r="P377" s="37">
        <v>0</v>
      </c>
      <c r="Q377" s="37">
        <v>0</v>
      </c>
      <c r="R377" s="37"/>
      <c r="S377" s="37" t="s">
        <v>481</v>
      </c>
      <c r="T377" t="str">
        <f>IFERROR(HYPERLINK("#'Main'!B"&amp;MATCH(TRIM(A377),Main!B:B,0),"Open"),HYPERLINK("#'Main'!B1","Open"))</f>
        <v>Open</v>
      </c>
    </row>
    <row r="378" spans="1:21" ht="30" customHeight="1" x14ac:dyDescent="0.25">
      <c r="A378" s="45" t="s">
        <v>200</v>
      </c>
      <c r="B378" s="28" t="s">
        <v>479</v>
      </c>
      <c r="C378" s="32" t="s">
        <v>490</v>
      </c>
      <c r="D378" s="28" t="s">
        <v>491</v>
      </c>
      <c r="E378" s="47">
        <v>200</v>
      </c>
      <c r="F378" s="28" t="b">
        <v>1</v>
      </c>
      <c r="G378" s="28">
        <v>0</v>
      </c>
      <c r="H378" s="47">
        <v>0</v>
      </c>
      <c r="I378" s="28">
        <v>0</v>
      </c>
      <c r="J378" s="28">
        <v>0</v>
      </c>
      <c r="K378" s="28">
        <v>0</v>
      </c>
      <c r="L378" s="35" t="b">
        <v>0</v>
      </c>
      <c r="M378" s="28">
        <v>0</v>
      </c>
      <c r="N378" s="28">
        <v>0</v>
      </c>
      <c r="O378" s="47">
        <v>0</v>
      </c>
      <c r="P378" s="28">
        <v>0</v>
      </c>
      <c r="Q378" s="28">
        <v>0</v>
      </c>
      <c r="R378" s="28"/>
      <c r="S378" s="28" t="s">
        <v>481</v>
      </c>
      <c r="T378" s="36" t="str">
        <f>IFERROR(HYPERLINK("#'Main'!B"&amp;MATCH(TRIM(A378),Main!B:B,0),"Open"),HYPERLINK("#'Main'!B1","Open"))</f>
        <v>Open</v>
      </c>
      <c r="U378" s="36"/>
    </row>
    <row r="379" spans="1:21" ht="30" customHeight="1" x14ac:dyDescent="0.25">
      <c r="A379" s="46" t="s">
        <v>200</v>
      </c>
      <c r="B379" s="37" t="s">
        <v>479</v>
      </c>
      <c r="C379" s="39" t="s">
        <v>492</v>
      </c>
      <c r="D379" s="37" t="s">
        <v>493</v>
      </c>
      <c r="E379" s="47">
        <v>200</v>
      </c>
      <c r="F379" s="37" t="b">
        <v>1</v>
      </c>
      <c r="G379" s="37">
        <v>0</v>
      </c>
      <c r="H379" s="47">
        <v>0</v>
      </c>
      <c r="I379" s="37">
        <v>0</v>
      </c>
      <c r="J379" s="37">
        <v>0</v>
      </c>
      <c r="K379" s="37">
        <v>0</v>
      </c>
      <c r="L379" s="41" t="b">
        <v>0</v>
      </c>
      <c r="M379" s="37">
        <v>0</v>
      </c>
      <c r="N379" s="37">
        <v>0</v>
      </c>
      <c r="O379" s="47">
        <v>0</v>
      </c>
      <c r="P379" s="37">
        <v>0</v>
      </c>
      <c r="Q379" s="37">
        <v>0</v>
      </c>
      <c r="R379" s="37"/>
      <c r="S379" s="37" t="s">
        <v>481</v>
      </c>
      <c r="T379" t="str">
        <f>IFERROR(HYPERLINK("#'Main'!B"&amp;MATCH(TRIM(A379),Main!B:B,0),"Open"),HYPERLINK("#'Main'!B1","Open"))</f>
        <v>Open</v>
      </c>
    </row>
    <row r="380" spans="1:21" ht="30" customHeight="1" x14ac:dyDescent="0.25">
      <c r="A380" s="45" t="s">
        <v>200</v>
      </c>
      <c r="B380" s="28" t="s">
        <v>479</v>
      </c>
      <c r="C380" s="32" t="s">
        <v>612</v>
      </c>
      <c r="D380" s="28" t="s">
        <v>613</v>
      </c>
      <c r="E380" s="47">
        <v>200</v>
      </c>
      <c r="F380" s="28" t="b">
        <v>1</v>
      </c>
      <c r="G380" s="28">
        <v>0</v>
      </c>
      <c r="H380" s="47">
        <v>0</v>
      </c>
      <c r="I380" s="28">
        <v>0</v>
      </c>
      <c r="J380" s="28">
        <v>0</v>
      </c>
      <c r="K380" s="28">
        <v>0</v>
      </c>
      <c r="L380" s="35" t="b">
        <v>0</v>
      </c>
      <c r="M380" s="28">
        <v>0</v>
      </c>
      <c r="N380" s="28">
        <v>0</v>
      </c>
      <c r="O380" s="47">
        <v>0</v>
      </c>
      <c r="P380" s="28">
        <v>0</v>
      </c>
      <c r="Q380" s="28">
        <v>0</v>
      </c>
      <c r="R380" s="28"/>
      <c r="S380" s="28" t="s">
        <v>481</v>
      </c>
      <c r="T380" s="36" t="str">
        <f>IFERROR(HYPERLINK("#'Main'!B"&amp;MATCH(TRIM(A380),Main!B:B,0),"Open"),HYPERLINK("#'Main'!B1","Open"))</f>
        <v>Open</v>
      </c>
      <c r="U380" s="36"/>
    </row>
    <row r="381" spans="1:21" ht="30" customHeight="1" x14ac:dyDescent="0.25">
      <c r="A381" s="46" t="s">
        <v>200</v>
      </c>
      <c r="B381" s="37" t="s">
        <v>479</v>
      </c>
      <c r="C381" s="39" t="s">
        <v>614</v>
      </c>
      <c r="D381" s="37"/>
      <c r="E381" s="47">
        <v>200</v>
      </c>
      <c r="F381" s="37" t="b">
        <v>1</v>
      </c>
      <c r="G381" s="37">
        <v>0</v>
      </c>
      <c r="H381" s="47">
        <v>0</v>
      </c>
      <c r="I381" s="37">
        <v>0</v>
      </c>
      <c r="J381" s="37">
        <v>0</v>
      </c>
      <c r="K381" s="37">
        <v>0</v>
      </c>
      <c r="L381" s="41" t="b">
        <v>0</v>
      </c>
      <c r="M381" s="37">
        <v>0</v>
      </c>
      <c r="N381" s="37">
        <v>0</v>
      </c>
      <c r="O381" s="47">
        <v>0</v>
      </c>
      <c r="P381" s="37">
        <v>0</v>
      </c>
      <c r="Q381" s="37">
        <v>0</v>
      </c>
      <c r="R381" s="37"/>
      <c r="S381" s="37" t="s">
        <v>481</v>
      </c>
      <c r="T381" t="str">
        <f>IFERROR(HYPERLINK("#'Main'!B"&amp;MATCH(TRIM(A381),Main!B:B,0),"Open"),HYPERLINK("#'Main'!B1","Open"))</f>
        <v>Open</v>
      </c>
    </row>
    <row r="382" spans="1:21" ht="30" customHeight="1" x14ac:dyDescent="0.25">
      <c r="A382" s="45" t="s">
        <v>200</v>
      </c>
      <c r="B382" s="28" t="s">
        <v>479</v>
      </c>
      <c r="C382" s="32" t="s">
        <v>615</v>
      </c>
      <c r="D382" s="28"/>
      <c r="E382" s="47">
        <v>200</v>
      </c>
      <c r="F382" s="28" t="b">
        <v>1</v>
      </c>
      <c r="G382" s="28">
        <v>0</v>
      </c>
      <c r="H382" s="47">
        <v>0</v>
      </c>
      <c r="I382" s="28">
        <v>0</v>
      </c>
      <c r="J382" s="28">
        <v>0</v>
      </c>
      <c r="K382" s="28">
        <v>0</v>
      </c>
      <c r="L382" s="35" t="b">
        <v>0</v>
      </c>
      <c r="M382" s="28">
        <v>0</v>
      </c>
      <c r="N382" s="28">
        <v>0</v>
      </c>
      <c r="O382" s="47">
        <v>0</v>
      </c>
      <c r="P382" s="28">
        <v>0</v>
      </c>
      <c r="Q382" s="28">
        <v>0</v>
      </c>
      <c r="R382" s="28"/>
      <c r="S382" s="28" t="s">
        <v>481</v>
      </c>
      <c r="T382" s="36" t="str">
        <f>IFERROR(HYPERLINK("#'Main'!B"&amp;MATCH(TRIM(A382),Main!B:B,0),"Open"),HYPERLINK("#'Main'!B1","Open"))</f>
        <v>Open</v>
      </c>
      <c r="U382" s="36"/>
    </row>
    <row r="383" spans="1:21" ht="30" customHeight="1" x14ac:dyDescent="0.25">
      <c r="A383" s="46" t="s">
        <v>200</v>
      </c>
      <c r="B383" s="37" t="s">
        <v>479</v>
      </c>
      <c r="C383" s="39" t="s">
        <v>616</v>
      </c>
      <c r="D383" s="37"/>
      <c r="E383" s="47">
        <v>200</v>
      </c>
      <c r="F383" s="37" t="b">
        <v>1</v>
      </c>
      <c r="G383" s="37">
        <v>0</v>
      </c>
      <c r="H383" s="47">
        <v>0</v>
      </c>
      <c r="I383" s="37">
        <v>0</v>
      </c>
      <c r="J383" s="37">
        <v>0</v>
      </c>
      <c r="K383" s="37">
        <v>0</v>
      </c>
      <c r="L383" s="41" t="b">
        <v>0</v>
      </c>
      <c r="M383" s="37">
        <v>0</v>
      </c>
      <c r="N383" s="37">
        <v>0</v>
      </c>
      <c r="O383" s="47">
        <v>0</v>
      </c>
      <c r="P383" s="37">
        <v>0</v>
      </c>
      <c r="Q383" s="37">
        <v>0</v>
      </c>
      <c r="R383" s="37"/>
      <c r="S383" s="37" t="s">
        <v>481</v>
      </c>
      <c r="T383" t="str">
        <f>IFERROR(HYPERLINK("#'Main'!B"&amp;MATCH(TRIM(A383),Main!B:B,0),"Open"),HYPERLINK("#'Main'!B1","Open"))</f>
        <v>Open</v>
      </c>
    </row>
    <row r="384" spans="1:21" ht="30" customHeight="1" x14ac:dyDescent="0.25">
      <c r="A384" s="45" t="s">
        <v>200</v>
      </c>
      <c r="B384" s="28" t="s">
        <v>479</v>
      </c>
      <c r="C384" s="32" t="s">
        <v>617</v>
      </c>
      <c r="D384" s="28"/>
      <c r="E384" s="47">
        <v>200</v>
      </c>
      <c r="F384" s="28" t="b">
        <v>1</v>
      </c>
      <c r="G384" s="28">
        <v>0</v>
      </c>
      <c r="H384" s="47">
        <v>0</v>
      </c>
      <c r="I384" s="28">
        <v>0</v>
      </c>
      <c r="J384" s="28">
        <v>0</v>
      </c>
      <c r="K384" s="28">
        <v>0</v>
      </c>
      <c r="L384" s="35" t="b">
        <v>0</v>
      </c>
      <c r="M384" s="28">
        <v>0</v>
      </c>
      <c r="N384" s="28">
        <v>0</v>
      </c>
      <c r="O384" s="47">
        <v>0</v>
      </c>
      <c r="P384" s="28">
        <v>0</v>
      </c>
      <c r="Q384" s="28">
        <v>0</v>
      </c>
      <c r="R384" s="28"/>
      <c r="S384" s="28" t="s">
        <v>481</v>
      </c>
      <c r="T384" s="36" t="str">
        <f>IFERROR(HYPERLINK("#'Main'!B"&amp;MATCH(TRIM(A384),Main!B:B,0),"Open"),HYPERLINK("#'Main'!B1","Open"))</f>
        <v>Open</v>
      </c>
      <c r="U384" s="36"/>
    </row>
    <row r="385" spans="1:21" ht="30" customHeight="1" x14ac:dyDescent="0.25">
      <c r="A385" s="46" t="s">
        <v>200</v>
      </c>
      <c r="B385" s="37" t="s">
        <v>479</v>
      </c>
      <c r="C385" s="39" t="s">
        <v>618</v>
      </c>
      <c r="D385" s="37"/>
      <c r="E385" s="47">
        <v>200</v>
      </c>
      <c r="F385" s="37" t="b">
        <v>1</v>
      </c>
      <c r="G385" s="37">
        <v>0</v>
      </c>
      <c r="H385" s="47">
        <v>0</v>
      </c>
      <c r="I385" s="37">
        <v>0</v>
      </c>
      <c r="J385" s="37">
        <v>0</v>
      </c>
      <c r="K385" s="37">
        <v>0</v>
      </c>
      <c r="L385" s="41" t="b">
        <v>0</v>
      </c>
      <c r="M385" s="37">
        <v>0</v>
      </c>
      <c r="N385" s="37">
        <v>0</v>
      </c>
      <c r="O385" s="47">
        <v>0</v>
      </c>
      <c r="P385" s="37">
        <v>0</v>
      </c>
      <c r="Q385" s="37">
        <v>0</v>
      </c>
      <c r="R385" s="37"/>
      <c r="S385" s="37" t="s">
        <v>481</v>
      </c>
      <c r="T385" t="str">
        <f>IFERROR(HYPERLINK("#'Main'!B"&amp;MATCH(TRIM(A385),Main!B:B,0),"Open"),HYPERLINK("#'Main'!B1","Open"))</f>
        <v>Open</v>
      </c>
    </row>
    <row r="386" spans="1:21" ht="30" customHeight="1" x14ac:dyDescent="0.25">
      <c r="A386" s="45" t="s">
        <v>200</v>
      </c>
      <c r="B386" s="28" t="s">
        <v>479</v>
      </c>
      <c r="C386" s="32" t="s">
        <v>619</v>
      </c>
      <c r="D386" s="28"/>
      <c r="E386" s="47">
        <v>200</v>
      </c>
      <c r="F386" s="28" t="b">
        <v>1</v>
      </c>
      <c r="G386" s="28">
        <v>0</v>
      </c>
      <c r="H386" s="47">
        <v>0</v>
      </c>
      <c r="I386" s="28">
        <v>0</v>
      </c>
      <c r="J386" s="28">
        <v>0</v>
      </c>
      <c r="K386" s="28">
        <v>0</v>
      </c>
      <c r="L386" s="35" t="b">
        <v>0</v>
      </c>
      <c r="M386" s="28">
        <v>0</v>
      </c>
      <c r="N386" s="28">
        <v>0</v>
      </c>
      <c r="O386" s="47">
        <v>0</v>
      </c>
      <c r="P386" s="28">
        <v>0</v>
      </c>
      <c r="Q386" s="28">
        <v>0</v>
      </c>
      <c r="R386" s="28"/>
      <c r="S386" s="28" t="s">
        <v>481</v>
      </c>
      <c r="T386" s="36" t="str">
        <f>IFERROR(HYPERLINK("#'Main'!B"&amp;MATCH(TRIM(A386),Main!B:B,0),"Open"),HYPERLINK("#'Main'!B1","Open"))</f>
        <v>Open</v>
      </c>
      <c r="U386" s="36"/>
    </row>
    <row r="387" spans="1:21" ht="30" customHeight="1" x14ac:dyDescent="0.25">
      <c r="A387" s="46" t="s">
        <v>200</v>
      </c>
      <c r="B387" s="37" t="s">
        <v>479</v>
      </c>
      <c r="C387" s="39" t="s">
        <v>620</v>
      </c>
      <c r="D387" s="37"/>
      <c r="E387" s="47">
        <v>200</v>
      </c>
      <c r="F387" s="37" t="b">
        <v>1</v>
      </c>
      <c r="G387" s="37">
        <v>0</v>
      </c>
      <c r="H387" s="47">
        <v>0</v>
      </c>
      <c r="I387" s="37">
        <v>0</v>
      </c>
      <c r="J387" s="37">
        <v>0</v>
      </c>
      <c r="K387" s="37">
        <v>0</v>
      </c>
      <c r="L387" s="41" t="b">
        <v>0</v>
      </c>
      <c r="M387" s="37">
        <v>0</v>
      </c>
      <c r="N387" s="37">
        <v>0</v>
      </c>
      <c r="O387" s="47">
        <v>0</v>
      </c>
      <c r="P387" s="37">
        <v>0</v>
      </c>
      <c r="Q387" s="37">
        <v>0</v>
      </c>
      <c r="R387" s="37"/>
      <c r="S387" s="37" t="s">
        <v>481</v>
      </c>
      <c r="T387" t="str">
        <f>IFERROR(HYPERLINK("#'Main'!B"&amp;MATCH(TRIM(A387),Main!B:B,0),"Open"),HYPERLINK("#'Main'!B1","Open"))</f>
        <v>Open</v>
      </c>
    </row>
    <row r="388" spans="1:21" ht="30" customHeight="1" x14ac:dyDescent="0.25">
      <c r="A388" s="45" t="s">
        <v>200</v>
      </c>
      <c r="B388" s="28" t="s">
        <v>479</v>
      </c>
      <c r="C388" s="32" t="s">
        <v>621</v>
      </c>
      <c r="D388" s="28"/>
      <c r="E388" s="47">
        <v>200</v>
      </c>
      <c r="F388" s="28" t="b">
        <v>1</v>
      </c>
      <c r="G388" s="28">
        <v>0</v>
      </c>
      <c r="H388" s="47">
        <v>0</v>
      </c>
      <c r="I388" s="28">
        <v>0</v>
      </c>
      <c r="J388" s="28">
        <v>0</v>
      </c>
      <c r="K388" s="28">
        <v>0</v>
      </c>
      <c r="L388" s="35" t="b">
        <v>0</v>
      </c>
      <c r="M388" s="28">
        <v>0</v>
      </c>
      <c r="N388" s="28">
        <v>0</v>
      </c>
      <c r="O388" s="47">
        <v>0</v>
      </c>
      <c r="P388" s="28">
        <v>0</v>
      </c>
      <c r="Q388" s="28">
        <v>0</v>
      </c>
      <c r="R388" s="28"/>
      <c r="S388" s="28" t="s">
        <v>481</v>
      </c>
      <c r="T388" s="36" t="str">
        <f>IFERROR(HYPERLINK("#'Main'!B"&amp;MATCH(TRIM(A388),Main!B:B,0),"Open"),HYPERLINK("#'Main'!B1","Open"))</f>
        <v>Open</v>
      </c>
      <c r="U388" s="36"/>
    </row>
    <row r="389" spans="1:21" ht="30" customHeight="1" x14ac:dyDescent="0.25">
      <c r="A389" s="46" t="s">
        <v>200</v>
      </c>
      <c r="B389" s="37" t="s">
        <v>479</v>
      </c>
      <c r="C389" s="39" t="s">
        <v>622</v>
      </c>
      <c r="D389" s="37"/>
      <c r="E389" s="47">
        <v>200</v>
      </c>
      <c r="F389" s="37" t="b">
        <v>1</v>
      </c>
      <c r="G389" s="37">
        <v>0</v>
      </c>
      <c r="H389" s="47">
        <v>0</v>
      </c>
      <c r="I389" s="37">
        <v>0</v>
      </c>
      <c r="J389" s="37">
        <v>0</v>
      </c>
      <c r="K389" s="37">
        <v>0</v>
      </c>
      <c r="L389" s="41" t="b">
        <v>0</v>
      </c>
      <c r="M389" s="37">
        <v>0</v>
      </c>
      <c r="N389" s="37">
        <v>0</v>
      </c>
      <c r="O389" s="47">
        <v>0</v>
      </c>
      <c r="P389" s="37">
        <v>0</v>
      </c>
      <c r="Q389" s="37">
        <v>0</v>
      </c>
      <c r="R389" s="37"/>
      <c r="S389" s="37" t="s">
        <v>481</v>
      </c>
      <c r="T389" t="str">
        <f>IFERROR(HYPERLINK("#'Main'!B"&amp;MATCH(TRIM(A389),Main!B:B,0),"Open"),HYPERLINK("#'Main'!B1","Open"))</f>
        <v>Open</v>
      </c>
    </row>
    <row r="390" spans="1:21" ht="30" customHeight="1" x14ac:dyDescent="0.25">
      <c r="A390" s="45" t="s">
        <v>200</v>
      </c>
      <c r="B390" s="28" t="s">
        <v>479</v>
      </c>
      <c r="C390" s="32" t="s">
        <v>623</v>
      </c>
      <c r="D390" s="28"/>
      <c r="E390" s="47">
        <v>200</v>
      </c>
      <c r="F390" s="28" t="b">
        <v>1</v>
      </c>
      <c r="G390" s="28">
        <v>0</v>
      </c>
      <c r="H390" s="47">
        <v>0</v>
      </c>
      <c r="I390" s="28">
        <v>0</v>
      </c>
      <c r="J390" s="28">
        <v>0</v>
      </c>
      <c r="K390" s="28">
        <v>0</v>
      </c>
      <c r="L390" s="35" t="b">
        <v>0</v>
      </c>
      <c r="M390" s="28">
        <v>0</v>
      </c>
      <c r="N390" s="28">
        <v>0</v>
      </c>
      <c r="O390" s="47">
        <v>0</v>
      </c>
      <c r="P390" s="28">
        <v>0</v>
      </c>
      <c r="Q390" s="28">
        <v>0</v>
      </c>
      <c r="R390" s="28"/>
      <c r="S390" s="28" t="s">
        <v>481</v>
      </c>
      <c r="T390" s="36" t="str">
        <f>IFERROR(HYPERLINK("#'Main'!B"&amp;MATCH(TRIM(A390),Main!B:B,0),"Open"),HYPERLINK("#'Main'!B1","Open"))</f>
        <v>Open</v>
      </c>
      <c r="U390" s="36"/>
    </row>
    <row r="391" spans="1:21" ht="30" customHeight="1" x14ac:dyDescent="0.25">
      <c r="A391" s="46" t="s">
        <v>200</v>
      </c>
      <c r="B391" s="37" t="s">
        <v>479</v>
      </c>
      <c r="C391" s="39" t="s">
        <v>624</v>
      </c>
      <c r="D391" s="37"/>
      <c r="E391" s="47">
        <v>200</v>
      </c>
      <c r="F391" s="37" t="b">
        <v>1</v>
      </c>
      <c r="G391" s="37">
        <v>0</v>
      </c>
      <c r="H391" s="47">
        <v>0</v>
      </c>
      <c r="I391" s="37">
        <v>0</v>
      </c>
      <c r="J391" s="37">
        <v>0</v>
      </c>
      <c r="K391" s="37">
        <v>0</v>
      </c>
      <c r="L391" s="41" t="b">
        <v>0</v>
      </c>
      <c r="M391" s="37">
        <v>0</v>
      </c>
      <c r="N391" s="37">
        <v>0</v>
      </c>
      <c r="O391" s="47">
        <v>0</v>
      </c>
      <c r="P391" s="37">
        <v>0</v>
      </c>
      <c r="Q391" s="37">
        <v>0</v>
      </c>
      <c r="R391" s="37"/>
      <c r="S391" s="37" t="s">
        <v>481</v>
      </c>
      <c r="T391" t="str">
        <f>IFERROR(HYPERLINK("#'Main'!B"&amp;MATCH(TRIM(A391),Main!B:B,0),"Open"),HYPERLINK("#'Main'!B1","Open"))</f>
        <v>Open</v>
      </c>
    </row>
    <row r="392" spans="1:21" ht="30" customHeight="1" x14ac:dyDescent="0.25">
      <c r="A392" s="45" t="s">
        <v>200</v>
      </c>
      <c r="B392" s="28" t="s">
        <v>479</v>
      </c>
      <c r="C392" s="32" t="s">
        <v>625</v>
      </c>
      <c r="D392" s="28"/>
      <c r="E392" s="47">
        <v>200</v>
      </c>
      <c r="F392" s="28" t="b">
        <v>1</v>
      </c>
      <c r="G392" s="28">
        <v>0</v>
      </c>
      <c r="H392" s="47">
        <v>0</v>
      </c>
      <c r="I392" s="28">
        <v>0</v>
      </c>
      <c r="J392" s="28">
        <v>0</v>
      </c>
      <c r="K392" s="28">
        <v>0</v>
      </c>
      <c r="L392" s="35" t="b">
        <v>0</v>
      </c>
      <c r="M392" s="28">
        <v>0</v>
      </c>
      <c r="N392" s="28">
        <v>0</v>
      </c>
      <c r="O392" s="47">
        <v>0</v>
      </c>
      <c r="P392" s="28">
        <v>0</v>
      </c>
      <c r="Q392" s="28">
        <v>0</v>
      </c>
      <c r="R392" s="28"/>
      <c r="S392" s="28" t="s">
        <v>481</v>
      </c>
      <c r="T392" s="36" t="str">
        <f>IFERROR(HYPERLINK("#'Main'!B"&amp;MATCH(TRIM(A392),Main!B:B,0),"Open"),HYPERLINK("#'Main'!B1","Open"))</f>
        <v>Open</v>
      </c>
      <c r="U392" s="36"/>
    </row>
    <row r="393" spans="1:21" ht="30" customHeight="1" x14ac:dyDescent="0.25">
      <c r="A393" s="46" t="s">
        <v>200</v>
      </c>
      <c r="B393" s="37" t="s">
        <v>479</v>
      </c>
      <c r="C393" s="39" t="s">
        <v>626</v>
      </c>
      <c r="D393" s="37"/>
      <c r="E393" s="47">
        <v>200</v>
      </c>
      <c r="F393" s="37" t="b">
        <v>1</v>
      </c>
      <c r="G393" s="37">
        <v>0</v>
      </c>
      <c r="H393" s="47">
        <v>0</v>
      </c>
      <c r="I393" s="37">
        <v>0</v>
      </c>
      <c r="J393" s="37">
        <v>0</v>
      </c>
      <c r="K393" s="37">
        <v>0</v>
      </c>
      <c r="L393" s="41" t="b">
        <v>0</v>
      </c>
      <c r="M393" s="37">
        <v>0</v>
      </c>
      <c r="N393" s="37">
        <v>0</v>
      </c>
      <c r="O393" s="47">
        <v>0</v>
      </c>
      <c r="P393" s="37">
        <v>0</v>
      </c>
      <c r="Q393" s="37">
        <v>0</v>
      </c>
      <c r="R393" s="37"/>
      <c r="S393" s="37" t="s">
        <v>481</v>
      </c>
      <c r="T393" t="str">
        <f>IFERROR(HYPERLINK("#'Main'!B"&amp;MATCH(TRIM(A393),Main!B:B,0),"Open"),HYPERLINK("#'Main'!B1","Open"))</f>
        <v>Open</v>
      </c>
    </row>
    <row r="394" spans="1:21" ht="30" customHeight="1" x14ac:dyDescent="0.25">
      <c r="A394" s="45" t="s">
        <v>200</v>
      </c>
      <c r="B394" s="28" t="s">
        <v>479</v>
      </c>
      <c r="C394" s="32" t="s">
        <v>627</v>
      </c>
      <c r="D394" s="28"/>
      <c r="E394" s="47">
        <v>200</v>
      </c>
      <c r="F394" s="28" t="b">
        <v>1</v>
      </c>
      <c r="G394" s="28">
        <v>0</v>
      </c>
      <c r="H394" s="47">
        <v>0</v>
      </c>
      <c r="I394" s="28">
        <v>0</v>
      </c>
      <c r="J394" s="28">
        <v>0</v>
      </c>
      <c r="K394" s="28">
        <v>0</v>
      </c>
      <c r="L394" s="35" t="b">
        <v>0</v>
      </c>
      <c r="M394" s="28">
        <v>0</v>
      </c>
      <c r="N394" s="28">
        <v>0</v>
      </c>
      <c r="O394" s="47">
        <v>0</v>
      </c>
      <c r="P394" s="28">
        <v>0</v>
      </c>
      <c r="Q394" s="28">
        <v>0</v>
      </c>
      <c r="R394" s="28"/>
      <c r="S394" s="28" t="s">
        <v>481</v>
      </c>
      <c r="T394" s="36" t="str">
        <f>IFERROR(HYPERLINK("#'Main'!B"&amp;MATCH(TRIM(A394),Main!B:B,0),"Open"),HYPERLINK("#'Main'!B1","Open"))</f>
        <v>Open</v>
      </c>
      <c r="U394" s="36"/>
    </row>
    <row r="395" spans="1:21" ht="30" customHeight="1" x14ac:dyDescent="0.25">
      <c r="A395" s="46" t="s">
        <v>200</v>
      </c>
      <c r="B395" s="37" t="s">
        <v>479</v>
      </c>
      <c r="C395" s="39" t="s">
        <v>628</v>
      </c>
      <c r="D395" s="37"/>
      <c r="E395" s="47">
        <v>200</v>
      </c>
      <c r="F395" s="37" t="b">
        <v>1</v>
      </c>
      <c r="G395" s="37">
        <v>0</v>
      </c>
      <c r="H395" s="47">
        <v>0</v>
      </c>
      <c r="I395" s="37">
        <v>0</v>
      </c>
      <c r="J395" s="37">
        <v>0</v>
      </c>
      <c r="K395" s="37">
        <v>0</v>
      </c>
      <c r="L395" s="41" t="b">
        <v>0</v>
      </c>
      <c r="M395" s="37">
        <v>0</v>
      </c>
      <c r="N395" s="37">
        <v>0</v>
      </c>
      <c r="O395" s="47">
        <v>0</v>
      </c>
      <c r="P395" s="37">
        <v>0</v>
      </c>
      <c r="Q395" s="37">
        <v>0</v>
      </c>
      <c r="R395" s="37"/>
      <c r="S395" s="37" t="s">
        <v>481</v>
      </c>
      <c r="T395" t="str">
        <f>IFERROR(HYPERLINK("#'Main'!B"&amp;MATCH(TRIM(A395),Main!B:B,0),"Open"),HYPERLINK("#'Main'!B1","Open"))</f>
        <v>Open</v>
      </c>
    </row>
    <row r="396" spans="1:21" ht="30" customHeight="1" x14ac:dyDescent="0.25">
      <c r="A396" s="45" t="s">
        <v>200</v>
      </c>
      <c r="B396" s="28" t="s">
        <v>479</v>
      </c>
      <c r="C396" s="32" t="s">
        <v>629</v>
      </c>
      <c r="D396" s="28"/>
      <c r="E396" s="47">
        <v>200</v>
      </c>
      <c r="F396" s="28" t="b">
        <v>1</v>
      </c>
      <c r="G396" s="28">
        <v>0</v>
      </c>
      <c r="H396" s="47">
        <v>0</v>
      </c>
      <c r="I396" s="28">
        <v>0</v>
      </c>
      <c r="J396" s="28">
        <v>0</v>
      </c>
      <c r="K396" s="28">
        <v>0</v>
      </c>
      <c r="L396" s="35" t="b">
        <v>0</v>
      </c>
      <c r="M396" s="28">
        <v>0</v>
      </c>
      <c r="N396" s="28">
        <v>0</v>
      </c>
      <c r="O396" s="47">
        <v>0</v>
      </c>
      <c r="P396" s="28">
        <v>0</v>
      </c>
      <c r="Q396" s="28">
        <v>0</v>
      </c>
      <c r="R396" s="28"/>
      <c r="S396" s="28" t="s">
        <v>481</v>
      </c>
      <c r="T396" s="36" t="str">
        <f>IFERROR(HYPERLINK("#'Main'!B"&amp;MATCH(TRIM(A396),Main!B:B,0),"Open"),HYPERLINK("#'Main'!B1","Open"))</f>
        <v>Open</v>
      </c>
      <c r="U396" s="36"/>
    </row>
    <row r="397" spans="1:21" ht="30" customHeight="1" x14ac:dyDescent="0.25">
      <c r="A397" s="46" t="s">
        <v>200</v>
      </c>
      <c r="B397" s="37" t="s">
        <v>479</v>
      </c>
      <c r="C397" s="39" t="s">
        <v>630</v>
      </c>
      <c r="D397" s="37"/>
      <c r="E397" s="47">
        <v>200</v>
      </c>
      <c r="F397" s="37" t="b">
        <v>1</v>
      </c>
      <c r="G397" s="37">
        <v>0</v>
      </c>
      <c r="H397" s="47">
        <v>0</v>
      </c>
      <c r="I397" s="37">
        <v>0</v>
      </c>
      <c r="J397" s="37">
        <v>0</v>
      </c>
      <c r="K397" s="37">
        <v>0</v>
      </c>
      <c r="L397" s="41" t="b">
        <v>0</v>
      </c>
      <c r="M397" s="37">
        <v>0</v>
      </c>
      <c r="N397" s="37">
        <v>0</v>
      </c>
      <c r="O397" s="47">
        <v>0</v>
      </c>
      <c r="P397" s="37">
        <v>0</v>
      </c>
      <c r="Q397" s="37">
        <v>0</v>
      </c>
      <c r="R397" s="37"/>
      <c r="S397" s="37" t="s">
        <v>481</v>
      </c>
      <c r="T397" t="str">
        <f>IFERROR(HYPERLINK("#'Main'!B"&amp;MATCH(TRIM(A397),Main!B:B,0),"Open"),HYPERLINK("#'Main'!B1","Open"))</f>
        <v>Open</v>
      </c>
    </row>
    <row r="398" spans="1:21" ht="30" customHeight="1" x14ac:dyDescent="0.25">
      <c r="A398" s="45" t="s">
        <v>200</v>
      </c>
      <c r="B398" s="28" t="s">
        <v>479</v>
      </c>
      <c r="C398" s="32" t="s">
        <v>631</v>
      </c>
      <c r="D398" s="28"/>
      <c r="E398" s="47">
        <v>200</v>
      </c>
      <c r="F398" s="28" t="b">
        <v>1</v>
      </c>
      <c r="G398" s="28">
        <v>0</v>
      </c>
      <c r="H398" s="47">
        <v>0</v>
      </c>
      <c r="I398" s="28">
        <v>0</v>
      </c>
      <c r="J398" s="28">
        <v>0</v>
      </c>
      <c r="K398" s="28">
        <v>0</v>
      </c>
      <c r="L398" s="35" t="b">
        <v>0</v>
      </c>
      <c r="M398" s="28">
        <v>0</v>
      </c>
      <c r="N398" s="28">
        <v>0</v>
      </c>
      <c r="O398" s="47">
        <v>0</v>
      </c>
      <c r="P398" s="28">
        <v>0</v>
      </c>
      <c r="Q398" s="28">
        <v>0</v>
      </c>
      <c r="R398" s="28"/>
      <c r="S398" s="28" t="s">
        <v>481</v>
      </c>
      <c r="T398" s="36" t="str">
        <f>IFERROR(HYPERLINK("#'Main'!B"&amp;MATCH(TRIM(A398),Main!B:B,0),"Open"),HYPERLINK("#'Main'!B1","Open"))</f>
        <v>Open</v>
      </c>
      <c r="U398" s="36"/>
    </row>
    <row r="399" spans="1:21" ht="30" customHeight="1" x14ac:dyDescent="0.25">
      <c r="A399" s="46" t="s">
        <v>200</v>
      </c>
      <c r="B399" s="37" t="s">
        <v>479</v>
      </c>
      <c r="C399" s="39" t="s">
        <v>632</v>
      </c>
      <c r="D399" s="37"/>
      <c r="E399" s="47">
        <v>200</v>
      </c>
      <c r="F399" s="37" t="b">
        <v>1</v>
      </c>
      <c r="G399" s="37">
        <v>0</v>
      </c>
      <c r="H399" s="47">
        <v>0</v>
      </c>
      <c r="I399" s="37">
        <v>0</v>
      </c>
      <c r="J399" s="37">
        <v>0</v>
      </c>
      <c r="K399" s="37">
        <v>0</v>
      </c>
      <c r="L399" s="41" t="b">
        <v>0</v>
      </c>
      <c r="M399" s="37">
        <v>0</v>
      </c>
      <c r="N399" s="37">
        <v>0</v>
      </c>
      <c r="O399" s="47">
        <v>0</v>
      </c>
      <c r="P399" s="37">
        <v>0</v>
      </c>
      <c r="Q399" s="37">
        <v>0</v>
      </c>
      <c r="R399" s="37"/>
      <c r="S399" s="37" t="s">
        <v>481</v>
      </c>
      <c r="T399" t="str">
        <f>IFERROR(HYPERLINK("#'Main'!B"&amp;MATCH(TRIM(A399),Main!B:B,0),"Open"),HYPERLINK("#'Main'!B1","Open"))</f>
        <v>Open</v>
      </c>
    </row>
    <row r="400" spans="1:21" ht="30" customHeight="1" x14ac:dyDescent="0.25">
      <c r="A400" s="45" t="s">
        <v>200</v>
      </c>
      <c r="B400" s="28" t="s">
        <v>479</v>
      </c>
      <c r="C400" s="32" t="s">
        <v>633</v>
      </c>
      <c r="D400" s="28"/>
      <c r="E400" s="47">
        <v>200</v>
      </c>
      <c r="F400" s="28" t="b">
        <v>1</v>
      </c>
      <c r="G400" s="28">
        <v>0</v>
      </c>
      <c r="H400" s="47">
        <v>0</v>
      </c>
      <c r="I400" s="28">
        <v>0</v>
      </c>
      <c r="J400" s="28">
        <v>0</v>
      </c>
      <c r="K400" s="28">
        <v>0</v>
      </c>
      <c r="L400" s="35" t="b">
        <v>0</v>
      </c>
      <c r="M400" s="28">
        <v>0</v>
      </c>
      <c r="N400" s="28">
        <v>0</v>
      </c>
      <c r="O400" s="47">
        <v>0</v>
      </c>
      <c r="P400" s="28">
        <v>0</v>
      </c>
      <c r="Q400" s="28">
        <v>0</v>
      </c>
      <c r="R400" s="28"/>
      <c r="S400" s="28" t="s">
        <v>481</v>
      </c>
      <c r="T400" s="36" t="str">
        <f>IFERROR(HYPERLINK("#'Main'!B"&amp;MATCH(TRIM(A400),Main!B:B,0),"Open"),HYPERLINK("#'Main'!B1","Open"))</f>
        <v>Open</v>
      </c>
      <c r="U400" s="36"/>
    </row>
    <row r="401" spans="1:21" ht="30" customHeight="1" x14ac:dyDescent="0.25">
      <c r="A401" s="46" t="s">
        <v>200</v>
      </c>
      <c r="B401" s="37" t="s">
        <v>479</v>
      </c>
      <c r="C401" s="39" t="s">
        <v>634</v>
      </c>
      <c r="D401" s="37" t="s">
        <v>635</v>
      </c>
      <c r="E401" s="47">
        <v>200</v>
      </c>
      <c r="F401" s="37" t="b">
        <v>1</v>
      </c>
      <c r="G401" s="37">
        <v>0</v>
      </c>
      <c r="H401" s="47">
        <v>0</v>
      </c>
      <c r="I401" s="37">
        <v>0</v>
      </c>
      <c r="J401" s="37">
        <v>0</v>
      </c>
      <c r="K401" s="37">
        <v>0</v>
      </c>
      <c r="L401" s="41" t="b">
        <v>0</v>
      </c>
      <c r="M401" s="37">
        <v>0</v>
      </c>
      <c r="N401" s="37">
        <v>0</v>
      </c>
      <c r="O401" s="47">
        <v>0</v>
      </c>
      <c r="P401" s="37">
        <v>0</v>
      </c>
      <c r="Q401" s="37">
        <v>0</v>
      </c>
      <c r="R401" s="37"/>
      <c r="S401" s="37" t="s">
        <v>481</v>
      </c>
      <c r="T401" t="str">
        <f>IFERROR(HYPERLINK("#'Main'!B"&amp;MATCH(TRIM(A401),Main!B:B,0),"Open"),HYPERLINK("#'Main'!B1","Open"))</f>
        <v>Open</v>
      </c>
    </row>
    <row r="402" spans="1:21" ht="30" customHeight="1" x14ac:dyDescent="0.25">
      <c r="A402" s="45" t="s">
        <v>200</v>
      </c>
      <c r="B402" s="28" t="s">
        <v>479</v>
      </c>
      <c r="C402" s="32" t="s">
        <v>636</v>
      </c>
      <c r="D402" s="28" t="s">
        <v>637</v>
      </c>
      <c r="E402" s="47">
        <v>200</v>
      </c>
      <c r="F402" s="28" t="b">
        <v>1</v>
      </c>
      <c r="G402" s="28">
        <v>0</v>
      </c>
      <c r="H402" s="47">
        <v>0</v>
      </c>
      <c r="I402" s="28">
        <v>0</v>
      </c>
      <c r="J402" s="28">
        <v>0</v>
      </c>
      <c r="K402" s="28">
        <v>0</v>
      </c>
      <c r="L402" s="35" t="b">
        <v>0</v>
      </c>
      <c r="M402" s="28">
        <v>0</v>
      </c>
      <c r="N402" s="28">
        <v>0</v>
      </c>
      <c r="O402" s="47">
        <v>0</v>
      </c>
      <c r="P402" s="28">
        <v>0</v>
      </c>
      <c r="Q402" s="28">
        <v>0</v>
      </c>
      <c r="R402" s="28"/>
      <c r="S402" s="28" t="s">
        <v>481</v>
      </c>
      <c r="T402" s="36" t="str">
        <f>IFERROR(HYPERLINK("#'Main'!B"&amp;MATCH(TRIM(A402),Main!B:B,0),"Open"),HYPERLINK("#'Main'!B1","Open"))</f>
        <v>Open</v>
      </c>
      <c r="U402" s="36"/>
    </row>
    <row r="403" spans="1:21" ht="30" customHeight="1" x14ac:dyDescent="0.25">
      <c r="A403" s="46" t="s">
        <v>200</v>
      </c>
      <c r="B403" s="37" t="s">
        <v>479</v>
      </c>
      <c r="C403" s="39" t="s">
        <v>638</v>
      </c>
      <c r="D403" s="37"/>
      <c r="E403" s="37">
        <v>0</v>
      </c>
      <c r="F403" s="37" t="b">
        <v>1</v>
      </c>
      <c r="G403" s="37">
        <v>0</v>
      </c>
      <c r="H403" s="47">
        <v>0</v>
      </c>
      <c r="I403" s="37">
        <v>0</v>
      </c>
      <c r="J403" s="37">
        <v>0</v>
      </c>
      <c r="K403" s="37">
        <v>0</v>
      </c>
      <c r="L403" s="41" t="b">
        <v>0</v>
      </c>
      <c r="M403" s="37">
        <v>0</v>
      </c>
      <c r="N403" s="37">
        <v>0</v>
      </c>
      <c r="O403" s="47">
        <v>0</v>
      </c>
      <c r="P403" s="37">
        <v>0</v>
      </c>
      <c r="Q403" s="37">
        <v>0</v>
      </c>
      <c r="R403" s="37"/>
      <c r="S403" s="37" t="s">
        <v>481</v>
      </c>
      <c r="T403" t="str">
        <f>IFERROR(HYPERLINK("#'Main'!B"&amp;MATCH(TRIM(A403),Main!B:B,0),"Open"),HYPERLINK("#'Main'!B1","Open"))</f>
        <v>Open</v>
      </c>
    </row>
    <row r="404" spans="1:21" ht="30" customHeight="1" x14ac:dyDescent="0.25">
      <c r="A404" s="45" t="s">
        <v>200</v>
      </c>
      <c r="B404" s="28" t="s">
        <v>479</v>
      </c>
      <c r="C404" s="32" t="s">
        <v>639</v>
      </c>
      <c r="D404" s="28"/>
      <c r="E404" s="28">
        <v>0</v>
      </c>
      <c r="F404" s="28" t="b">
        <v>1</v>
      </c>
      <c r="G404" s="28">
        <v>0</v>
      </c>
      <c r="H404" s="47">
        <v>0</v>
      </c>
      <c r="I404" s="28">
        <v>0</v>
      </c>
      <c r="J404" s="28">
        <v>0</v>
      </c>
      <c r="K404" s="28">
        <v>0</v>
      </c>
      <c r="L404" s="35" t="b">
        <v>0</v>
      </c>
      <c r="M404" s="28">
        <v>0</v>
      </c>
      <c r="N404" s="28">
        <v>0</v>
      </c>
      <c r="O404" s="47">
        <v>0</v>
      </c>
      <c r="P404" s="28">
        <v>0</v>
      </c>
      <c r="Q404" s="28">
        <v>0</v>
      </c>
      <c r="R404" s="28"/>
      <c r="S404" s="28" t="s">
        <v>481</v>
      </c>
      <c r="T404" s="36" t="str">
        <f>IFERROR(HYPERLINK("#'Main'!B"&amp;MATCH(TRIM(A404),Main!B:B,0),"Open"),HYPERLINK("#'Main'!B1","Open"))</f>
        <v>Open</v>
      </c>
      <c r="U404" s="36"/>
    </row>
    <row r="405" spans="1:21" ht="30" customHeight="1" x14ac:dyDescent="0.25">
      <c r="A405" s="46" t="s">
        <v>200</v>
      </c>
      <c r="B405" s="37" t="s">
        <v>479</v>
      </c>
      <c r="C405" s="39" t="s">
        <v>640</v>
      </c>
      <c r="D405" s="37"/>
      <c r="E405" s="37">
        <v>0</v>
      </c>
      <c r="F405" s="37" t="b">
        <v>1</v>
      </c>
      <c r="G405" s="37">
        <v>0</v>
      </c>
      <c r="H405" s="47">
        <v>0</v>
      </c>
      <c r="I405" s="37">
        <v>0</v>
      </c>
      <c r="J405" s="37">
        <v>0</v>
      </c>
      <c r="K405" s="37">
        <v>0</v>
      </c>
      <c r="L405" s="41" t="b">
        <v>0</v>
      </c>
      <c r="M405" s="37">
        <v>0</v>
      </c>
      <c r="N405" s="37">
        <v>0</v>
      </c>
      <c r="O405" s="47">
        <v>0</v>
      </c>
      <c r="P405" s="37">
        <v>0</v>
      </c>
      <c r="Q405" s="37">
        <v>0</v>
      </c>
      <c r="R405" s="37"/>
      <c r="S405" s="37" t="s">
        <v>481</v>
      </c>
      <c r="T405" t="str">
        <f>IFERROR(HYPERLINK("#'Main'!B"&amp;MATCH(TRIM(A405),Main!B:B,0),"Open"),HYPERLINK("#'Main'!B1","Open"))</f>
        <v>Open</v>
      </c>
    </row>
    <row r="406" spans="1:21" ht="30" customHeight="1" x14ac:dyDescent="0.25">
      <c r="A406" s="45" t="s">
        <v>200</v>
      </c>
      <c r="B406" s="28" t="s">
        <v>479</v>
      </c>
      <c r="C406" s="32" t="s">
        <v>641</v>
      </c>
      <c r="D406" s="28"/>
      <c r="E406" s="28">
        <v>0</v>
      </c>
      <c r="F406" s="28" t="b">
        <v>1</v>
      </c>
      <c r="G406" s="28">
        <v>0</v>
      </c>
      <c r="H406" s="47">
        <v>0</v>
      </c>
      <c r="I406" s="28">
        <v>0</v>
      </c>
      <c r="J406" s="28">
        <v>0</v>
      </c>
      <c r="K406" s="28">
        <v>0</v>
      </c>
      <c r="L406" s="35" t="b">
        <v>0</v>
      </c>
      <c r="M406" s="28">
        <v>0</v>
      </c>
      <c r="N406" s="28">
        <v>0</v>
      </c>
      <c r="O406" s="47">
        <v>0</v>
      </c>
      <c r="P406" s="28">
        <v>0</v>
      </c>
      <c r="Q406" s="28">
        <v>0</v>
      </c>
      <c r="R406" s="28"/>
      <c r="S406" s="28" t="s">
        <v>481</v>
      </c>
      <c r="T406" s="36" t="str">
        <f>IFERROR(HYPERLINK("#'Main'!B"&amp;MATCH(TRIM(A406),Main!B:B,0),"Open"),HYPERLINK("#'Main'!B1","Open"))</f>
        <v>Open</v>
      </c>
      <c r="U406" s="36"/>
    </row>
    <row r="407" spans="1:21" ht="30" customHeight="1" x14ac:dyDescent="0.25">
      <c r="A407" s="46" t="s">
        <v>200</v>
      </c>
      <c r="B407" s="37" t="s">
        <v>479</v>
      </c>
      <c r="C407" s="39" t="s">
        <v>642</v>
      </c>
      <c r="D407" s="37"/>
      <c r="E407" s="37">
        <v>0</v>
      </c>
      <c r="F407" s="37" t="b">
        <v>1</v>
      </c>
      <c r="G407" s="37">
        <v>0</v>
      </c>
      <c r="H407" s="47">
        <v>0</v>
      </c>
      <c r="I407" s="37">
        <v>0</v>
      </c>
      <c r="J407" s="37">
        <v>0</v>
      </c>
      <c r="K407" s="37">
        <v>0</v>
      </c>
      <c r="L407" s="41" t="b">
        <v>0</v>
      </c>
      <c r="M407" s="37">
        <v>0</v>
      </c>
      <c r="N407" s="37">
        <v>0</v>
      </c>
      <c r="O407" s="47">
        <v>0</v>
      </c>
      <c r="P407" s="37">
        <v>0</v>
      </c>
      <c r="Q407" s="37">
        <v>0</v>
      </c>
      <c r="R407" s="37"/>
      <c r="S407" s="37" t="s">
        <v>481</v>
      </c>
      <c r="T407" t="str">
        <f>IFERROR(HYPERLINK("#'Main'!B"&amp;MATCH(TRIM(A407),Main!B:B,0),"Open"),HYPERLINK("#'Main'!B1","Open"))</f>
        <v>Open</v>
      </c>
    </row>
    <row r="408" spans="1:21" ht="30" customHeight="1" x14ac:dyDescent="0.25">
      <c r="A408" s="45" t="s">
        <v>200</v>
      </c>
      <c r="B408" s="28" t="s">
        <v>479</v>
      </c>
      <c r="C408" s="32" t="s">
        <v>643</v>
      </c>
      <c r="D408" s="28"/>
      <c r="E408" s="28">
        <v>0</v>
      </c>
      <c r="F408" s="28" t="b">
        <v>1</v>
      </c>
      <c r="G408" s="28">
        <v>0</v>
      </c>
      <c r="H408" s="47">
        <v>0</v>
      </c>
      <c r="I408" s="28">
        <v>0</v>
      </c>
      <c r="J408" s="28">
        <v>0</v>
      </c>
      <c r="K408" s="28">
        <v>0</v>
      </c>
      <c r="L408" s="35" t="b">
        <v>0</v>
      </c>
      <c r="M408" s="28">
        <v>0</v>
      </c>
      <c r="N408" s="28">
        <v>0</v>
      </c>
      <c r="O408" s="47">
        <v>0</v>
      </c>
      <c r="P408" s="28">
        <v>0</v>
      </c>
      <c r="Q408" s="28">
        <v>0</v>
      </c>
      <c r="R408" s="28"/>
      <c r="S408" s="28" t="s">
        <v>481</v>
      </c>
      <c r="T408" s="36" t="str">
        <f>IFERROR(HYPERLINK("#'Main'!B"&amp;MATCH(TRIM(A408),Main!B:B,0),"Open"),HYPERLINK("#'Main'!B1","Open"))</f>
        <v>Open</v>
      </c>
      <c r="U408" s="36"/>
    </row>
    <row r="409" spans="1:21" ht="30" customHeight="1" x14ac:dyDescent="0.25">
      <c r="A409" s="46" t="s">
        <v>200</v>
      </c>
      <c r="B409" s="37" t="s">
        <v>479</v>
      </c>
      <c r="C409" s="39" t="s">
        <v>644</v>
      </c>
      <c r="D409" s="37"/>
      <c r="E409" s="37">
        <v>0</v>
      </c>
      <c r="F409" s="37" t="b">
        <v>1</v>
      </c>
      <c r="G409" s="37">
        <v>0</v>
      </c>
      <c r="H409" s="47">
        <v>0</v>
      </c>
      <c r="I409" s="37">
        <v>0</v>
      </c>
      <c r="J409" s="37">
        <v>0</v>
      </c>
      <c r="K409" s="37">
        <v>0</v>
      </c>
      <c r="L409" s="41" t="b">
        <v>0</v>
      </c>
      <c r="M409" s="37">
        <v>0</v>
      </c>
      <c r="N409" s="37">
        <v>0</v>
      </c>
      <c r="O409" s="47">
        <v>0</v>
      </c>
      <c r="P409" s="37">
        <v>0</v>
      </c>
      <c r="Q409" s="37">
        <v>0</v>
      </c>
      <c r="R409" s="37"/>
      <c r="S409" s="37" t="s">
        <v>481</v>
      </c>
      <c r="T409" t="str">
        <f>IFERROR(HYPERLINK("#'Main'!B"&amp;MATCH(TRIM(A409),Main!B:B,0),"Open"),HYPERLINK("#'Main'!B1","Open"))</f>
        <v>Open</v>
      </c>
    </row>
    <row r="410" spans="1:21" ht="30" customHeight="1" x14ac:dyDescent="0.25">
      <c r="A410" s="45" t="s">
        <v>200</v>
      </c>
      <c r="B410" s="28" t="s">
        <v>479</v>
      </c>
      <c r="C410" s="32" t="s">
        <v>645</v>
      </c>
      <c r="D410" s="28"/>
      <c r="E410" s="28">
        <v>0</v>
      </c>
      <c r="F410" s="28" t="b">
        <v>1</v>
      </c>
      <c r="G410" s="28">
        <v>0</v>
      </c>
      <c r="H410" s="47">
        <v>0</v>
      </c>
      <c r="I410" s="28">
        <v>0</v>
      </c>
      <c r="J410" s="28">
        <v>0</v>
      </c>
      <c r="K410" s="28">
        <v>0</v>
      </c>
      <c r="L410" s="35" t="b">
        <v>0</v>
      </c>
      <c r="M410" s="28">
        <v>0</v>
      </c>
      <c r="N410" s="28">
        <v>0</v>
      </c>
      <c r="O410" s="47">
        <v>0</v>
      </c>
      <c r="P410" s="28">
        <v>0</v>
      </c>
      <c r="Q410" s="28">
        <v>0</v>
      </c>
      <c r="R410" s="28"/>
      <c r="S410" s="28" t="s">
        <v>481</v>
      </c>
      <c r="T410" s="36" t="str">
        <f>IFERROR(HYPERLINK("#'Main'!B"&amp;MATCH(TRIM(A410),Main!B:B,0),"Open"),HYPERLINK("#'Main'!B1","Open"))</f>
        <v>Open</v>
      </c>
      <c r="U410" s="36"/>
    </row>
    <row r="411" spans="1:21" ht="30" customHeight="1" x14ac:dyDescent="0.25">
      <c r="A411" s="46" t="s">
        <v>200</v>
      </c>
      <c r="B411" s="37" t="s">
        <v>479</v>
      </c>
      <c r="C411" s="39" t="s">
        <v>646</v>
      </c>
      <c r="D411" s="37"/>
      <c r="E411" s="37">
        <v>0</v>
      </c>
      <c r="F411" s="37" t="b">
        <v>1</v>
      </c>
      <c r="G411" s="37">
        <v>0</v>
      </c>
      <c r="H411" s="47">
        <v>0</v>
      </c>
      <c r="I411" s="37">
        <v>0</v>
      </c>
      <c r="J411" s="37">
        <v>0</v>
      </c>
      <c r="K411" s="37">
        <v>0</v>
      </c>
      <c r="L411" s="41" t="b">
        <v>0</v>
      </c>
      <c r="M411" s="37">
        <v>0</v>
      </c>
      <c r="N411" s="37">
        <v>0</v>
      </c>
      <c r="O411" s="47">
        <v>0</v>
      </c>
      <c r="P411" s="37">
        <v>0</v>
      </c>
      <c r="Q411" s="37">
        <v>0</v>
      </c>
      <c r="R411" s="37"/>
      <c r="S411" s="37" t="s">
        <v>481</v>
      </c>
      <c r="T411" t="str">
        <f>IFERROR(HYPERLINK("#'Main'!B"&amp;MATCH(TRIM(A411),Main!B:B,0),"Open"),HYPERLINK("#'Main'!B1","Open"))</f>
        <v>Open</v>
      </c>
    </row>
    <row r="412" spans="1:21" ht="30" customHeight="1" x14ac:dyDescent="0.25">
      <c r="A412" s="45" t="s">
        <v>200</v>
      </c>
      <c r="B412" s="28" t="s">
        <v>479</v>
      </c>
      <c r="C412" s="32" t="s">
        <v>647</v>
      </c>
      <c r="D412" s="28"/>
      <c r="E412" s="28">
        <v>0</v>
      </c>
      <c r="F412" s="28" t="b">
        <v>1</v>
      </c>
      <c r="G412" s="28">
        <v>0</v>
      </c>
      <c r="H412" s="47">
        <v>0</v>
      </c>
      <c r="I412" s="28">
        <v>0</v>
      </c>
      <c r="J412" s="28">
        <v>0</v>
      </c>
      <c r="K412" s="28">
        <v>0</v>
      </c>
      <c r="L412" s="35" t="b">
        <v>0</v>
      </c>
      <c r="M412" s="28">
        <v>0</v>
      </c>
      <c r="N412" s="28">
        <v>0</v>
      </c>
      <c r="O412" s="47">
        <v>0</v>
      </c>
      <c r="P412" s="28">
        <v>0</v>
      </c>
      <c r="Q412" s="28">
        <v>0</v>
      </c>
      <c r="R412" s="28"/>
      <c r="S412" s="28" t="s">
        <v>481</v>
      </c>
      <c r="T412" s="36" t="str">
        <f>IFERROR(HYPERLINK("#'Main'!B"&amp;MATCH(TRIM(A412),Main!B:B,0),"Open"),HYPERLINK("#'Main'!B1","Open"))</f>
        <v>Open</v>
      </c>
      <c r="U412" s="36"/>
    </row>
    <row r="413" spans="1:21" ht="30" customHeight="1" x14ac:dyDescent="0.25">
      <c r="A413" s="46" t="s">
        <v>200</v>
      </c>
      <c r="B413" s="37" t="s">
        <v>479</v>
      </c>
      <c r="C413" s="39" t="s">
        <v>494</v>
      </c>
      <c r="D413" s="37" t="s">
        <v>495</v>
      </c>
      <c r="E413" s="47">
        <v>200</v>
      </c>
      <c r="F413" s="37" t="b">
        <v>1</v>
      </c>
      <c r="G413" s="37">
        <v>0</v>
      </c>
      <c r="H413" s="47">
        <v>0</v>
      </c>
      <c r="I413" s="37">
        <v>0</v>
      </c>
      <c r="J413" s="37">
        <v>0</v>
      </c>
      <c r="K413" s="37">
        <v>0</v>
      </c>
      <c r="L413" s="41" t="b">
        <v>0</v>
      </c>
      <c r="M413" s="37">
        <v>0</v>
      </c>
      <c r="N413" s="37">
        <v>0</v>
      </c>
      <c r="O413" s="47">
        <v>0</v>
      </c>
      <c r="P413" s="37">
        <v>0</v>
      </c>
      <c r="Q413" s="37">
        <v>0</v>
      </c>
      <c r="R413" s="37"/>
      <c r="S413" s="37" t="s">
        <v>481</v>
      </c>
      <c r="T413" t="str">
        <f>IFERROR(HYPERLINK("#'Main'!B"&amp;MATCH(TRIM(A413),Main!B:B,0),"Open"),HYPERLINK("#'Main'!B1","Open"))</f>
        <v>Open</v>
      </c>
    </row>
    <row r="414" spans="1:21" ht="30" customHeight="1" x14ac:dyDescent="0.25">
      <c r="A414" s="45" t="s">
        <v>200</v>
      </c>
      <c r="B414" s="28" t="s">
        <v>479</v>
      </c>
      <c r="C414" s="32" t="s">
        <v>496</v>
      </c>
      <c r="D414" s="28"/>
      <c r="E414" s="28">
        <v>0</v>
      </c>
      <c r="F414" s="28" t="b">
        <v>1</v>
      </c>
      <c r="G414" s="28">
        <v>0</v>
      </c>
      <c r="H414" s="47">
        <v>0</v>
      </c>
      <c r="I414" s="28">
        <v>0</v>
      </c>
      <c r="J414" s="28">
        <v>0</v>
      </c>
      <c r="K414" s="28">
        <v>0</v>
      </c>
      <c r="L414" s="35" t="b">
        <v>0</v>
      </c>
      <c r="M414" s="28">
        <v>0</v>
      </c>
      <c r="N414" s="28">
        <v>0</v>
      </c>
      <c r="O414" s="47">
        <v>0</v>
      </c>
      <c r="P414" s="28">
        <v>0</v>
      </c>
      <c r="Q414" s="28">
        <v>0</v>
      </c>
      <c r="R414" s="28"/>
      <c r="S414" s="28" t="s">
        <v>481</v>
      </c>
      <c r="T414" s="36" t="str">
        <f>IFERROR(HYPERLINK("#'Main'!B"&amp;MATCH(TRIM(A414),Main!B:B,0),"Open"),HYPERLINK("#'Main'!B1","Open"))</f>
        <v>Open</v>
      </c>
      <c r="U414" s="36"/>
    </row>
    <row r="415" spans="1:21" ht="30" customHeight="1" x14ac:dyDescent="0.25">
      <c r="A415" s="46" t="s">
        <v>200</v>
      </c>
      <c r="B415" s="37" t="s">
        <v>479</v>
      </c>
      <c r="C415" s="39" t="s">
        <v>497</v>
      </c>
      <c r="D415" s="37"/>
      <c r="E415" s="37">
        <v>0</v>
      </c>
      <c r="F415" s="37" t="b">
        <v>1</v>
      </c>
      <c r="G415" s="37">
        <v>0</v>
      </c>
      <c r="H415" s="47">
        <v>0</v>
      </c>
      <c r="I415" s="37">
        <v>0</v>
      </c>
      <c r="J415" s="37">
        <v>0</v>
      </c>
      <c r="K415" s="37">
        <v>0</v>
      </c>
      <c r="L415" s="41" t="b">
        <v>0</v>
      </c>
      <c r="M415" s="37">
        <v>0</v>
      </c>
      <c r="N415" s="37">
        <v>0</v>
      </c>
      <c r="O415" s="47">
        <v>0</v>
      </c>
      <c r="P415" s="37">
        <v>0</v>
      </c>
      <c r="Q415" s="37">
        <v>0</v>
      </c>
      <c r="R415" s="37"/>
      <c r="S415" s="37" t="s">
        <v>481</v>
      </c>
      <c r="T415" t="str">
        <f>IFERROR(HYPERLINK("#'Main'!B"&amp;MATCH(TRIM(A415),Main!B:B,0),"Open"),HYPERLINK("#'Main'!B1","Open"))</f>
        <v>Open</v>
      </c>
    </row>
    <row r="416" spans="1:21" ht="30" customHeight="1" x14ac:dyDescent="0.25">
      <c r="A416" s="45" t="s">
        <v>200</v>
      </c>
      <c r="B416" s="28" t="s">
        <v>479</v>
      </c>
      <c r="C416" s="32" t="s">
        <v>498</v>
      </c>
      <c r="D416" s="28"/>
      <c r="E416" s="28">
        <v>0</v>
      </c>
      <c r="F416" s="28" t="b">
        <v>1</v>
      </c>
      <c r="G416" s="28">
        <v>0</v>
      </c>
      <c r="H416" s="47">
        <v>0</v>
      </c>
      <c r="I416" s="28">
        <v>0</v>
      </c>
      <c r="J416" s="28">
        <v>0</v>
      </c>
      <c r="K416" s="28">
        <v>0</v>
      </c>
      <c r="L416" s="35" t="b">
        <v>0</v>
      </c>
      <c r="M416" s="28">
        <v>0</v>
      </c>
      <c r="N416" s="28">
        <v>0</v>
      </c>
      <c r="O416" s="47">
        <v>0</v>
      </c>
      <c r="P416" s="28">
        <v>0</v>
      </c>
      <c r="Q416" s="28">
        <v>0</v>
      </c>
      <c r="R416" s="28"/>
      <c r="S416" s="28" t="s">
        <v>481</v>
      </c>
      <c r="T416" s="36" t="str">
        <f>IFERROR(HYPERLINK("#'Main'!B"&amp;MATCH(TRIM(A416),Main!B:B,0),"Open"),HYPERLINK("#'Main'!B1","Open"))</f>
        <v>Open</v>
      </c>
      <c r="U416" s="36"/>
    </row>
    <row r="417" spans="1:21" ht="30" customHeight="1" x14ac:dyDescent="0.25">
      <c r="A417" s="46" t="s">
        <v>200</v>
      </c>
      <c r="B417" s="37" t="s">
        <v>479</v>
      </c>
      <c r="C417" s="39" t="s">
        <v>648</v>
      </c>
      <c r="D417" s="37"/>
      <c r="E417" s="29">
        <v>404</v>
      </c>
      <c r="F417" s="37" t="b">
        <v>0</v>
      </c>
      <c r="G417" s="37">
        <v>0</v>
      </c>
      <c r="H417" s="47">
        <v>0</v>
      </c>
      <c r="I417" s="37">
        <v>0</v>
      </c>
      <c r="J417" s="37">
        <v>0</v>
      </c>
      <c r="K417" s="37">
        <v>0</v>
      </c>
      <c r="L417" s="41" t="b">
        <v>0</v>
      </c>
      <c r="M417" s="37">
        <v>0</v>
      </c>
      <c r="N417" s="37">
        <v>0</v>
      </c>
      <c r="O417" s="47">
        <v>0</v>
      </c>
      <c r="P417" s="37">
        <v>0</v>
      </c>
      <c r="Q417" s="37">
        <v>0</v>
      </c>
      <c r="R417" s="37"/>
      <c r="S417" s="37" t="s">
        <v>481</v>
      </c>
      <c r="T417" t="str">
        <f>IFERROR(HYPERLINK("#'Main'!B"&amp;MATCH(TRIM(A417),Main!B:B,0),"Open"),HYPERLINK("#'Main'!B1","Open"))</f>
        <v>Open</v>
      </c>
    </row>
    <row r="418" spans="1:21" ht="30" customHeight="1" x14ac:dyDescent="0.25">
      <c r="A418" s="45" t="s">
        <v>200</v>
      </c>
      <c r="B418" s="28" t="s">
        <v>479</v>
      </c>
      <c r="C418" s="32" t="s">
        <v>648</v>
      </c>
      <c r="D418" s="28" t="s">
        <v>649</v>
      </c>
      <c r="E418" s="29">
        <v>404</v>
      </c>
      <c r="F418" s="28" t="b">
        <v>0</v>
      </c>
      <c r="G418" s="28">
        <v>0</v>
      </c>
      <c r="H418" s="47">
        <v>0</v>
      </c>
      <c r="I418" s="28">
        <v>0</v>
      </c>
      <c r="J418" s="28">
        <v>0</v>
      </c>
      <c r="K418" s="28">
        <v>0</v>
      </c>
      <c r="L418" s="35" t="b">
        <v>0</v>
      </c>
      <c r="M418" s="28">
        <v>0</v>
      </c>
      <c r="N418" s="28">
        <v>0</v>
      </c>
      <c r="O418" s="47">
        <v>0</v>
      </c>
      <c r="P418" s="28">
        <v>0</v>
      </c>
      <c r="Q418" s="28">
        <v>0</v>
      </c>
      <c r="R418" s="28"/>
      <c r="S418" s="28" t="s">
        <v>481</v>
      </c>
      <c r="T418" s="36" t="str">
        <f>IFERROR(HYPERLINK("#'Main'!B"&amp;MATCH(TRIM(A418),Main!B:B,0),"Open"),HYPERLINK("#'Main'!B1","Open"))</f>
        <v>Open</v>
      </c>
      <c r="U418" s="36"/>
    </row>
    <row r="419" spans="1:21" ht="30" customHeight="1" x14ac:dyDescent="0.25">
      <c r="A419" s="46" t="s">
        <v>200</v>
      </c>
      <c r="B419" s="37" t="s">
        <v>479</v>
      </c>
      <c r="C419" s="39" t="s">
        <v>499</v>
      </c>
      <c r="D419" s="37" t="s">
        <v>500</v>
      </c>
      <c r="E419" s="47">
        <v>200</v>
      </c>
      <c r="F419" s="37" t="b">
        <v>1</v>
      </c>
      <c r="G419" s="37">
        <v>0</v>
      </c>
      <c r="H419" s="47">
        <v>0</v>
      </c>
      <c r="I419" s="37">
        <v>0</v>
      </c>
      <c r="J419" s="37">
        <v>0</v>
      </c>
      <c r="K419" s="37">
        <v>0</v>
      </c>
      <c r="L419" s="41" t="b">
        <v>0</v>
      </c>
      <c r="M419" s="37">
        <v>0</v>
      </c>
      <c r="N419" s="37">
        <v>0</v>
      </c>
      <c r="O419" s="47">
        <v>0</v>
      </c>
      <c r="P419" s="37">
        <v>0</v>
      </c>
      <c r="Q419" s="37">
        <v>0</v>
      </c>
      <c r="R419" s="37"/>
      <c r="S419" s="37" t="s">
        <v>481</v>
      </c>
      <c r="T419" t="str">
        <f>IFERROR(HYPERLINK("#'Main'!B"&amp;MATCH(TRIM(A419),Main!B:B,0),"Open"),HYPERLINK("#'Main'!B1","Open"))</f>
        <v>Open</v>
      </c>
    </row>
    <row r="420" spans="1:21" ht="30" customHeight="1" x14ac:dyDescent="0.25">
      <c r="A420" s="45" t="s">
        <v>200</v>
      </c>
      <c r="B420" s="28" t="s">
        <v>479</v>
      </c>
      <c r="C420" s="32" t="s">
        <v>501</v>
      </c>
      <c r="D420" s="28" t="s">
        <v>502</v>
      </c>
      <c r="E420" s="29">
        <v>404</v>
      </c>
      <c r="F420" s="28" t="b">
        <v>0</v>
      </c>
      <c r="G420" s="28">
        <v>0</v>
      </c>
      <c r="H420" s="47">
        <v>0</v>
      </c>
      <c r="I420" s="28">
        <v>0</v>
      </c>
      <c r="J420" s="28">
        <v>0</v>
      </c>
      <c r="K420" s="28">
        <v>0</v>
      </c>
      <c r="L420" s="35" t="b">
        <v>0</v>
      </c>
      <c r="M420" s="28">
        <v>0</v>
      </c>
      <c r="N420" s="28">
        <v>0</v>
      </c>
      <c r="O420" s="47">
        <v>0</v>
      </c>
      <c r="P420" s="28">
        <v>0</v>
      </c>
      <c r="Q420" s="28">
        <v>0</v>
      </c>
      <c r="R420" s="28"/>
      <c r="S420" s="28" t="s">
        <v>481</v>
      </c>
      <c r="T420" s="36" t="str">
        <f>IFERROR(HYPERLINK("#'Main'!B"&amp;MATCH(TRIM(A420),Main!B:B,0),"Open"),HYPERLINK("#'Main'!B1","Open"))</f>
        <v>Open</v>
      </c>
      <c r="U420" s="36"/>
    </row>
    <row r="421" spans="1:21" ht="30" customHeight="1" x14ac:dyDescent="0.25">
      <c r="A421" s="46" t="s">
        <v>200</v>
      </c>
      <c r="B421" s="37" t="s">
        <v>479</v>
      </c>
      <c r="C421" s="39" t="s">
        <v>501</v>
      </c>
      <c r="D421" s="37" t="s">
        <v>503</v>
      </c>
      <c r="E421" s="29">
        <v>404</v>
      </c>
      <c r="F421" s="37" t="b">
        <v>0</v>
      </c>
      <c r="G421" s="37">
        <v>0</v>
      </c>
      <c r="H421" s="47">
        <v>0</v>
      </c>
      <c r="I421" s="37">
        <v>0</v>
      </c>
      <c r="J421" s="37">
        <v>0</v>
      </c>
      <c r="K421" s="37">
        <v>0</v>
      </c>
      <c r="L421" s="41" t="b">
        <v>0</v>
      </c>
      <c r="M421" s="37">
        <v>0</v>
      </c>
      <c r="N421" s="37">
        <v>0</v>
      </c>
      <c r="O421" s="47">
        <v>0</v>
      </c>
      <c r="P421" s="37">
        <v>0</v>
      </c>
      <c r="Q421" s="37">
        <v>0</v>
      </c>
      <c r="R421" s="37"/>
      <c r="S421" s="37" t="s">
        <v>481</v>
      </c>
      <c r="T421" t="str">
        <f>IFERROR(HYPERLINK("#'Main'!B"&amp;MATCH(TRIM(A421),Main!B:B,0),"Open"),HYPERLINK("#'Main'!B1","Open"))</f>
        <v>Open</v>
      </c>
    </row>
    <row r="422" spans="1:21" ht="30" customHeight="1" x14ac:dyDescent="0.25">
      <c r="A422" s="45" t="s">
        <v>148</v>
      </c>
      <c r="B422" s="28" t="s">
        <v>479</v>
      </c>
      <c r="C422" s="32" t="s">
        <v>166</v>
      </c>
      <c r="D422" s="28" t="s">
        <v>650</v>
      </c>
      <c r="E422" s="47">
        <v>200</v>
      </c>
      <c r="F422" s="28" t="b">
        <v>1</v>
      </c>
      <c r="G422" s="28">
        <v>0</v>
      </c>
      <c r="H422" s="47">
        <v>0</v>
      </c>
      <c r="I422" s="28">
        <v>0</v>
      </c>
      <c r="J422" s="28">
        <v>0</v>
      </c>
      <c r="K422" s="28">
        <v>0</v>
      </c>
      <c r="L422" s="35" t="b">
        <v>0</v>
      </c>
      <c r="M422" s="28">
        <v>0</v>
      </c>
      <c r="N422" s="28">
        <v>0</v>
      </c>
      <c r="O422" s="47">
        <v>0</v>
      </c>
      <c r="P422" s="28">
        <v>0</v>
      </c>
      <c r="Q422" s="28">
        <v>0</v>
      </c>
      <c r="R422" s="28"/>
      <c r="S422" s="28" t="s">
        <v>481</v>
      </c>
      <c r="T422" s="36" t="str">
        <f>IFERROR(HYPERLINK("#'Main'!B"&amp;MATCH(TRIM(A422),Main!B:B,0),"Open"),HYPERLINK("#'Main'!B1","Open"))</f>
        <v>Open</v>
      </c>
      <c r="U422" s="36"/>
    </row>
    <row r="423" spans="1:21" ht="30" customHeight="1" x14ac:dyDescent="0.25">
      <c r="A423" s="46" t="s">
        <v>148</v>
      </c>
      <c r="B423" s="37" t="s">
        <v>479</v>
      </c>
      <c r="C423" s="39" t="s">
        <v>200</v>
      </c>
      <c r="D423" s="37" t="s">
        <v>651</v>
      </c>
      <c r="E423" s="47">
        <v>200</v>
      </c>
      <c r="F423" s="37" t="b">
        <v>1</v>
      </c>
      <c r="G423" s="37">
        <v>0</v>
      </c>
      <c r="H423" s="47">
        <v>0</v>
      </c>
      <c r="I423" s="37">
        <v>0</v>
      </c>
      <c r="J423" s="37">
        <v>0</v>
      </c>
      <c r="K423" s="37">
        <v>0</v>
      </c>
      <c r="L423" s="41" t="b">
        <v>0</v>
      </c>
      <c r="M423" s="37">
        <v>0</v>
      </c>
      <c r="N423" s="37">
        <v>0</v>
      </c>
      <c r="O423" s="47">
        <v>0</v>
      </c>
      <c r="P423" s="37">
        <v>0</v>
      </c>
      <c r="Q423" s="37">
        <v>0</v>
      </c>
      <c r="R423" s="37"/>
      <c r="S423" s="37" t="s">
        <v>481</v>
      </c>
      <c r="T423" t="str">
        <f>IFERROR(HYPERLINK("#'Main'!B"&amp;MATCH(TRIM(A423),Main!B:B,0),"Open"),HYPERLINK("#'Main'!B1","Open"))</f>
        <v>Open</v>
      </c>
    </row>
    <row r="424" spans="1:21" ht="30" customHeight="1" x14ac:dyDescent="0.25">
      <c r="A424" s="45" t="s">
        <v>148</v>
      </c>
      <c r="B424" s="28" t="s">
        <v>479</v>
      </c>
      <c r="C424" s="32" t="s">
        <v>612</v>
      </c>
      <c r="D424" s="28" t="s">
        <v>652</v>
      </c>
      <c r="E424" s="47">
        <v>200</v>
      </c>
      <c r="F424" s="28" t="b">
        <v>1</v>
      </c>
      <c r="G424" s="28">
        <v>0</v>
      </c>
      <c r="H424" s="47">
        <v>0</v>
      </c>
      <c r="I424" s="28">
        <v>0</v>
      </c>
      <c r="J424" s="28">
        <v>0</v>
      </c>
      <c r="K424" s="28">
        <v>0</v>
      </c>
      <c r="L424" s="35" t="b">
        <v>0</v>
      </c>
      <c r="M424" s="28">
        <v>0</v>
      </c>
      <c r="N424" s="28">
        <v>0</v>
      </c>
      <c r="O424" s="47">
        <v>0</v>
      </c>
      <c r="P424" s="28">
        <v>0</v>
      </c>
      <c r="Q424" s="28">
        <v>0</v>
      </c>
      <c r="R424" s="28"/>
      <c r="S424" s="28" t="s">
        <v>481</v>
      </c>
      <c r="T424" s="36" t="str">
        <f>IFERROR(HYPERLINK("#'Main'!B"&amp;MATCH(TRIM(A424),Main!B:B,0),"Open"),HYPERLINK("#'Main'!B1","Open"))</f>
        <v>Open</v>
      </c>
      <c r="U424" s="36"/>
    </row>
    <row r="425" spans="1:21" ht="30" customHeight="1" x14ac:dyDescent="0.25">
      <c r="A425" s="46" t="s">
        <v>148</v>
      </c>
      <c r="B425" s="37" t="s">
        <v>479</v>
      </c>
      <c r="C425" s="39" t="s">
        <v>636</v>
      </c>
      <c r="D425" s="37" t="s">
        <v>653</v>
      </c>
      <c r="E425" s="47">
        <v>200</v>
      </c>
      <c r="F425" s="37" t="b">
        <v>1</v>
      </c>
      <c r="G425" s="37">
        <v>0</v>
      </c>
      <c r="H425" s="47">
        <v>0</v>
      </c>
      <c r="I425" s="37">
        <v>0</v>
      </c>
      <c r="J425" s="37">
        <v>0</v>
      </c>
      <c r="K425" s="37">
        <v>0</v>
      </c>
      <c r="L425" s="41" t="b">
        <v>0</v>
      </c>
      <c r="M425" s="37">
        <v>0</v>
      </c>
      <c r="N425" s="37">
        <v>0</v>
      </c>
      <c r="O425" s="47">
        <v>0</v>
      </c>
      <c r="P425" s="37">
        <v>0</v>
      </c>
      <c r="Q425" s="37">
        <v>0</v>
      </c>
      <c r="R425" s="37"/>
      <c r="S425" s="37" t="s">
        <v>481</v>
      </c>
      <c r="T425" t="str">
        <f>IFERROR(HYPERLINK("#'Main'!B"&amp;MATCH(TRIM(A425),Main!B:B,0),"Open"),HYPERLINK("#'Main'!B1","Open"))</f>
        <v>Open</v>
      </c>
    </row>
    <row r="426" spans="1:21" ht="30" customHeight="1" x14ac:dyDescent="0.25">
      <c r="A426" s="45" t="s">
        <v>148</v>
      </c>
      <c r="B426" s="28" t="s">
        <v>479</v>
      </c>
      <c r="C426" s="32" t="s">
        <v>201</v>
      </c>
      <c r="D426" s="28" t="s">
        <v>274</v>
      </c>
      <c r="E426" s="47">
        <v>200</v>
      </c>
      <c r="F426" s="28" t="b">
        <v>1</v>
      </c>
      <c r="G426" s="28">
        <v>0</v>
      </c>
      <c r="H426" s="47">
        <v>0</v>
      </c>
      <c r="I426" s="28">
        <v>0</v>
      </c>
      <c r="J426" s="28">
        <v>0</v>
      </c>
      <c r="K426" s="28">
        <v>0</v>
      </c>
      <c r="L426" s="35" t="b">
        <v>0</v>
      </c>
      <c r="M426" s="28">
        <v>0</v>
      </c>
      <c r="N426" s="28">
        <v>0</v>
      </c>
      <c r="O426" s="47">
        <v>0</v>
      </c>
      <c r="P426" s="28">
        <v>0</v>
      </c>
      <c r="Q426" s="28">
        <v>0</v>
      </c>
      <c r="R426" s="28"/>
      <c r="S426" s="28" t="s">
        <v>481</v>
      </c>
      <c r="T426" s="36" t="str">
        <f>IFERROR(HYPERLINK("#'Main'!B"&amp;MATCH(TRIM(A426),Main!B:B,0),"Open"),HYPERLINK("#'Main'!B1","Open"))</f>
        <v>Open</v>
      </c>
      <c r="U426" s="36"/>
    </row>
    <row r="427" spans="1:21" ht="30" customHeight="1" x14ac:dyDescent="0.25">
      <c r="A427" s="46" t="s">
        <v>148</v>
      </c>
      <c r="B427" s="37" t="s">
        <v>479</v>
      </c>
      <c r="C427" s="39" t="s">
        <v>654</v>
      </c>
      <c r="D427" s="37" t="s">
        <v>655</v>
      </c>
      <c r="E427" s="47">
        <v>200</v>
      </c>
      <c r="F427" s="37" t="b">
        <v>1</v>
      </c>
      <c r="G427" s="37">
        <v>0</v>
      </c>
      <c r="H427" s="47">
        <v>0</v>
      </c>
      <c r="I427" s="37">
        <v>0</v>
      </c>
      <c r="J427" s="37">
        <v>0</v>
      </c>
      <c r="K427" s="37">
        <v>0</v>
      </c>
      <c r="L427" s="41" t="b">
        <v>0</v>
      </c>
      <c r="M427" s="37">
        <v>0</v>
      </c>
      <c r="N427" s="37">
        <v>0</v>
      </c>
      <c r="O427" s="47">
        <v>0</v>
      </c>
      <c r="P427" s="37">
        <v>0</v>
      </c>
      <c r="Q427" s="37">
        <v>0</v>
      </c>
      <c r="R427" s="37"/>
      <c r="S427" s="37" t="s">
        <v>481</v>
      </c>
      <c r="T427" t="str">
        <f>IFERROR(HYPERLINK("#'Main'!B"&amp;MATCH(TRIM(A427),Main!B:B,0),"Open"),HYPERLINK("#'Main'!B1","Open"))</f>
        <v>Open</v>
      </c>
    </row>
    <row r="428" spans="1:21" ht="30" customHeight="1" x14ac:dyDescent="0.25">
      <c r="A428" s="45" t="s">
        <v>148</v>
      </c>
      <c r="B428" s="28" t="s">
        <v>479</v>
      </c>
      <c r="C428" s="32" t="s">
        <v>634</v>
      </c>
      <c r="D428" s="28" t="s">
        <v>656</v>
      </c>
      <c r="E428" s="47">
        <v>200</v>
      </c>
      <c r="F428" s="28" t="b">
        <v>1</v>
      </c>
      <c r="G428" s="28">
        <v>0</v>
      </c>
      <c r="H428" s="47">
        <v>0</v>
      </c>
      <c r="I428" s="28">
        <v>0</v>
      </c>
      <c r="J428" s="28">
        <v>0</v>
      </c>
      <c r="K428" s="28">
        <v>0</v>
      </c>
      <c r="L428" s="35" t="b">
        <v>0</v>
      </c>
      <c r="M428" s="28">
        <v>0</v>
      </c>
      <c r="N428" s="28">
        <v>0</v>
      </c>
      <c r="O428" s="47">
        <v>0</v>
      </c>
      <c r="P428" s="28">
        <v>0</v>
      </c>
      <c r="Q428" s="28">
        <v>0</v>
      </c>
      <c r="R428" s="28"/>
      <c r="S428" s="28" t="s">
        <v>481</v>
      </c>
      <c r="T428" s="36" t="str">
        <f>IFERROR(HYPERLINK("#'Main'!B"&amp;MATCH(TRIM(A428),Main!B:B,0),"Open"),HYPERLINK("#'Main'!B1","Open"))</f>
        <v>Open</v>
      </c>
      <c r="U428" s="36"/>
    </row>
    <row r="429" spans="1:21" ht="30" customHeight="1" x14ac:dyDescent="0.25">
      <c r="A429" s="46" t="s">
        <v>148</v>
      </c>
      <c r="B429" s="37" t="s">
        <v>479</v>
      </c>
      <c r="C429" s="39" t="s">
        <v>166</v>
      </c>
      <c r="D429" s="37" t="s">
        <v>650</v>
      </c>
      <c r="E429" s="47">
        <v>200</v>
      </c>
      <c r="F429" s="37" t="b">
        <v>1</v>
      </c>
      <c r="G429" s="37">
        <v>0</v>
      </c>
      <c r="H429" s="47">
        <v>0</v>
      </c>
      <c r="I429" s="37">
        <v>0</v>
      </c>
      <c r="J429" s="37">
        <v>0</v>
      </c>
      <c r="K429" s="37">
        <v>0</v>
      </c>
      <c r="L429" s="41" t="b">
        <v>0</v>
      </c>
      <c r="M429" s="37">
        <v>0</v>
      </c>
      <c r="N429" s="37">
        <v>0</v>
      </c>
      <c r="O429" s="47">
        <v>0</v>
      </c>
      <c r="P429" s="37">
        <v>0</v>
      </c>
      <c r="Q429" s="37">
        <v>0</v>
      </c>
      <c r="R429" s="37"/>
      <c r="S429" s="37" t="s">
        <v>481</v>
      </c>
      <c r="T429" t="str">
        <f>IFERROR(HYPERLINK("#'Main'!B"&amp;MATCH(TRIM(A429),Main!B:B,0),"Open"),HYPERLINK("#'Main'!B1","Open"))</f>
        <v>Open</v>
      </c>
    </row>
    <row r="430" spans="1:21" ht="30" customHeight="1" x14ac:dyDescent="0.25">
      <c r="A430" s="45" t="s">
        <v>148</v>
      </c>
      <c r="B430" s="28" t="s">
        <v>479</v>
      </c>
      <c r="C430" s="32" t="s">
        <v>200</v>
      </c>
      <c r="D430" s="28" t="s">
        <v>651</v>
      </c>
      <c r="E430" s="47">
        <v>200</v>
      </c>
      <c r="F430" s="28" t="b">
        <v>1</v>
      </c>
      <c r="G430" s="28">
        <v>0</v>
      </c>
      <c r="H430" s="47">
        <v>0</v>
      </c>
      <c r="I430" s="28">
        <v>0</v>
      </c>
      <c r="J430" s="28">
        <v>0</v>
      </c>
      <c r="K430" s="28">
        <v>0</v>
      </c>
      <c r="L430" s="35" t="b">
        <v>0</v>
      </c>
      <c r="M430" s="28">
        <v>0</v>
      </c>
      <c r="N430" s="28">
        <v>0</v>
      </c>
      <c r="O430" s="47">
        <v>0</v>
      </c>
      <c r="P430" s="28">
        <v>0</v>
      </c>
      <c r="Q430" s="28">
        <v>0</v>
      </c>
      <c r="R430" s="28"/>
      <c r="S430" s="28" t="s">
        <v>481</v>
      </c>
      <c r="T430" s="36" t="str">
        <f>IFERROR(HYPERLINK("#'Main'!B"&amp;MATCH(TRIM(A430),Main!B:B,0),"Open"),HYPERLINK("#'Main'!B1","Open"))</f>
        <v>Open</v>
      </c>
      <c r="U430" s="36"/>
    </row>
    <row r="431" spans="1:21" ht="30" customHeight="1" x14ac:dyDescent="0.25">
      <c r="A431" s="46" t="s">
        <v>148</v>
      </c>
      <c r="B431" s="37" t="s">
        <v>479</v>
      </c>
      <c r="C431" s="39" t="s">
        <v>612</v>
      </c>
      <c r="D431" s="37" t="s">
        <v>652</v>
      </c>
      <c r="E431" s="47">
        <v>200</v>
      </c>
      <c r="F431" s="37" t="b">
        <v>1</v>
      </c>
      <c r="G431" s="37">
        <v>0</v>
      </c>
      <c r="H431" s="47">
        <v>0</v>
      </c>
      <c r="I431" s="37">
        <v>0</v>
      </c>
      <c r="J431" s="37">
        <v>0</v>
      </c>
      <c r="K431" s="37">
        <v>0</v>
      </c>
      <c r="L431" s="41" t="b">
        <v>0</v>
      </c>
      <c r="M431" s="37">
        <v>0</v>
      </c>
      <c r="N431" s="37">
        <v>0</v>
      </c>
      <c r="O431" s="47">
        <v>0</v>
      </c>
      <c r="P431" s="37">
        <v>0</v>
      </c>
      <c r="Q431" s="37">
        <v>0</v>
      </c>
      <c r="R431" s="37"/>
      <c r="S431" s="37" t="s">
        <v>481</v>
      </c>
      <c r="T431" t="str">
        <f>IFERROR(HYPERLINK("#'Main'!B"&amp;MATCH(TRIM(A431),Main!B:B,0),"Open"),HYPERLINK("#'Main'!B1","Open"))</f>
        <v>Open</v>
      </c>
    </row>
    <row r="432" spans="1:21" ht="30" customHeight="1" x14ac:dyDescent="0.25">
      <c r="A432" s="45" t="s">
        <v>148</v>
      </c>
      <c r="B432" s="28" t="s">
        <v>479</v>
      </c>
      <c r="C432" s="32" t="s">
        <v>636</v>
      </c>
      <c r="D432" s="28" t="s">
        <v>653</v>
      </c>
      <c r="E432" s="47">
        <v>200</v>
      </c>
      <c r="F432" s="28" t="b">
        <v>1</v>
      </c>
      <c r="G432" s="28">
        <v>0</v>
      </c>
      <c r="H432" s="47">
        <v>0</v>
      </c>
      <c r="I432" s="28">
        <v>0</v>
      </c>
      <c r="J432" s="28">
        <v>0</v>
      </c>
      <c r="K432" s="28">
        <v>0</v>
      </c>
      <c r="L432" s="35" t="b">
        <v>0</v>
      </c>
      <c r="M432" s="28">
        <v>0</v>
      </c>
      <c r="N432" s="28">
        <v>0</v>
      </c>
      <c r="O432" s="47">
        <v>0</v>
      </c>
      <c r="P432" s="28">
        <v>0</v>
      </c>
      <c r="Q432" s="28">
        <v>0</v>
      </c>
      <c r="R432" s="28"/>
      <c r="S432" s="28" t="s">
        <v>481</v>
      </c>
      <c r="T432" s="36" t="str">
        <f>IFERROR(HYPERLINK("#'Main'!B"&amp;MATCH(TRIM(A432),Main!B:B,0),"Open"),HYPERLINK("#'Main'!B1","Open"))</f>
        <v>Open</v>
      </c>
      <c r="U432" s="36"/>
    </row>
    <row r="433" spans="1:21" ht="30" customHeight="1" x14ac:dyDescent="0.25">
      <c r="A433" s="46" t="s">
        <v>148</v>
      </c>
      <c r="B433" s="37" t="s">
        <v>479</v>
      </c>
      <c r="C433" s="39" t="s">
        <v>201</v>
      </c>
      <c r="D433" s="37" t="s">
        <v>274</v>
      </c>
      <c r="E433" s="47">
        <v>200</v>
      </c>
      <c r="F433" s="37" t="b">
        <v>1</v>
      </c>
      <c r="G433" s="37">
        <v>0</v>
      </c>
      <c r="H433" s="47">
        <v>0</v>
      </c>
      <c r="I433" s="37">
        <v>0</v>
      </c>
      <c r="J433" s="37">
        <v>0</v>
      </c>
      <c r="K433" s="37">
        <v>0</v>
      </c>
      <c r="L433" s="41" t="b">
        <v>0</v>
      </c>
      <c r="M433" s="37">
        <v>0</v>
      </c>
      <c r="N433" s="37">
        <v>0</v>
      </c>
      <c r="O433" s="47">
        <v>0</v>
      </c>
      <c r="P433" s="37">
        <v>0</v>
      </c>
      <c r="Q433" s="37">
        <v>0</v>
      </c>
      <c r="R433" s="37"/>
      <c r="S433" s="37" t="s">
        <v>481</v>
      </c>
      <c r="T433" t="str">
        <f>IFERROR(HYPERLINK("#'Main'!B"&amp;MATCH(TRIM(A433),Main!B:B,0),"Open"),HYPERLINK("#'Main'!B1","Open"))</f>
        <v>Open</v>
      </c>
    </row>
    <row r="434" spans="1:21" ht="30" customHeight="1" x14ac:dyDescent="0.25">
      <c r="A434" s="45" t="s">
        <v>148</v>
      </c>
      <c r="B434" s="28" t="s">
        <v>479</v>
      </c>
      <c r="C434" s="32" t="s">
        <v>654</v>
      </c>
      <c r="D434" s="28" t="s">
        <v>655</v>
      </c>
      <c r="E434" s="47">
        <v>200</v>
      </c>
      <c r="F434" s="28" t="b">
        <v>1</v>
      </c>
      <c r="G434" s="28">
        <v>0</v>
      </c>
      <c r="H434" s="47">
        <v>0</v>
      </c>
      <c r="I434" s="28">
        <v>0</v>
      </c>
      <c r="J434" s="28">
        <v>0</v>
      </c>
      <c r="K434" s="28">
        <v>0</v>
      </c>
      <c r="L434" s="35" t="b">
        <v>0</v>
      </c>
      <c r="M434" s="28">
        <v>0</v>
      </c>
      <c r="N434" s="28">
        <v>0</v>
      </c>
      <c r="O434" s="47">
        <v>0</v>
      </c>
      <c r="P434" s="28">
        <v>0</v>
      </c>
      <c r="Q434" s="28">
        <v>0</v>
      </c>
      <c r="R434" s="28"/>
      <c r="S434" s="28" t="s">
        <v>481</v>
      </c>
      <c r="T434" s="36" t="str">
        <f>IFERROR(HYPERLINK("#'Main'!B"&amp;MATCH(TRIM(A434),Main!B:B,0),"Open"),HYPERLINK("#'Main'!B1","Open"))</f>
        <v>Open</v>
      </c>
      <c r="U434" s="36"/>
    </row>
    <row r="435" spans="1:21" ht="30" customHeight="1" x14ac:dyDescent="0.25">
      <c r="A435" s="46" t="s">
        <v>148</v>
      </c>
      <c r="B435" s="37" t="s">
        <v>479</v>
      </c>
      <c r="C435" s="39" t="s">
        <v>634</v>
      </c>
      <c r="D435" s="37" t="s">
        <v>656</v>
      </c>
      <c r="E435" s="47">
        <v>200</v>
      </c>
      <c r="F435" s="37" t="b">
        <v>1</v>
      </c>
      <c r="G435" s="37">
        <v>0</v>
      </c>
      <c r="H435" s="47">
        <v>0</v>
      </c>
      <c r="I435" s="37">
        <v>0</v>
      </c>
      <c r="J435" s="37">
        <v>0</v>
      </c>
      <c r="K435" s="37">
        <v>0</v>
      </c>
      <c r="L435" s="41" t="b">
        <v>0</v>
      </c>
      <c r="M435" s="37">
        <v>0</v>
      </c>
      <c r="N435" s="37">
        <v>0</v>
      </c>
      <c r="O435" s="47">
        <v>0</v>
      </c>
      <c r="P435" s="37">
        <v>0</v>
      </c>
      <c r="Q435" s="37">
        <v>0</v>
      </c>
      <c r="R435" s="37"/>
      <c r="S435" s="37" t="s">
        <v>481</v>
      </c>
      <c r="T435" t="str">
        <f>IFERROR(HYPERLINK("#'Main'!B"&amp;MATCH(TRIM(A435),Main!B:B,0),"Open"),HYPERLINK("#'Main'!B1","Open"))</f>
        <v>Open</v>
      </c>
    </row>
    <row r="436" spans="1:21" ht="30" customHeight="1" x14ac:dyDescent="0.25">
      <c r="A436" s="45" t="s">
        <v>148</v>
      </c>
      <c r="B436" s="28" t="s">
        <v>479</v>
      </c>
      <c r="C436" s="32" t="s">
        <v>200</v>
      </c>
      <c r="D436" s="28" t="s">
        <v>657</v>
      </c>
      <c r="E436" s="47">
        <v>200</v>
      </c>
      <c r="F436" s="28" t="b">
        <v>1</v>
      </c>
      <c r="G436" s="28">
        <v>0</v>
      </c>
      <c r="H436" s="47">
        <v>0</v>
      </c>
      <c r="I436" s="28">
        <v>0</v>
      </c>
      <c r="J436" s="28">
        <v>0</v>
      </c>
      <c r="K436" s="28">
        <v>0</v>
      </c>
      <c r="L436" s="35" t="b">
        <v>0</v>
      </c>
      <c r="M436" s="28">
        <v>0</v>
      </c>
      <c r="N436" s="28">
        <v>0</v>
      </c>
      <c r="O436" s="47">
        <v>0</v>
      </c>
      <c r="P436" s="28">
        <v>0</v>
      </c>
      <c r="Q436" s="28">
        <v>0</v>
      </c>
      <c r="R436" s="28"/>
      <c r="S436" s="28" t="s">
        <v>481</v>
      </c>
      <c r="T436" s="36" t="str">
        <f>IFERROR(HYPERLINK("#'Main'!B"&amp;MATCH(TRIM(A436),Main!B:B,0),"Open"),HYPERLINK("#'Main'!B1","Open"))</f>
        <v>Open</v>
      </c>
      <c r="U436" s="36"/>
    </row>
    <row r="437" spans="1:21" ht="30" customHeight="1" x14ac:dyDescent="0.25">
      <c r="A437" s="46" t="s">
        <v>148</v>
      </c>
      <c r="B437" s="37" t="s">
        <v>479</v>
      </c>
      <c r="C437" s="39" t="s">
        <v>494</v>
      </c>
      <c r="D437" s="37" t="s">
        <v>495</v>
      </c>
      <c r="E437" s="47">
        <v>200</v>
      </c>
      <c r="F437" s="37" t="b">
        <v>1</v>
      </c>
      <c r="G437" s="37">
        <v>0</v>
      </c>
      <c r="H437" s="47">
        <v>0</v>
      </c>
      <c r="I437" s="37">
        <v>0</v>
      </c>
      <c r="J437" s="37">
        <v>0</v>
      </c>
      <c r="K437" s="37">
        <v>0</v>
      </c>
      <c r="L437" s="41" t="b">
        <v>0</v>
      </c>
      <c r="M437" s="37">
        <v>0</v>
      </c>
      <c r="N437" s="37">
        <v>0</v>
      </c>
      <c r="O437" s="47">
        <v>0</v>
      </c>
      <c r="P437" s="37">
        <v>0</v>
      </c>
      <c r="Q437" s="37">
        <v>0</v>
      </c>
      <c r="R437" s="37"/>
      <c r="S437" s="37" t="s">
        <v>481</v>
      </c>
      <c r="T437" t="str">
        <f>IFERROR(HYPERLINK("#'Main'!B"&amp;MATCH(TRIM(A437),Main!B:B,0),"Open"),HYPERLINK("#'Main'!B1","Open"))</f>
        <v>Open</v>
      </c>
    </row>
    <row r="438" spans="1:21" ht="30" customHeight="1" x14ac:dyDescent="0.25">
      <c r="A438" s="45" t="s">
        <v>148</v>
      </c>
      <c r="B438" s="28" t="s">
        <v>479</v>
      </c>
      <c r="C438" s="32" t="s">
        <v>496</v>
      </c>
      <c r="D438" s="28"/>
      <c r="E438" s="28">
        <v>0</v>
      </c>
      <c r="F438" s="28" t="b">
        <v>1</v>
      </c>
      <c r="G438" s="28">
        <v>0</v>
      </c>
      <c r="H438" s="47">
        <v>0</v>
      </c>
      <c r="I438" s="28">
        <v>0</v>
      </c>
      <c r="J438" s="28">
        <v>0</v>
      </c>
      <c r="K438" s="28">
        <v>0</v>
      </c>
      <c r="L438" s="35" t="b">
        <v>0</v>
      </c>
      <c r="M438" s="28">
        <v>0</v>
      </c>
      <c r="N438" s="28">
        <v>0</v>
      </c>
      <c r="O438" s="47">
        <v>0</v>
      </c>
      <c r="P438" s="28">
        <v>0</v>
      </c>
      <c r="Q438" s="28">
        <v>0</v>
      </c>
      <c r="R438" s="28"/>
      <c r="S438" s="28" t="s">
        <v>481</v>
      </c>
      <c r="T438" s="36" t="str">
        <f>IFERROR(HYPERLINK("#'Main'!B"&amp;MATCH(TRIM(A438),Main!B:B,0),"Open"),HYPERLINK("#'Main'!B1","Open"))</f>
        <v>Open</v>
      </c>
      <c r="U438" s="36"/>
    </row>
    <row r="439" spans="1:21" ht="30" customHeight="1" x14ac:dyDescent="0.25">
      <c r="A439" s="46" t="s">
        <v>148</v>
      </c>
      <c r="B439" s="37" t="s">
        <v>479</v>
      </c>
      <c r="C439" s="39" t="s">
        <v>497</v>
      </c>
      <c r="D439" s="37"/>
      <c r="E439" s="37">
        <v>0</v>
      </c>
      <c r="F439" s="37" t="b">
        <v>1</v>
      </c>
      <c r="G439" s="37">
        <v>0</v>
      </c>
      <c r="H439" s="47">
        <v>0</v>
      </c>
      <c r="I439" s="37">
        <v>0</v>
      </c>
      <c r="J439" s="37">
        <v>0</v>
      </c>
      <c r="K439" s="37">
        <v>0</v>
      </c>
      <c r="L439" s="41" t="b">
        <v>0</v>
      </c>
      <c r="M439" s="37">
        <v>0</v>
      </c>
      <c r="N439" s="37">
        <v>0</v>
      </c>
      <c r="O439" s="47">
        <v>0</v>
      </c>
      <c r="P439" s="37">
        <v>0</v>
      </c>
      <c r="Q439" s="37">
        <v>0</v>
      </c>
      <c r="R439" s="37"/>
      <c r="S439" s="37" t="s">
        <v>481</v>
      </c>
      <c r="T439" t="str">
        <f>IFERROR(HYPERLINK("#'Main'!B"&amp;MATCH(TRIM(A439),Main!B:B,0),"Open"),HYPERLINK("#'Main'!B1","Open"))</f>
        <v>Open</v>
      </c>
    </row>
    <row r="440" spans="1:21" ht="30" customHeight="1" x14ac:dyDescent="0.25">
      <c r="A440" s="45" t="s">
        <v>148</v>
      </c>
      <c r="B440" s="28" t="s">
        <v>479</v>
      </c>
      <c r="C440" s="32" t="s">
        <v>499</v>
      </c>
      <c r="D440" s="28" t="s">
        <v>526</v>
      </c>
      <c r="E440" s="47">
        <v>200</v>
      </c>
      <c r="F440" s="28" t="b">
        <v>1</v>
      </c>
      <c r="G440" s="28">
        <v>0</v>
      </c>
      <c r="H440" s="47">
        <v>0</v>
      </c>
      <c r="I440" s="28">
        <v>0</v>
      </c>
      <c r="J440" s="28">
        <v>0</v>
      </c>
      <c r="K440" s="28">
        <v>0</v>
      </c>
      <c r="L440" s="35" t="b">
        <v>0</v>
      </c>
      <c r="M440" s="28">
        <v>0</v>
      </c>
      <c r="N440" s="28">
        <v>0</v>
      </c>
      <c r="O440" s="47">
        <v>0</v>
      </c>
      <c r="P440" s="28">
        <v>0</v>
      </c>
      <c r="Q440" s="28">
        <v>0</v>
      </c>
      <c r="R440" s="28"/>
      <c r="S440" s="28" t="s">
        <v>481</v>
      </c>
      <c r="T440" s="36" t="str">
        <f>IFERROR(HYPERLINK("#'Main'!B"&amp;MATCH(TRIM(A440),Main!B:B,0),"Open"),HYPERLINK("#'Main'!B1","Open"))</f>
        <v>Open</v>
      </c>
      <c r="U440" s="36"/>
    </row>
    <row r="441" spans="1:21" ht="30" customHeight="1" x14ac:dyDescent="0.25">
      <c r="A441" s="46" t="s">
        <v>148</v>
      </c>
      <c r="B441" s="37" t="s">
        <v>479</v>
      </c>
      <c r="C441" s="39" t="s">
        <v>501</v>
      </c>
      <c r="D441" s="37" t="s">
        <v>502</v>
      </c>
      <c r="E441" s="29">
        <v>404</v>
      </c>
      <c r="F441" s="37" t="b">
        <v>0</v>
      </c>
      <c r="G441" s="37">
        <v>0</v>
      </c>
      <c r="H441" s="47">
        <v>0</v>
      </c>
      <c r="I441" s="37">
        <v>0</v>
      </c>
      <c r="J441" s="37">
        <v>0</v>
      </c>
      <c r="K441" s="37">
        <v>0</v>
      </c>
      <c r="L441" s="41" t="b">
        <v>0</v>
      </c>
      <c r="M441" s="37">
        <v>0</v>
      </c>
      <c r="N441" s="37">
        <v>0</v>
      </c>
      <c r="O441" s="47">
        <v>0</v>
      </c>
      <c r="P441" s="37">
        <v>0</v>
      </c>
      <c r="Q441" s="37">
        <v>0</v>
      </c>
      <c r="R441" s="37"/>
      <c r="S441" s="37" t="s">
        <v>481</v>
      </c>
      <c r="T441" t="str">
        <f>IFERROR(HYPERLINK("#'Main'!B"&amp;MATCH(TRIM(A441),Main!B:B,0),"Open"),HYPERLINK("#'Main'!B1","Open"))</f>
        <v>Open</v>
      </c>
    </row>
    <row r="442" spans="1:21" ht="30" customHeight="1" x14ac:dyDescent="0.25">
      <c r="A442" s="45" t="s">
        <v>148</v>
      </c>
      <c r="B442" s="28" t="s">
        <v>479</v>
      </c>
      <c r="C442" s="32" t="s">
        <v>501</v>
      </c>
      <c r="D442" s="28" t="s">
        <v>503</v>
      </c>
      <c r="E442" s="29">
        <v>404</v>
      </c>
      <c r="F442" s="28" t="b">
        <v>0</v>
      </c>
      <c r="G442" s="28">
        <v>0</v>
      </c>
      <c r="H442" s="47">
        <v>0</v>
      </c>
      <c r="I442" s="28">
        <v>0</v>
      </c>
      <c r="J442" s="28">
        <v>0</v>
      </c>
      <c r="K442" s="28">
        <v>0</v>
      </c>
      <c r="L442" s="35" t="b">
        <v>0</v>
      </c>
      <c r="M442" s="28">
        <v>0</v>
      </c>
      <c r="N442" s="28">
        <v>0</v>
      </c>
      <c r="O442" s="47">
        <v>0</v>
      </c>
      <c r="P442" s="28">
        <v>0</v>
      </c>
      <c r="Q442" s="28">
        <v>0</v>
      </c>
      <c r="R442" s="28"/>
      <c r="S442" s="28" t="s">
        <v>481</v>
      </c>
      <c r="T442" s="36" t="str">
        <f>IFERROR(HYPERLINK("#'Main'!B"&amp;MATCH(TRIM(A442),Main!B:B,0),"Open"),HYPERLINK("#'Main'!B1","Open"))</f>
        <v>Open</v>
      </c>
      <c r="U442" s="36"/>
    </row>
    <row r="443" spans="1:21" ht="30" customHeight="1" x14ac:dyDescent="0.25">
      <c r="A443" s="46" t="s">
        <v>201</v>
      </c>
      <c r="B443" s="37" t="s">
        <v>479</v>
      </c>
      <c r="C443" s="39" t="s">
        <v>166</v>
      </c>
      <c r="D443" s="37" t="s">
        <v>650</v>
      </c>
      <c r="E443" s="47">
        <v>200</v>
      </c>
      <c r="F443" s="37" t="b">
        <v>1</v>
      </c>
      <c r="G443" s="37">
        <v>0</v>
      </c>
      <c r="H443" s="47">
        <v>0</v>
      </c>
      <c r="I443" s="37">
        <v>0</v>
      </c>
      <c r="J443" s="37">
        <v>0</v>
      </c>
      <c r="K443" s="37">
        <v>0</v>
      </c>
      <c r="L443" s="41" t="b">
        <v>0</v>
      </c>
      <c r="M443" s="37">
        <v>0</v>
      </c>
      <c r="N443" s="37">
        <v>0</v>
      </c>
      <c r="O443" s="47">
        <v>0</v>
      </c>
      <c r="P443" s="37">
        <v>0</v>
      </c>
      <c r="Q443" s="37">
        <v>0</v>
      </c>
      <c r="R443" s="37"/>
      <c r="S443" s="37" t="s">
        <v>481</v>
      </c>
      <c r="T443" t="str">
        <f>IFERROR(HYPERLINK("#'Main'!B"&amp;MATCH(TRIM(A443),Main!B:B,0),"Open"),HYPERLINK("#'Main'!B1","Open"))</f>
        <v>Open</v>
      </c>
    </row>
    <row r="444" spans="1:21" ht="30" customHeight="1" x14ac:dyDescent="0.25">
      <c r="A444" s="45" t="s">
        <v>201</v>
      </c>
      <c r="B444" s="28" t="s">
        <v>479</v>
      </c>
      <c r="C444" s="32" t="s">
        <v>200</v>
      </c>
      <c r="D444" s="28" t="s">
        <v>651</v>
      </c>
      <c r="E444" s="47">
        <v>200</v>
      </c>
      <c r="F444" s="28" t="b">
        <v>1</v>
      </c>
      <c r="G444" s="28">
        <v>0</v>
      </c>
      <c r="H444" s="47">
        <v>0</v>
      </c>
      <c r="I444" s="28">
        <v>0</v>
      </c>
      <c r="J444" s="28">
        <v>0</v>
      </c>
      <c r="K444" s="28">
        <v>0</v>
      </c>
      <c r="L444" s="35" t="b">
        <v>0</v>
      </c>
      <c r="M444" s="28">
        <v>0</v>
      </c>
      <c r="N444" s="28">
        <v>0</v>
      </c>
      <c r="O444" s="47">
        <v>0</v>
      </c>
      <c r="P444" s="28">
        <v>0</v>
      </c>
      <c r="Q444" s="28">
        <v>0</v>
      </c>
      <c r="R444" s="28"/>
      <c r="S444" s="28" t="s">
        <v>481</v>
      </c>
      <c r="T444" s="36" t="str">
        <f>IFERROR(HYPERLINK("#'Main'!B"&amp;MATCH(TRIM(A444),Main!B:B,0),"Open"),HYPERLINK("#'Main'!B1","Open"))</f>
        <v>Open</v>
      </c>
      <c r="U444" s="36"/>
    </row>
    <row r="445" spans="1:21" ht="30" customHeight="1" x14ac:dyDescent="0.25">
      <c r="A445" s="46" t="s">
        <v>201</v>
      </c>
      <c r="B445" s="37" t="s">
        <v>479</v>
      </c>
      <c r="C445" s="39" t="s">
        <v>612</v>
      </c>
      <c r="D445" s="37" t="s">
        <v>652</v>
      </c>
      <c r="E445" s="47">
        <v>200</v>
      </c>
      <c r="F445" s="37" t="b">
        <v>1</v>
      </c>
      <c r="G445" s="37">
        <v>0</v>
      </c>
      <c r="H445" s="47">
        <v>0</v>
      </c>
      <c r="I445" s="37">
        <v>0</v>
      </c>
      <c r="J445" s="37">
        <v>0</v>
      </c>
      <c r="K445" s="37">
        <v>0</v>
      </c>
      <c r="L445" s="41" t="b">
        <v>0</v>
      </c>
      <c r="M445" s="37">
        <v>0</v>
      </c>
      <c r="N445" s="37">
        <v>0</v>
      </c>
      <c r="O445" s="47">
        <v>0</v>
      </c>
      <c r="P445" s="37">
        <v>0</v>
      </c>
      <c r="Q445" s="37">
        <v>0</v>
      </c>
      <c r="R445" s="37"/>
      <c r="S445" s="37" t="s">
        <v>481</v>
      </c>
      <c r="T445" t="str">
        <f>IFERROR(HYPERLINK("#'Main'!B"&amp;MATCH(TRIM(A445),Main!B:B,0),"Open"),HYPERLINK("#'Main'!B1","Open"))</f>
        <v>Open</v>
      </c>
    </row>
    <row r="446" spans="1:21" ht="30" customHeight="1" x14ac:dyDescent="0.25">
      <c r="A446" s="45" t="s">
        <v>201</v>
      </c>
      <c r="B446" s="28" t="s">
        <v>479</v>
      </c>
      <c r="C446" s="32" t="s">
        <v>636</v>
      </c>
      <c r="D446" s="28" t="s">
        <v>653</v>
      </c>
      <c r="E446" s="47">
        <v>200</v>
      </c>
      <c r="F446" s="28" t="b">
        <v>1</v>
      </c>
      <c r="G446" s="28">
        <v>0</v>
      </c>
      <c r="H446" s="47">
        <v>0</v>
      </c>
      <c r="I446" s="28">
        <v>0</v>
      </c>
      <c r="J446" s="28">
        <v>0</v>
      </c>
      <c r="K446" s="28">
        <v>0</v>
      </c>
      <c r="L446" s="35" t="b">
        <v>0</v>
      </c>
      <c r="M446" s="28">
        <v>0</v>
      </c>
      <c r="N446" s="28">
        <v>0</v>
      </c>
      <c r="O446" s="47">
        <v>0</v>
      </c>
      <c r="P446" s="28">
        <v>0</v>
      </c>
      <c r="Q446" s="28">
        <v>0</v>
      </c>
      <c r="R446" s="28"/>
      <c r="S446" s="28" t="s">
        <v>481</v>
      </c>
      <c r="T446" s="36" t="str">
        <f>IFERROR(HYPERLINK("#'Main'!B"&amp;MATCH(TRIM(A446),Main!B:B,0),"Open"),HYPERLINK("#'Main'!B1","Open"))</f>
        <v>Open</v>
      </c>
      <c r="U446" s="36"/>
    </row>
    <row r="447" spans="1:21" ht="30" customHeight="1" x14ac:dyDescent="0.25">
      <c r="A447" s="46" t="s">
        <v>201</v>
      </c>
      <c r="B447" s="37" t="s">
        <v>479</v>
      </c>
      <c r="C447" s="39" t="s">
        <v>201</v>
      </c>
      <c r="D447" s="37" t="s">
        <v>274</v>
      </c>
      <c r="E447" s="47">
        <v>200</v>
      </c>
      <c r="F447" s="37" t="b">
        <v>1</v>
      </c>
      <c r="G447" s="37">
        <v>0</v>
      </c>
      <c r="H447" s="47">
        <v>0</v>
      </c>
      <c r="I447" s="37">
        <v>0</v>
      </c>
      <c r="J447" s="37">
        <v>0</v>
      </c>
      <c r="K447" s="37">
        <v>0</v>
      </c>
      <c r="L447" s="41" t="b">
        <v>0</v>
      </c>
      <c r="M447" s="37">
        <v>0</v>
      </c>
      <c r="N447" s="37">
        <v>0</v>
      </c>
      <c r="O447" s="47">
        <v>0</v>
      </c>
      <c r="P447" s="37">
        <v>0</v>
      </c>
      <c r="Q447" s="37">
        <v>0</v>
      </c>
      <c r="R447" s="37"/>
      <c r="S447" s="37" t="s">
        <v>481</v>
      </c>
      <c r="T447" t="str">
        <f>IFERROR(HYPERLINK("#'Main'!B"&amp;MATCH(TRIM(A447),Main!B:B,0),"Open"),HYPERLINK("#'Main'!B1","Open"))</f>
        <v>Open</v>
      </c>
    </row>
    <row r="448" spans="1:21" ht="30" customHeight="1" x14ac:dyDescent="0.25">
      <c r="A448" s="45" t="s">
        <v>201</v>
      </c>
      <c r="B448" s="28" t="s">
        <v>479</v>
      </c>
      <c r="C448" s="32" t="s">
        <v>654</v>
      </c>
      <c r="D448" s="28" t="s">
        <v>655</v>
      </c>
      <c r="E448" s="47">
        <v>200</v>
      </c>
      <c r="F448" s="28" t="b">
        <v>1</v>
      </c>
      <c r="G448" s="28">
        <v>0</v>
      </c>
      <c r="H448" s="47">
        <v>0</v>
      </c>
      <c r="I448" s="28">
        <v>0</v>
      </c>
      <c r="J448" s="28">
        <v>0</v>
      </c>
      <c r="K448" s="28">
        <v>0</v>
      </c>
      <c r="L448" s="35" t="b">
        <v>0</v>
      </c>
      <c r="M448" s="28">
        <v>0</v>
      </c>
      <c r="N448" s="28">
        <v>0</v>
      </c>
      <c r="O448" s="47">
        <v>0</v>
      </c>
      <c r="P448" s="28">
        <v>0</v>
      </c>
      <c r="Q448" s="28">
        <v>0</v>
      </c>
      <c r="R448" s="28"/>
      <c r="S448" s="28" t="s">
        <v>481</v>
      </c>
      <c r="T448" s="36" t="str">
        <f>IFERROR(HYPERLINK("#'Main'!B"&amp;MATCH(TRIM(A448),Main!B:B,0),"Open"),HYPERLINK("#'Main'!B1","Open"))</f>
        <v>Open</v>
      </c>
      <c r="U448" s="36"/>
    </row>
    <row r="449" spans="1:21" ht="30" customHeight="1" x14ac:dyDescent="0.25">
      <c r="A449" s="46" t="s">
        <v>201</v>
      </c>
      <c r="B449" s="37" t="s">
        <v>479</v>
      </c>
      <c r="C449" s="39" t="s">
        <v>634</v>
      </c>
      <c r="D449" s="37" t="s">
        <v>656</v>
      </c>
      <c r="E449" s="47">
        <v>200</v>
      </c>
      <c r="F449" s="37" t="b">
        <v>1</v>
      </c>
      <c r="G449" s="37">
        <v>0</v>
      </c>
      <c r="H449" s="47">
        <v>0</v>
      </c>
      <c r="I449" s="37">
        <v>0</v>
      </c>
      <c r="J449" s="37">
        <v>0</v>
      </c>
      <c r="K449" s="37">
        <v>0</v>
      </c>
      <c r="L449" s="41" t="b">
        <v>0</v>
      </c>
      <c r="M449" s="37">
        <v>0</v>
      </c>
      <c r="N449" s="37">
        <v>0</v>
      </c>
      <c r="O449" s="47">
        <v>0</v>
      </c>
      <c r="P449" s="37">
        <v>0</v>
      </c>
      <c r="Q449" s="37">
        <v>0</v>
      </c>
      <c r="R449" s="37"/>
      <c r="S449" s="37" t="s">
        <v>481</v>
      </c>
      <c r="T449" t="str">
        <f>IFERROR(HYPERLINK("#'Main'!B"&amp;MATCH(TRIM(A449),Main!B:B,0),"Open"),HYPERLINK("#'Main'!B1","Open"))</f>
        <v>Open</v>
      </c>
    </row>
    <row r="450" spans="1:21" ht="30" customHeight="1" x14ac:dyDescent="0.25">
      <c r="A450" s="45" t="s">
        <v>201</v>
      </c>
      <c r="B450" s="28" t="s">
        <v>479</v>
      </c>
      <c r="C450" s="32" t="s">
        <v>166</v>
      </c>
      <c r="D450" s="28" t="s">
        <v>650</v>
      </c>
      <c r="E450" s="47">
        <v>200</v>
      </c>
      <c r="F450" s="28" t="b">
        <v>1</v>
      </c>
      <c r="G450" s="28">
        <v>0</v>
      </c>
      <c r="H450" s="47">
        <v>0</v>
      </c>
      <c r="I450" s="28">
        <v>0</v>
      </c>
      <c r="J450" s="28">
        <v>0</v>
      </c>
      <c r="K450" s="28">
        <v>0</v>
      </c>
      <c r="L450" s="35" t="b">
        <v>0</v>
      </c>
      <c r="M450" s="28">
        <v>0</v>
      </c>
      <c r="N450" s="28">
        <v>0</v>
      </c>
      <c r="O450" s="47">
        <v>0</v>
      </c>
      <c r="P450" s="28">
        <v>0</v>
      </c>
      <c r="Q450" s="28">
        <v>0</v>
      </c>
      <c r="R450" s="28"/>
      <c r="S450" s="28" t="s">
        <v>481</v>
      </c>
      <c r="T450" s="36" t="str">
        <f>IFERROR(HYPERLINK("#'Main'!B"&amp;MATCH(TRIM(A450),Main!B:B,0),"Open"),HYPERLINK("#'Main'!B1","Open"))</f>
        <v>Open</v>
      </c>
      <c r="U450" s="36"/>
    </row>
    <row r="451" spans="1:21" ht="30" customHeight="1" x14ac:dyDescent="0.25">
      <c r="A451" s="46" t="s">
        <v>201</v>
      </c>
      <c r="B451" s="37" t="s">
        <v>479</v>
      </c>
      <c r="C451" s="39" t="s">
        <v>200</v>
      </c>
      <c r="D451" s="37" t="s">
        <v>651</v>
      </c>
      <c r="E451" s="47">
        <v>200</v>
      </c>
      <c r="F451" s="37" t="b">
        <v>1</v>
      </c>
      <c r="G451" s="37">
        <v>0</v>
      </c>
      <c r="H451" s="47">
        <v>0</v>
      </c>
      <c r="I451" s="37">
        <v>0</v>
      </c>
      <c r="J451" s="37">
        <v>0</v>
      </c>
      <c r="K451" s="37">
        <v>0</v>
      </c>
      <c r="L451" s="41" t="b">
        <v>0</v>
      </c>
      <c r="M451" s="37">
        <v>0</v>
      </c>
      <c r="N451" s="37">
        <v>0</v>
      </c>
      <c r="O451" s="47">
        <v>0</v>
      </c>
      <c r="P451" s="37">
        <v>0</v>
      </c>
      <c r="Q451" s="37">
        <v>0</v>
      </c>
      <c r="R451" s="37"/>
      <c r="S451" s="37" t="s">
        <v>481</v>
      </c>
      <c r="T451" t="str">
        <f>IFERROR(HYPERLINK("#'Main'!B"&amp;MATCH(TRIM(A451),Main!B:B,0),"Open"),HYPERLINK("#'Main'!B1","Open"))</f>
        <v>Open</v>
      </c>
    </row>
    <row r="452" spans="1:21" ht="30" customHeight="1" x14ac:dyDescent="0.25">
      <c r="A452" s="45" t="s">
        <v>201</v>
      </c>
      <c r="B452" s="28" t="s">
        <v>479</v>
      </c>
      <c r="C452" s="32" t="s">
        <v>612</v>
      </c>
      <c r="D452" s="28" t="s">
        <v>652</v>
      </c>
      <c r="E452" s="47">
        <v>200</v>
      </c>
      <c r="F452" s="28" t="b">
        <v>1</v>
      </c>
      <c r="G452" s="28">
        <v>0</v>
      </c>
      <c r="H452" s="47">
        <v>0</v>
      </c>
      <c r="I452" s="28">
        <v>0</v>
      </c>
      <c r="J452" s="28">
        <v>0</v>
      </c>
      <c r="K452" s="28">
        <v>0</v>
      </c>
      <c r="L452" s="35" t="b">
        <v>0</v>
      </c>
      <c r="M452" s="28">
        <v>0</v>
      </c>
      <c r="N452" s="28">
        <v>0</v>
      </c>
      <c r="O452" s="47">
        <v>0</v>
      </c>
      <c r="P452" s="28">
        <v>0</v>
      </c>
      <c r="Q452" s="28">
        <v>0</v>
      </c>
      <c r="R452" s="28"/>
      <c r="S452" s="28" t="s">
        <v>481</v>
      </c>
      <c r="T452" s="36" t="str">
        <f>IFERROR(HYPERLINK("#'Main'!B"&amp;MATCH(TRIM(A452),Main!B:B,0),"Open"),HYPERLINK("#'Main'!B1","Open"))</f>
        <v>Open</v>
      </c>
      <c r="U452" s="36"/>
    </row>
    <row r="453" spans="1:21" ht="30" customHeight="1" x14ac:dyDescent="0.25">
      <c r="A453" s="46" t="s">
        <v>201</v>
      </c>
      <c r="B453" s="37" t="s">
        <v>479</v>
      </c>
      <c r="C453" s="39" t="s">
        <v>636</v>
      </c>
      <c r="D453" s="37" t="s">
        <v>653</v>
      </c>
      <c r="E453" s="47">
        <v>200</v>
      </c>
      <c r="F453" s="37" t="b">
        <v>1</v>
      </c>
      <c r="G453" s="37">
        <v>0</v>
      </c>
      <c r="H453" s="47">
        <v>0</v>
      </c>
      <c r="I453" s="37">
        <v>0</v>
      </c>
      <c r="J453" s="37">
        <v>0</v>
      </c>
      <c r="K453" s="37">
        <v>0</v>
      </c>
      <c r="L453" s="41" t="b">
        <v>0</v>
      </c>
      <c r="M453" s="37">
        <v>0</v>
      </c>
      <c r="N453" s="37">
        <v>0</v>
      </c>
      <c r="O453" s="47">
        <v>0</v>
      </c>
      <c r="P453" s="37">
        <v>0</v>
      </c>
      <c r="Q453" s="37">
        <v>0</v>
      </c>
      <c r="R453" s="37"/>
      <c r="S453" s="37" t="s">
        <v>481</v>
      </c>
      <c r="T453" t="str">
        <f>IFERROR(HYPERLINK("#'Main'!B"&amp;MATCH(TRIM(A453),Main!B:B,0),"Open"),HYPERLINK("#'Main'!B1","Open"))</f>
        <v>Open</v>
      </c>
    </row>
    <row r="454" spans="1:21" ht="30" customHeight="1" x14ac:dyDescent="0.25">
      <c r="A454" s="45" t="s">
        <v>201</v>
      </c>
      <c r="B454" s="28" t="s">
        <v>479</v>
      </c>
      <c r="C454" s="32" t="s">
        <v>201</v>
      </c>
      <c r="D454" s="28" t="s">
        <v>274</v>
      </c>
      <c r="E454" s="47">
        <v>200</v>
      </c>
      <c r="F454" s="28" t="b">
        <v>1</v>
      </c>
      <c r="G454" s="28">
        <v>0</v>
      </c>
      <c r="H454" s="47">
        <v>0</v>
      </c>
      <c r="I454" s="28">
        <v>0</v>
      </c>
      <c r="J454" s="28">
        <v>0</v>
      </c>
      <c r="K454" s="28">
        <v>0</v>
      </c>
      <c r="L454" s="35" t="b">
        <v>0</v>
      </c>
      <c r="M454" s="28">
        <v>0</v>
      </c>
      <c r="N454" s="28">
        <v>0</v>
      </c>
      <c r="O454" s="47">
        <v>0</v>
      </c>
      <c r="P454" s="28">
        <v>0</v>
      </c>
      <c r="Q454" s="28">
        <v>0</v>
      </c>
      <c r="R454" s="28"/>
      <c r="S454" s="28" t="s">
        <v>481</v>
      </c>
      <c r="T454" s="36" t="str">
        <f>IFERROR(HYPERLINK("#'Main'!B"&amp;MATCH(TRIM(A454),Main!B:B,0),"Open"),HYPERLINK("#'Main'!B1","Open"))</f>
        <v>Open</v>
      </c>
      <c r="U454" s="36"/>
    </row>
    <row r="455" spans="1:21" ht="30" customHeight="1" x14ac:dyDescent="0.25">
      <c r="A455" s="46" t="s">
        <v>201</v>
      </c>
      <c r="B455" s="37" t="s">
        <v>479</v>
      </c>
      <c r="C455" s="39" t="s">
        <v>654</v>
      </c>
      <c r="D455" s="37" t="s">
        <v>655</v>
      </c>
      <c r="E455" s="47">
        <v>200</v>
      </c>
      <c r="F455" s="37" t="b">
        <v>1</v>
      </c>
      <c r="G455" s="37">
        <v>0</v>
      </c>
      <c r="H455" s="47">
        <v>0</v>
      </c>
      <c r="I455" s="37">
        <v>0</v>
      </c>
      <c r="J455" s="37">
        <v>0</v>
      </c>
      <c r="K455" s="37">
        <v>0</v>
      </c>
      <c r="L455" s="41" t="b">
        <v>0</v>
      </c>
      <c r="M455" s="37">
        <v>0</v>
      </c>
      <c r="N455" s="37">
        <v>0</v>
      </c>
      <c r="O455" s="47">
        <v>0</v>
      </c>
      <c r="P455" s="37">
        <v>0</v>
      </c>
      <c r="Q455" s="37">
        <v>0</v>
      </c>
      <c r="R455" s="37"/>
      <c r="S455" s="37" t="s">
        <v>481</v>
      </c>
      <c r="T455" t="str">
        <f>IFERROR(HYPERLINK("#'Main'!B"&amp;MATCH(TRIM(A455),Main!B:B,0),"Open"),HYPERLINK("#'Main'!B1","Open"))</f>
        <v>Open</v>
      </c>
    </row>
    <row r="456" spans="1:21" ht="30" customHeight="1" x14ac:dyDescent="0.25">
      <c r="A456" s="45" t="s">
        <v>201</v>
      </c>
      <c r="B456" s="28" t="s">
        <v>479</v>
      </c>
      <c r="C456" s="32" t="s">
        <v>634</v>
      </c>
      <c r="D456" s="28" t="s">
        <v>656</v>
      </c>
      <c r="E456" s="47">
        <v>200</v>
      </c>
      <c r="F456" s="28" t="b">
        <v>1</v>
      </c>
      <c r="G456" s="28">
        <v>0</v>
      </c>
      <c r="H456" s="47">
        <v>0</v>
      </c>
      <c r="I456" s="28">
        <v>0</v>
      </c>
      <c r="J456" s="28">
        <v>0</v>
      </c>
      <c r="K456" s="28">
        <v>0</v>
      </c>
      <c r="L456" s="35" t="b">
        <v>0</v>
      </c>
      <c r="M456" s="28">
        <v>0</v>
      </c>
      <c r="N456" s="28">
        <v>0</v>
      </c>
      <c r="O456" s="47">
        <v>0</v>
      </c>
      <c r="P456" s="28">
        <v>0</v>
      </c>
      <c r="Q456" s="28">
        <v>0</v>
      </c>
      <c r="R456" s="28"/>
      <c r="S456" s="28" t="s">
        <v>481</v>
      </c>
      <c r="T456" s="36" t="str">
        <f>IFERROR(HYPERLINK("#'Main'!B"&amp;MATCH(TRIM(A456),Main!B:B,0),"Open"),HYPERLINK("#'Main'!B1","Open"))</f>
        <v>Open</v>
      </c>
      <c r="U456" s="36"/>
    </row>
    <row r="457" spans="1:21" ht="30" customHeight="1" x14ac:dyDescent="0.25">
      <c r="A457" s="46" t="s">
        <v>201</v>
      </c>
      <c r="B457" s="37" t="s">
        <v>479</v>
      </c>
      <c r="C457" s="39" t="s">
        <v>200</v>
      </c>
      <c r="D457" s="37" t="s">
        <v>657</v>
      </c>
      <c r="E457" s="47">
        <v>200</v>
      </c>
      <c r="F457" s="37" t="b">
        <v>1</v>
      </c>
      <c r="G457" s="37">
        <v>0</v>
      </c>
      <c r="H457" s="47">
        <v>0</v>
      </c>
      <c r="I457" s="37">
        <v>0</v>
      </c>
      <c r="J457" s="37">
        <v>0</v>
      </c>
      <c r="K457" s="37">
        <v>0</v>
      </c>
      <c r="L457" s="41" t="b">
        <v>0</v>
      </c>
      <c r="M457" s="37">
        <v>0</v>
      </c>
      <c r="N457" s="37">
        <v>0</v>
      </c>
      <c r="O457" s="47">
        <v>0</v>
      </c>
      <c r="P457" s="37">
        <v>0</v>
      </c>
      <c r="Q457" s="37">
        <v>0</v>
      </c>
      <c r="R457" s="37"/>
      <c r="S457" s="37" t="s">
        <v>481</v>
      </c>
      <c r="T457" t="str">
        <f>IFERROR(HYPERLINK("#'Main'!B"&amp;MATCH(TRIM(A457),Main!B:B,0),"Open"),HYPERLINK("#'Main'!B1","Open"))</f>
        <v>Open</v>
      </c>
    </row>
    <row r="458" spans="1:21" ht="30" customHeight="1" x14ac:dyDescent="0.25">
      <c r="A458" s="45" t="s">
        <v>201</v>
      </c>
      <c r="B458" s="28" t="s">
        <v>479</v>
      </c>
      <c r="C458" s="32" t="s">
        <v>494</v>
      </c>
      <c r="D458" s="28" t="s">
        <v>495</v>
      </c>
      <c r="E458" s="47">
        <v>200</v>
      </c>
      <c r="F458" s="28" t="b">
        <v>1</v>
      </c>
      <c r="G458" s="28">
        <v>0</v>
      </c>
      <c r="H458" s="47">
        <v>0</v>
      </c>
      <c r="I458" s="28">
        <v>0</v>
      </c>
      <c r="J458" s="28">
        <v>0</v>
      </c>
      <c r="K458" s="28">
        <v>0</v>
      </c>
      <c r="L458" s="35" t="b">
        <v>0</v>
      </c>
      <c r="M458" s="28">
        <v>0</v>
      </c>
      <c r="N458" s="28">
        <v>0</v>
      </c>
      <c r="O458" s="47">
        <v>0</v>
      </c>
      <c r="P458" s="28">
        <v>0</v>
      </c>
      <c r="Q458" s="28">
        <v>0</v>
      </c>
      <c r="R458" s="28"/>
      <c r="S458" s="28" t="s">
        <v>481</v>
      </c>
      <c r="T458" s="36" t="str">
        <f>IFERROR(HYPERLINK("#'Main'!B"&amp;MATCH(TRIM(A458),Main!B:B,0),"Open"),HYPERLINK("#'Main'!B1","Open"))</f>
        <v>Open</v>
      </c>
      <c r="U458" s="36"/>
    </row>
    <row r="459" spans="1:21" ht="30" customHeight="1" x14ac:dyDescent="0.25">
      <c r="A459" s="46" t="s">
        <v>201</v>
      </c>
      <c r="B459" s="37" t="s">
        <v>479</v>
      </c>
      <c r="C459" s="39" t="s">
        <v>496</v>
      </c>
      <c r="D459" s="37"/>
      <c r="E459" s="37">
        <v>0</v>
      </c>
      <c r="F459" s="37" t="b">
        <v>1</v>
      </c>
      <c r="G459" s="37">
        <v>0</v>
      </c>
      <c r="H459" s="47">
        <v>0</v>
      </c>
      <c r="I459" s="37">
        <v>0</v>
      </c>
      <c r="J459" s="37">
        <v>0</v>
      </c>
      <c r="K459" s="37">
        <v>0</v>
      </c>
      <c r="L459" s="41" t="b">
        <v>0</v>
      </c>
      <c r="M459" s="37">
        <v>0</v>
      </c>
      <c r="N459" s="37">
        <v>0</v>
      </c>
      <c r="O459" s="47">
        <v>0</v>
      </c>
      <c r="P459" s="37">
        <v>0</v>
      </c>
      <c r="Q459" s="37">
        <v>0</v>
      </c>
      <c r="R459" s="37"/>
      <c r="S459" s="37" t="s">
        <v>481</v>
      </c>
      <c r="T459" t="str">
        <f>IFERROR(HYPERLINK("#'Main'!B"&amp;MATCH(TRIM(A459),Main!B:B,0),"Open"),HYPERLINK("#'Main'!B1","Open"))</f>
        <v>Open</v>
      </c>
    </row>
    <row r="460" spans="1:21" ht="30" customHeight="1" x14ac:dyDescent="0.25">
      <c r="A460" s="45" t="s">
        <v>201</v>
      </c>
      <c r="B460" s="28" t="s">
        <v>479</v>
      </c>
      <c r="C460" s="32" t="s">
        <v>497</v>
      </c>
      <c r="D460" s="28"/>
      <c r="E460" s="28">
        <v>0</v>
      </c>
      <c r="F460" s="28" t="b">
        <v>1</v>
      </c>
      <c r="G460" s="28">
        <v>0</v>
      </c>
      <c r="H460" s="47">
        <v>0</v>
      </c>
      <c r="I460" s="28">
        <v>0</v>
      </c>
      <c r="J460" s="28">
        <v>0</v>
      </c>
      <c r="K460" s="28">
        <v>0</v>
      </c>
      <c r="L460" s="35" t="b">
        <v>0</v>
      </c>
      <c r="M460" s="28">
        <v>0</v>
      </c>
      <c r="N460" s="28">
        <v>0</v>
      </c>
      <c r="O460" s="47">
        <v>0</v>
      </c>
      <c r="P460" s="28">
        <v>0</v>
      </c>
      <c r="Q460" s="28">
        <v>0</v>
      </c>
      <c r="R460" s="28"/>
      <c r="S460" s="28" t="s">
        <v>481</v>
      </c>
      <c r="T460" s="36" t="str">
        <f>IFERROR(HYPERLINK("#'Main'!B"&amp;MATCH(TRIM(A460),Main!B:B,0),"Open"),HYPERLINK("#'Main'!B1","Open"))</f>
        <v>Open</v>
      </c>
      <c r="U460" s="36"/>
    </row>
    <row r="461" spans="1:21" ht="30" customHeight="1" x14ac:dyDescent="0.25">
      <c r="A461" s="46" t="s">
        <v>201</v>
      </c>
      <c r="B461" s="37" t="s">
        <v>479</v>
      </c>
      <c r="C461" s="39" t="s">
        <v>499</v>
      </c>
      <c r="D461" s="37" t="s">
        <v>526</v>
      </c>
      <c r="E461" s="47">
        <v>200</v>
      </c>
      <c r="F461" s="37" t="b">
        <v>1</v>
      </c>
      <c r="G461" s="37">
        <v>0</v>
      </c>
      <c r="H461" s="47">
        <v>0</v>
      </c>
      <c r="I461" s="37">
        <v>0</v>
      </c>
      <c r="J461" s="37">
        <v>0</v>
      </c>
      <c r="K461" s="37">
        <v>0</v>
      </c>
      <c r="L461" s="41" t="b">
        <v>0</v>
      </c>
      <c r="M461" s="37">
        <v>0</v>
      </c>
      <c r="N461" s="37">
        <v>0</v>
      </c>
      <c r="O461" s="47">
        <v>0</v>
      </c>
      <c r="P461" s="37">
        <v>0</v>
      </c>
      <c r="Q461" s="37">
        <v>0</v>
      </c>
      <c r="R461" s="37"/>
      <c r="S461" s="37" t="s">
        <v>481</v>
      </c>
      <c r="T461" t="str">
        <f>IFERROR(HYPERLINK("#'Main'!B"&amp;MATCH(TRIM(A461),Main!B:B,0),"Open"),HYPERLINK("#'Main'!B1","Open"))</f>
        <v>Open</v>
      </c>
    </row>
    <row r="462" spans="1:21" ht="30" customHeight="1" x14ac:dyDescent="0.25">
      <c r="A462" s="45" t="s">
        <v>201</v>
      </c>
      <c r="B462" s="28" t="s">
        <v>479</v>
      </c>
      <c r="C462" s="32" t="s">
        <v>501</v>
      </c>
      <c r="D462" s="28" t="s">
        <v>502</v>
      </c>
      <c r="E462" s="29">
        <v>404</v>
      </c>
      <c r="F462" s="28" t="b">
        <v>0</v>
      </c>
      <c r="G462" s="28">
        <v>0</v>
      </c>
      <c r="H462" s="47">
        <v>0</v>
      </c>
      <c r="I462" s="28">
        <v>0</v>
      </c>
      <c r="J462" s="28">
        <v>0</v>
      </c>
      <c r="K462" s="28">
        <v>0</v>
      </c>
      <c r="L462" s="35" t="b">
        <v>0</v>
      </c>
      <c r="M462" s="28">
        <v>0</v>
      </c>
      <c r="N462" s="28">
        <v>0</v>
      </c>
      <c r="O462" s="47">
        <v>0</v>
      </c>
      <c r="P462" s="28">
        <v>0</v>
      </c>
      <c r="Q462" s="28">
        <v>0</v>
      </c>
      <c r="R462" s="28"/>
      <c r="S462" s="28" t="s">
        <v>481</v>
      </c>
      <c r="T462" s="36" t="str">
        <f>IFERROR(HYPERLINK("#'Main'!B"&amp;MATCH(TRIM(A462),Main!B:B,0),"Open"),HYPERLINK("#'Main'!B1","Open"))</f>
        <v>Open</v>
      </c>
      <c r="U462" s="36"/>
    </row>
    <row r="463" spans="1:21" ht="30" customHeight="1" x14ac:dyDescent="0.25">
      <c r="A463" s="46" t="s">
        <v>201</v>
      </c>
      <c r="B463" s="37" t="s">
        <v>479</v>
      </c>
      <c r="C463" s="39" t="s">
        <v>501</v>
      </c>
      <c r="D463" s="37" t="s">
        <v>503</v>
      </c>
      <c r="E463" s="29">
        <v>404</v>
      </c>
      <c r="F463" s="37" t="b">
        <v>0</v>
      </c>
      <c r="G463" s="37">
        <v>0</v>
      </c>
      <c r="H463" s="47">
        <v>0</v>
      </c>
      <c r="I463" s="37">
        <v>0</v>
      </c>
      <c r="J463" s="37">
        <v>0</v>
      </c>
      <c r="K463" s="37">
        <v>0</v>
      </c>
      <c r="L463" s="41" t="b">
        <v>0</v>
      </c>
      <c r="M463" s="37">
        <v>0</v>
      </c>
      <c r="N463" s="37">
        <v>0</v>
      </c>
      <c r="O463" s="47">
        <v>0</v>
      </c>
      <c r="P463" s="37">
        <v>0</v>
      </c>
      <c r="Q463" s="37">
        <v>0</v>
      </c>
      <c r="R463" s="37"/>
      <c r="S463" s="37" t="s">
        <v>481</v>
      </c>
      <c r="T463" t="str">
        <f>IFERROR(HYPERLINK("#'Main'!B"&amp;MATCH(TRIM(A463),Main!B:B,0),"Open"),HYPERLINK("#'Main'!B1","Open"))</f>
        <v>Open</v>
      </c>
    </row>
    <row r="464" spans="1:21" ht="30" customHeight="1" x14ac:dyDescent="0.25">
      <c r="A464" s="45" t="s">
        <v>138</v>
      </c>
      <c r="B464" s="28" t="s">
        <v>658</v>
      </c>
      <c r="C464" s="32"/>
      <c r="D464" s="28"/>
      <c r="E464" s="28"/>
      <c r="F464" s="28"/>
      <c r="G464" s="28">
        <v>0</v>
      </c>
      <c r="H464" s="47">
        <v>0</v>
      </c>
      <c r="I464" s="28">
        <v>0</v>
      </c>
      <c r="J464" s="28">
        <v>0</v>
      </c>
      <c r="K464" s="28">
        <v>0</v>
      </c>
      <c r="L464" s="35" t="b">
        <v>1</v>
      </c>
      <c r="M464" s="28">
        <v>0</v>
      </c>
      <c r="N464" s="28">
        <v>1.9664999999999998E-2</v>
      </c>
      <c r="O464" s="47">
        <v>0</v>
      </c>
      <c r="P464" s="28">
        <v>0</v>
      </c>
      <c r="Q464" s="28">
        <v>0</v>
      </c>
      <c r="R464" s="28"/>
      <c r="S464" s="28" t="s">
        <v>659</v>
      </c>
      <c r="T464" s="36" t="str">
        <f>IFERROR(HYPERLINK("#'Main'!B"&amp;MATCH(TRIM(A464),Main!B:B,0),"Open"),HYPERLINK("#'Main'!B1","Open"))</f>
        <v>Open</v>
      </c>
      <c r="U464" s="36"/>
    </row>
    <row r="465" spans="1:21" ht="120" customHeight="1" x14ac:dyDescent="0.25">
      <c r="A465" s="46" t="s">
        <v>196</v>
      </c>
      <c r="B465" s="37" t="s">
        <v>658</v>
      </c>
      <c r="C465" s="39"/>
      <c r="D465" s="37"/>
      <c r="E465" s="37"/>
      <c r="F465" s="37"/>
      <c r="G465" s="37">
        <v>0</v>
      </c>
      <c r="H465" s="47">
        <v>0</v>
      </c>
      <c r="I465" s="37">
        <v>0</v>
      </c>
      <c r="J465" s="37">
        <v>0</v>
      </c>
      <c r="K465" s="37">
        <v>6</v>
      </c>
      <c r="L465" s="41" t="b">
        <v>0</v>
      </c>
      <c r="M465" s="37">
        <v>1</v>
      </c>
      <c r="N465" s="37">
        <v>0.271899</v>
      </c>
      <c r="O465" s="47">
        <v>0</v>
      </c>
      <c r="P465" s="37">
        <v>0</v>
      </c>
      <c r="Q465" s="37">
        <v>0</v>
      </c>
      <c r="R465" s="37" t="s">
        <v>660</v>
      </c>
      <c r="S465" s="37" t="s">
        <v>659</v>
      </c>
      <c r="T465" t="str">
        <f>IFERROR(HYPERLINK("#'Main'!B"&amp;MATCH(TRIM(A465),Main!B:B,0),"Open"),HYPERLINK("#'Main'!B1","Open"))</f>
        <v>Open</v>
      </c>
    </row>
    <row r="466" spans="1:21" ht="120" customHeight="1" x14ac:dyDescent="0.25">
      <c r="A466" s="45" t="s">
        <v>166</v>
      </c>
      <c r="B466" s="28" t="s">
        <v>658</v>
      </c>
      <c r="C466" s="32"/>
      <c r="D466" s="28"/>
      <c r="E466" s="28"/>
      <c r="F466" s="28"/>
      <c r="G466" s="28">
        <v>0</v>
      </c>
      <c r="H466" s="47">
        <v>0</v>
      </c>
      <c r="I466" s="28">
        <v>0</v>
      </c>
      <c r="J466" s="28">
        <v>0</v>
      </c>
      <c r="K466" s="28">
        <v>8</v>
      </c>
      <c r="L466" s="35" t="b">
        <v>0</v>
      </c>
      <c r="M466" s="28">
        <v>0</v>
      </c>
      <c r="N466" s="28">
        <v>0.28744900000000001</v>
      </c>
      <c r="O466" s="47">
        <v>0</v>
      </c>
      <c r="P466" s="28">
        <v>0</v>
      </c>
      <c r="Q466" s="28">
        <v>0</v>
      </c>
      <c r="R466" s="28" t="s">
        <v>661</v>
      </c>
      <c r="S466" s="28" t="s">
        <v>659</v>
      </c>
      <c r="T466" s="36" t="str">
        <f>IFERROR(HYPERLINK("#'Main'!B"&amp;MATCH(TRIM(A466),Main!B:B,0),"Open"),HYPERLINK("#'Main'!B1","Open"))</f>
        <v>Open</v>
      </c>
      <c r="U466" s="36"/>
    </row>
    <row r="467" spans="1:21" ht="120" customHeight="1" x14ac:dyDescent="0.25">
      <c r="A467" s="46" t="s">
        <v>199</v>
      </c>
      <c r="B467" s="37" t="s">
        <v>658</v>
      </c>
      <c r="C467" s="39"/>
      <c r="D467" s="37"/>
      <c r="E467" s="37"/>
      <c r="F467" s="37"/>
      <c r="G467" s="37">
        <v>0</v>
      </c>
      <c r="H467" s="47">
        <v>0</v>
      </c>
      <c r="I467" s="37">
        <v>0</v>
      </c>
      <c r="J467" s="37">
        <v>0</v>
      </c>
      <c r="K467" s="37">
        <v>6</v>
      </c>
      <c r="L467" s="41" t="b">
        <v>0</v>
      </c>
      <c r="M467" s="37">
        <v>1</v>
      </c>
      <c r="N467" s="37">
        <v>0.271899</v>
      </c>
      <c r="O467" s="47">
        <v>0</v>
      </c>
      <c r="P467" s="37">
        <v>0</v>
      </c>
      <c r="Q467" s="37">
        <v>0</v>
      </c>
      <c r="R467" s="37" t="s">
        <v>660</v>
      </c>
      <c r="S467" s="37" t="s">
        <v>659</v>
      </c>
      <c r="T467" t="str">
        <f>IFERROR(HYPERLINK("#'Main'!B"&amp;MATCH(TRIM(A467),Main!B:B,0),"Open"),HYPERLINK("#'Main'!B1","Open"))</f>
        <v>Open</v>
      </c>
    </row>
    <row r="468" spans="1:21" ht="30" customHeight="1" x14ac:dyDescent="0.25">
      <c r="A468" s="45" t="s">
        <v>146</v>
      </c>
      <c r="B468" s="28" t="s">
        <v>658</v>
      </c>
      <c r="C468" s="32"/>
      <c r="D468" s="28"/>
      <c r="E468" s="28"/>
      <c r="F468" s="28"/>
      <c r="G468" s="28">
        <v>0</v>
      </c>
      <c r="H468" s="47">
        <v>0</v>
      </c>
      <c r="I468" s="28">
        <v>0</v>
      </c>
      <c r="J468" s="28">
        <v>0</v>
      </c>
      <c r="K468" s="28">
        <v>0</v>
      </c>
      <c r="L468" s="35" t="b">
        <v>1</v>
      </c>
      <c r="M468" s="28">
        <v>0</v>
      </c>
      <c r="N468" s="28">
        <v>1.9664999999999998E-2</v>
      </c>
      <c r="O468" s="47">
        <v>0</v>
      </c>
      <c r="P468" s="28">
        <v>0</v>
      </c>
      <c r="Q468" s="28">
        <v>0</v>
      </c>
      <c r="R468" s="28"/>
      <c r="S468" s="28" t="s">
        <v>659</v>
      </c>
      <c r="T468" s="36" t="str">
        <f>IFERROR(HYPERLINK("#'Main'!B"&amp;MATCH(TRIM(A468),Main!B:B,0),"Open"),HYPERLINK("#'Main'!B1","Open"))</f>
        <v>Open</v>
      </c>
      <c r="U468" s="36"/>
    </row>
    <row r="469" spans="1:21" ht="30" customHeight="1" x14ac:dyDescent="0.25">
      <c r="A469" s="46" t="s">
        <v>197</v>
      </c>
      <c r="B469" s="37" t="s">
        <v>658</v>
      </c>
      <c r="C469" s="39"/>
      <c r="D469" s="37"/>
      <c r="E469" s="37"/>
      <c r="F469" s="37"/>
      <c r="G469" s="37">
        <v>0</v>
      </c>
      <c r="H469" s="47">
        <v>0</v>
      </c>
      <c r="I469" s="37">
        <v>0</v>
      </c>
      <c r="J469" s="37">
        <v>0</v>
      </c>
      <c r="K469" s="37">
        <v>0</v>
      </c>
      <c r="L469" s="41" t="b">
        <v>1</v>
      </c>
      <c r="M469" s="37">
        <v>0</v>
      </c>
      <c r="N469" s="37">
        <v>1.9664999999999998E-2</v>
      </c>
      <c r="O469" s="47">
        <v>0</v>
      </c>
      <c r="P469" s="37">
        <v>0</v>
      </c>
      <c r="Q469" s="37">
        <v>0</v>
      </c>
      <c r="R469" s="37"/>
      <c r="S469" s="37" t="s">
        <v>659</v>
      </c>
      <c r="T469" t="str">
        <f>IFERROR(HYPERLINK("#'Main'!B"&amp;MATCH(TRIM(A469),Main!B:B,0),"Open"),HYPERLINK("#'Main'!B1","Open"))</f>
        <v>Open</v>
      </c>
    </row>
    <row r="470" spans="1:21" ht="30" customHeight="1" x14ac:dyDescent="0.25">
      <c r="A470" s="45" t="s">
        <v>198</v>
      </c>
      <c r="B470" s="28" t="s">
        <v>658</v>
      </c>
      <c r="C470" s="32"/>
      <c r="D470" s="28"/>
      <c r="E470" s="28"/>
      <c r="F470" s="28"/>
      <c r="G470" s="28">
        <v>0</v>
      </c>
      <c r="H470" s="47">
        <v>0</v>
      </c>
      <c r="I470" s="28">
        <v>0</v>
      </c>
      <c r="J470" s="28">
        <v>0</v>
      </c>
      <c r="K470" s="28">
        <v>0</v>
      </c>
      <c r="L470" s="35" t="b">
        <v>1</v>
      </c>
      <c r="M470" s="28">
        <v>0</v>
      </c>
      <c r="N470" s="28">
        <v>1.9664999999999998E-2</v>
      </c>
      <c r="O470" s="47">
        <v>0</v>
      </c>
      <c r="P470" s="28">
        <v>0</v>
      </c>
      <c r="Q470" s="28">
        <v>0</v>
      </c>
      <c r="R470" s="28"/>
      <c r="S470" s="28" t="s">
        <v>659</v>
      </c>
      <c r="T470" s="36" t="str">
        <f>IFERROR(HYPERLINK("#'Main'!B"&amp;MATCH(TRIM(A470),Main!B:B,0),"Open"),HYPERLINK("#'Main'!B1","Open"))</f>
        <v>Open</v>
      </c>
      <c r="U470" s="36"/>
    </row>
    <row r="471" spans="1:21" ht="60" customHeight="1" x14ac:dyDescent="0.25">
      <c r="A471" s="46" t="s">
        <v>200</v>
      </c>
      <c r="B471" s="37" t="s">
        <v>658</v>
      </c>
      <c r="C471" s="39"/>
      <c r="D471" s="37"/>
      <c r="E471" s="37"/>
      <c r="F471" s="37"/>
      <c r="G471" s="37">
        <v>0</v>
      </c>
      <c r="H471" s="47">
        <v>0</v>
      </c>
      <c r="I471" s="37">
        <v>0</v>
      </c>
      <c r="J471" s="37">
        <v>0</v>
      </c>
      <c r="K471" s="37">
        <v>2</v>
      </c>
      <c r="L471" s="41" t="b">
        <v>0</v>
      </c>
      <c r="M471" s="37">
        <v>0</v>
      </c>
      <c r="N471" s="37">
        <v>3.5214000000000002E-2</v>
      </c>
      <c r="O471" s="47">
        <v>0</v>
      </c>
      <c r="P471" s="37">
        <v>0</v>
      </c>
      <c r="Q471" s="37">
        <v>0</v>
      </c>
      <c r="R471" s="37" t="s">
        <v>662</v>
      </c>
      <c r="S471" s="37" t="s">
        <v>659</v>
      </c>
      <c r="T471" t="str">
        <f>IFERROR(HYPERLINK("#'Main'!B"&amp;MATCH(TRIM(A471),Main!B:B,0),"Open"),HYPERLINK("#'Main'!B1","Open"))</f>
        <v>Open</v>
      </c>
    </row>
    <row r="472" spans="1:21" ht="30" customHeight="1" x14ac:dyDescent="0.25">
      <c r="A472" s="45" t="s">
        <v>148</v>
      </c>
      <c r="B472" s="28" t="s">
        <v>658</v>
      </c>
      <c r="C472" s="32"/>
      <c r="D472" s="28"/>
      <c r="E472" s="28"/>
      <c r="F472" s="28"/>
      <c r="G472" s="28">
        <v>0</v>
      </c>
      <c r="H472" s="47">
        <v>0</v>
      </c>
      <c r="I472" s="28">
        <v>0</v>
      </c>
      <c r="J472" s="28">
        <v>0</v>
      </c>
      <c r="K472" s="28">
        <v>0</v>
      </c>
      <c r="L472" s="35" t="b">
        <v>1</v>
      </c>
      <c r="M472" s="28">
        <v>0</v>
      </c>
      <c r="N472" s="28">
        <v>1.9664999999999998E-2</v>
      </c>
      <c r="O472" s="47">
        <v>0</v>
      </c>
      <c r="P472" s="28">
        <v>0</v>
      </c>
      <c r="Q472" s="28">
        <v>0</v>
      </c>
      <c r="R472" s="28"/>
      <c r="S472" s="28" t="s">
        <v>659</v>
      </c>
      <c r="T472" s="36" t="str">
        <f>IFERROR(HYPERLINK("#'Main'!B"&amp;MATCH(TRIM(A472),Main!B:B,0),"Open"),HYPERLINK("#'Main'!B1","Open"))</f>
        <v>Open</v>
      </c>
      <c r="U472" s="36"/>
    </row>
    <row r="473" spans="1:21" ht="60" customHeight="1" x14ac:dyDescent="0.25">
      <c r="A473" s="46" t="s">
        <v>201</v>
      </c>
      <c r="B473" s="37" t="s">
        <v>658</v>
      </c>
      <c r="C473" s="39"/>
      <c r="D473" s="37"/>
      <c r="E473" s="37"/>
      <c r="F473" s="37"/>
      <c r="G473" s="37">
        <v>0</v>
      </c>
      <c r="H473" s="47">
        <v>0</v>
      </c>
      <c r="I473" s="37">
        <v>0</v>
      </c>
      <c r="J473" s="37">
        <v>0</v>
      </c>
      <c r="K473" s="37">
        <v>2</v>
      </c>
      <c r="L473" s="41" t="b">
        <v>0</v>
      </c>
      <c r="M473" s="37">
        <v>0</v>
      </c>
      <c r="N473" s="37">
        <v>3.5214000000000002E-2</v>
      </c>
      <c r="O473" s="47">
        <v>0</v>
      </c>
      <c r="P473" s="37">
        <v>0</v>
      </c>
      <c r="Q473" s="37">
        <v>0</v>
      </c>
      <c r="R473" s="37" t="s">
        <v>662</v>
      </c>
      <c r="S473" s="37" t="s">
        <v>659</v>
      </c>
      <c r="T473" t="str">
        <f>IFERROR(HYPERLINK("#'Main'!B"&amp;MATCH(TRIM(A473),Main!B:B,0),"Open"),HYPERLINK("#'Main'!B1","Open"))</f>
        <v>Open</v>
      </c>
    </row>
  </sheetData>
  <autoFilter ref="A1:U473" xr:uid="{00000000-0009-0000-0000-000008000000}"/>
  <conditionalFormatting sqref="B2:B473">
    <cfRule type="expression" dxfId="35" priority="7" stopIfTrue="1">
      <formula>OR(NOT(ISERROR(SEARCH("Critical",B2))),NOT(ISERROR(SEARCH("Non-Pass",B2))),NOT(ISERROR(SEARCH("Error",B2))))</formula>
    </cfRule>
    <cfRule type="expression" dxfId="34" priority="8" stopIfTrue="1">
      <formula>OR(NOT(ISERROR(SEARCH("Warning",B2))),NOT(ISERROR(SEARCH("Needs Work",B2))))</formula>
    </cfRule>
  </conditionalFormatting>
  <conditionalFormatting sqref="E2:E473">
    <cfRule type="cellIs" dxfId="33" priority="1" operator="equal">
      <formula>200</formula>
    </cfRule>
    <cfRule type="cellIs" dxfId="32" priority="2" operator="between">
      <formula>300</formula>
      <formula>399</formula>
    </cfRule>
    <cfRule type="cellIs" dxfId="31" priority="3" operator="greaterThanOrEqual">
      <formula>400</formula>
    </cfRule>
  </conditionalFormatting>
  <conditionalFormatting sqref="F2:F473">
    <cfRule type="expression" dxfId="30" priority="9" stopIfTrue="1">
      <formula>OR(NOT(ISERROR(SEARCH("Critical",F2))),NOT(ISERROR(SEARCH("Non-Pass",F2))),NOT(ISERROR(SEARCH("Error",F2))))</formula>
    </cfRule>
    <cfRule type="expression" dxfId="29" priority="10" stopIfTrue="1">
      <formula>OR(NOT(ISERROR(SEARCH("Warning",F2))),NOT(ISERROR(SEARCH("Needs Work",F2))))</formula>
    </cfRule>
  </conditionalFormatting>
  <conditionalFormatting sqref="G2:G473">
    <cfRule type="dataBar" priority="6">
      <dataBar>
        <cfvo type="min"/>
        <cfvo type="max"/>
        <color rgb="FF638EC6"/>
      </dataBar>
    </cfRule>
  </conditionalFormatting>
  <conditionalFormatting sqref="K2:K473">
    <cfRule type="dataBar" priority="4">
      <dataBar>
        <cfvo type="min"/>
        <cfvo type="max"/>
        <color rgb="FF638EC6"/>
      </dataBar>
    </cfRule>
  </conditionalFormatting>
  <conditionalFormatting sqref="N2:N473">
    <cfRule type="dataBar" priority="5">
      <dataBar>
        <cfvo type="min"/>
        <cfvo type="max"/>
        <color rgb="FF638EC6"/>
      </dataBar>
    </cfRule>
  </conditionalFormatting>
  <hyperlinks>
    <hyperlink ref="U1" location="'Dashboard'!A1" display="BACK TO DASHBOARD" xr:uid="{00000000-0004-0000-0800-000000000000}"/>
    <hyperlink ref="A2" r:id="rId1" xr:uid="{00000000-0004-0000-0800-000001000000}"/>
    <hyperlink ref="A3" r:id="rId2" xr:uid="{00000000-0004-0000-0800-000002000000}"/>
    <hyperlink ref="A4" r:id="rId3" xr:uid="{00000000-0004-0000-0800-000003000000}"/>
    <hyperlink ref="A5" r:id="rId4" xr:uid="{00000000-0004-0000-0800-000004000000}"/>
    <hyperlink ref="A6" r:id="rId5" xr:uid="{00000000-0004-0000-0800-000005000000}"/>
    <hyperlink ref="A7" r:id="rId6" xr:uid="{00000000-0004-0000-0800-000006000000}"/>
    <hyperlink ref="A8" r:id="rId7" xr:uid="{00000000-0004-0000-0800-000007000000}"/>
    <hyperlink ref="A9" r:id="rId8" xr:uid="{00000000-0004-0000-0800-000008000000}"/>
    <hyperlink ref="A10" r:id="rId9" xr:uid="{00000000-0004-0000-0800-000009000000}"/>
    <hyperlink ref="A11" r:id="rId10" xr:uid="{00000000-0004-0000-0800-00000A000000}"/>
    <hyperlink ref="A12" r:id="rId11" xr:uid="{00000000-0004-0000-0800-00000B000000}"/>
    <hyperlink ref="A13" r:id="rId12" xr:uid="{00000000-0004-0000-0800-00000C000000}"/>
    <hyperlink ref="A14" r:id="rId13" xr:uid="{00000000-0004-0000-0800-00000D000000}"/>
    <hyperlink ref="A15" r:id="rId14" xr:uid="{00000000-0004-0000-0800-00000E000000}"/>
    <hyperlink ref="A16" r:id="rId15" xr:uid="{00000000-0004-0000-0800-00000F000000}"/>
    <hyperlink ref="A17" r:id="rId16" xr:uid="{00000000-0004-0000-0800-000010000000}"/>
    <hyperlink ref="A18" r:id="rId17" xr:uid="{00000000-0004-0000-0800-000011000000}"/>
    <hyperlink ref="A19" r:id="rId18" xr:uid="{00000000-0004-0000-0800-000012000000}"/>
    <hyperlink ref="A20" r:id="rId19" xr:uid="{00000000-0004-0000-0800-000013000000}"/>
    <hyperlink ref="A21" r:id="rId20" xr:uid="{00000000-0004-0000-0800-000014000000}"/>
    <hyperlink ref="A22" r:id="rId21" xr:uid="{00000000-0004-0000-0800-000015000000}"/>
    <hyperlink ref="A23" r:id="rId22" xr:uid="{00000000-0004-0000-0800-000016000000}"/>
    <hyperlink ref="A24" r:id="rId23" xr:uid="{00000000-0004-0000-0800-000017000000}"/>
    <hyperlink ref="A25" r:id="rId24" xr:uid="{00000000-0004-0000-0800-000018000000}"/>
    <hyperlink ref="A26" r:id="rId25" xr:uid="{00000000-0004-0000-0800-000019000000}"/>
    <hyperlink ref="A27" r:id="rId26" xr:uid="{00000000-0004-0000-0800-00001A000000}"/>
    <hyperlink ref="A28" r:id="rId27" xr:uid="{00000000-0004-0000-0800-00001B000000}"/>
    <hyperlink ref="A29" r:id="rId28" xr:uid="{00000000-0004-0000-0800-00001C000000}"/>
    <hyperlink ref="A30" r:id="rId29" xr:uid="{00000000-0004-0000-0800-00001D000000}"/>
    <hyperlink ref="A31" r:id="rId30" xr:uid="{00000000-0004-0000-0800-00001E000000}"/>
    <hyperlink ref="A32" r:id="rId31" xr:uid="{00000000-0004-0000-0800-00001F000000}"/>
    <hyperlink ref="A33" r:id="rId32" xr:uid="{00000000-0004-0000-0800-000020000000}"/>
    <hyperlink ref="A34" r:id="rId33" xr:uid="{00000000-0004-0000-0800-000021000000}"/>
    <hyperlink ref="A35" r:id="rId34" xr:uid="{00000000-0004-0000-0800-000022000000}"/>
    <hyperlink ref="A36" r:id="rId35" xr:uid="{00000000-0004-0000-0800-000023000000}"/>
    <hyperlink ref="A37" r:id="rId36" xr:uid="{00000000-0004-0000-0800-000024000000}"/>
    <hyperlink ref="A38" r:id="rId37" xr:uid="{00000000-0004-0000-0800-000025000000}"/>
    <hyperlink ref="A39" r:id="rId38" xr:uid="{00000000-0004-0000-0800-000026000000}"/>
    <hyperlink ref="A40" r:id="rId39" xr:uid="{00000000-0004-0000-0800-000027000000}"/>
    <hyperlink ref="A41" r:id="rId40" xr:uid="{00000000-0004-0000-0800-000028000000}"/>
    <hyperlink ref="A42" r:id="rId41" xr:uid="{00000000-0004-0000-0800-000029000000}"/>
    <hyperlink ref="A43" r:id="rId42" xr:uid="{00000000-0004-0000-0800-00002A000000}"/>
    <hyperlink ref="A44" r:id="rId43" xr:uid="{00000000-0004-0000-0800-00002B000000}"/>
    <hyperlink ref="A45" r:id="rId44" xr:uid="{00000000-0004-0000-0800-00002C000000}"/>
    <hyperlink ref="A46" r:id="rId45" xr:uid="{00000000-0004-0000-0800-00002D000000}"/>
    <hyperlink ref="A47" r:id="rId46" xr:uid="{00000000-0004-0000-0800-00002E000000}"/>
    <hyperlink ref="A48" r:id="rId47" xr:uid="{00000000-0004-0000-0800-00002F000000}"/>
    <hyperlink ref="A49" r:id="rId48" xr:uid="{00000000-0004-0000-0800-000030000000}"/>
    <hyperlink ref="A50" r:id="rId49" xr:uid="{00000000-0004-0000-0800-000031000000}"/>
    <hyperlink ref="A51" r:id="rId50" xr:uid="{00000000-0004-0000-0800-000032000000}"/>
    <hyperlink ref="A52" r:id="rId51" xr:uid="{00000000-0004-0000-0800-000033000000}"/>
    <hyperlink ref="A53" r:id="rId52" xr:uid="{00000000-0004-0000-0800-000034000000}"/>
    <hyperlink ref="A54" r:id="rId53" xr:uid="{00000000-0004-0000-0800-000035000000}"/>
    <hyperlink ref="A55" r:id="rId54" xr:uid="{00000000-0004-0000-0800-000036000000}"/>
    <hyperlink ref="A56" r:id="rId55" xr:uid="{00000000-0004-0000-0800-000037000000}"/>
    <hyperlink ref="A57" r:id="rId56" xr:uid="{00000000-0004-0000-0800-000038000000}"/>
    <hyperlink ref="A58" r:id="rId57" xr:uid="{00000000-0004-0000-0800-000039000000}"/>
    <hyperlink ref="A59" r:id="rId58" xr:uid="{00000000-0004-0000-0800-00003A000000}"/>
    <hyperlink ref="A60" r:id="rId59" xr:uid="{00000000-0004-0000-0800-00003B000000}"/>
    <hyperlink ref="A61" r:id="rId60" xr:uid="{00000000-0004-0000-0800-00003C000000}"/>
    <hyperlink ref="A62" r:id="rId61" xr:uid="{00000000-0004-0000-0800-00003D000000}"/>
    <hyperlink ref="A63" r:id="rId62" xr:uid="{00000000-0004-0000-0800-00003E000000}"/>
    <hyperlink ref="A64" r:id="rId63" xr:uid="{00000000-0004-0000-0800-00003F000000}"/>
    <hyperlink ref="A65" r:id="rId64" xr:uid="{00000000-0004-0000-0800-000040000000}"/>
    <hyperlink ref="A66" r:id="rId65" xr:uid="{00000000-0004-0000-0800-000041000000}"/>
    <hyperlink ref="A67" r:id="rId66" xr:uid="{00000000-0004-0000-0800-000042000000}"/>
    <hyperlink ref="A68" r:id="rId67" xr:uid="{00000000-0004-0000-0800-000043000000}"/>
    <hyperlink ref="A69" r:id="rId68" xr:uid="{00000000-0004-0000-0800-000044000000}"/>
    <hyperlink ref="A70" r:id="rId69" xr:uid="{00000000-0004-0000-0800-000045000000}"/>
    <hyperlink ref="A71" r:id="rId70" xr:uid="{00000000-0004-0000-0800-000046000000}"/>
    <hyperlink ref="A72" r:id="rId71" xr:uid="{00000000-0004-0000-0800-000047000000}"/>
    <hyperlink ref="A73" r:id="rId72" xr:uid="{00000000-0004-0000-0800-000048000000}"/>
    <hyperlink ref="A74" r:id="rId73" xr:uid="{00000000-0004-0000-0800-000049000000}"/>
    <hyperlink ref="A75" r:id="rId74" xr:uid="{00000000-0004-0000-0800-00004A000000}"/>
    <hyperlink ref="A76" r:id="rId75" xr:uid="{00000000-0004-0000-0800-00004B000000}"/>
    <hyperlink ref="A77" r:id="rId76" xr:uid="{00000000-0004-0000-0800-00004C000000}"/>
    <hyperlink ref="A78" r:id="rId77" xr:uid="{00000000-0004-0000-0800-00004D000000}"/>
    <hyperlink ref="A79" r:id="rId78" xr:uid="{00000000-0004-0000-0800-00004E000000}"/>
    <hyperlink ref="A80" r:id="rId79" xr:uid="{00000000-0004-0000-0800-00004F000000}"/>
    <hyperlink ref="A81" r:id="rId80" xr:uid="{00000000-0004-0000-0800-000050000000}"/>
    <hyperlink ref="A82" r:id="rId81" xr:uid="{00000000-0004-0000-0800-000051000000}"/>
    <hyperlink ref="A83" r:id="rId82" xr:uid="{00000000-0004-0000-0800-000052000000}"/>
    <hyperlink ref="A84" r:id="rId83" xr:uid="{00000000-0004-0000-0800-000053000000}"/>
    <hyperlink ref="A85" r:id="rId84" xr:uid="{00000000-0004-0000-0800-000054000000}"/>
    <hyperlink ref="A86" r:id="rId85" xr:uid="{00000000-0004-0000-0800-000055000000}"/>
    <hyperlink ref="A87" r:id="rId86" xr:uid="{00000000-0004-0000-0800-000056000000}"/>
    <hyperlink ref="A88" r:id="rId87" xr:uid="{00000000-0004-0000-0800-000057000000}"/>
    <hyperlink ref="A89" r:id="rId88" xr:uid="{00000000-0004-0000-0800-000058000000}"/>
    <hyperlink ref="A90" r:id="rId89" xr:uid="{00000000-0004-0000-0800-000059000000}"/>
    <hyperlink ref="A91" r:id="rId90" xr:uid="{00000000-0004-0000-0800-00005A000000}"/>
    <hyperlink ref="A92" r:id="rId91" xr:uid="{00000000-0004-0000-0800-00005B000000}"/>
    <hyperlink ref="A93" r:id="rId92" xr:uid="{00000000-0004-0000-0800-00005C000000}"/>
    <hyperlink ref="A94" r:id="rId93" xr:uid="{00000000-0004-0000-0800-00005D000000}"/>
    <hyperlink ref="A95" r:id="rId94" xr:uid="{00000000-0004-0000-0800-00005E000000}"/>
    <hyperlink ref="A96" r:id="rId95" xr:uid="{00000000-0004-0000-0800-00005F000000}"/>
    <hyperlink ref="A97" r:id="rId96" xr:uid="{00000000-0004-0000-0800-000060000000}"/>
    <hyperlink ref="A98" r:id="rId97" xr:uid="{00000000-0004-0000-0800-000061000000}"/>
    <hyperlink ref="A99" r:id="rId98" xr:uid="{00000000-0004-0000-0800-000062000000}"/>
    <hyperlink ref="A100" r:id="rId99" xr:uid="{00000000-0004-0000-0800-000063000000}"/>
    <hyperlink ref="A101" r:id="rId100" xr:uid="{00000000-0004-0000-0800-000064000000}"/>
    <hyperlink ref="A102" r:id="rId101" xr:uid="{00000000-0004-0000-0800-000065000000}"/>
    <hyperlink ref="A103" r:id="rId102" xr:uid="{00000000-0004-0000-0800-000066000000}"/>
    <hyperlink ref="A104" r:id="rId103" xr:uid="{00000000-0004-0000-0800-000067000000}"/>
    <hyperlink ref="A105" r:id="rId104" xr:uid="{00000000-0004-0000-0800-000068000000}"/>
    <hyperlink ref="A106" r:id="rId105" xr:uid="{00000000-0004-0000-0800-000069000000}"/>
    <hyperlink ref="A107" r:id="rId106" xr:uid="{00000000-0004-0000-0800-00006A000000}"/>
    <hyperlink ref="A108" r:id="rId107" xr:uid="{00000000-0004-0000-0800-00006B000000}"/>
    <hyperlink ref="A109" r:id="rId108" xr:uid="{00000000-0004-0000-0800-00006C000000}"/>
    <hyperlink ref="A110" r:id="rId109" xr:uid="{00000000-0004-0000-0800-00006D000000}"/>
    <hyperlink ref="A111" r:id="rId110" xr:uid="{00000000-0004-0000-0800-00006E000000}"/>
    <hyperlink ref="A112" r:id="rId111" xr:uid="{00000000-0004-0000-0800-00006F000000}"/>
    <hyperlink ref="A113" r:id="rId112" xr:uid="{00000000-0004-0000-0800-000070000000}"/>
    <hyperlink ref="A114" r:id="rId113" xr:uid="{00000000-0004-0000-0800-000071000000}"/>
    <hyperlink ref="A115" r:id="rId114" xr:uid="{00000000-0004-0000-0800-000072000000}"/>
    <hyperlink ref="A116" r:id="rId115" xr:uid="{00000000-0004-0000-0800-000073000000}"/>
    <hyperlink ref="A117" r:id="rId116" xr:uid="{00000000-0004-0000-0800-000074000000}"/>
    <hyperlink ref="A118" r:id="rId117" xr:uid="{00000000-0004-0000-0800-000075000000}"/>
    <hyperlink ref="A119" r:id="rId118" xr:uid="{00000000-0004-0000-0800-000076000000}"/>
    <hyperlink ref="A120" r:id="rId119" xr:uid="{00000000-0004-0000-0800-000077000000}"/>
    <hyperlink ref="A121" r:id="rId120" xr:uid="{00000000-0004-0000-0800-000078000000}"/>
    <hyperlink ref="A122" r:id="rId121" xr:uid="{00000000-0004-0000-0800-000079000000}"/>
    <hyperlink ref="A123" r:id="rId122" xr:uid="{00000000-0004-0000-0800-00007A000000}"/>
    <hyperlink ref="A124" r:id="rId123" xr:uid="{00000000-0004-0000-0800-00007B000000}"/>
    <hyperlink ref="A125" r:id="rId124" xr:uid="{00000000-0004-0000-0800-00007C000000}"/>
    <hyperlink ref="A126" r:id="rId125" xr:uid="{00000000-0004-0000-0800-00007D000000}"/>
    <hyperlink ref="A127" r:id="rId126" xr:uid="{00000000-0004-0000-0800-00007E000000}"/>
    <hyperlink ref="A128" r:id="rId127" xr:uid="{00000000-0004-0000-0800-00007F000000}"/>
    <hyperlink ref="A129" r:id="rId128" xr:uid="{00000000-0004-0000-0800-000080000000}"/>
    <hyperlink ref="A130" r:id="rId129" xr:uid="{00000000-0004-0000-0800-000081000000}"/>
    <hyperlink ref="A131" r:id="rId130" xr:uid="{00000000-0004-0000-0800-000082000000}"/>
    <hyperlink ref="A132" r:id="rId131" xr:uid="{00000000-0004-0000-0800-000083000000}"/>
    <hyperlink ref="A133" r:id="rId132" xr:uid="{00000000-0004-0000-0800-000084000000}"/>
    <hyperlink ref="A134" r:id="rId133" xr:uid="{00000000-0004-0000-0800-000085000000}"/>
    <hyperlink ref="A135" r:id="rId134" xr:uid="{00000000-0004-0000-0800-000086000000}"/>
    <hyperlink ref="A136" r:id="rId135" xr:uid="{00000000-0004-0000-0800-000087000000}"/>
    <hyperlink ref="A137" r:id="rId136" xr:uid="{00000000-0004-0000-0800-000088000000}"/>
    <hyperlink ref="A138" r:id="rId137" xr:uid="{00000000-0004-0000-0800-000089000000}"/>
    <hyperlink ref="A139" r:id="rId138" xr:uid="{00000000-0004-0000-0800-00008A000000}"/>
    <hyperlink ref="A140" r:id="rId139" xr:uid="{00000000-0004-0000-0800-00008B000000}"/>
    <hyperlink ref="A141" r:id="rId140" xr:uid="{00000000-0004-0000-0800-00008C000000}"/>
    <hyperlink ref="A142" r:id="rId141" xr:uid="{00000000-0004-0000-0800-00008D000000}"/>
    <hyperlink ref="A143" r:id="rId142" xr:uid="{00000000-0004-0000-0800-00008E000000}"/>
    <hyperlink ref="A144" r:id="rId143" xr:uid="{00000000-0004-0000-0800-00008F000000}"/>
    <hyperlink ref="A145" r:id="rId144" xr:uid="{00000000-0004-0000-0800-000090000000}"/>
    <hyperlink ref="A146" r:id="rId145" xr:uid="{00000000-0004-0000-0800-000091000000}"/>
    <hyperlink ref="A147" r:id="rId146" xr:uid="{00000000-0004-0000-0800-000092000000}"/>
    <hyperlink ref="A148" r:id="rId147" xr:uid="{00000000-0004-0000-0800-000093000000}"/>
    <hyperlink ref="A149" r:id="rId148" xr:uid="{00000000-0004-0000-0800-000094000000}"/>
    <hyperlink ref="A150" r:id="rId149" xr:uid="{00000000-0004-0000-0800-000095000000}"/>
    <hyperlink ref="A151" r:id="rId150" xr:uid="{00000000-0004-0000-0800-000096000000}"/>
    <hyperlink ref="A152" r:id="rId151" xr:uid="{00000000-0004-0000-0800-000097000000}"/>
    <hyperlink ref="A153" r:id="rId152" xr:uid="{00000000-0004-0000-0800-000098000000}"/>
    <hyperlink ref="A154" r:id="rId153" xr:uid="{00000000-0004-0000-0800-000099000000}"/>
    <hyperlink ref="A155" r:id="rId154" xr:uid="{00000000-0004-0000-0800-00009A000000}"/>
    <hyperlink ref="A156" r:id="rId155" xr:uid="{00000000-0004-0000-0800-00009B000000}"/>
    <hyperlink ref="A157" r:id="rId156" xr:uid="{00000000-0004-0000-0800-00009C000000}"/>
    <hyperlink ref="A158" r:id="rId157" xr:uid="{00000000-0004-0000-0800-00009D000000}"/>
    <hyperlink ref="A159" r:id="rId158" xr:uid="{00000000-0004-0000-0800-00009E000000}"/>
    <hyperlink ref="A160" r:id="rId159" xr:uid="{00000000-0004-0000-0800-00009F000000}"/>
    <hyperlink ref="A161" r:id="rId160" xr:uid="{00000000-0004-0000-0800-0000A0000000}"/>
    <hyperlink ref="A162" r:id="rId161" xr:uid="{00000000-0004-0000-0800-0000A1000000}"/>
    <hyperlink ref="A163" r:id="rId162" xr:uid="{00000000-0004-0000-0800-0000A2000000}"/>
    <hyperlink ref="A164" r:id="rId163" xr:uid="{00000000-0004-0000-0800-0000A3000000}"/>
    <hyperlink ref="A165" r:id="rId164" xr:uid="{00000000-0004-0000-0800-0000A4000000}"/>
    <hyperlink ref="A166" r:id="rId165" xr:uid="{00000000-0004-0000-0800-0000A5000000}"/>
    <hyperlink ref="A167" r:id="rId166" xr:uid="{00000000-0004-0000-0800-0000A6000000}"/>
    <hyperlink ref="A168" r:id="rId167" xr:uid="{00000000-0004-0000-0800-0000A7000000}"/>
    <hyperlink ref="A169" r:id="rId168" xr:uid="{00000000-0004-0000-0800-0000A8000000}"/>
    <hyperlink ref="A170" r:id="rId169" xr:uid="{00000000-0004-0000-0800-0000A9000000}"/>
    <hyperlink ref="A171" r:id="rId170" xr:uid="{00000000-0004-0000-0800-0000AA000000}"/>
    <hyperlink ref="A172" r:id="rId171" xr:uid="{00000000-0004-0000-0800-0000AB000000}"/>
    <hyperlink ref="A173" r:id="rId172" xr:uid="{00000000-0004-0000-0800-0000AC000000}"/>
    <hyperlink ref="A174" r:id="rId173" xr:uid="{00000000-0004-0000-0800-0000AD000000}"/>
    <hyperlink ref="A175" r:id="rId174" xr:uid="{00000000-0004-0000-0800-0000AE000000}"/>
    <hyperlink ref="A176" r:id="rId175" xr:uid="{00000000-0004-0000-0800-0000AF000000}"/>
    <hyperlink ref="A177" r:id="rId176" xr:uid="{00000000-0004-0000-0800-0000B0000000}"/>
    <hyperlink ref="A178" r:id="rId177" xr:uid="{00000000-0004-0000-0800-0000B1000000}"/>
    <hyperlink ref="A179" r:id="rId178" xr:uid="{00000000-0004-0000-0800-0000B2000000}"/>
    <hyperlink ref="A180" r:id="rId179" xr:uid="{00000000-0004-0000-0800-0000B3000000}"/>
    <hyperlink ref="A181" r:id="rId180" xr:uid="{00000000-0004-0000-0800-0000B4000000}"/>
    <hyperlink ref="A182" r:id="rId181" xr:uid="{00000000-0004-0000-0800-0000B5000000}"/>
    <hyperlink ref="A183" r:id="rId182" xr:uid="{00000000-0004-0000-0800-0000B6000000}"/>
    <hyperlink ref="A184" r:id="rId183" xr:uid="{00000000-0004-0000-0800-0000B7000000}"/>
    <hyperlink ref="A185" r:id="rId184" xr:uid="{00000000-0004-0000-0800-0000B8000000}"/>
    <hyperlink ref="A186" r:id="rId185" xr:uid="{00000000-0004-0000-0800-0000B9000000}"/>
    <hyperlink ref="A187" r:id="rId186" xr:uid="{00000000-0004-0000-0800-0000BA000000}"/>
    <hyperlink ref="A188" r:id="rId187" xr:uid="{00000000-0004-0000-0800-0000BB000000}"/>
    <hyperlink ref="A189" r:id="rId188" xr:uid="{00000000-0004-0000-0800-0000BC000000}"/>
    <hyperlink ref="A190" r:id="rId189" xr:uid="{00000000-0004-0000-0800-0000BD000000}"/>
    <hyperlink ref="A191" r:id="rId190" xr:uid="{00000000-0004-0000-0800-0000BE000000}"/>
    <hyperlink ref="A192" r:id="rId191" xr:uid="{00000000-0004-0000-0800-0000BF000000}"/>
    <hyperlink ref="A193" r:id="rId192" xr:uid="{00000000-0004-0000-0800-0000C0000000}"/>
    <hyperlink ref="A194" r:id="rId193" xr:uid="{00000000-0004-0000-0800-0000C1000000}"/>
    <hyperlink ref="A195" r:id="rId194" xr:uid="{00000000-0004-0000-0800-0000C2000000}"/>
    <hyperlink ref="A196" r:id="rId195" xr:uid="{00000000-0004-0000-0800-0000C3000000}"/>
    <hyperlink ref="A197" r:id="rId196" xr:uid="{00000000-0004-0000-0800-0000C4000000}"/>
    <hyperlink ref="A198" r:id="rId197" xr:uid="{00000000-0004-0000-0800-0000C5000000}"/>
    <hyperlink ref="A199" r:id="rId198" xr:uid="{00000000-0004-0000-0800-0000C6000000}"/>
    <hyperlink ref="A200" r:id="rId199" xr:uid="{00000000-0004-0000-0800-0000C7000000}"/>
    <hyperlink ref="A201" r:id="rId200" xr:uid="{00000000-0004-0000-0800-0000C8000000}"/>
    <hyperlink ref="A202" r:id="rId201" xr:uid="{00000000-0004-0000-0800-0000C9000000}"/>
    <hyperlink ref="A203" r:id="rId202" xr:uid="{00000000-0004-0000-0800-0000CA000000}"/>
    <hyperlink ref="A204" r:id="rId203" xr:uid="{00000000-0004-0000-0800-0000CB000000}"/>
    <hyperlink ref="A205" r:id="rId204" xr:uid="{00000000-0004-0000-0800-0000CC000000}"/>
    <hyperlink ref="A206" r:id="rId205" xr:uid="{00000000-0004-0000-0800-0000CD000000}"/>
    <hyperlink ref="A207" r:id="rId206" xr:uid="{00000000-0004-0000-0800-0000CE000000}"/>
    <hyperlink ref="A208" r:id="rId207" xr:uid="{00000000-0004-0000-0800-0000CF000000}"/>
    <hyperlink ref="A209" r:id="rId208" xr:uid="{00000000-0004-0000-0800-0000D0000000}"/>
    <hyperlink ref="A210" r:id="rId209" xr:uid="{00000000-0004-0000-0800-0000D1000000}"/>
    <hyperlink ref="A211" r:id="rId210" xr:uid="{00000000-0004-0000-0800-0000D2000000}"/>
    <hyperlink ref="A212" r:id="rId211" xr:uid="{00000000-0004-0000-0800-0000D3000000}"/>
    <hyperlink ref="A213" r:id="rId212" xr:uid="{00000000-0004-0000-0800-0000D4000000}"/>
    <hyperlink ref="A214" r:id="rId213" xr:uid="{00000000-0004-0000-0800-0000D5000000}"/>
    <hyperlink ref="A215" r:id="rId214" xr:uid="{00000000-0004-0000-0800-0000D6000000}"/>
    <hyperlink ref="A216" r:id="rId215" xr:uid="{00000000-0004-0000-0800-0000D7000000}"/>
    <hyperlink ref="A217" r:id="rId216" xr:uid="{00000000-0004-0000-0800-0000D8000000}"/>
    <hyperlink ref="A218" r:id="rId217" xr:uid="{00000000-0004-0000-0800-0000D9000000}"/>
    <hyperlink ref="A219" r:id="rId218" xr:uid="{00000000-0004-0000-0800-0000DA000000}"/>
    <hyperlink ref="A220" r:id="rId219" xr:uid="{00000000-0004-0000-0800-0000DB000000}"/>
    <hyperlink ref="A221" r:id="rId220" xr:uid="{00000000-0004-0000-0800-0000DC000000}"/>
    <hyperlink ref="A222" r:id="rId221" xr:uid="{00000000-0004-0000-0800-0000DD000000}"/>
    <hyperlink ref="A223" r:id="rId222" xr:uid="{00000000-0004-0000-0800-0000DE000000}"/>
    <hyperlink ref="A224" r:id="rId223" xr:uid="{00000000-0004-0000-0800-0000DF000000}"/>
    <hyperlink ref="A225" r:id="rId224" xr:uid="{00000000-0004-0000-0800-0000E0000000}"/>
    <hyperlink ref="A226" r:id="rId225" xr:uid="{00000000-0004-0000-0800-0000E1000000}"/>
    <hyperlink ref="A227" r:id="rId226" xr:uid="{00000000-0004-0000-0800-0000E2000000}"/>
    <hyperlink ref="A228" r:id="rId227" xr:uid="{00000000-0004-0000-0800-0000E3000000}"/>
    <hyperlink ref="A229" r:id="rId228" xr:uid="{00000000-0004-0000-0800-0000E4000000}"/>
    <hyperlink ref="A230" r:id="rId229" xr:uid="{00000000-0004-0000-0800-0000E5000000}"/>
    <hyperlink ref="A231" r:id="rId230" xr:uid="{00000000-0004-0000-0800-0000E6000000}"/>
    <hyperlink ref="A232" r:id="rId231" xr:uid="{00000000-0004-0000-0800-0000E7000000}"/>
    <hyperlink ref="A233" r:id="rId232" xr:uid="{00000000-0004-0000-0800-0000E8000000}"/>
    <hyperlink ref="A234" r:id="rId233" xr:uid="{00000000-0004-0000-0800-0000E9000000}"/>
    <hyperlink ref="A235" r:id="rId234" xr:uid="{00000000-0004-0000-0800-0000EA000000}"/>
    <hyperlink ref="A236" r:id="rId235" xr:uid="{00000000-0004-0000-0800-0000EB000000}"/>
    <hyperlink ref="A237" r:id="rId236" xr:uid="{00000000-0004-0000-0800-0000EC000000}"/>
    <hyperlink ref="A238" r:id="rId237" xr:uid="{00000000-0004-0000-0800-0000ED000000}"/>
    <hyperlink ref="A239" r:id="rId238" xr:uid="{00000000-0004-0000-0800-0000EE000000}"/>
    <hyperlink ref="A240" r:id="rId239" xr:uid="{00000000-0004-0000-0800-0000EF000000}"/>
    <hyperlink ref="A241" r:id="rId240" xr:uid="{00000000-0004-0000-0800-0000F0000000}"/>
    <hyperlink ref="A242" r:id="rId241" xr:uid="{00000000-0004-0000-0800-0000F1000000}"/>
    <hyperlink ref="A243" r:id="rId242" xr:uid="{00000000-0004-0000-0800-0000F2000000}"/>
    <hyperlink ref="A244" r:id="rId243" xr:uid="{00000000-0004-0000-0800-0000F3000000}"/>
    <hyperlink ref="A245" r:id="rId244" xr:uid="{00000000-0004-0000-0800-0000F4000000}"/>
    <hyperlink ref="A246" r:id="rId245" xr:uid="{00000000-0004-0000-0800-0000F5000000}"/>
    <hyperlink ref="A247" r:id="rId246" xr:uid="{00000000-0004-0000-0800-0000F6000000}"/>
    <hyperlink ref="A248" r:id="rId247" xr:uid="{00000000-0004-0000-0800-0000F7000000}"/>
    <hyperlink ref="A249" r:id="rId248" xr:uid="{00000000-0004-0000-0800-0000F8000000}"/>
    <hyperlink ref="A250" r:id="rId249" xr:uid="{00000000-0004-0000-0800-0000F9000000}"/>
    <hyperlink ref="A251" r:id="rId250" xr:uid="{00000000-0004-0000-0800-0000FA000000}"/>
    <hyperlink ref="A252" r:id="rId251" xr:uid="{00000000-0004-0000-0800-0000FB000000}"/>
    <hyperlink ref="A253" r:id="rId252" xr:uid="{00000000-0004-0000-0800-0000FC000000}"/>
    <hyperlink ref="A254" r:id="rId253" xr:uid="{00000000-0004-0000-0800-0000FD000000}"/>
    <hyperlink ref="A255" r:id="rId254" xr:uid="{00000000-0004-0000-0800-0000FE000000}"/>
    <hyperlink ref="A256" r:id="rId255" xr:uid="{00000000-0004-0000-0800-0000FF000000}"/>
    <hyperlink ref="A257" r:id="rId256" xr:uid="{00000000-0004-0000-0800-000000010000}"/>
    <hyperlink ref="A258" r:id="rId257" xr:uid="{00000000-0004-0000-0800-000001010000}"/>
    <hyperlink ref="A259" r:id="rId258" xr:uid="{00000000-0004-0000-0800-000002010000}"/>
    <hyperlink ref="A260" r:id="rId259" xr:uid="{00000000-0004-0000-0800-000003010000}"/>
    <hyperlink ref="A261" r:id="rId260" xr:uid="{00000000-0004-0000-0800-000004010000}"/>
    <hyperlink ref="A262" r:id="rId261" xr:uid="{00000000-0004-0000-0800-000005010000}"/>
    <hyperlink ref="A263" r:id="rId262" xr:uid="{00000000-0004-0000-0800-000006010000}"/>
    <hyperlink ref="A264" r:id="rId263" xr:uid="{00000000-0004-0000-0800-000007010000}"/>
    <hyperlink ref="A265" r:id="rId264" xr:uid="{00000000-0004-0000-0800-000008010000}"/>
    <hyperlink ref="A266" r:id="rId265" xr:uid="{00000000-0004-0000-0800-000009010000}"/>
    <hyperlink ref="A267" r:id="rId266" xr:uid="{00000000-0004-0000-0800-00000A010000}"/>
    <hyperlink ref="A268" r:id="rId267" xr:uid="{00000000-0004-0000-0800-00000B010000}"/>
    <hyperlink ref="A269" r:id="rId268" xr:uid="{00000000-0004-0000-0800-00000C010000}"/>
    <hyperlink ref="A270" r:id="rId269" xr:uid="{00000000-0004-0000-0800-00000D010000}"/>
    <hyperlink ref="A271" r:id="rId270" xr:uid="{00000000-0004-0000-0800-00000E010000}"/>
    <hyperlink ref="A272" r:id="rId271" xr:uid="{00000000-0004-0000-0800-00000F010000}"/>
    <hyperlink ref="A273" r:id="rId272" xr:uid="{00000000-0004-0000-0800-000010010000}"/>
    <hyperlink ref="A274" r:id="rId273" xr:uid="{00000000-0004-0000-0800-000011010000}"/>
    <hyperlink ref="A275" r:id="rId274" xr:uid="{00000000-0004-0000-0800-000012010000}"/>
    <hyperlink ref="A276" r:id="rId275" xr:uid="{00000000-0004-0000-0800-000013010000}"/>
    <hyperlink ref="A277" r:id="rId276" xr:uid="{00000000-0004-0000-0800-000014010000}"/>
    <hyperlink ref="A278" r:id="rId277" xr:uid="{00000000-0004-0000-0800-000015010000}"/>
    <hyperlink ref="A279" r:id="rId278" xr:uid="{00000000-0004-0000-0800-000016010000}"/>
    <hyperlink ref="A280" r:id="rId279" xr:uid="{00000000-0004-0000-0800-000017010000}"/>
    <hyperlink ref="A281" r:id="rId280" xr:uid="{00000000-0004-0000-0800-000018010000}"/>
    <hyperlink ref="A282" r:id="rId281" xr:uid="{00000000-0004-0000-0800-000019010000}"/>
    <hyperlink ref="A283" r:id="rId282" xr:uid="{00000000-0004-0000-0800-00001A010000}"/>
    <hyperlink ref="A284" r:id="rId283" xr:uid="{00000000-0004-0000-0800-00001B010000}"/>
    <hyperlink ref="A285" r:id="rId284" xr:uid="{00000000-0004-0000-0800-00001C010000}"/>
    <hyperlink ref="A286" r:id="rId285" xr:uid="{00000000-0004-0000-0800-00001D010000}"/>
    <hyperlink ref="A287" r:id="rId286" xr:uid="{00000000-0004-0000-0800-00001E010000}"/>
    <hyperlink ref="A288" r:id="rId287" xr:uid="{00000000-0004-0000-0800-00001F010000}"/>
    <hyperlink ref="A289" r:id="rId288" xr:uid="{00000000-0004-0000-0800-000020010000}"/>
    <hyperlink ref="A290" r:id="rId289" xr:uid="{00000000-0004-0000-0800-000021010000}"/>
    <hyperlink ref="A291" r:id="rId290" xr:uid="{00000000-0004-0000-0800-000022010000}"/>
    <hyperlink ref="A292" r:id="rId291" xr:uid="{00000000-0004-0000-0800-000023010000}"/>
    <hyperlink ref="A293" r:id="rId292" xr:uid="{00000000-0004-0000-0800-000024010000}"/>
    <hyperlink ref="A294" r:id="rId293" xr:uid="{00000000-0004-0000-0800-000025010000}"/>
    <hyperlink ref="A295" r:id="rId294" xr:uid="{00000000-0004-0000-0800-000026010000}"/>
    <hyperlink ref="A296" r:id="rId295" xr:uid="{00000000-0004-0000-0800-000027010000}"/>
    <hyperlink ref="A297" r:id="rId296" xr:uid="{00000000-0004-0000-0800-000028010000}"/>
    <hyperlink ref="A298" r:id="rId297" xr:uid="{00000000-0004-0000-0800-000029010000}"/>
    <hyperlink ref="A299" r:id="rId298" xr:uid="{00000000-0004-0000-0800-00002A010000}"/>
    <hyperlink ref="A300" r:id="rId299" xr:uid="{00000000-0004-0000-0800-00002B010000}"/>
    <hyperlink ref="A301" r:id="rId300" xr:uid="{00000000-0004-0000-0800-00002C010000}"/>
    <hyperlink ref="A302" r:id="rId301" xr:uid="{00000000-0004-0000-0800-00002D010000}"/>
    <hyperlink ref="A303" r:id="rId302" xr:uid="{00000000-0004-0000-0800-00002E010000}"/>
    <hyperlink ref="A304" r:id="rId303" xr:uid="{00000000-0004-0000-0800-00002F010000}"/>
    <hyperlink ref="A305" r:id="rId304" xr:uid="{00000000-0004-0000-0800-000030010000}"/>
    <hyperlink ref="A306" r:id="rId305" xr:uid="{00000000-0004-0000-0800-000031010000}"/>
    <hyperlink ref="A307" r:id="rId306" xr:uid="{00000000-0004-0000-0800-000032010000}"/>
    <hyperlink ref="A308" r:id="rId307" xr:uid="{00000000-0004-0000-0800-000033010000}"/>
    <hyperlink ref="A309" r:id="rId308" xr:uid="{00000000-0004-0000-0800-000034010000}"/>
    <hyperlink ref="A310" r:id="rId309" xr:uid="{00000000-0004-0000-0800-000035010000}"/>
    <hyperlink ref="A311" r:id="rId310" xr:uid="{00000000-0004-0000-0800-000036010000}"/>
    <hyperlink ref="A312" r:id="rId311" xr:uid="{00000000-0004-0000-0800-000037010000}"/>
    <hyperlink ref="A313" r:id="rId312" xr:uid="{00000000-0004-0000-0800-000038010000}"/>
    <hyperlink ref="A314" r:id="rId313" xr:uid="{00000000-0004-0000-0800-000039010000}"/>
    <hyperlink ref="A315" r:id="rId314" xr:uid="{00000000-0004-0000-0800-00003A010000}"/>
    <hyperlink ref="A316" r:id="rId315" xr:uid="{00000000-0004-0000-0800-00003B010000}"/>
    <hyperlink ref="A317" r:id="rId316" xr:uid="{00000000-0004-0000-0800-00003C010000}"/>
    <hyperlink ref="A318" r:id="rId317" xr:uid="{00000000-0004-0000-0800-00003D010000}"/>
    <hyperlink ref="A319" r:id="rId318" xr:uid="{00000000-0004-0000-0800-00003E010000}"/>
    <hyperlink ref="A320" r:id="rId319" xr:uid="{00000000-0004-0000-0800-00003F010000}"/>
    <hyperlink ref="A321" r:id="rId320" xr:uid="{00000000-0004-0000-0800-000040010000}"/>
    <hyperlink ref="A322" r:id="rId321" xr:uid="{00000000-0004-0000-0800-000041010000}"/>
    <hyperlink ref="A323" r:id="rId322" xr:uid="{00000000-0004-0000-0800-000042010000}"/>
    <hyperlink ref="A324" r:id="rId323" xr:uid="{00000000-0004-0000-0800-000043010000}"/>
    <hyperlink ref="A325" r:id="rId324" xr:uid="{00000000-0004-0000-0800-000044010000}"/>
    <hyperlink ref="A326" r:id="rId325" xr:uid="{00000000-0004-0000-0800-000045010000}"/>
    <hyperlink ref="A327" r:id="rId326" xr:uid="{00000000-0004-0000-0800-000046010000}"/>
    <hyperlink ref="A328" r:id="rId327" xr:uid="{00000000-0004-0000-0800-000047010000}"/>
    <hyperlink ref="A329" r:id="rId328" xr:uid="{00000000-0004-0000-0800-000048010000}"/>
    <hyperlink ref="A330" r:id="rId329" xr:uid="{00000000-0004-0000-0800-000049010000}"/>
    <hyperlink ref="A331" r:id="rId330" xr:uid="{00000000-0004-0000-0800-00004A010000}"/>
    <hyperlink ref="A332" r:id="rId331" xr:uid="{00000000-0004-0000-0800-00004B010000}"/>
    <hyperlink ref="A333" r:id="rId332" xr:uid="{00000000-0004-0000-0800-00004C010000}"/>
    <hyperlink ref="A334" r:id="rId333" xr:uid="{00000000-0004-0000-0800-00004D010000}"/>
    <hyperlink ref="A335" r:id="rId334" xr:uid="{00000000-0004-0000-0800-00004E010000}"/>
    <hyperlink ref="A336" r:id="rId335" xr:uid="{00000000-0004-0000-0800-00004F010000}"/>
    <hyperlink ref="A337" r:id="rId336" xr:uid="{00000000-0004-0000-0800-000050010000}"/>
    <hyperlink ref="A338" r:id="rId337" xr:uid="{00000000-0004-0000-0800-000051010000}"/>
    <hyperlink ref="A339" r:id="rId338" xr:uid="{00000000-0004-0000-0800-000052010000}"/>
    <hyperlink ref="A340" r:id="rId339" xr:uid="{00000000-0004-0000-0800-000053010000}"/>
    <hyperlink ref="A341" r:id="rId340" xr:uid="{00000000-0004-0000-0800-000054010000}"/>
    <hyperlink ref="A342" r:id="rId341" xr:uid="{00000000-0004-0000-0800-000055010000}"/>
    <hyperlink ref="A343" r:id="rId342" xr:uid="{00000000-0004-0000-0800-000056010000}"/>
    <hyperlink ref="A344" r:id="rId343" xr:uid="{00000000-0004-0000-0800-000057010000}"/>
    <hyperlink ref="A345" r:id="rId344" xr:uid="{00000000-0004-0000-0800-000058010000}"/>
    <hyperlink ref="A346" r:id="rId345" xr:uid="{00000000-0004-0000-0800-000059010000}"/>
    <hyperlink ref="A347" r:id="rId346" xr:uid="{00000000-0004-0000-0800-00005A010000}"/>
    <hyperlink ref="A348" r:id="rId347" xr:uid="{00000000-0004-0000-0800-00005B010000}"/>
    <hyperlink ref="A349" r:id="rId348" xr:uid="{00000000-0004-0000-0800-00005C010000}"/>
    <hyperlink ref="A350" r:id="rId349" xr:uid="{00000000-0004-0000-0800-00005D010000}"/>
    <hyperlink ref="A351" r:id="rId350" xr:uid="{00000000-0004-0000-0800-00005E010000}"/>
    <hyperlink ref="A352" r:id="rId351" xr:uid="{00000000-0004-0000-0800-00005F010000}"/>
    <hyperlink ref="A353" r:id="rId352" xr:uid="{00000000-0004-0000-0800-000060010000}"/>
    <hyperlink ref="A354" r:id="rId353" xr:uid="{00000000-0004-0000-0800-000061010000}"/>
    <hyperlink ref="A355" r:id="rId354" xr:uid="{00000000-0004-0000-0800-000062010000}"/>
    <hyperlink ref="A356" r:id="rId355" xr:uid="{00000000-0004-0000-0800-000063010000}"/>
    <hyperlink ref="A357" r:id="rId356" xr:uid="{00000000-0004-0000-0800-000064010000}"/>
    <hyperlink ref="A358" r:id="rId357" xr:uid="{00000000-0004-0000-0800-000065010000}"/>
    <hyperlink ref="A359" r:id="rId358" xr:uid="{00000000-0004-0000-0800-000066010000}"/>
    <hyperlink ref="A360" r:id="rId359" xr:uid="{00000000-0004-0000-0800-000067010000}"/>
    <hyperlink ref="A361" r:id="rId360" xr:uid="{00000000-0004-0000-0800-000068010000}"/>
    <hyperlink ref="A362" r:id="rId361" xr:uid="{00000000-0004-0000-0800-000069010000}"/>
    <hyperlink ref="A363" r:id="rId362" xr:uid="{00000000-0004-0000-0800-00006A010000}"/>
    <hyperlink ref="A364" r:id="rId363" xr:uid="{00000000-0004-0000-0800-00006B010000}"/>
    <hyperlink ref="A365" r:id="rId364" xr:uid="{00000000-0004-0000-0800-00006C010000}"/>
    <hyperlink ref="A366" r:id="rId365" xr:uid="{00000000-0004-0000-0800-00006D010000}"/>
    <hyperlink ref="A367" r:id="rId366" xr:uid="{00000000-0004-0000-0800-00006E010000}"/>
    <hyperlink ref="A368" r:id="rId367" xr:uid="{00000000-0004-0000-0800-00006F010000}"/>
    <hyperlink ref="A369" r:id="rId368" xr:uid="{00000000-0004-0000-0800-000070010000}"/>
    <hyperlink ref="A370" r:id="rId369" xr:uid="{00000000-0004-0000-0800-000071010000}"/>
    <hyperlink ref="A371" r:id="rId370" xr:uid="{00000000-0004-0000-0800-000072010000}"/>
    <hyperlink ref="A372" r:id="rId371" xr:uid="{00000000-0004-0000-0800-000073010000}"/>
    <hyperlink ref="A373" r:id="rId372" xr:uid="{00000000-0004-0000-0800-000074010000}"/>
    <hyperlink ref="A374" r:id="rId373" xr:uid="{00000000-0004-0000-0800-000075010000}"/>
    <hyperlink ref="A375" r:id="rId374" xr:uid="{00000000-0004-0000-0800-000076010000}"/>
    <hyperlink ref="A376" r:id="rId375" xr:uid="{00000000-0004-0000-0800-000077010000}"/>
    <hyperlink ref="A377" r:id="rId376" xr:uid="{00000000-0004-0000-0800-000078010000}"/>
    <hyperlink ref="A378" r:id="rId377" xr:uid="{00000000-0004-0000-0800-000079010000}"/>
    <hyperlink ref="A379" r:id="rId378" xr:uid="{00000000-0004-0000-0800-00007A010000}"/>
    <hyperlink ref="A380" r:id="rId379" xr:uid="{00000000-0004-0000-0800-00007B010000}"/>
    <hyperlink ref="A381" r:id="rId380" xr:uid="{00000000-0004-0000-0800-00007C010000}"/>
    <hyperlink ref="A382" r:id="rId381" xr:uid="{00000000-0004-0000-0800-00007D010000}"/>
    <hyperlink ref="A383" r:id="rId382" xr:uid="{00000000-0004-0000-0800-00007E010000}"/>
    <hyperlink ref="A384" r:id="rId383" xr:uid="{00000000-0004-0000-0800-00007F010000}"/>
    <hyperlink ref="A385" r:id="rId384" xr:uid="{00000000-0004-0000-0800-000080010000}"/>
    <hyperlink ref="A386" r:id="rId385" xr:uid="{00000000-0004-0000-0800-000081010000}"/>
    <hyperlink ref="A387" r:id="rId386" xr:uid="{00000000-0004-0000-0800-000082010000}"/>
    <hyperlink ref="A388" r:id="rId387" xr:uid="{00000000-0004-0000-0800-000083010000}"/>
    <hyperlink ref="A389" r:id="rId388" xr:uid="{00000000-0004-0000-0800-000084010000}"/>
    <hyperlink ref="A390" r:id="rId389" xr:uid="{00000000-0004-0000-0800-000085010000}"/>
    <hyperlink ref="A391" r:id="rId390" xr:uid="{00000000-0004-0000-0800-000086010000}"/>
    <hyperlink ref="A392" r:id="rId391" xr:uid="{00000000-0004-0000-0800-000087010000}"/>
    <hyperlink ref="A393" r:id="rId392" xr:uid="{00000000-0004-0000-0800-000088010000}"/>
    <hyperlink ref="A394" r:id="rId393" xr:uid="{00000000-0004-0000-0800-000089010000}"/>
    <hyperlink ref="A395" r:id="rId394" xr:uid="{00000000-0004-0000-0800-00008A010000}"/>
    <hyperlink ref="A396" r:id="rId395" xr:uid="{00000000-0004-0000-0800-00008B010000}"/>
    <hyperlink ref="A397" r:id="rId396" xr:uid="{00000000-0004-0000-0800-00008C010000}"/>
    <hyperlink ref="A398" r:id="rId397" xr:uid="{00000000-0004-0000-0800-00008D010000}"/>
    <hyperlink ref="A399" r:id="rId398" xr:uid="{00000000-0004-0000-0800-00008E010000}"/>
    <hyperlink ref="A400" r:id="rId399" xr:uid="{00000000-0004-0000-0800-00008F010000}"/>
    <hyperlink ref="A401" r:id="rId400" xr:uid="{00000000-0004-0000-0800-000090010000}"/>
    <hyperlink ref="A402" r:id="rId401" xr:uid="{00000000-0004-0000-0800-000091010000}"/>
    <hyperlink ref="A403" r:id="rId402" xr:uid="{00000000-0004-0000-0800-000092010000}"/>
    <hyperlink ref="A404" r:id="rId403" xr:uid="{00000000-0004-0000-0800-000093010000}"/>
    <hyperlink ref="A405" r:id="rId404" xr:uid="{00000000-0004-0000-0800-000094010000}"/>
    <hyperlink ref="A406" r:id="rId405" xr:uid="{00000000-0004-0000-0800-000095010000}"/>
    <hyperlink ref="A407" r:id="rId406" xr:uid="{00000000-0004-0000-0800-000096010000}"/>
    <hyperlink ref="A408" r:id="rId407" xr:uid="{00000000-0004-0000-0800-000097010000}"/>
    <hyperlink ref="A409" r:id="rId408" xr:uid="{00000000-0004-0000-0800-000098010000}"/>
    <hyperlink ref="A410" r:id="rId409" xr:uid="{00000000-0004-0000-0800-000099010000}"/>
    <hyperlink ref="A411" r:id="rId410" xr:uid="{00000000-0004-0000-0800-00009A010000}"/>
    <hyperlink ref="A412" r:id="rId411" xr:uid="{00000000-0004-0000-0800-00009B010000}"/>
    <hyperlink ref="A413" r:id="rId412" xr:uid="{00000000-0004-0000-0800-00009C010000}"/>
    <hyperlink ref="A414" r:id="rId413" xr:uid="{00000000-0004-0000-0800-00009D010000}"/>
    <hyperlink ref="A415" r:id="rId414" xr:uid="{00000000-0004-0000-0800-00009E010000}"/>
    <hyperlink ref="A416" r:id="rId415" xr:uid="{00000000-0004-0000-0800-00009F010000}"/>
    <hyperlink ref="A417" r:id="rId416" xr:uid="{00000000-0004-0000-0800-0000A0010000}"/>
    <hyperlink ref="A418" r:id="rId417" xr:uid="{00000000-0004-0000-0800-0000A1010000}"/>
    <hyperlink ref="A419" r:id="rId418" xr:uid="{00000000-0004-0000-0800-0000A2010000}"/>
    <hyperlink ref="A420" r:id="rId419" xr:uid="{00000000-0004-0000-0800-0000A3010000}"/>
    <hyperlink ref="A421" r:id="rId420" xr:uid="{00000000-0004-0000-0800-0000A4010000}"/>
    <hyperlink ref="A422" r:id="rId421" xr:uid="{00000000-0004-0000-0800-0000A5010000}"/>
    <hyperlink ref="A423" r:id="rId422" xr:uid="{00000000-0004-0000-0800-0000A6010000}"/>
    <hyperlink ref="A424" r:id="rId423" xr:uid="{00000000-0004-0000-0800-0000A7010000}"/>
    <hyperlink ref="A425" r:id="rId424" xr:uid="{00000000-0004-0000-0800-0000A8010000}"/>
    <hyperlink ref="A426" r:id="rId425" xr:uid="{00000000-0004-0000-0800-0000A9010000}"/>
    <hyperlink ref="A427" r:id="rId426" xr:uid="{00000000-0004-0000-0800-0000AA010000}"/>
    <hyperlink ref="A428" r:id="rId427" xr:uid="{00000000-0004-0000-0800-0000AB010000}"/>
    <hyperlink ref="A429" r:id="rId428" xr:uid="{00000000-0004-0000-0800-0000AC010000}"/>
    <hyperlink ref="A430" r:id="rId429" xr:uid="{00000000-0004-0000-0800-0000AD010000}"/>
    <hyperlink ref="A431" r:id="rId430" xr:uid="{00000000-0004-0000-0800-0000AE010000}"/>
    <hyperlink ref="A432" r:id="rId431" xr:uid="{00000000-0004-0000-0800-0000AF010000}"/>
    <hyperlink ref="A433" r:id="rId432" xr:uid="{00000000-0004-0000-0800-0000B0010000}"/>
    <hyperlink ref="A434" r:id="rId433" xr:uid="{00000000-0004-0000-0800-0000B1010000}"/>
    <hyperlink ref="A435" r:id="rId434" xr:uid="{00000000-0004-0000-0800-0000B2010000}"/>
    <hyperlink ref="A436" r:id="rId435" xr:uid="{00000000-0004-0000-0800-0000B3010000}"/>
    <hyperlink ref="A437" r:id="rId436" xr:uid="{00000000-0004-0000-0800-0000B4010000}"/>
    <hyperlink ref="A438" r:id="rId437" xr:uid="{00000000-0004-0000-0800-0000B5010000}"/>
    <hyperlink ref="A439" r:id="rId438" xr:uid="{00000000-0004-0000-0800-0000B6010000}"/>
    <hyperlink ref="A440" r:id="rId439" xr:uid="{00000000-0004-0000-0800-0000B7010000}"/>
    <hyperlink ref="A441" r:id="rId440" xr:uid="{00000000-0004-0000-0800-0000B8010000}"/>
    <hyperlink ref="A442" r:id="rId441" xr:uid="{00000000-0004-0000-0800-0000B9010000}"/>
    <hyperlink ref="A443" r:id="rId442" xr:uid="{00000000-0004-0000-0800-0000BA010000}"/>
    <hyperlink ref="A444" r:id="rId443" xr:uid="{00000000-0004-0000-0800-0000BB010000}"/>
    <hyperlink ref="A445" r:id="rId444" xr:uid="{00000000-0004-0000-0800-0000BC010000}"/>
    <hyperlink ref="A446" r:id="rId445" xr:uid="{00000000-0004-0000-0800-0000BD010000}"/>
    <hyperlink ref="A447" r:id="rId446" xr:uid="{00000000-0004-0000-0800-0000BE010000}"/>
    <hyperlink ref="A448" r:id="rId447" xr:uid="{00000000-0004-0000-0800-0000BF010000}"/>
    <hyperlink ref="A449" r:id="rId448" xr:uid="{00000000-0004-0000-0800-0000C0010000}"/>
    <hyperlink ref="A450" r:id="rId449" xr:uid="{00000000-0004-0000-0800-0000C1010000}"/>
    <hyperlink ref="A451" r:id="rId450" xr:uid="{00000000-0004-0000-0800-0000C2010000}"/>
    <hyperlink ref="A452" r:id="rId451" xr:uid="{00000000-0004-0000-0800-0000C3010000}"/>
    <hyperlink ref="A453" r:id="rId452" xr:uid="{00000000-0004-0000-0800-0000C4010000}"/>
    <hyperlink ref="A454" r:id="rId453" xr:uid="{00000000-0004-0000-0800-0000C5010000}"/>
    <hyperlink ref="A455" r:id="rId454" xr:uid="{00000000-0004-0000-0800-0000C6010000}"/>
    <hyperlink ref="A456" r:id="rId455" xr:uid="{00000000-0004-0000-0800-0000C7010000}"/>
    <hyperlink ref="A457" r:id="rId456" xr:uid="{00000000-0004-0000-0800-0000C8010000}"/>
    <hyperlink ref="A458" r:id="rId457" xr:uid="{00000000-0004-0000-0800-0000C9010000}"/>
    <hyperlink ref="A459" r:id="rId458" xr:uid="{00000000-0004-0000-0800-0000CA010000}"/>
    <hyperlink ref="A460" r:id="rId459" xr:uid="{00000000-0004-0000-0800-0000CB010000}"/>
    <hyperlink ref="A461" r:id="rId460" xr:uid="{00000000-0004-0000-0800-0000CC010000}"/>
    <hyperlink ref="A462" r:id="rId461" xr:uid="{00000000-0004-0000-0800-0000CD010000}"/>
    <hyperlink ref="A463" r:id="rId462" xr:uid="{00000000-0004-0000-0800-0000CE010000}"/>
    <hyperlink ref="A464" r:id="rId463" xr:uid="{00000000-0004-0000-0800-0000CF010000}"/>
    <hyperlink ref="A465" r:id="rId464" xr:uid="{00000000-0004-0000-0800-0000D0010000}"/>
    <hyperlink ref="A466" r:id="rId465" xr:uid="{00000000-0004-0000-0800-0000D1010000}"/>
    <hyperlink ref="A467" r:id="rId466" xr:uid="{00000000-0004-0000-0800-0000D2010000}"/>
    <hyperlink ref="A468" r:id="rId467" xr:uid="{00000000-0004-0000-0800-0000D3010000}"/>
    <hyperlink ref="A469" r:id="rId468" xr:uid="{00000000-0004-0000-0800-0000D4010000}"/>
    <hyperlink ref="A470" r:id="rId469" xr:uid="{00000000-0004-0000-0800-0000D5010000}"/>
    <hyperlink ref="A471" r:id="rId470" xr:uid="{00000000-0004-0000-0800-0000D6010000}"/>
    <hyperlink ref="A472" r:id="rId471" xr:uid="{00000000-0004-0000-0800-0000D7010000}"/>
    <hyperlink ref="A473" r:id="rId472" xr:uid="{00000000-0004-0000-0800-0000D8010000}"/>
  </hyperlinks>
  <pageMargins left="0.75" right="0.75" top="1" bottom="1" header="0.5" footer="0.5"/>
  <legacyDrawing r:id="rId47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4"/>
  <sheetViews>
    <sheetView workbookViewId="0">
      <pane xSplit="2" ySplit="1" topLeftCell="C2" activePane="bottomRight" state="frozen"/>
      <selection pane="topRight"/>
      <selection pane="bottomLeft"/>
      <selection pane="bottomRight"/>
    </sheetView>
  </sheetViews>
  <sheetFormatPr defaultRowHeight="15" x14ac:dyDescent="0.25"/>
  <cols>
    <col min="1" max="1" width="5" customWidth="1"/>
    <col min="2" max="2" width="18" customWidth="1"/>
    <col min="3" max="3" width="34" customWidth="1"/>
    <col min="4" max="4" width="29" customWidth="1"/>
    <col min="5" max="5" width="16" customWidth="1"/>
    <col min="6" max="6" width="20" customWidth="1"/>
    <col min="7" max="7" width="14" customWidth="1"/>
    <col min="8" max="8" width="60" customWidth="1"/>
    <col min="9" max="9" width="10" customWidth="1"/>
    <col min="10" max="10" width="29" customWidth="1"/>
  </cols>
  <sheetData>
    <row r="1" spans="1:12" ht="45" x14ac:dyDescent="0.25">
      <c r="A1" s="26" t="s">
        <v>70</v>
      </c>
      <c r="B1" s="26" t="s">
        <v>663</v>
      </c>
      <c r="C1" s="26" t="s">
        <v>664</v>
      </c>
      <c r="D1" s="26" t="s">
        <v>279</v>
      </c>
      <c r="E1" s="26" t="s">
        <v>665</v>
      </c>
      <c r="F1" s="26" t="s">
        <v>280</v>
      </c>
      <c r="G1" s="26" t="s">
        <v>666</v>
      </c>
      <c r="H1" s="26" t="s">
        <v>667</v>
      </c>
      <c r="I1" s="26" t="s">
        <v>46</v>
      </c>
      <c r="J1" s="26" t="s">
        <v>284</v>
      </c>
      <c r="K1" s="26" t="s">
        <v>85</v>
      </c>
      <c r="L1" s="27" t="s">
        <v>87</v>
      </c>
    </row>
    <row r="2" spans="1:12" x14ac:dyDescent="0.25">
      <c r="A2" s="32"/>
      <c r="B2" s="28" t="s">
        <v>668</v>
      </c>
      <c r="C2" s="28" t="s">
        <v>669</v>
      </c>
      <c r="D2" s="28" t="s">
        <v>670</v>
      </c>
      <c r="E2" s="28">
        <v>100</v>
      </c>
      <c r="F2" s="32">
        <v>1</v>
      </c>
      <c r="G2" s="32"/>
      <c r="H2" s="28" t="s">
        <v>671</v>
      </c>
      <c r="I2" s="42" t="s">
        <v>50</v>
      </c>
      <c r="J2" s="28" t="s">
        <v>672</v>
      </c>
      <c r="K2" s="36" t="str">
        <f>IFERROR(HYPERLINK("#'Main'!B"&amp;MATCH(TRIM(A2),Main!B:B,0),"Open"),HYPERLINK("#'Main'!B1","Open"))</f>
        <v>Open</v>
      </c>
      <c r="L2" s="36"/>
    </row>
    <row r="3" spans="1:12" x14ac:dyDescent="0.25">
      <c r="A3" s="39"/>
      <c r="B3" s="37" t="s">
        <v>668</v>
      </c>
      <c r="C3" s="37" t="s">
        <v>673</v>
      </c>
      <c r="D3" s="37" t="s">
        <v>670</v>
      </c>
      <c r="E3" s="37">
        <v>100</v>
      </c>
      <c r="F3" s="39">
        <v>1</v>
      </c>
      <c r="G3" s="39"/>
      <c r="H3" s="37" t="s">
        <v>671</v>
      </c>
      <c r="I3" s="42" t="s">
        <v>50</v>
      </c>
      <c r="J3" s="37" t="s">
        <v>672</v>
      </c>
      <c r="K3" t="str">
        <f>IFERROR(HYPERLINK("#'Main'!B"&amp;MATCH(TRIM(A3),Main!B:B,0),"Open"),HYPERLINK("#'Main'!B1","Open"))</f>
        <v>Open</v>
      </c>
    </row>
    <row r="4" spans="1:12" x14ac:dyDescent="0.25">
      <c r="A4" s="32"/>
      <c r="B4" s="28" t="s">
        <v>668</v>
      </c>
      <c r="C4" s="28" t="s">
        <v>674</v>
      </c>
      <c r="D4" s="28" t="s">
        <v>670</v>
      </c>
      <c r="E4" s="28">
        <v>100</v>
      </c>
      <c r="F4" s="32">
        <v>1</v>
      </c>
      <c r="G4" s="32"/>
      <c r="H4" s="28" t="s">
        <v>671</v>
      </c>
      <c r="I4" s="42" t="s">
        <v>50</v>
      </c>
      <c r="J4" s="28" t="s">
        <v>672</v>
      </c>
      <c r="K4" s="36" t="str">
        <f>IFERROR(HYPERLINK("#'Main'!B"&amp;MATCH(TRIM(A4),Main!B:B,0),"Open"),HYPERLINK("#'Main'!B1","Open"))</f>
        <v>Open</v>
      </c>
      <c r="L4" s="36"/>
    </row>
  </sheetData>
  <conditionalFormatting sqref="B2:B4">
    <cfRule type="expression" dxfId="28" priority="7" stopIfTrue="1">
      <formula>OR(NOT(ISERROR(SEARCH("Critical",B2))),NOT(ISERROR(SEARCH("Non-Pass",B2))),NOT(ISERROR(SEARCH("Error",B2))))</formula>
    </cfRule>
    <cfRule type="expression" dxfId="27" priority="8" stopIfTrue="1">
      <formula>OR(NOT(ISERROR(SEARCH("Warning",B2))),NOT(ISERROR(SEARCH("Needs Work",B2))))</formula>
    </cfRule>
  </conditionalFormatting>
  <conditionalFormatting sqref="D2:D4">
    <cfRule type="expression" dxfId="26" priority="1" stopIfTrue="1">
      <formula>OR(NOT(ISERROR(SEARCH("Critical",D2))),NOT(ISERROR(SEARCH("Non-Pass",D2))),NOT(ISERROR(SEARCH("Error",D2))))</formula>
    </cfRule>
    <cfRule type="expression" dxfId="25" priority="2" stopIfTrue="1">
      <formula>OR(NOT(ISERROR(SEARCH("Warning",D2))),NOT(ISERROR(SEARCH("Needs Work",D2))))</formula>
    </cfRule>
  </conditionalFormatting>
  <conditionalFormatting sqref="H2:I4">
    <cfRule type="expression" dxfId="24" priority="3" stopIfTrue="1">
      <formula>OR(NOT(ISERROR(SEARCH("Critical",H2))),NOT(ISERROR(SEARCH("Non-Pass",H2))),NOT(ISERROR(SEARCH("Error",H2))))</formula>
    </cfRule>
    <cfRule type="expression" dxfId="23" priority="4" stopIfTrue="1">
      <formula>OR(NOT(ISERROR(SEARCH("Warning",H2))),NOT(ISERROR(SEARCH("Needs Work",H2))))</formula>
    </cfRule>
  </conditionalFormatting>
  <hyperlinks>
    <hyperlink ref="L1" location="'Dashboard'!A1" display="BACK TO DASHBOARD" xr:uid="{00000000-0004-0000-0900-000000000000}"/>
  </hyperlinks>
  <pageMargins left="0.75" right="0.75" top="1" bottom="1" header="0.5" footer="0.5"/>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29"/>
  <sheetViews>
    <sheetView workbookViewId="0">
      <pane xSplit="2" ySplit="1" topLeftCell="C2" activePane="bottomRight" state="frozen"/>
      <selection pane="topRight"/>
      <selection pane="bottomLeft"/>
      <selection pane="bottomRight"/>
    </sheetView>
  </sheetViews>
  <sheetFormatPr defaultRowHeight="15" x14ac:dyDescent="0.25"/>
  <cols>
    <col min="1" max="1" width="46" customWidth="1"/>
    <col min="2" max="2" width="31" customWidth="1"/>
    <col min="3" max="4" width="60" customWidth="1"/>
  </cols>
  <sheetData>
    <row r="1" spans="1:5" ht="45" x14ac:dyDescent="0.25">
      <c r="A1" s="26" t="s">
        <v>1</v>
      </c>
      <c r="B1" s="26" t="s">
        <v>675</v>
      </c>
      <c r="C1" s="26" t="s">
        <v>676</v>
      </c>
      <c r="D1" s="26" t="s">
        <v>677</v>
      </c>
      <c r="E1" s="27" t="s">
        <v>87</v>
      </c>
    </row>
    <row r="2" spans="1:5" x14ac:dyDescent="0.25">
      <c r="A2" s="47" t="s">
        <v>678</v>
      </c>
      <c r="B2" s="28"/>
      <c r="C2" s="28"/>
      <c r="D2" s="28"/>
      <c r="E2" s="36"/>
    </row>
    <row r="3" spans="1:5" x14ac:dyDescent="0.25">
      <c r="A3" s="47"/>
      <c r="B3" s="37" t="s">
        <v>679</v>
      </c>
      <c r="C3" s="37" t="s">
        <v>680</v>
      </c>
      <c r="D3" s="37" t="s">
        <v>681</v>
      </c>
    </row>
    <row r="4" spans="1:5" x14ac:dyDescent="0.25">
      <c r="A4" s="47"/>
      <c r="B4" s="28" t="s">
        <v>682</v>
      </c>
      <c r="C4" s="28" t="s">
        <v>683</v>
      </c>
      <c r="D4" s="28" t="s">
        <v>684</v>
      </c>
      <c r="E4" s="36"/>
    </row>
    <row r="5" spans="1:5" x14ac:dyDescent="0.25">
      <c r="A5" s="47"/>
      <c r="B5" s="37" t="s">
        <v>685</v>
      </c>
      <c r="C5" s="37" t="s">
        <v>686</v>
      </c>
      <c r="D5" s="37" t="s">
        <v>687</v>
      </c>
    </row>
    <row r="6" spans="1:5" x14ac:dyDescent="0.25">
      <c r="A6" s="47"/>
      <c r="B6" s="28"/>
      <c r="C6" s="28"/>
      <c r="D6" s="28"/>
      <c r="E6" s="36"/>
    </row>
    <row r="7" spans="1:5" x14ac:dyDescent="0.25">
      <c r="A7" s="47" t="s">
        <v>688</v>
      </c>
      <c r="B7" s="37"/>
      <c r="C7" s="37"/>
      <c r="D7" s="37"/>
    </row>
    <row r="8" spans="1:5" x14ac:dyDescent="0.25">
      <c r="A8" s="47"/>
      <c r="B8" s="28" t="s">
        <v>689</v>
      </c>
      <c r="C8" s="28" t="s">
        <v>690</v>
      </c>
      <c r="D8" s="28" t="s">
        <v>691</v>
      </c>
      <c r="E8" s="36"/>
    </row>
    <row r="9" spans="1:5" x14ac:dyDescent="0.25">
      <c r="A9" s="47"/>
      <c r="B9" s="37" t="s">
        <v>692</v>
      </c>
      <c r="C9" s="37" t="s">
        <v>693</v>
      </c>
      <c r="D9" s="37" t="s">
        <v>694</v>
      </c>
    </row>
    <row r="10" spans="1:5" x14ac:dyDescent="0.25">
      <c r="A10" s="47"/>
      <c r="B10" s="28" t="s">
        <v>695</v>
      </c>
      <c r="C10" s="28" t="s">
        <v>696</v>
      </c>
      <c r="D10" s="28" t="s">
        <v>697</v>
      </c>
      <c r="E10" s="36"/>
    </row>
    <row r="11" spans="1:5" x14ac:dyDescent="0.25">
      <c r="A11" s="47"/>
      <c r="B11" s="37" t="s">
        <v>698</v>
      </c>
      <c r="C11" s="37" t="s">
        <v>699</v>
      </c>
      <c r="D11" s="37" t="s">
        <v>700</v>
      </c>
    </row>
    <row r="12" spans="1:5" x14ac:dyDescent="0.25">
      <c r="A12" s="47"/>
      <c r="B12" s="28"/>
      <c r="C12" s="28"/>
      <c r="D12" s="28"/>
      <c r="E12" s="36"/>
    </row>
    <row r="13" spans="1:5" x14ac:dyDescent="0.25">
      <c r="A13" s="47" t="s">
        <v>701</v>
      </c>
      <c r="B13" s="37"/>
      <c r="C13" s="37"/>
      <c r="D13" s="37"/>
    </row>
    <row r="14" spans="1:5" x14ac:dyDescent="0.25">
      <c r="A14" s="47"/>
      <c r="B14" s="28" t="s">
        <v>702</v>
      </c>
      <c r="C14" s="28" t="s">
        <v>703</v>
      </c>
      <c r="D14" s="28" t="s">
        <v>704</v>
      </c>
      <c r="E14" s="36"/>
    </row>
    <row r="15" spans="1:5" x14ac:dyDescent="0.25">
      <c r="A15" s="47"/>
      <c r="B15" s="37" t="s">
        <v>705</v>
      </c>
      <c r="C15" s="37" t="s">
        <v>706</v>
      </c>
      <c r="D15" s="37" t="s">
        <v>707</v>
      </c>
    </row>
    <row r="16" spans="1:5" x14ac:dyDescent="0.25">
      <c r="A16" s="47"/>
      <c r="B16" s="28" t="s">
        <v>708</v>
      </c>
      <c r="C16" s="28" t="s">
        <v>709</v>
      </c>
      <c r="D16" s="28" t="s">
        <v>710</v>
      </c>
      <c r="E16" s="36"/>
    </row>
    <row r="17" spans="1:5" x14ac:dyDescent="0.25">
      <c r="A17" s="47"/>
      <c r="B17" s="37"/>
      <c r="C17" s="37"/>
      <c r="D17" s="37"/>
    </row>
    <row r="18" spans="1:5" x14ac:dyDescent="0.25">
      <c r="A18" s="47" t="s">
        <v>711</v>
      </c>
      <c r="B18" s="28"/>
      <c r="C18" s="28"/>
      <c r="D18" s="28"/>
      <c r="E18" s="36"/>
    </row>
    <row r="19" spans="1:5" x14ac:dyDescent="0.25">
      <c r="A19" s="47"/>
      <c r="B19" s="37" t="s">
        <v>712</v>
      </c>
      <c r="C19" s="37" t="s">
        <v>713</v>
      </c>
      <c r="D19" s="37" t="s">
        <v>714</v>
      </c>
    </row>
    <row r="20" spans="1:5" x14ac:dyDescent="0.25">
      <c r="A20" s="47"/>
      <c r="B20" s="28" t="s">
        <v>715</v>
      </c>
      <c r="C20" s="28" t="s">
        <v>716</v>
      </c>
      <c r="D20" s="28" t="s">
        <v>717</v>
      </c>
      <c r="E20" s="36"/>
    </row>
    <row r="21" spans="1:5" x14ac:dyDescent="0.25">
      <c r="A21" s="47"/>
      <c r="B21" s="37"/>
      <c r="C21" s="37"/>
      <c r="D21" s="37"/>
    </row>
    <row r="22" spans="1:5" x14ac:dyDescent="0.25">
      <c r="A22" s="47" t="s">
        <v>718</v>
      </c>
      <c r="B22" s="28"/>
      <c r="C22" s="28"/>
      <c r="D22" s="28"/>
      <c r="E22" s="36"/>
    </row>
    <row r="23" spans="1:5" x14ac:dyDescent="0.25">
      <c r="A23" s="47" t="s">
        <v>719</v>
      </c>
      <c r="B23" s="37" t="s">
        <v>720</v>
      </c>
      <c r="C23" s="37" t="s">
        <v>721</v>
      </c>
      <c r="D23" s="37" t="s">
        <v>722</v>
      </c>
    </row>
    <row r="24" spans="1:5" x14ac:dyDescent="0.25">
      <c r="A24" s="47" t="s">
        <v>719</v>
      </c>
      <c r="B24" s="28" t="s">
        <v>723</v>
      </c>
      <c r="C24" s="28" t="s">
        <v>724</v>
      </c>
      <c r="D24" s="28" t="s">
        <v>725</v>
      </c>
      <c r="E24" s="36"/>
    </row>
    <row r="25" spans="1:5" x14ac:dyDescent="0.25">
      <c r="A25" s="47" t="s">
        <v>719</v>
      </c>
      <c r="B25" s="37" t="s">
        <v>726</v>
      </c>
      <c r="C25" s="37" t="s">
        <v>727</v>
      </c>
      <c r="D25" s="37" t="s">
        <v>728</v>
      </c>
    </row>
    <row r="26" spans="1:5" x14ac:dyDescent="0.25">
      <c r="A26" s="47" t="s">
        <v>729</v>
      </c>
      <c r="B26" s="28" t="s">
        <v>730</v>
      </c>
      <c r="C26" s="28" t="s">
        <v>731</v>
      </c>
      <c r="D26" s="28" t="s">
        <v>732</v>
      </c>
      <c r="E26" s="36"/>
    </row>
    <row r="27" spans="1:5" x14ac:dyDescent="0.25">
      <c r="A27" s="47" t="s">
        <v>733</v>
      </c>
      <c r="B27" s="37" t="s">
        <v>734</v>
      </c>
      <c r="C27" s="37" t="s">
        <v>735</v>
      </c>
      <c r="D27" s="37" t="s">
        <v>736</v>
      </c>
    </row>
    <row r="28" spans="1:5" x14ac:dyDescent="0.25">
      <c r="A28" s="47" t="s">
        <v>733</v>
      </c>
      <c r="B28" s="28" t="s">
        <v>737</v>
      </c>
      <c r="C28" s="28" t="s">
        <v>738</v>
      </c>
      <c r="D28" s="28" t="s">
        <v>739</v>
      </c>
      <c r="E28" s="36"/>
    </row>
    <row r="29" spans="1:5" x14ac:dyDescent="0.25">
      <c r="A29" s="47" t="s">
        <v>733</v>
      </c>
      <c r="B29" s="37" t="s">
        <v>740</v>
      </c>
      <c r="C29" s="37" t="s">
        <v>741</v>
      </c>
      <c r="D29" s="37" t="s">
        <v>742</v>
      </c>
    </row>
  </sheetData>
  <autoFilter ref="A1:E29" xr:uid="{00000000-0009-0000-0000-00000A000000}"/>
  <hyperlinks>
    <hyperlink ref="E1" location="'Dashboard'!A1" display="BACK TO DASHBOARD" xr:uid="{00000000-0004-0000-0A00-000000000000}"/>
  </hyperlinks>
  <pageMargins left="0.75" right="0.75" top="1" bottom="1" header="0.5" footer="0.5"/>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87"/>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19" customWidth="1"/>
    <col min="3" max="3" width="60" customWidth="1"/>
    <col min="4" max="4" width="14" customWidth="1"/>
    <col min="5" max="5" width="13" customWidth="1"/>
    <col min="6" max="6" width="43" customWidth="1"/>
    <col min="7" max="7" width="16" customWidth="1"/>
    <col min="8" max="8" width="15" customWidth="1"/>
    <col min="9" max="9" width="35" customWidth="1"/>
    <col min="10" max="10" width="55" customWidth="1"/>
    <col min="11" max="11" width="19" customWidth="1"/>
    <col min="12" max="12" width="30" customWidth="1"/>
    <col min="13" max="13" width="15" customWidth="1"/>
    <col min="14" max="14" width="13" customWidth="1"/>
    <col min="15" max="15" width="8" customWidth="1"/>
    <col min="16" max="16" width="12" customWidth="1"/>
    <col min="17" max="18" width="60" customWidth="1"/>
  </cols>
  <sheetData>
    <row r="1" spans="1:21" ht="45" x14ac:dyDescent="0.25">
      <c r="A1" s="26" t="s">
        <v>70</v>
      </c>
      <c r="B1" s="26" t="s">
        <v>743</v>
      </c>
      <c r="C1" s="26" t="s">
        <v>744</v>
      </c>
      <c r="D1" s="26" t="s">
        <v>745</v>
      </c>
      <c r="E1" s="26" t="s">
        <v>46</v>
      </c>
      <c r="F1" s="26" t="s">
        <v>279</v>
      </c>
      <c r="G1" s="26" t="s">
        <v>66</v>
      </c>
      <c r="H1" s="26" t="s">
        <v>746</v>
      </c>
      <c r="I1" s="26" t="s">
        <v>747</v>
      </c>
      <c r="J1" s="26" t="s">
        <v>748</v>
      </c>
      <c r="K1" s="26" t="s">
        <v>749</v>
      </c>
      <c r="L1" s="26" t="s">
        <v>750</v>
      </c>
      <c r="M1" s="26" t="s">
        <v>81</v>
      </c>
      <c r="N1" s="26" t="s">
        <v>63</v>
      </c>
      <c r="O1" s="26" t="s">
        <v>24</v>
      </c>
      <c r="P1" s="26" t="s">
        <v>75</v>
      </c>
      <c r="Q1" s="26" t="s">
        <v>282</v>
      </c>
      <c r="R1" s="26" t="s">
        <v>677</v>
      </c>
      <c r="S1" s="26" t="s">
        <v>85</v>
      </c>
      <c r="T1" s="26" t="s">
        <v>192</v>
      </c>
      <c r="U1" s="27" t="s">
        <v>87</v>
      </c>
    </row>
    <row r="2" spans="1:21" ht="30" customHeight="1" x14ac:dyDescent="0.25">
      <c r="A2" s="45" t="s">
        <v>148</v>
      </c>
      <c r="B2" s="28">
        <v>13164</v>
      </c>
      <c r="C2" s="57" t="s">
        <v>751</v>
      </c>
      <c r="D2" s="28" t="s">
        <v>752</v>
      </c>
      <c r="E2" s="42" t="s">
        <v>50</v>
      </c>
      <c r="F2" s="28" t="s">
        <v>753</v>
      </c>
      <c r="G2" s="31">
        <v>67</v>
      </c>
      <c r="H2" s="28" t="s">
        <v>754</v>
      </c>
      <c r="I2" s="28" t="s">
        <v>755</v>
      </c>
      <c r="J2" s="28" t="s">
        <v>756</v>
      </c>
      <c r="K2" s="33" t="s">
        <v>757</v>
      </c>
      <c r="L2" s="28" t="s">
        <v>682</v>
      </c>
      <c r="M2" s="28" t="s">
        <v>97</v>
      </c>
      <c r="N2" s="28" t="s">
        <v>103</v>
      </c>
      <c r="O2" s="29" t="s">
        <v>2</v>
      </c>
      <c r="P2" s="28">
        <v>4</v>
      </c>
      <c r="Q2" s="28" t="s">
        <v>758</v>
      </c>
      <c r="R2" s="28" t="s">
        <v>759</v>
      </c>
      <c r="S2" s="36" t="str">
        <f>IFERROR(HYPERLINK("#'Main'!B"&amp;MATCH(TRIM(A2),Main!B:B,0),"Open"),HYPERLINK("#'Main'!B1","Open"))</f>
        <v>Open</v>
      </c>
      <c r="T2" s="36" t="str">
        <f>IFERROR(HYPERLINK("#'Technical Diagnostics'!A"&amp;MATCH(A2,'Technical Diagnostics'!A:A,0),"Open"),HYPERLINK("#'Technical Diagnostics'!A1","Open"))</f>
        <v>Open</v>
      </c>
      <c r="U2" s="36"/>
    </row>
    <row r="3" spans="1:21" ht="30" customHeight="1" x14ac:dyDescent="0.25">
      <c r="A3" s="46" t="s">
        <v>166</v>
      </c>
      <c r="B3" s="37">
        <v>8</v>
      </c>
      <c r="C3" s="58" t="s">
        <v>760</v>
      </c>
      <c r="D3" s="37" t="s">
        <v>761</v>
      </c>
      <c r="E3" s="42" t="s">
        <v>50</v>
      </c>
      <c r="F3" s="37" t="s">
        <v>762</v>
      </c>
      <c r="G3" s="38">
        <v>67</v>
      </c>
      <c r="H3" s="37">
        <v>30</v>
      </c>
      <c r="I3" s="37" t="s">
        <v>763</v>
      </c>
      <c r="J3" s="37" t="s">
        <v>764</v>
      </c>
      <c r="K3" s="37" t="s">
        <v>129</v>
      </c>
      <c r="L3" s="37" t="s">
        <v>439</v>
      </c>
      <c r="M3" s="37" t="s">
        <v>97</v>
      </c>
      <c r="N3" s="37" t="s">
        <v>103</v>
      </c>
      <c r="O3" s="29" t="s">
        <v>2</v>
      </c>
      <c r="P3" s="37">
        <v>4</v>
      </c>
      <c r="Q3" s="37" t="s">
        <v>765</v>
      </c>
      <c r="R3" s="37" t="s">
        <v>766</v>
      </c>
      <c r="S3" t="str">
        <f>IFERROR(HYPERLINK("#'Main'!B"&amp;MATCH(TRIM(A3),Main!B:B,0),"Open"),HYPERLINK("#'Main'!B1","Open"))</f>
        <v>Open</v>
      </c>
      <c r="T3" t="str">
        <f>IFERROR(HYPERLINK("#'Technical Diagnostics'!A"&amp;MATCH(A3,'Technical Diagnostics'!A:A,0),"Open"),HYPERLINK("#'Technical Diagnostics'!A1","Open"))</f>
        <v>Open</v>
      </c>
    </row>
    <row r="4" spans="1:21" ht="30" customHeight="1" x14ac:dyDescent="0.25">
      <c r="A4" s="45" t="s">
        <v>199</v>
      </c>
      <c r="B4" s="28">
        <v>84</v>
      </c>
      <c r="C4" s="57" t="s">
        <v>767</v>
      </c>
      <c r="D4" s="28" t="s">
        <v>761</v>
      </c>
      <c r="E4" s="42" t="s">
        <v>50</v>
      </c>
      <c r="F4" s="28" t="s">
        <v>762</v>
      </c>
      <c r="G4" s="31">
        <v>67</v>
      </c>
      <c r="H4" s="28">
        <v>30</v>
      </c>
      <c r="I4" s="28" t="s">
        <v>763</v>
      </c>
      <c r="J4" s="28" t="s">
        <v>764</v>
      </c>
      <c r="K4" s="28" t="s">
        <v>129</v>
      </c>
      <c r="L4" s="28" t="s">
        <v>439</v>
      </c>
      <c r="M4" s="28" t="s">
        <v>97</v>
      </c>
      <c r="N4" s="28" t="s">
        <v>103</v>
      </c>
      <c r="O4" s="29" t="s">
        <v>2</v>
      </c>
      <c r="P4" s="28">
        <v>4</v>
      </c>
      <c r="Q4" s="28" t="s">
        <v>768</v>
      </c>
      <c r="R4" s="28" t="s">
        <v>766</v>
      </c>
      <c r="S4" s="36" t="str">
        <f>IFERROR(HYPERLINK("#'Main'!B"&amp;MATCH(TRIM(A4),Main!B:B,0),"Open"),HYPERLINK("#'Main'!B1","Open"))</f>
        <v>Open</v>
      </c>
      <c r="T4" s="36" t="str">
        <f>IFERROR(HYPERLINK("#'Technical Diagnostics'!A"&amp;MATCH(A4,'Technical Diagnostics'!A:A,0),"Open"),HYPERLINK("#'Technical Diagnostics'!A1","Open"))</f>
        <v>Open</v>
      </c>
      <c r="U4" s="36"/>
    </row>
    <row r="5" spans="1:21" ht="30" customHeight="1" x14ac:dyDescent="0.25">
      <c r="A5" s="46" t="s">
        <v>196</v>
      </c>
      <c r="B5" s="37">
        <v>28165</v>
      </c>
      <c r="C5" s="58" t="s">
        <v>769</v>
      </c>
      <c r="D5" s="37" t="s">
        <v>761</v>
      </c>
      <c r="E5" s="42" t="s">
        <v>50</v>
      </c>
      <c r="F5" s="37" t="s">
        <v>762</v>
      </c>
      <c r="G5" s="38">
        <v>67</v>
      </c>
      <c r="H5" s="37">
        <v>30</v>
      </c>
      <c r="I5" s="37" t="s">
        <v>763</v>
      </c>
      <c r="J5" s="37" t="s">
        <v>764</v>
      </c>
      <c r="K5" s="37" t="s">
        <v>129</v>
      </c>
      <c r="L5" s="37" t="s">
        <v>439</v>
      </c>
      <c r="M5" s="37" t="s">
        <v>97</v>
      </c>
      <c r="N5" s="37" t="s">
        <v>103</v>
      </c>
      <c r="O5" s="29" t="s">
        <v>2</v>
      </c>
      <c r="P5" s="37">
        <v>4</v>
      </c>
      <c r="Q5" s="37" t="s">
        <v>770</v>
      </c>
      <c r="R5" s="37" t="s">
        <v>766</v>
      </c>
      <c r="S5" t="str">
        <f>IFERROR(HYPERLINK("#'Main'!B"&amp;MATCH(TRIM(A5),Main!B:B,0),"Open"),HYPERLINK("#'Main'!B1","Open"))</f>
        <v>Open</v>
      </c>
      <c r="T5" t="str">
        <f>IFERROR(HYPERLINK("#'Technical Diagnostics'!A"&amp;MATCH(A5,'Technical Diagnostics'!A:A,0),"Open"),HYPERLINK("#'Technical Diagnostics'!A1","Open"))</f>
        <v>Open</v>
      </c>
    </row>
    <row r="6" spans="1:21" ht="30" customHeight="1" x14ac:dyDescent="0.25">
      <c r="A6" s="45" t="s">
        <v>138</v>
      </c>
      <c r="B6" s="28">
        <v>16125</v>
      </c>
      <c r="C6" s="57" t="s">
        <v>771</v>
      </c>
      <c r="D6" s="28" t="s">
        <v>761</v>
      </c>
      <c r="E6" s="42" t="s">
        <v>50</v>
      </c>
      <c r="F6" s="28" t="s">
        <v>762</v>
      </c>
      <c r="G6" s="31">
        <v>67</v>
      </c>
      <c r="H6" s="28">
        <v>30</v>
      </c>
      <c r="I6" s="28" t="s">
        <v>763</v>
      </c>
      <c r="J6" s="28" t="s">
        <v>764</v>
      </c>
      <c r="K6" s="28" t="s">
        <v>129</v>
      </c>
      <c r="L6" s="28" t="s">
        <v>439</v>
      </c>
      <c r="M6" s="28" t="s">
        <v>97</v>
      </c>
      <c r="N6" s="28" t="s">
        <v>103</v>
      </c>
      <c r="O6" s="29" t="s">
        <v>2</v>
      </c>
      <c r="P6" s="28">
        <v>4</v>
      </c>
      <c r="Q6" s="28" t="s">
        <v>772</v>
      </c>
      <c r="R6" s="28" t="s">
        <v>766</v>
      </c>
      <c r="S6" s="36" t="str">
        <f>IFERROR(HYPERLINK("#'Main'!B"&amp;MATCH(TRIM(A6),Main!B:B,0),"Open"),HYPERLINK("#'Main'!B1","Open"))</f>
        <v>Open</v>
      </c>
      <c r="T6" s="36" t="str">
        <f>IFERROR(HYPERLINK("#'Technical Diagnostics'!A"&amp;MATCH(A6,'Technical Diagnostics'!A:A,0),"Open"),HYPERLINK("#'Technical Diagnostics'!A1","Open"))</f>
        <v>Open</v>
      </c>
      <c r="U6" s="36"/>
    </row>
    <row r="7" spans="1:21" ht="30" customHeight="1" x14ac:dyDescent="0.25">
      <c r="A7" s="46" t="s">
        <v>198</v>
      </c>
      <c r="B7" s="37">
        <v>4494</v>
      </c>
      <c r="C7" s="58" t="s">
        <v>773</v>
      </c>
      <c r="D7" s="37" t="s">
        <v>761</v>
      </c>
      <c r="E7" s="42" t="s">
        <v>50</v>
      </c>
      <c r="F7" s="37" t="s">
        <v>762</v>
      </c>
      <c r="G7" s="38">
        <v>67</v>
      </c>
      <c r="H7" s="37">
        <v>30</v>
      </c>
      <c r="I7" s="37" t="s">
        <v>763</v>
      </c>
      <c r="J7" s="37" t="s">
        <v>764</v>
      </c>
      <c r="K7" s="37" t="s">
        <v>129</v>
      </c>
      <c r="L7" s="37" t="s">
        <v>439</v>
      </c>
      <c r="M7" s="37" t="s">
        <v>97</v>
      </c>
      <c r="N7" s="37" t="s">
        <v>103</v>
      </c>
      <c r="O7" s="29" t="s">
        <v>2</v>
      </c>
      <c r="P7" s="37">
        <v>4</v>
      </c>
      <c r="Q7" s="37" t="s">
        <v>774</v>
      </c>
      <c r="R7" s="37" t="s">
        <v>766</v>
      </c>
      <c r="S7" t="str">
        <f>IFERROR(HYPERLINK("#'Main'!B"&amp;MATCH(TRIM(A7),Main!B:B,0),"Open"),HYPERLINK("#'Main'!B1","Open"))</f>
        <v>Open</v>
      </c>
      <c r="T7" t="str">
        <f>IFERROR(HYPERLINK("#'Technical Diagnostics'!A"&amp;MATCH(A7,'Technical Diagnostics'!A:A,0),"Open"),HYPERLINK("#'Technical Diagnostics'!A1","Open"))</f>
        <v>Open</v>
      </c>
    </row>
    <row r="8" spans="1:21" ht="30" customHeight="1" x14ac:dyDescent="0.25">
      <c r="A8" s="45" t="s">
        <v>146</v>
      </c>
      <c r="B8" s="28">
        <v>5619</v>
      </c>
      <c r="C8" s="57" t="s">
        <v>775</v>
      </c>
      <c r="D8" s="28" t="s">
        <v>761</v>
      </c>
      <c r="E8" s="42" t="s">
        <v>50</v>
      </c>
      <c r="F8" s="28" t="s">
        <v>762</v>
      </c>
      <c r="G8" s="31">
        <v>67</v>
      </c>
      <c r="H8" s="28">
        <v>30</v>
      </c>
      <c r="I8" s="28" t="s">
        <v>763</v>
      </c>
      <c r="J8" s="28" t="s">
        <v>764</v>
      </c>
      <c r="K8" s="28" t="s">
        <v>129</v>
      </c>
      <c r="L8" s="28" t="s">
        <v>439</v>
      </c>
      <c r="M8" s="28" t="s">
        <v>97</v>
      </c>
      <c r="N8" s="28" t="s">
        <v>103</v>
      </c>
      <c r="O8" s="29" t="s">
        <v>2</v>
      </c>
      <c r="P8" s="28">
        <v>4</v>
      </c>
      <c r="Q8" s="28" t="s">
        <v>776</v>
      </c>
      <c r="R8" s="28" t="s">
        <v>766</v>
      </c>
      <c r="S8" s="36" t="str">
        <f>IFERROR(HYPERLINK("#'Main'!B"&amp;MATCH(TRIM(A8),Main!B:B,0),"Open"),HYPERLINK("#'Main'!B1","Open"))</f>
        <v>Open</v>
      </c>
      <c r="T8" s="36" t="str">
        <f>IFERROR(HYPERLINK("#'Technical Diagnostics'!A"&amp;MATCH(A8,'Technical Diagnostics'!A:A,0),"Open"),HYPERLINK("#'Technical Diagnostics'!A1","Open"))</f>
        <v>Open</v>
      </c>
      <c r="U8" s="36"/>
    </row>
    <row r="9" spans="1:21" ht="30" customHeight="1" x14ac:dyDescent="0.25">
      <c r="A9" s="46" t="s">
        <v>197</v>
      </c>
      <c r="B9" s="37">
        <v>4941</v>
      </c>
      <c r="C9" s="58" t="s">
        <v>777</v>
      </c>
      <c r="D9" s="37" t="s">
        <v>761</v>
      </c>
      <c r="E9" s="42" t="s">
        <v>50</v>
      </c>
      <c r="F9" s="37" t="s">
        <v>762</v>
      </c>
      <c r="G9" s="38">
        <v>67</v>
      </c>
      <c r="H9" s="37">
        <v>30</v>
      </c>
      <c r="I9" s="37" t="s">
        <v>763</v>
      </c>
      <c r="J9" s="37" t="s">
        <v>764</v>
      </c>
      <c r="K9" s="37" t="s">
        <v>129</v>
      </c>
      <c r="L9" s="37" t="s">
        <v>439</v>
      </c>
      <c r="M9" s="37" t="s">
        <v>97</v>
      </c>
      <c r="N9" s="37" t="s">
        <v>103</v>
      </c>
      <c r="O9" s="29" t="s">
        <v>2</v>
      </c>
      <c r="P9" s="37">
        <v>4</v>
      </c>
      <c r="Q9" s="37" t="s">
        <v>778</v>
      </c>
      <c r="R9" s="37" t="s">
        <v>766</v>
      </c>
      <c r="S9" t="str">
        <f>IFERROR(HYPERLINK("#'Main'!B"&amp;MATCH(TRIM(A9),Main!B:B,0),"Open"),HYPERLINK("#'Main'!B1","Open"))</f>
        <v>Open</v>
      </c>
      <c r="T9" t="str">
        <f>IFERROR(HYPERLINK("#'Technical Diagnostics'!A"&amp;MATCH(A9,'Technical Diagnostics'!A:A,0),"Open"),HYPERLINK("#'Technical Diagnostics'!A1","Open"))</f>
        <v>Open</v>
      </c>
    </row>
    <row r="10" spans="1:21" ht="30" customHeight="1" x14ac:dyDescent="0.25">
      <c r="A10" s="45" t="s">
        <v>200</v>
      </c>
      <c r="B10" s="28">
        <v>12371</v>
      </c>
      <c r="C10" s="57" t="s">
        <v>779</v>
      </c>
      <c r="D10" s="28" t="s">
        <v>761</v>
      </c>
      <c r="E10" s="42" t="s">
        <v>50</v>
      </c>
      <c r="F10" s="28" t="s">
        <v>762</v>
      </c>
      <c r="G10" s="31">
        <v>67</v>
      </c>
      <c r="H10" s="28">
        <v>30</v>
      </c>
      <c r="I10" s="28" t="s">
        <v>763</v>
      </c>
      <c r="J10" s="28" t="s">
        <v>764</v>
      </c>
      <c r="K10" s="28" t="s">
        <v>129</v>
      </c>
      <c r="L10" s="28" t="s">
        <v>439</v>
      </c>
      <c r="M10" s="28" t="s">
        <v>97</v>
      </c>
      <c r="N10" s="28" t="s">
        <v>103</v>
      </c>
      <c r="O10" s="29" t="s">
        <v>2</v>
      </c>
      <c r="P10" s="28">
        <v>4</v>
      </c>
      <c r="Q10" s="28" t="s">
        <v>780</v>
      </c>
      <c r="R10" s="28" t="s">
        <v>766</v>
      </c>
      <c r="S10" s="36" t="str">
        <f>IFERROR(HYPERLINK("#'Main'!B"&amp;MATCH(TRIM(A10),Main!B:B,0),"Open"),HYPERLINK("#'Main'!B1","Open"))</f>
        <v>Open</v>
      </c>
      <c r="T10" s="36" t="str">
        <f>IFERROR(HYPERLINK("#'Technical Diagnostics'!A"&amp;MATCH(A10,'Technical Diagnostics'!A:A,0),"Open"),HYPERLINK("#'Technical Diagnostics'!A1","Open"))</f>
        <v>Open</v>
      </c>
      <c r="U10" s="36"/>
    </row>
    <row r="11" spans="1:21" ht="30" customHeight="1" x14ac:dyDescent="0.25">
      <c r="A11" s="46" t="s">
        <v>201</v>
      </c>
      <c r="B11" s="37">
        <v>12954</v>
      </c>
      <c r="C11" s="58" t="s">
        <v>781</v>
      </c>
      <c r="D11" s="37" t="s">
        <v>761</v>
      </c>
      <c r="E11" s="42" t="s">
        <v>50</v>
      </c>
      <c r="F11" s="37" t="s">
        <v>762</v>
      </c>
      <c r="G11" s="38">
        <v>67</v>
      </c>
      <c r="H11" s="37">
        <v>30</v>
      </c>
      <c r="I11" s="37" t="s">
        <v>763</v>
      </c>
      <c r="J11" s="37" t="s">
        <v>764</v>
      </c>
      <c r="K11" s="37" t="s">
        <v>129</v>
      </c>
      <c r="L11" s="37" t="s">
        <v>439</v>
      </c>
      <c r="M11" s="37" t="s">
        <v>97</v>
      </c>
      <c r="N11" s="37" t="s">
        <v>103</v>
      </c>
      <c r="O11" s="29" t="s">
        <v>2</v>
      </c>
      <c r="P11" s="37">
        <v>4</v>
      </c>
      <c r="Q11" s="37" t="s">
        <v>782</v>
      </c>
      <c r="R11" s="37" t="s">
        <v>766</v>
      </c>
      <c r="S11" t="str">
        <f>IFERROR(HYPERLINK("#'Main'!B"&amp;MATCH(TRIM(A11),Main!B:B,0),"Open"),HYPERLINK("#'Main'!B1","Open"))</f>
        <v>Open</v>
      </c>
      <c r="T11" t="str">
        <f>IFERROR(HYPERLINK("#'Technical Diagnostics'!A"&amp;MATCH(A11,'Technical Diagnostics'!A:A,0),"Open"),HYPERLINK("#'Technical Diagnostics'!A1","Open"))</f>
        <v>Open</v>
      </c>
    </row>
    <row r="12" spans="1:21" ht="30" customHeight="1" x14ac:dyDescent="0.25">
      <c r="A12" s="45" t="s">
        <v>148</v>
      </c>
      <c r="B12" s="28">
        <v>13164</v>
      </c>
      <c r="C12" s="57" t="s">
        <v>751</v>
      </c>
      <c r="D12" s="28" t="s">
        <v>761</v>
      </c>
      <c r="E12" s="42" t="s">
        <v>50</v>
      </c>
      <c r="F12" s="28" t="s">
        <v>762</v>
      </c>
      <c r="G12" s="31">
        <v>67</v>
      </c>
      <c r="H12" s="28">
        <v>30</v>
      </c>
      <c r="I12" s="28" t="s">
        <v>763</v>
      </c>
      <c r="J12" s="28" t="s">
        <v>764</v>
      </c>
      <c r="K12" s="28" t="s">
        <v>129</v>
      </c>
      <c r="L12" s="28" t="s">
        <v>439</v>
      </c>
      <c r="M12" s="28" t="s">
        <v>97</v>
      </c>
      <c r="N12" s="28" t="s">
        <v>103</v>
      </c>
      <c r="O12" s="29" t="s">
        <v>2</v>
      </c>
      <c r="P12" s="28">
        <v>4</v>
      </c>
      <c r="Q12" s="28" t="s">
        <v>783</v>
      </c>
      <c r="R12" s="28" t="s">
        <v>766</v>
      </c>
      <c r="S12" s="36" t="str">
        <f>IFERROR(HYPERLINK("#'Main'!B"&amp;MATCH(TRIM(A12),Main!B:B,0),"Open"),HYPERLINK("#'Main'!B1","Open"))</f>
        <v>Open</v>
      </c>
      <c r="T12" s="36" t="str">
        <f>IFERROR(HYPERLINK("#'Technical Diagnostics'!A"&amp;MATCH(A12,'Technical Diagnostics'!A:A,0),"Open"),HYPERLINK("#'Technical Diagnostics'!A1","Open"))</f>
        <v>Open</v>
      </c>
      <c r="U12" s="36"/>
    </row>
    <row r="13" spans="1:21" ht="30" customHeight="1" x14ac:dyDescent="0.25">
      <c r="A13" s="46" t="s">
        <v>166</v>
      </c>
      <c r="B13" s="37">
        <v>8</v>
      </c>
      <c r="C13" s="58" t="s">
        <v>760</v>
      </c>
      <c r="D13" s="37" t="s">
        <v>784</v>
      </c>
      <c r="E13" s="42" t="s">
        <v>50</v>
      </c>
      <c r="F13" s="37" t="s">
        <v>785</v>
      </c>
      <c r="G13" s="38">
        <v>67</v>
      </c>
      <c r="H13" s="37">
        <v>76.36</v>
      </c>
      <c r="I13" s="37" t="s">
        <v>786</v>
      </c>
      <c r="J13" s="37" t="s">
        <v>787</v>
      </c>
      <c r="K13" s="37" t="s">
        <v>788</v>
      </c>
      <c r="L13" s="37" t="s">
        <v>448</v>
      </c>
      <c r="M13" s="37" t="s">
        <v>97</v>
      </c>
      <c r="N13" s="37" t="s">
        <v>103</v>
      </c>
      <c r="O13" s="29" t="s">
        <v>2</v>
      </c>
      <c r="P13" s="37">
        <v>4</v>
      </c>
      <c r="Q13" s="37" t="s">
        <v>789</v>
      </c>
      <c r="R13" s="37" t="s">
        <v>790</v>
      </c>
      <c r="S13" t="str">
        <f>IFERROR(HYPERLINK("#'Main'!B"&amp;MATCH(TRIM(A13),Main!B:B,0),"Open"),HYPERLINK("#'Main'!B1","Open"))</f>
        <v>Open</v>
      </c>
      <c r="T13" t="str">
        <f>IFERROR(HYPERLINK("#'Technical Diagnostics'!A"&amp;MATCH(A13,'Technical Diagnostics'!A:A,0),"Open"),HYPERLINK("#'Technical Diagnostics'!A1","Open"))</f>
        <v>Open</v>
      </c>
    </row>
    <row r="14" spans="1:21" ht="30" customHeight="1" x14ac:dyDescent="0.25">
      <c r="A14" s="45" t="s">
        <v>166</v>
      </c>
      <c r="B14" s="28">
        <v>8</v>
      </c>
      <c r="C14" s="57" t="s">
        <v>760</v>
      </c>
      <c r="D14" s="28" t="s">
        <v>784</v>
      </c>
      <c r="E14" s="42" t="s">
        <v>50</v>
      </c>
      <c r="F14" s="28" t="s">
        <v>791</v>
      </c>
      <c r="G14" s="31">
        <v>67</v>
      </c>
      <c r="H14" s="28">
        <v>37</v>
      </c>
      <c r="I14" s="28" t="s">
        <v>792</v>
      </c>
      <c r="J14" s="28" t="s">
        <v>793</v>
      </c>
      <c r="K14" s="28" t="s">
        <v>761</v>
      </c>
      <c r="L14" s="28" t="s">
        <v>433</v>
      </c>
      <c r="M14" s="28" t="s">
        <v>97</v>
      </c>
      <c r="N14" s="28" t="s">
        <v>103</v>
      </c>
      <c r="O14" s="29" t="s">
        <v>2</v>
      </c>
      <c r="P14" s="28">
        <v>4</v>
      </c>
      <c r="Q14" s="28" t="s">
        <v>794</v>
      </c>
      <c r="R14" s="28" t="s">
        <v>795</v>
      </c>
      <c r="S14" s="36" t="str">
        <f>IFERROR(HYPERLINK("#'Main'!B"&amp;MATCH(TRIM(A14),Main!B:B,0),"Open"),HYPERLINK("#'Main'!B1","Open"))</f>
        <v>Open</v>
      </c>
      <c r="T14" s="36" t="str">
        <f>IFERROR(HYPERLINK("#'Technical Diagnostics'!A"&amp;MATCH(A14,'Technical Diagnostics'!A:A,0),"Open"),HYPERLINK("#'Technical Diagnostics'!A1","Open"))</f>
        <v>Open</v>
      </c>
      <c r="U14" s="36"/>
    </row>
    <row r="15" spans="1:21" ht="30" customHeight="1" x14ac:dyDescent="0.25">
      <c r="A15" s="46" t="s">
        <v>199</v>
      </c>
      <c r="B15" s="37">
        <v>84</v>
      </c>
      <c r="C15" s="58" t="s">
        <v>767</v>
      </c>
      <c r="D15" s="37" t="s">
        <v>784</v>
      </c>
      <c r="E15" s="42" t="s">
        <v>50</v>
      </c>
      <c r="F15" s="37" t="s">
        <v>785</v>
      </c>
      <c r="G15" s="38">
        <v>67</v>
      </c>
      <c r="H15" s="37">
        <v>72.73</v>
      </c>
      <c r="I15" s="37" t="s">
        <v>786</v>
      </c>
      <c r="J15" s="37" t="s">
        <v>787</v>
      </c>
      <c r="K15" s="37" t="s">
        <v>788</v>
      </c>
      <c r="L15" s="37" t="s">
        <v>448</v>
      </c>
      <c r="M15" s="37" t="s">
        <v>97</v>
      </c>
      <c r="N15" s="37" t="s">
        <v>103</v>
      </c>
      <c r="O15" s="29" t="s">
        <v>2</v>
      </c>
      <c r="P15" s="37">
        <v>4</v>
      </c>
      <c r="Q15" s="37" t="s">
        <v>796</v>
      </c>
      <c r="R15" s="37" t="s">
        <v>790</v>
      </c>
      <c r="S15" t="str">
        <f>IFERROR(HYPERLINK("#'Main'!B"&amp;MATCH(TRIM(A15),Main!B:B,0),"Open"),HYPERLINK("#'Main'!B1","Open"))</f>
        <v>Open</v>
      </c>
      <c r="T15" t="str">
        <f>IFERROR(HYPERLINK("#'Technical Diagnostics'!A"&amp;MATCH(A15,'Technical Diagnostics'!A:A,0),"Open"),HYPERLINK("#'Technical Diagnostics'!A1","Open"))</f>
        <v>Open</v>
      </c>
    </row>
    <row r="16" spans="1:21" ht="30" customHeight="1" x14ac:dyDescent="0.25">
      <c r="A16" s="45" t="s">
        <v>199</v>
      </c>
      <c r="B16" s="28">
        <v>84</v>
      </c>
      <c r="C16" s="57" t="s">
        <v>767</v>
      </c>
      <c r="D16" s="28" t="s">
        <v>784</v>
      </c>
      <c r="E16" s="42" t="s">
        <v>50</v>
      </c>
      <c r="F16" s="28" t="s">
        <v>791</v>
      </c>
      <c r="G16" s="31">
        <v>67</v>
      </c>
      <c r="H16" s="28">
        <v>235</v>
      </c>
      <c r="I16" s="28" t="s">
        <v>792</v>
      </c>
      <c r="J16" s="28" t="s">
        <v>793</v>
      </c>
      <c r="K16" s="28" t="s">
        <v>761</v>
      </c>
      <c r="L16" s="28" t="s">
        <v>433</v>
      </c>
      <c r="M16" s="28" t="s">
        <v>97</v>
      </c>
      <c r="N16" s="28" t="s">
        <v>103</v>
      </c>
      <c r="O16" s="29" t="s">
        <v>2</v>
      </c>
      <c r="P16" s="28">
        <v>4</v>
      </c>
      <c r="Q16" s="28" t="s">
        <v>797</v>
      </c>
      <c r="R16" s="28" t="s">
        <v>795</v>
      </c>
      <c r="S16" s="36" t="str">
        <f>IFERROR(HYPERLINK("#'Main'!B"&amp;MATCH(TRIM(A16),Main!B:B,0),"Open"),HYPERLINK("#'Main'!B1","Open"))</f>
        <v>Open</v>
      </c>
      <c r="T16" s="36" t="str">
        <f>IFERROR(HYPERLINK("#'Technical Diagnostics'!A"&amp;MATCH(A16,'Technical Diagnostics'!A:A,0),"Open"),HYPERLINK("#'Technical Diagnostics'!A1","Open"))</f>
        <v>Open</v>
      </c>
      <c r="U16" s="36"/>
    </row>
    <row r="17" spans="1:21" ht="30" customHeight="1" x14ac:dyDescent="0.25">
      <c r="A17" s="46" t="s">
        <v>196</v>
      </c>
      <c r="B17" s="37">
        <v>28165</v>
      </c>
      <c r="C17" s="58" t="s">
        <v>769</v>
      </c>
      <c r="D17" s="37" t="s">
        <v>784</v>
      </c>
      <c r="E17" s="42" t="s">
        <v>50</v>
      </c>
      <c r="F17" s="37" t="s">
        <v>785</v>
      </c>
      <c r="G17" s="38">
        <v>67</v>
      </c>
      <c r="H17" s="37">
        <v>64</v>
      </c>
      <c r="I17" s="37" t="s">
        <v>786</v>
      </c>
      <c r="J17" s="37" t="s">
        <v>787</v>
      </c>
      <c r="K17" s="37" t="s">
        <v>788</v>
      </c>
      <c r="L17" s="37" t="s">
        <v>448</v>
      </c>
      <c r="M17" s="37" t="s">
        <v>97</v>
      </c>
      <c r="N17" s="37" t="s">
        <v>103</v>
      </c>
      <c r="O17" s="29" t="s">
        <v>2</v>
      </c>
      <c r="P17" s="37">
        <v>4</v>
      </c>
      <c r="Q17" s="37" t="s">
        <v>798</v>
      </c>
      <c r="R17" s="37" t="s">
        <v>790</v>
      </c>
      <c r="S17" t="str">
        <f>IFERROR(HYPERLINK("#'Main'!B"&amp;MATCH(TRIM(A17),Main!B:B,0),"Open"),HYPERLINK("#'Main'!B1","Open"))</f>
        <v>Open</v>
      </c>
      <c r="T17" t="str">
        <f>IFERROR(HYPERLINK("#'Technical Diagnostics'!A"&amp;MATCH(A17,'Technical Diagnostics'!A:A,0),"Open"),HYPERLINK("#'Technical Diagnostics'!A1","Open"))</f>
        <v>Open</v>
      </c>
    </row>
    <row r="18" spans="1:21" ht="30" customHeight="1" x14ac:dyDescent="0.25">
      <c r="A18" s="45" t="s">
        <v>138</v>
      </c>
      <c r="B18" s="28">
        <v>16125</v>
      </c>
      <c r="C18" s="57" t="s">
        <v>771</v>
      </c>
      <c r="D18" s="28" t="s">
        <v>784</v>
      </c>
      <c r="E18" s="42" t="s">
        <v>50</v>
      </c>
      <c r="F18" s="28" t="s">
        <v>785</v>
      </c>
      <c r="G18" s="31">
        <v>67</v>
      </c>
      <c r="H18" s="28">
        <v>46.81</v>
      </c>
      <c r="I18" s="28" t="s">
        <v>786</v>
      </c>
      <c r="J18" s="28" t="s">
        <v>787</v>
      </c>
      <c r="K18" s="28" t="s">
        <v>788</v>
      </c>
      <c r="L18" s="28" t="s">
        <v>448</v>
      </c>
      <c r="M18" s="28" t="s">
        <v>97</v>
      </c>
      <c r="N18" s="28" t="s">
        <v>103</v>
      </c>
      <c r="O18" s="29" t="s">
        <v>2</v>
      </c>
      <c r="P18" s="28">
        <v>4</v>
      </c>
      <c r="Q18" s="28" t="s">
        <v>799</v>
      </c>
      <c r="R18" s="28" t="s">
        <v>790</v>
      </c>
      <c r="S18" s="36" t="str">
        <f>IFERROR(HYPERLINK("#'Main'!B"&amp;MATCH(TRIM(A18),Main!B:B,0),"Open"),HYPERLINK("#'Main'!B1","Open"))</f>
        <v>Open</v>
      </c>
      <c r="T18" s="36" t="str">
        <f>IFERROR(HYPERLINK("#'Technical Diagnostics'!A"&amp;MATCH(A18,'Technical Diagnostics'!A:A,0),"Open"),HYPERLINK("#'Technical Diagnostics'!A1","Open"))</f>
        <v>Open</v>
      </c>
      <c r="U18" s="36"/>
    </row>
    <row r="19" spans="1:21" ht="30" customHeight="1" x14ac:dyDescent="0.25">
      <c r="A19" s="46" t="s">
        <v>198</v>
      </c>
      <c r="B19" s="37">
        <v>4494</v>
      </c>
      <c r="C19" s="58" t="s">
        <v>773</v>
      </c>
      <c r="D19" s="37" t="s">
        <v>784</v>
      </c>
      <c r="E19" s="42" t="s">
        <v>50</v>
      </c>
      <c r="F19" s="37" t="s">
        <v>785</v>
      </c>
      <c r="G19" s="38">
        <v>67</v>
      </c>
      <c r="H19" s="37">
        <v>53.57</v>
      </c>
      <c r="I19" s="37" t="s">
        <v>786</v>
      </c>
      <c r="J19" s="37" t="s">
        <v>787</v>
      </c>
      <c r="K19" s="37" t="s">
        <v>788</v>
      </c>
      <c r="L19" s="37" t="s">
        <v>448</v>
      </c>
      <c r="M19" s="37" t="s">
        <v>97</v>
      </c>
      <c r="N19" s="37" t="s">
        <v>103</v>
      </c>
      <c r="O19" s="29" t="s">
        <v>2</v>
      </c>
      <c r="P19" s="37">
        <v>4</v>
      </c>
      <c r="Q19" s="37" t="s">
        <v>800</v>
      </c>
      <c r="R19" s="37" t="s">
        <v>790</v>
      </c>
      <c r="S19" t="str">
        <f>IFERROR(HYPERLINK("#'Main'!B"&amp;MATCH(TRIM(A19),Main!B:B,0),"Open"),HYPERLINK("#'Main'!B1","Open"))</f>
        <v>Open</v>
      </c>
      <c r="T19" t="str">
        <f>IFERROR(HYPERLINK("#'Technical Diagnostics'!A"&amp;MATCH(A19,'Technical Diagnostics'!A:A,0),"Open"),HYPERLINK("#'Technical Diagnostics'!A1","Open"))</f>
        <v>Open</v>
      </c>
    </row>
    <row r="20" spans="1:21" ht="30" customHeight="1" x14ac:dyDescent="0.25">
      <c r="A20" s="45" t="s">
        <v>198</v>
      </c>
      <c r="B20" s="28">
        <v>4494</v>
      </c>
      <c r="C20" s="57" t="s">
        <v>773</v>
      </c>
      <c r="D20" s="28" t="s">
        <v>784</v>
      </c>
      <c r="E20" s="42" t="s">
        <v>50</v>
      </c>
      <c r="F20" s="28" t="s">
        <v>801</v>
      </c>
      <c r="G20" s="31">
        <v>67</v>
      </c>
      <c r="H20" s="28">
        <v>0</v>
      </c>
      <c r="I20" s="28" t="s">
        <v>802</v>
      </c>
      <c r="J20" s="28" t="s">
        <v>803</v>
      </c>
      <c r="K20" s="28" t="s">
        <v>761</v>
      </c>
      <c r="L20" s="28" t="s">
        <v>437</v>
      </c>
      <c r="M20" s="28" t="s">
        <v>97</v>
      </c>
      <c r="N20" s="28" t="s">
        <v>103</v>
      </c>
      <c r="O20" s="29" t="s">
        <v>2</v>
      </c>
      <c r="P20" s="28">
        <v>4</v>
      </c>
      <c r="Q20" s="28" t="s">
        <v>804</v>
      </c>
      <c r="R20" s="28" t="s">
        <v>805</v>
      </c>
      <c r="S20" s="36" t="str">
        <f>IFERROR(HYPERLINK("#'Main'!B"&amp;MATCH(TRIM(A20),Main!B:B,0),"Open"),HYPERLINK("#'Main'!B1","Open"))</f>
        <v>Open</v>
      </c>
      <c r="T20" s="36" t="str">
        <f>IFERROR(HYPERLINK("#'Technical Diagnostics'!A"&amp;MATCH(A20,'Technical Diagnostics'!A:A,0),"Open"),HYPERLINK("#'Technical Diagnostics'!A1","Open"))</f>
        <v>Open</v>
      </c>
      <c r="U20" s="36"/>
    </row>
    <row r="21" spans="1:21" ht="30" customHeight="1" x14ac:dyDescent="0.25">
      <c r="A21" s="46" t="s">
        <v>198</v>
      </c>
      <c r="B21" s="37">
        <v>4494</v>
      </c>
      <c r="C21" s="58" t="s">
        <v>773</v>
      </c>
      <c r="D21" s="37" t="s">
        <v>784</v>
      </c>
      <c r="E21" s="42" t="s">
        <v>50</v>
      </c>
      <c r="F21" s="37" t="s">
        <v>791</v>
      </c>
      <c r="G21" s="38">
        <v>67</v>
      </c>
      <c r="H21" s="37">
        <v>32</v>
      </c>
      <c r="I21" s="37" t="s">
        <v>792</v>
      </c>
      <c r="J21" s="37" t="s">
        <v>793</v>
      </c>
      <c r="K21" s="37" t="s">
        <v>761</v>
      </c>
      <c r="L21" s="37" t="s">
        <v>433</v>
      </c>
      <c r="M21" s="37" t="s">
        <v>97</v>
      </c>
      <c r="N21" s="37" t="s">
        <v>103</v>
      </c>
      <c r="O21" s="29" t="s">
        <v>2</v>
      </c>
      <c r="P21" s="37">
        <v>4</v>
      </c>
      <c r="Q21" s="37" t="s">
        <v>806</v>
      </c>
      <c r="R21" s="37" t="s">
        <v>795</v>
      </c>
      <c r="S21" t="str">
        <f>IFERROR(HYPERLINK("#'Main'!B"&amp;MATCH(TRIM(A21),Main!B:B,0),"Open"),HYPERLINK("#'Main'!B1","Open"))</f>
        <v>Open</v>
      </c>
      <c r="T21" t="str">
        <f>IFERROR(HYPERLINK("#'Technical Diagnostics'!A"&amp;MATCH(A21,'Technical Diagnostics'!A:A,0),"Open"),HYPERLINK("#'Technical Diagnostics'!A1","Open"))</f>
        <v>Open</v>
      </c>
    </row>
    <row r="22" spans="1:21" ht="30" customHeight="1" x14ac:dyDescent="0.25">
      <c r="A22" s="45" t="s">
        <v>146</v>
      </c>
      <c r="B22" s="28">
        <v>5619</v>
      </c>
      <c r="C22" s="57" t="s">
        <v>775</v>
      </c>
      <c r="D22" s="28" t="s">
        <v>784</v>
      </c>
      <c r="E22" s="42" t="s">
        <v>50</v>
      </c>
      <c r="F22" s="28" t="s">
        <v>785</v>
      </c>
      <c r="G22" s="31">
        <v>67</v>
      </c>
      <c r="H22" s="28">
        <v>65.22</v>
      </c>
      <c r="I22" s="28" t="s">
        <v>786</v>
      </c>
      <c r="J22" s="28" t="s">
        <v>787</v>
      </c>
      <c r="K22" s="28" t="s">
        <v>788</v>
      </c>
      <c r="L22" s="28" t="s">
        <v>448</v>
      </c>
      <c r="M22" s="28" t="s">
        <v>97</v>
      </c>
      <c r="N22" s="28" t="s">
        <v>103</v>
      </c>
      <c r="O22" s="29" t="s">
        <v>2</v>
      </c>
      <c r="P22" s="28">
        <v>4</v>
      </c>
      <c r="Q22" s="28" t="s">
        <v>807</v>
      </c>
      <c r="R22" s="28" t="s">
        <v>790</v>
      </c>
      <c r="S22" s="36" t="str">
        <f>IFERROR(HYPERLINK("#'Main'!B"&amp;MATCH(TRIM(A22),Main!B:B,0),"Open"),HYPERLINK("#'Main'!B1","Open"))</f>
        <v>Open</v>
      </c>
      <c r="T22" s="36" t="str">
        <f>IFERROR(HYPERLINK("#'Technical Diagnostics'!A"&amp;MATCH(A22,'Technical Diagnostics'!A:A,0),"Open"),HYPERLINK("#'Technical Diagnostics'!A1","Open"))</f>
        <v>Open</v>
      </c>
      <c r="U22" s="36"/>
    </row>
    <row r="23" spans="1:21" ht="30" customHeight="1" x14ac:dyDescent="0.25">
      <c r="A23" s="46" t="s">
        <v>146</v>
      </c>
      <c r="B23" s="37">
        <v>5619</v>
      </c>
      <c r="C23" s="58" t="s">
        <v>775</v>
      </c>
      <c r="D23" s="37" t="s">
        <v>784</v>
      </c>
      <c r="E23" s="42" t="s">
        <v>50</v>
      </c>
      <c r="F23" s="37" t="s">
        <v>801</v>
      </c>
      <c r="G23" s="38">
        <v>67</v>
      </c>
      <c r="H23" s="37">
        <v>0</v>
      </c>
      <c r="I23" s="37" t="s">
        <v>802</v>
      </c>
      <c r="J23" s="37" t="s">
        <v>803</v>
      </c>
      <c r="K23" s="37" t="s">
        <v>761</v>
      </c>
      <c r="L23" s="37" t="s">
        <v>437</v>
      </c>
      <c r="M23" s="37" t="s">
        <v>97</v>
      </c>
      <c r="N23" s="37" t="s">
        <v>103</v>
      </c>
      <c r="O23" s="29" t="s">
        <v>2</v>
      </c>
      <c r="P23" s="37">
        <v>4</v>
      </c>
      <c r="Q23" s="37" t="s">
        <v>808</v>
      </c>
      <c r="R23" s="37" t="s">
        <v>805</v>
      </c>
      <c r="S23" t="str">
        <f>IFERROR(HYPERLINK("#'Main'!B"&amp;MATCH(TRIM(A23),Main!B:B,0),"Open"),HYPERLINK("#'Main'!B1","Open"))</f>
        <v>Open</v>
      </c>
      <c r="T23" t="str">
        <f>IFERROR(HYPERLINK("#'Technical Diagnostics'!A"&amp;MATCH(A23,'Technical Diagnostics'!A:A,0),"Open"),HYPERLINK("#'Technical Diagnostics'!A1","Open"))</f>
        <v>Open</v>
      </c>
    </row>
    <row r="24" spans="1:21" ht="30" customHeight="1" x14ac:dyDescent="0.25">
      <c r="A24" s="45" t="s">
        <v>146</v>
      </c>
      <c r="B24" s="28">
        <v>5619</v>
      </c>
      <c r="C24" s="57" t="s">
        <v>775</v>
      </c>
      <c r="D24" s="28" t="s">
        <v>784</v>
      </c>
      <c r="E24" s="42" t="s">
        <v>50</v>
      </c>
      <c r="F24" s="28" t="s">
        <v>791</v>
      </c>
      <c r="G24" s="31">
        <v>67</v>
      </c>
      <c r="H24" s="28">
        <v>120</v>
      </c>
      <c r="I24" s="28" t="s">
        <v>792</v>
      </c>
      <c r="J24" s="28" t="s">
        <v>793</v>
      </c>
      <c r="K24" s="28" t="s">
        <v>761</v>
      </c>
      <c r="L24" s="28" t="s">
        <v>433</v>
      </c>
      <c r="M24" s="28" t="s">
        <v>97</v>
      </c>
      <c r="N24" s="28" t="s">
        <v>103</v>
      </c>
      <c r="O24" s="29" t="s">
        <v>2</v>
      </c>
      <c r="P24" s="28">
        <v>4</v>
      </c>
      <c r="Q24" s="28" t="s">
        <v>809</v>
      </c>
      <c r="R24" s="28" t="s">
        <v>795</v>
      </c>
      <c r="S24" s="36" t="str">
        <f>IFERROR(HYPERLINK("#'Main'!B"&amp;MATCH(TRIM(A24),Main!B:B,0),"Open"),HYPERLINK("#'Main'!B1","Open"))</f>
        <v>Open</v>
      </c>
      <c r="T24" s="36" t="str">
        <f>IFERROR(HYPERLINK("#'Technical Diagnostics'!A"&amp;MATCH(A24,'Technical Diagnostics'!A:A,0),"Open"),HYPERLINK("#'Technical Diagnostics'!A1","Open"))</f>
        <v>Open</v>
      </c>
      <c r="U24" s="36"/>
    </row>
    <row r="25" spans="1:21" ht="30" customHeight="1" x14ac:dyDescent="0.25">
      <c r="A25" s="46" t="s">
        <v>197</v>
      </c>
      <c r="B25" s="37">
        <v>4941</v>
      </c>
      <c r="C25" s="58" t="s">
        <v>777</v>
      </c>
      <c r="D25" s="37" t="s">
        <v>784</v>
      </c>
      <c r="E25" s="42" t="s">
        <v>50</v>
      </c>
      <c r="F25" s="37" t="s">
        <v>785</v>
      </c>
      <c r="G25" s="38">
        <v>67</v>
      </c>
      <c r="H25" s="37">
        <v>50</v>
      </c>
      <c r="I25" s="37" t="s">
        <v>786</v>
      </c>
      <c r="J25" s="37" t="s">
        <v>787</v>
      </c>
      <c r="K25" s="37" t="s">
        <v>788</v>
      </c>
      <c r="L25" s="37" t="s">
        <v>448</v>
      </c>
      <c r="M25" s="37" t="s">
        <v>97</v>
      </c>
      <c r="N25" s="37" t="s">
        <v>103</v>
      </c>
      <c r="O25" s="29" t="s">
        <v>2</v>
      </c>
      <c r="P25" s="37">
        <v>4</v>
      </c>
      <c r="Q25" s="37" t="s">
        <v>810</v>
      </c>
      <c r="R25" s="37" t="s">
        <v>790</v>
      </c>
      <c r="S25" t="str">
        <f>IFERROR(HYPERLINK("#'Main'!B"&amp;MATCH(TRIM(A25),Main!B:B,0),"Open"),HYPERLINK("#'Main'!B1","Open"))</f>
        <v>Open</v>
      </c>
      <c r="T25" t="str">
        <f>IFERROR(HYPERLINK("#'Technical Diagnostics'!A"&amp;MATCH(A25,'Technical Diagnostics'!A:A,0),"Open"),HYPERLINK("#'Technical Diagnostics'!A1","Open"))</f>
        <v>Open</v>
      </c>
    </row>
    <row r="26" spans="1:21" ht="30" customHeight="1" x14ac:dyDescent="0.25">
      <c r="A26" s="45" t="s">
        <v>197</v>
      </c>
      <c r="B26" s="28">
        <v>4941</v>
      </c>
      <c r="C26" s="57" t="s">
        <v>777</v>
      </c>
      <c r="D26" s="28" t="s">
        <v>784</v>
      </c>
      <c r="E26" s="42" t="s">
        <v>50</v>
      </c>
      <c r="F26" s="28" t="s">
        <v>801</v>
      </c>
      <c r="G26" s="31">
        <v>67</v>
      </c>
      <c r="H26" s="28">
        <v>0</v>
      </c>
      <c r="I26" s="28" t="s">
        <v>802</v>
      </c>
      <c r="J26" s="28" t="s">
        <v>803</v>
      </c>
      <c r="K26" s="28" t="s">
        <v>761</v>
      </c>
      <c r="L26" s="28" t="s">
        <v>437</v>
      </c>
      <c r="M26" s="28" t="s">
        <v>97</v>
      </c>
      <c r="N26" s="28" t="s">
        <v>103</v>
      </c>
      <c r="O26" s="29" t="s">
        <v>2</v>
      </c>
      <c r="P26" s="28">
        <v>4</v>
      </c>
      <c r="Q26" s="28" t="s">
        <v>811</v>
      </c>
      <c r="R26" s="28" t="s">
        <v>805</v>
      </c>
      <c r="S26" s="36" t="str">
        <f>IFERROR(HYPERLINK("#'Main'!B"&amp;MATCH(TRIM(A26),Main!B:B,0),"Open"),HYPERLINK("#'Main'!B1","Open"))</f>
        <v>Open</v>
      </c>
      <c r="T26" s="36" t="str">
        <f>IFERROR(HYPERLINK("#'Technical Diagnostics'!A"&amp;MATCH(A26,'Technical Diagnostics'!A:A,0),"Open"),HYPERLINK("#'Technical Diagnostics'!A1","Open"))</f>
        <v>Open</v>
      </c>
      <c r="U26" s="36"/>
    </row>
    <row r="27" spans="1:21" ht="30" customHeight="1" x14ac:dyDescent="0.25">
      <c r="A27" s="46" t="s">
        <v>200</v>
      </c>
      <c r="B27" s="37">
        <v>12371</v>
      </c>
      <c r="C27" s="58" t="s">
        <v>779</v>
      </c>
      <c r="D27" s="37" t="s">
        <v>784</v>
      </c>
      <c r="E27" s="42" t="s">
        <v>50</v>
      </c>
      <c r="F27" s="37" t="s">
        <v>785</v>
      </c>
      <c r="G27" s="38">
        <v>67</v>
      </c>
      <c r="H27" s="37">
        <v>33.93</v>
      </c>
      <c r="I27" s="37" t="s">
        <v>786</v>
      </c>
      <c r="J27" s="37" t="s">
        <v>787</v>
      </c>
      <c r="K27" s="37" t="s">
        <v>788</v>
      </c>
      <c r="L27" s="37" t="s">
        <v>448</v>
      </c>
      <c r="M27" s="37" t="s">
        <v>97</v>
      </c>
      <c r="N27" s="37" t="s">
        <v>103</v>
      </c>
      <c r="O27" s="29" t="s">
        <v>2</v>
      </c>
      <c r="P27" s="37">
        <v>4</v>
      </c>
      <c r="Q27" s="37" t="s">
        <v>812</v>
      </c>
      <c r="R27" s="37" t="s">
        <v>790</v>
      </c>
      <c r="S27" t="str">
        <f>IFERROR(HYPERLINK("#'Main'!B"&amp;MATCH(TRIM(A27),Main!B:B,0),"Open"),HYPERLINK("#'Main'!B1","Open"))</f>
        <v>Open</v>
      </c>
      <c r="T27" t="str">
        <f>IFERROR(HYPERLINK("#'Technical Diagnostics'!A"&amp;MATCH(A27,'Technical Diagnostics'!A:A,0),"Open"),HYPERLINK("#'Technical Diagnostics'!A1","Open"))</f>
        <v>Open</v>
      </c>
    </row>
    <row r="28" spans="1:21" ht="30" customHeight="1" x14ac:dyDescent="0.25">
      <c r="A28" s="45" t="s">
        <v>201</v>
      </c>
      <c r="B28" s="28">
        <v>12954</v>
      </c>
      <c r="C28" s="57" t="s">
        <v>781</v>
      </c>
      <c r="D28" s="28" t="s">
        <v>784</v>
      </c>
      <c r="E28" s="42" t="s">
        <v>50</v>
      </c>
      <c r="F28" s="28" t="s">
        <v>785</v>
      </c>
      <c r="G28" s="31">
        <v>67</v>
      </c>
      <c r="H28" s="28">
        <v>72</v>
      </c>
      <c r="I28" s="28" t="s">
        <v>786</v>
      </c>
      <c r="J28" s="28" t="s">
        <v>787</v>
      </c>
      <c r="K28" s="28" t="s">
        <v>788</v>
      </c>
      <c r="L28" s="28" t="s">
        <v>448</v>
      </c>
      <c r="M28" s="28" t="s">
        <v>97</v>
      </c>
      <c r="N28" s="28" t="s">
        <v>103</v>
      </c>
      <c r="O28" s="29" t="s">
        <v>2</v>
      </c>
      <c r="P28" s="28">
        <v>4</v>
      </c>
      <c r="Q28" s="28" t="s">
        <v>813</v>
      </c>
      <c r="R28" s="28" t="s">
        <v>790</v>
      </c>
      <c r="S28" s="36" t="str">
        <f>IFERROR(HYPERLINK("#'Main'!B"&amp;MATCH(TRIM(A28),Main!B:B,0),"Open"),HYPERLINK("#'Main'!B1","Open"))</f>
        <v>Open</v>
      </c>
      <c r="T28" s="36" t="str">
        <f>IFERROR(HYPERLINK("#'Technical Diagnostics'!A"&amp;MATCH(A28,'Technical Diagnostics'!A:A,0),"Open"),HYPERLINK("#'Technical Diagnostics'!A1","Open"))</f>
        <v>Open</v>
      </c>
      <c r="U28" s="36"/>
    </row>
    <row r="29" spans="1:21" ht="30" customHeight="1" x14ac:dyDescent="0.25">
      <c r="A29" s="46" t="s">
        <v>148</v>
      </c>
      <c r="B29" s="37">
        <v>13164</v>
      </c>
      <c r="C29" s="58" t="s">
        <v>751</v>
      </c>
      <c r="D29" s="37" t="s">
        <v>784</v>
      </c>
      <c r="E29" s="42" t="s">
        <v>50</v>
      </c>
      <c r="F29" s="37" t="s">
        <v>785</v>
      </c>
      <c r="G29" s="38">
        <v>67</v>
      </c>
      <c r="H29" s="37">
        <v>75</v>
      </c>
      <c r="I29" s="37" t="s">
        <v>786</v>
      </c>
      <c r="J29" s="37" t="s">
        <v>787</v>
      </c>
      <c r="K29" s="37" t="s">
        <v>788</v>
      </c>
      <c r="L29" s="37" t="s">
        <v>448</v>
      </c>
      <c r="M29" s="37" t="s">
        <v>97</v>
      </c>
      <c r="N29" s="37" t="s">
        <v>103</v>
      </c>
      <c r="O29" s="29" t="s">
        <v>2</v>
      </c>
      <c r="P29" s="37">
        <v>4</v>
      </c>
      <c r="Q29" s="37" t="s">
        <v>814</v>
      </c>
      <c r="R29" s="37" t="s">
        <v>790</v>
      </c>
      <c r="S29" t="str">
        <f>IFERROR(HYPERLINK("#'Main'!B"&amp;MATCH(TRIM(A29),Main!B:B,0),"Open"),HYPERLINK("#'Main'!B1","Open"))</f>
        <v>Open</v>
      </c>
      <c r="T29" t="str">
        <f>IFERROR(HYPERLINK("#'Technical Diagnostics'!A"&amp;MATCH(A29,'Technical Diagnostics'!A:A,0),"Open"),HYPERLINK("#'Technical Diagnostics'!A1","Open"))</f>
        <v>Open</v>
      </c>
    </row>
    <row r="30" spans="1:21" ht="30" customHeight="1" x14ac:dyDescent="0.25">
      <c r="A30" s="45" t="s">
        <v>148</v>
      </c>
      <c r="B30" s="28">
        <v>13164</v>
      </c>
      <c r="C30" s="57" t="s">
        <v>751</v>
      </c>
      <c r="D30" s="28" t="s">
        <v>784</v>
      </c>
      <c r="E30" s="42" t="s">
        <v>50</v>
      </c>
      <c r="F30" s="28" t="s">
        <v>801</v>
      </c>
      <c r="G30" s="31">
        <v>67</v>
      </c>
      <c r="H30" s="28">
        <v>0</v>
      </c>
      <c r="I30" s="28" t="s">
        <v>802</v>
      </c>
      <c r="J30" s="28" t="s">
        <v>803</v>
      </c>
      <c r="K30" s="28" t="s">
        <v>761</v>
      </c>
      <c r="L30" s="28" t="s">
        <v>437</v>
      </c>
      <c r="M30" s="28" t="s">
        <v>97</v>
      </c>
      <c r="N30" s="28" t="s">
        <v>103</v>
      </c>
      <c r="O30" s="29" t="s">
        <v>2</v>
      </c>
      <c r="P30" s="28">
        <v>4</v>
      </c>
      <c r="Q30" s="28" t="s">
        <v>815</v>
      </c>
      <c r="R30" s="28" t="s">
        <v>805</v>
      </c>
      <c r="S30" s="36" t="str">
        <f>IFERROR(HYPERLINK("#'Main'!B"&amp;MATCH(TRIM(A30),Main!B:B,0),"Open"),HYPERLINK("#'Main'!B1","Open"))</f>
        <v>Open</v>
      </c>
      <c r="T30" s="36" t="str">
        <f>IFERROR(HYPERLINK("#'Technical Diagnostics'!A"&amp;MATCH(A30,'Technical Diagnostics'!A:A,0),"Open"),HYPERLINK("#'Technical Diagnostics'!A1","Open"))</f>
        <v>Open</v>
      </c>
      <c r="U30" s="36"/>
    </row>
    <row r="31" spans="1:21" ht="30" customHeight="1" x14ac:dyDescent="0.25">
      <c r="A31" s="46" t="s">
        <v>148</v>
      </c>
      <c r="B31" s="37">
        <v>13164</v>
      </c>
      <c r="C31" s="58" t="s">
        <v>751</v>
      </c>
      <c r="D31" s="37" t="s">
        <v>784</v>
      </c>
      <c r="E31" s="42" t="s">
        <v>50</v>
      </c>
      <c r="F31" s="37" t="s">
        <v>791</v>
      </c>
      <c r="G31" s="38">
        <v>67</v>
      </c>
      <c r="H31" s="37">
        <v>31</v>
      </c>
      <c r="I31" s="37" t="s">
        <v>792</v>
      </c>
      <c r="J31" s="37" t="s">
        <v>793</v>
      </c>
      <c r="K31" s="37" t="s">
        <v>761</v>
      </c>
      <c r="L31" s="37" t="s">
        <v>433</v>
      </c>
      <c r="M31" s="37" t="s">
        <v>97</v>
      </c>
      <c r="N31" s="37" t="s">
        <v>103</v>
      </c>
      <c r="O31" s="29" t="s">
        <v>2</v>
      </c>
      <c r="P31" s="37">
        <v>4</v>
      </c>
      <c r="Q31" s="37" t="s">
        <v>816</v>
      </c>
      <c r="R31" s="37" t="s">
        <v>795</v>
      </c>
      <c r="S31" t="str">
        <f>IFERROR(HYPERLINK("#'Main'!B"&amp;MATCH(TRIM(A31),Main!B:B,0),"Open"),HYPERLINK("#'Main'!B1","Open"))</f>
        <v>Open</v>
      </c>
      <c r="T31" t="str">
        <f>IFERROR(HYPERLINK("#'Technical Diagnostics'!A"&amp;MATCH(A31,'Technical Diagnostics'!A:A,0),"Open"),HYPERLINK("#'Technical Diagnostics'!A1","Open"))</f>
        <v>Open</v>
      </c>
    </row>
    <row r="32" spans="1:21" ht="45" customHeight="1" x14ac:dyDescent="0.25">
      <c r="A32" s="45" t="s">
        <v>166</v>
      </c>
      <c r="B32" s="28">
        <v>8</v>
      </c>
      <c r="C32" s="57" t="s">
        <v>760</v>
      </c>
      <c r="D32" s="28" t="s">
        <v>817</v>
      </c>
      <c r="E32" s="42" t="s">
        <v>50</v>
      </c>
      <c r="F32" s="28" t="s">
        <v>818</v>
      </c>
      <c r="G32" s="31">
        <v>67</v>
      </c>
      <c r="H32" s="28">
        <v>0</v>
      </c>
      <c r="I32" s="28" t="s">
        <v>819</v>
      </c>
      <c r="J32" s="28" t="s">
        <v>820</v>
      </c>
      <c r="K32" s="28" t="s">
        <v>821</v>
      </c>
      <c r="L32" s="28" t="s">
        <v>441</v>
      </c>
      <c r="M32" s="28" t="s">
        <v>97</v>
      </c>
      <c r="N32" s="28" t="s">
        <v>103</v>
      </c>
      <c r="O32" s="29" t="s">
        <v>2</v>
      </c>
      <c r="P32" s="28">
        <v>4</v>
      </c>
      <c r="Q32" s="28" t="s">
        <v>822</v>
      </c>
      <c r="R32" s="28" t="s">
        <v>823</v>
      </c>
      <c r="S32" s="36" t="str">
        <f>IFERROR(HYPERLINK("#'Main'!B"&amp;MATCH(TRIM(A32),Main!B:B,0),"Open"),HYPERLINK("#'Main'!B1","Open"))</f>
        <v>Open</v>
      </c>
      <c r="T32" s="36" t="str">
        <f>IFERROR(HYPERLINK("#'Technical Diagnostics'!A"&amp;MATCH(A32,'Technical Diagnostics'!A:A,0),"Open"),HYPERLINK("#'Technical Diagnostics'!A1","Open"))</f>
        <v>Open</v>
      </c>
      <c r="U32" s="36"/>
    </row>
    <row r="33" spans="1:21" ht="45" customHeight="1" x14ac:dyDescent="0.25">
      <c r="A33" s="46" t="s">
        <v>199</v>
      </c>
      <c r="B33" s="37">
        <v>84</v>
      </c>
      <c r="C33" s="58" t="s">
        <v>767</v>
      </c>
      <c r="D33" s="37" t="s">
        <v>817</v>
      </c>
      <c r="E33" s="42" t="s">
        <v>50</v>
      </c>
      <c r="F33" s="37" t="s">
        <v>818</v>
      </c>
      <c r="G33" s="38">
        <v>67</v>
      </c>
      <c r="H33" s="37">
        <v>0</v>
      </c>
      <c r="I33" s="37" t="s">
        <v>819</v>
      </c>
      <c r="J33" s="37" t="s">
        <v>820</v>
      </c>
      <c r="K33" s="37" t="s">
        <v>821</v>
      </c>
      <c r="L33" s="37" t="s">
        <v>441</v>
      </c>
      <c r="M33" s="37" t="s">
        <v>97</v>
      </c>
      <c r="N33" s="37" t="s">
        <v>103</v>
      </c>
      <c r="O33" s="29" t="s">
        <v>2</v>
      </c>
      <c r="P33" s="37">
        <v>4</v>
      </c>
      <c r="Q33" s="37" t="s">
        <v>824</v>
      </c>
      <c r="R33" s="37" t="s">
        <v>823</v>
      </c>
      <c r="S33" t="str">
        <f>IFERROR(HYPERLINK("#'Main'!B"&amp;MATCH(TRIM(A33),Main!B:B,0),"Open"),HYPERLINK("#'Main'!B1","Open"))</f>
        <v>Open</v>
      </c>
      <c r="T33" t="str">
        <f>IFERROR(HYPERLINK("#'Technical Diagnostics'!A"&amp;MATCH(A33,'Technical Diagnostics'!A:A,0),"Open"),HYPERLINK("#'Technical Diagnostics'!A1","Open"))</f>
        <v>Open</v>
      </c>
    </row>
    <row r="34" spans="1:21" ht="45" customHeight="1" x14ac:dyDescent="0.25">
      <c r="A34" s="45" t="s">
        <v>196</v>
      </c>
      <c r="B34" s="28">
        <v>28165</v>
      </c>
      <c r="C34" s="57" t="s">
        <v>769</v>
      </c>
      <c r="D34" s="28" t="s">
        <v>817</v>
      </c>
      <c r="E34" s="42" t="s">
        <v>50</v>
      </c>
      <c r="F34" s="28" t="s">
        <v>818</v>
      </c>
      <c r="G34" s="31">
        <v>67</v>
      </c>
      <c r="H34" s="28">
        <v>0</v>
      </c>
      <c r="I34" s="28" t="s">
        <v>819</v>
      </c>
      <c r="J34" s="28" t="s">
        <v>820</v>
      </c>
      <c r="K34" s="28" t="s">
        <v>821</v>
      </c>
      <c r="L34" s="28" t="s">
        <v>441</v>
      </c>
      <c r="M34" s="28" t="s">
        <v>97</v>
      </c>
      <c r="N34" s="28" t="s">
        <v>103</v>
      </c>
      <c r="O34" s="29" t="s">
        <v>2</v>
      </c>
      <c r="P34" s="28">
        <v>4</v>
      </c>
      <c r="Q34" s="28" t="s">
        <v>825</v>
      </c>
      <c r="R34" s="28" t="s">
        <v>823</v>
      </c>
      <c r="S34" s="36" t="str">
        <f>IFERROR(HYPERLINK("#'Main'!B"&amp;MATCH(TRIM(A34),Main!B:B,0),"Open"),HYPERLINK("#'Main'!B1","Open"))</f>
        <v>Open</v>
      </c>
      <c r="T34" s="36" t="str">
        <f>IFERROR(HYPERLINK("#'Technical Diagnostics'!A"&amp;MATCH(A34,'Technical Diagnostics'!A:A,0),"Open"),HYPERLINK("#'Technical Diagnostics'!A1","Open"))</f>
        <v>Open</v>
      </c>
      <c r="U34" s="36"/>
    </row>
    <row r="35" spans="1:21" ht="45" customHeight="1" x14ac:dyDescent="0.25">
      <c r="A35" s="46" t="s">
        <v>138</v>
      </c>
      <c r="B35" s="37">
        <v>16125</v>
      </c>
      <c r="C35" s="58" t="s">
        <v>771</v>
      </c>
      <c r="D35" s="37" t="s">
        <v>817</v>
      </c>
      <c r="E35" s="42" t="s">
        <v>50</v>
      </c>
      <c r="F35" s="37" t="s">
        <v>818</v>
      </c>
      <c r="G35" s="38">
        <v>67</v>
      </c>
      <c r="H35" s="37">
        <v>0</v>
      </c>
      <c r="I35" s="37" t="s">
        <v>819</v>
      </c>
      <c r="J35" s="37" t="s">
        <v>820</v>
      </c>
      <c r="K35" s="37" t="s">
        <v>821</v>
      </c>
      <c r="L35" s="37" t="s">
        <v>441</v>
      </c>
      <c r="M35" s="37" t="s">
        <v>97</v>
      </c>
      <c r="N35" s="37" t="s">
        <v>103</v>
      </c>
      <c r="O35" s="29" t="s">
        <v>2</v>
      </c>
      <c r="P35" s="37">
        <v>4</v>
      </c>
      <c r="Q35" s="37" t="s">
        <v>826</v>
      </c>
      <c r="R35" s="37" t="s">
        <v>823</v>
      </c>
      <c r="S35" t="str">
        <f>IFERROR(HYPERLINK("#'Main'!B"&amp;MATCH(TRIM(A35),Main!B:B,0),"Open"),HYPERLINK("#'Main'!B1","Open"))</f>
        <v>Open</v>
      </c>
      <c r="T35" t="str">
        <f>IFERROR(HYPERLINK("#'Technical Diagnostics'!A"&amp;MATCH(A35,'Technical Diagnostics'!A:A,0),"Open"),HYPERLINK("#'Technical Diagnostics'!A1","Open"))</f>
        <v>Open</v>
      </c>
    </row>
    <row r="36" spans="1:21" ht="45" customHeight="1" x14ac:dyDescent="0.25">
      <c r="A36" s="45" t="s">
        <v>198</v>
      </c>
      <c r="B36" s="28">
        <v>4494</v>
      </c>
      <c r="C36" s="57" t="s">
        <v>773</v>
      </c>
      <c r="D36" s="28" t="s">
        <v>817</v>
      </c>
      <c r="E36" s="42" t="s">
        <v>50</v>
      </c>
      <c r="F36" s="28" t="s">
        <v>818</v>
      </c>
      <c r="G36" s="31">
        <v>67</v>
      </c>
      <c r="H36" s="28">
        <v>0</v>
      </c>
      <c r="I36" s="28" t="s">
        <v>819</v>
      </c>
      <c r="J36" s="28" t="s">
        <v>820</v>
      </c>
      <c r="K36" s="28" t="s">
        <v>821</v>
      </c>
      <c r="L36" s="28" t="s">
        <v>441</v>
      </c>
      <c r="M36" s="28" t="s">
        <v>97</v>
      </c>
      <c r="N36" s="28" t="s">
        <v>103</v>
      </c>
      <c r="O36" s="29" t="s">
        <v>2</v>
      </c>
      <c r="P36" s="28">
        <v>4</v>
      </c>
      <c r="Q36" s="28" t="s">
        <v>827</v>
      </c>
      <c r="R36" s="28" t="s">
        <v>823</v>
      </c>
      <c r="S36" s="36" t="str">
        <f>IFERROR(HYPERLINK("#'Main'!B"&amp;MATCH(TRIM(A36),Main!B:B,0),"Open"),HYPERLINK("#'Main'!B1","Open"))</f>
        <v>Open</v>
      </c>
      <c r="T36" s="36" t="str">
        <f>IFERROR(HYPERLINK("#'Technical Diagnostics'!A"&amp;MATCH(A36,'Technical Diagnostics'!A:A,0),"Open"),HYPERLINK("#'Technical Diagnostics'!A1","Open"))</f>
        <v>Open</v>
      </c>
      <c r="U36" s="36"/>
    </row>
    <row r="37" spans="1:21" ht="45" customHeight="1" x14ac:dyDescent="0.25">
      <c r="A37" s="46" t="s">
        <v>146</v>
      </c>
      <c r="B37" s="37">
        <v>5619</v>
      </c>
      <c r="C37" s="58" t="s">
        <v>775</v>
      </c>
      <c r="D37" s="37" t="s">
        <v>817</v>
      </c>
      <c r="E37" s="42" t="s">
        <v>50</v>
      </c>
      <c r="F37" s="37" t="s">
        <v>818</v>
      </c>
      <c r="G37" s="38">
        <v>67</v>
      </c>
      <c r="H37" s="37">
        <v>0</v>
      </c>
      <c r="I37" s="37" t="s">
        <v>819</v>
      </c>
      <c r="J37" s="37" t="s">
        <v>820</v>
      </c>
      <c r="K37" s="37" t="s">
        <v>821</v>
      </c>
      <c r="L37" s="37" t="s">
        <v>441</v>
      </c>
      <c r="M37" s="37" t="s">
        <v>97</v>
      </c>
      <c r="N37" s="37" t="s">
        <v>103</v>
      </c>
      <c r="O37" s="29" t="s">
        <v>2</v>
      </c>
      <c r="P37" s="37">
        <v>4</v>
      </c>
      <c r="Q37" s="37" t="s">
        <v>828</v>
      </c>
      <c r="R37" s="37" t="s">
        <v>823</v>
      </c>
      <c r="S37" t="str">
        <f>IFERROR(HYPERLINK("#'Main'!B"&amp;MATCH(TRIM(A37),Main!B:B,0),"Open"),HYPERLINK("#'Main'!B1","Open"))</f>
        <v>Open</v>
      </c>
      <c r="T37" t="str">
        <f>IFERROR(HYPERLINK("#'Technical Diagnostics'!A"&amp;MATCH(A37,'Technical Diagnostics'!A:A,0),"Open"),HYPERLINK("#'Technical Diagnostics'!A1","Open"))</f>
        <v>Open</v>
      </c>
    </row>
    <row r="38" spans="1:21" ht="45" customHeight="1" x14ac:dyDescent="0.25">
      <c r="A38" s="45" t="s">
        <v>197</v>
      </c>
      <c r="B38" s="28">
        <v>4941</v>
      </c>
      <c r="C38" s="57" t="s">
        <v>777</v>
      </c>
      <c r="D38" s="28" t="s">
        <v>817</v>
      </c>
      <c r="E38" s="42" t="s">
        <v>50</v>
      </c>
      <c r="F38" s="28" t="s">
        <v>818</v>
      </c>
      <c r="G38" s="31">
        <v>67</v>
      </c>
      <c r="H38" s="28">
        <v>0</v>
      </c>
      <c r="I38" s="28" t="s">
        <v>819</v>
      </c>
      <c r="J38" s="28" t="s">
        <v>820</v>
      </c>
      <c r="K38" s="28" t="s">
        <v>821</v>
      </c>
      <c r="L38" s="28" t="s">
        <v>441</v>
      </c>
      <c r="M38" s="28" t="s">
        <v>97</v>
      </c>
      <c r="N38" s="28" t="s">
        <v>103</v>
      </c>
      <c r="O38" s="29" t="s">
        <v>2</v>
      </c>
      <c r="P38" s="28">
        <v>4</v>
      </c>
      <c r="Q38" s="28" t="s">
        <v>829</v>
      </c>
      <c r="R38" s="28" t="s">
        <v>823</v>
      </c>
      <c r="S38" s="36" t="str">
        <f>IFERROR(HYPERLINK("#'Main'!B"&amp;MATCH(TRIM(A38),Main!B:B,0),"Open"),HYPERLINK("#'Main'!B1","Open"))</f>
        <v>Open</v>
      </c>
      <c r="T38" s="36" t="str">
        <f>IFERROR(HYPERLINK("#'Technical Diagnostics'!A"&amp;MATCH(A38,'Technical Diagnostics'!A:A,0),"Open"),HYPERLINK("#'Technical Diagnostics'!A1","Open"))</f>
        <v>Open</v>
      </c>
      <c r="U38" s="36"/>
    </row>
    <row r="39" spans="1:21" ht="45" customHeight="1" x14ac:dyDescent="0.25">
      <c r="A39" s="46" t="s">
        <v>200</v>
      </c>
      <c r="B39" s="37">
        <v>12371</v>
      </c>
      <c r="C39" s="58" t="s">
        <v>779</v>
      </c>
      <c r="D39" s="37" t="s">
        <v>817</v>
      </c>
      <c r="E39" s="42" t="s">
        <v>50</v>
      </c>
      <c r="F39" s="37" t="s">
        <v>818</v>
      </c>
      <c r="G39" s="38">
        <v>67</v>
      </c>
      <c r="H39" s="37">
        <v>0</v>
      </c>
      <c r="I39" s="37" t="s">
        <v>819</v>
      </c>
      <c r="J39" s="37" t="s">
        <v>820</v>
      </c>
      <c r="K39" s="37" t="s">
        <v>821</v>
      </c>
      <c r="L39" s="37" t="s">
        <v>441</v>
      </c>
      <c r="M39" s="37" t="s">
        <v>97</v>
      </c>
      <c r="N39" s="37" t="s">
        <v>103</v>
      </c>
      <c r="O39" s="29" t="s">
        <v>2</v>
      </c>
      <c r="P39" s="37">
        <v>4</v>
      </c>
      <c r="Q39" s="37" t="s">
        <v>830</v>
      </c>
      <c r="R39" s="37" t="s">
        <v>823</v>
      </c>
      <c r="S39" t="str">
        <f>IFERROR(HYPERLINK("#'Main'!B"&amp;MATCH(TRIM(A39),Main!B:B,0),"Open"),HYPERLINK("#'Main'!B1","Open"))</f>
        <v>Open</v>
      </c>
      <c r="T39" t="str">
        <f>IFERROR(HYPERLINK("#'Technical Diagnostics'!A"&amp;MATCH(A39,'Technical Diagnostics'!A:A,0),"Open"),HYPERLINK("#'Technical Diagnostics'!A1","Open"))</f>
        <v>Open</v>
      </c>
    </row>
    <row r="40" spans="1:21" ht="45" customHeight="1" x14ac:dyDescent="0.25">
      <c r="A40" s="45" t="s">
        <v>201</v>
      </c>
      <c r="B40" s="28">
        <v>12954</v>
      </c>
      <c r="C40" s="57" t="s">
        <v>781</v>
      </c>
      <c r="D40" s="28" t="s">
        <v>817</v>
      </c>
      <c r="E40" s="42" t="s">
        <v>50</v>
      </c>
      <c r="F40" s="28" t="s">
        <v>818</v>
      </c>
      <c r="G40" s="31">
        <v>67</v>
      </c>
      <c r="H40" s="28">
        <v>0</v>
      </c>
      <c r="I40" s="28" t="s">
        <v>819</v>
      </c>
      <c r="J40" s="28" t="s">
        <v>820</v>
      </c>
      <c r="K40" s="28" t="s">
        <v>821</v>
      </c>
      <c r="L40" s="28" t="s">
        <v>441</v>
      </c>
      <c r="M40" s="28" t="s">
        <v>97</v>
      </c>
      <c r="N40" s="28" t="s">
        <v>103</v>
      </c>
      <c r="O40" s="29" t="s">
        <v>2</v>
      </c>
      <c r="P40" s="28">
        <v>4</v>
      </c>
      <c r="Q40" s="28" t="s">
        <v>831</v>
      </c>
      <c r="R40" s="28" t="s">
        <v>823</v>
      </c>
      <c r="S40" s="36" t="str">
        <f>IFERROR(HYPERLINK("#'Main'!B"&amp;MATCH(TRIM(A40),Main!B:B,0),"Open"),HYPERLINK("#'Main'!B1","Open"))</f>
        <v>Open</v>
      </c>
      <c r="T40" s="36" t="str">
        <f>IFERROR(HYPERLINK("#'Technical Diagnostics'!A"&amp;MATCH(A40,'Technical Diagnostics'!A:A,0),"Open"),HYPERLINK("#'Technical Diagnostics'!A1","Open"))</f>
        <v>Open</v>
      </c>
      <c r="U40" s="36"/>
    </row>
    <row r="41" spans="1:21" ht="45" customHeight="1" x14ac:dyDescent="0.25">
      <c r="A41" s="46" t="s">
        <v>148</v>
      </c>
      <c r="B41" s="37">
        <v>13164</v>
      </c>
      <c r="C41" s="58" t="s">
        <v>751</v>
      </c>
      <c r="D41" s="37" t="s">
        <v>817</v>
      </c>
      <c r="E41" s="42" t="s">
        <v>50</v>
      </c>
      <c r="F41" s="37" t="s">
        <v>818</v>
      </c>
      <c r="G41" s="38">
        <v>67</v>
      </c>
      <c r="H41" s="37">
        <v>0</v>
      </c>
      <c r="I41" s="37" t="s">
        <v>819</v>
      </c>
      <c r="J41" s="37" t="s">
        <v>820</v>
      </c>
      <c r="K41" s="37" t="s">
        <v>821</v>
      </c>
      <c r="L41" s="37" t="s">
        <v>441</v>
      </c>
      <c r="M41" s="37" t="s">
        <v>97</v>
      </c>
      <c r="N41" s="37" t="s">
        <v>103</v>
      </c>
      <c r="O41" s="29" t="s">
        <v>2</v>
      </c>
      <c r="P41" s="37">
        <v>4</v>
      </c>
      <c r="Q41" s="37" t="s">
        <v>832</v>
      </c>
      <c r="R41" s="37" t="s">
        <v>823</v>
      </c>
      <c r="S41" t="str">
        <f>IFERROR(HYPERLINK("#'Main'!B"&amp;MATCH(TRIM(A41),Main!B:B,0),"Open"),HYPERLINK("#'Main'!B1","Open"))</f>
        <v>Open</v>
      </c>
      <c r="T41" t="str">
        <f>IFERROR(HYPERLINK("#'Technical Diagnostics'!A"&amp;MATCH(A41,'Technical Diagnostics'!A:A,0),"Open"),HYPERLINK("#'Technical Diagnostics'!A1","Open"))</f>
        <v>Open</v>
      </c>
    </row>
    <row r="42" spans="1:21" ht="30" customHeight="1" x14ac:dyDescent="0.25">
      <c r="A42" s="45" t="s">
        <v>199</v>
      </c>
      <c r="B42" s="28">
        <v>84</v>
      </c>
      <c r="C42" s="57" t="s">
        <v>767</v>
      </c>
      <c r="D42" s="28" t="s">
        <v>752</v>
      </c>
      <c r="E42" s="48" t="s">
        <v>152</v>
      </c>
      <c r="F42" s="28" t="s">
        <v>833</v>
      </c>
      <c r="G42" s="31">
        <v>37</v>
      </c>
      <c r="H42" s="28">
        <v>405</v>
      </c>
      <c r="I42" s="28" t="s">
        <v>755</v>
      </c>
      <c r="J42" s="28" t="s">
        <v>834</v>
      </c>
      <c r="K42" s="33" t="s">
        <v>757</v>
      </c>
      <c r="L42" s="28" t="s">
        <v>682</v>
      </c>
      <c r="M42" s="28" t="s">
        <v>156</v>
      </c>
      <c r="N42" s="28" t="s">
        <v>103</v>
      </c>
      <c r="O42" s="29" t="s">
        <v>2</v>
      </c>
      <c r="P42" s="28">
        <v>4</v>
      </c>
      <c r="Q42" s="28" t="s">
        <v>835</v>
      </c>
      <c r="R42" s="28" t="s">
        <v>836</v>
      </c>
      <c r="S42" s="36" t="str">
        <f>IFERROR(HYPERLINK("#'Main'!B"&amp;MATCH(TRIM(A42),Main!B:B,0),"Open"),HYPERLINK("#'Main'!B1","Open"))</f>
        <v>Open</v>
      </c>
      <c r="T42" s="36" t="str">
        <f>IFERROR(HYPERLINK("#'Technical Diagnostics'!A"&amp;MATCH(A42,'Technical Diagnostics'!A:A,0),"Open"),HYPERLINK("#'Technical Diagnostics'!A1","Open"))</f>
        <v>Open</v>
      </c>
      <c r="U42" s="36"/>
    </row>
    <row r="43" spans="1:21" ht="30" customHeight="1" x14ac:dyDescent="0.25">
      <c r="A43" s="46" t="s">
        <v>196</v>
      </c>
      <c r="B43" s="37">
        <v>28165</v>
      </c>
      <c r="C43" s="58" t="s">
        <v>769</v>
      </c>
      <c r="D43" s="37" t="s">
        <v>752</v>
      </c>
      <c r="E43" s="48" t="s">
        <v>152</v>
      </c>
      <c r="F43" s="37" t="s">
        <v>833</v>
      </c>
      <c r="G43" s="38">
        <v>37</v>
      </c>
      <c r="H43" s="37">
        <v>423</v>
      </c>
      <c r="I43" s="37" t="s">
        <v>755</v>
      </c>
      <c r="J43" s="37" t="s">
        <v>834</v>
      </c>
      <c r="K43" s="40" t="s">
        <v>757</v>
      </c>
      <c r="L43" s="37" t="s">
        <v>682</v>
      </c>
      <c r="M43" s="37" t="s">
        <v>156</v>
      </c>
      <c r="N43" s="37" t="s">
        <v>103</v>
      </c>
      <c r="O43" s="29" t="s">
        <v>2</v>
      </c>
      <c r="P43" s="37">
        <v>4</v>
      </c>
      <c r="Q43" s="37" t="s">
        <v>837</v>
      </c>
      <c r="R43" s="37" t="s">
        <v>836</v>
      </c>
      <c r="S43" t="str">
        <f>IFERROR(HYPERLINK("#'Main'!B"&amp;MATCH(TRIM(A43),Main!B:B,0),"Open"),HYPERLINK("#'Main'!B1","Open"))</f>
        <v>Open</v>
      </c>
      <c r="T43" t="str">
        <f>IFERROR(HYPERLINK("#'Technical Diagnostics'!A"&amp;MATCH(A43,'Technical Diagnostics'!A:A,0),"Open"),HYPERLINK("#'Technical Diagnostics'!A1","Open"))</f>
        <v>Open</v>
      </c>
    </row>
    <row r="44" spans="1:21" ht="30" customHeight="1" x14ac:dyDescent="0.25">
      <c r="A44" s="45" t="s">
        <v>138</v>
      </c>
      <c r="B44" s="28">
        <v>16125</v>
      </c>
      <c r="C44" s="57" t="s">
        <v>771</v>
      </c>
      <c r="D44" s="28" t="s">
        <v>752</v>
      </c>
      <c r="E44" s="48" t="s">
        <v>152</v>
      </c>
      <c r="F44" s="28" t="s">
        <v>833</v>
      </c>
      <c r="G44" s="31">
        <v>37</v>
      </c>
      <c r="H44" s="28">
        <v>406</v>
      </c>
      <c r="I44" s="28" t="s">
        <v>755</v>
      </c>
      <c r="J44" s="28" t="s">
        <v>834</v>
      </c>
      <c r="K44" s="33" t="s">
        <v>757</v>
      </c>
      <c r="L44" s="28" t="s">
        <v>682</v>
      </c>
      <c r="M44" s="28" t="s">
        <v>156</v>
      </c>
      <c r="N44" s="28" t="s">
        <v>103</v>
      </c>
      <c r="O44" s="29" t="s">
        <v>2</v>
      </c>
      <c r="P44" s="28">
        <v>4</v>
      </c>
      <c r="Q44" s="28" t="s">
        <v>838</v>
      </c>
      <c r="R44" s="28" t="s">
        <v>836</v>
      </c>
      <c r="S44" s="36" t="str">
        <f>IFERROR(HYPERLINK("#'Main'!B"&amp;MATCH(TRIM(A44),Main!B:B,0),"Open"),HYPERLINK("#'Main'!B1","Open"))</f>
        <v>Open</v>
      </c>
      <c r="T44" s="36" t="str">
        <f>IFERROR(HYPERLINK("#'Technical Diagnostics'!A"&amp;MATCH(A44,'Technical Diagnostics'!A:A,0),"Open"),HYPERLINK("#'Technical Diagnostics'!A1","Open"))</f>
        <v>Open</v>
      </c>
      <c r="U44" s="36"/>
    </row>
    <row r="45" spans="1:21" ht="30" customHeight="1" x14ac:dyDescent="0.25">
      <c r="A45" s="46" t="s">
        <v>198</v>
      </c>
      <c r="B45" s="37">
        <v>4494</v>
      </c>
      <c r="C45" s="58" t="s">
        <v>773</v>
      </c>
      <c r="D45" s="37" t="s">
        <v>752</v>
      </c>
      <c r="E45" s="48" t="s">
        <v>152</v>
      </c>
      <c r="F45" s="37" t="s">
        <v>833</v>
      </c>
      <c r="G45" s="38">
        <v>37</v>
      </c>
      <c r="H45" s="37">
        <v>387</v>
      </c>
      <c r="I45" s="37" t="s">
        <v>755</v>
      </c>
      <c r="J45" s="37" t="s">
        <v>834</v>
      </c>
      <c r="K45" s="40" t="s">
        <v>757</v>
      </c>
      <c r="L45" s="37" t="s">
        <v>682</v>
      </c>
      <c r="M45" s="37" t="s">
        <v>156</v>
      </c>
      <c r="N45" s="37" t="s">
        <v>103</v>
      </c>
      <c r="O45" s="29" t="s">
        <v>2</v>
      </c>
      <c r="P45" s="37">
        <v>4</v>
      </c>
      <c r="Q45" s="37" t="s">
        <v>839</v>
      </c>
      <c r="R45" s="37" t="s">
        <v>836</v>
      </c>
      <c r="S45" t="str">
        <f>IFERROR(HYPERLINK("#'Main'!B"&amp;MATCH(TRIM(A45),Main!B:B,0),"Open"),HYPERLINK("#'Main'!B1","Open"))</f>
        <v>Open</v>
      </c>
      <c r="T45" t="str">
        <f>IFERROR(HYPERLINK("#'Technical Diagnostics'!A"&amp;MATCH(A45,'Technical Diagnostics'!A:A,0),"Open"),HYPERLINK("#'Technical Diagnostics'!A1","Open"))</f>
        <v>Open</v>
      </c>
    </row>
    <row r="46" spans="1:21" ht="30" customHeight="1" x14ac:dyDescent="0.25">
      <c r="A46" s="45" t="s">
        <v>146</v>
      </c>
      <c r="B46" s="28">
        <v>5619</v>
      </c>
      <c r="C46" s="57" t="s">
        <v>775</v>
      </c>
      <c r="D46" s="28" t="s">
        <v>752</v>
      </c>
      <c r="E46" s="48" t="s">
        <v>152</v>
      </c>
      <c r="F46" s="28" t="s">
        <v>833</v>
      </c>
      <c r="G46" s="31">
        <v>37</v>
      </c>
      <c r="H46" s="28">
        <v>335</v>
      </c>
      <c r="I46" s="28" t="s">
        <v>755</v>
      </c>
      <c r="J46" s="28" t="s">
        <v>834</v>
      </c>
      <c r="K46" s="33" t="s">
        <v>757</v>
      </c>
      <c r="L46" s="28" t="s">
        <v>682</v>
      </c>
      <c r="M46" s="28" t="s">
        <v>156</v>
      </c>
      <c r="N46" s="28" t="s">
        <v>103</v>
      </c>
      <c r="O46" s="29" t="s">
        <v>2</v>
      </c>
      <c r="P46" s="28">
        <v>4</v>
      </c>
      <c r="Q46" s="28" t="s">
        <v>840</v>
      </c>
      <c r="R46" s="28" t="s">
        <v>836</v>
      </c>
      <c r="S46" s="36" t="str">
        <f>IFERROR(HYPERLINK("#'Main'!B"&amp;MATCH(TRIM(A46),Main!B:B,0),"Open"),HYPERLINK("#'Main'!B1","Open"))</f>
        <v>Open</v>
      </c>
      <c r="T46" s="36" t="str">
        <f>IFERROR(HYPERLINK("#'Technical Diagnostics'!A"&amp;MATCH(A46,'Technical Diagnostics'!A:A,0),"Open"),HYPERLINK("#'Technical Diagnostics'!A1","Open"))</f>
        <v>Open</v>
      </c>
      <c r="U46" s="36"/>
    </row>
    <row r="47" spans="1:21" ht="30" customHeight="1" x14ac:dyDescent="0.25">
      <c r="A47" s="46" t="s">
        <v>197</v>
      </c>
      <c r="B47" s="37">
        <v>4941</v>
      </c>
      <c r="C47" s="58" t="s">
        <v>777</v>
      </c>
      <c r="D47" s="37" t="s">
        <v>752</v>
      </c>
      <c r="E47" s="48" t="s">
        <v>152</v>
      </c>
      <c r="F47" s="37" t="s">
        <v>833</v>
      </c>
      <c r="G47" s="38">
        <v>37</v>
      </c>
      <c r="H47" s="37">
        <v>337</v>
      </c>
      <c r="I47" s="37" t="s">
        <v>755</v>
      </c>
      <c r="J47" s="37" t="s">
        <v>834</v>
      </c>
      <c r="K47" s="40" t="s">
        <v>757</v>
      </c>
      <c r="L47" s="37" t="s">
        <v>682</v>
      </c>
      <c r="M47" s="37" t="s">
        <v>156</v>
      </c>
      <c r="N47" s="37" t="s">
        <v>103</v>
      </c>
      <c r="O47" s="29" t="s">
        <v>2</v>
      </c>
      <c r="P47" s="37">
        <v>4</v>
      </c>
      <c r="Q47" s="37" t="s">
        <v>841</v>
      </c>
      <c r="R47" s="37" t="s">
        <v>836</v>
      </c>
      <c r="S47" t="str">
        <f>IFERROR(HYPERLINK("#'Main'!B"&amp;MATCH(TRIM(A47),Main!B:B,0),"Open"),HYPERLINK("#'Main'!B1","Open"))</f>
        <v>Open</v>
      </c>
      <c r="T47" t="str">
        <f>IFERROR(HYPERLINK("#'Technical Diagnostics'!A"&amp;MATCH(A47,'Technical Diagnostics'!A:A,0),"Open"),HYPERLINK("#'Technical Diagnostics'!A1","Open"))</f>
        <v>Open</v>
      </c>
    </row>
    <row r="48" spans="1:21" ht="30" customHeight="1" x14ac:dyDescent="0.25">
      <c r="A48" s="45" t="s">
        <v>200</v>
      </c>
      <c r="B48" s="28">
        <v>12371</v>
      </c>
      <c r="C48" s="57" t="s">
        <v>779</v>
      </c>
      <c r="D48" s="28" t="s">
        <v>752</v>
      </c>
      <c r="E48" s="48" t="s">
        <v>152</v>
      </c>
      <c r="F48" s="28" t="s">
        <v>833</v>
      </c>
      <c r="G48" s="31">
        <v>37</v>
      </c>
      <c r="H48" s="28">
        <v>398</v>
      </c>
      <c r="I48" s="28" t="s">
        <v>755</v>
      </c>
      <c r="J48" s="28" t="s">
        <v>834</v>
      </c>
      <c r="K48" s="33" t="s">
        <v>757</v>
      </c>
      <c r="L48" s="28" t="s">
        <v>682</v>
      </c>
      <c r="M48" s="28" t="s">
        <v>156</v>
      </c>
      <c r="N48" s="28" t="s">
        <v>103</v>
      </c>
      <c r="O48" s="29" t="s">
        <v>2</v>
      </c>
      <c r="P48" s="28">
        <v>4</v>
      </c>
      <c r="Q48" s="28" t="s">
        <v>842</v>
      </c>
      <c r="R48" s="28" t="s">
        <v>836</v>
      </c>
      <c r="S48" s="36" t="str">
        <f>IFERROR(HYPERLINK("#'Main'!B"&amp;MATCH(TRIM(A48),Main!B:B,0),"Open"),HYPERLINK("#'Main'!B1","Open"))</f>
        <v>Open</v>
      </c>
      <c r="T48" s="36" t="str">
        <f>IFERROR(HYPERLINK("#'Technical Diagnostics'!A"&amp;MATCH(A48,'Technical Diagnostics'!A:A,0),"Open"),HYPERLINK("#'Technical Diagnostics'!A1","Open"))</f>
        <v>Open</v>
      </c>
      <c r="U48" s="36"/>
    </row>
    <row r="49" spans="1:21" ht="30" customHeight="1" x14ac:dyDescent="0.25">
      <c r="A49" s="46" t="s">
        <v>201</v>
      </c>
      <c r="B49" s="37">
        <v>12954</v>
      </c>
      <c r="C49" s="58" t="s">
        <v>781</v>
      </c>
      <c r="D49" s="37" t="s">
        <v>752</v>
      </c>
      <c r="E49" s="48" t="s">
        <v>152</v>
      </c>
      <c r="F49" s="37" t="s">
        <v>833</v>
      </c>
      <c r="G49" s="38">
        <v>37</v>
      </c>
      <c r="H49" s="37">
        <v>432</v>
      </c>
      <c r="I49" s="37" t="s">
        <v>755</v>
      </c>
      <c r="J49" s="37" t="s">
        <v>834</v>
      </c>
      <c r="K49" s="40" t="s">
        <v>757</v>
      </c>
      <c r="L49" s="37" t="s">
        <v>682</v>
      </c>
      <c r="M49" s="37" t="s">
        <v>156</v>
      </c>
      <c r="N49" s="37" t="s">
        <v>103</v>
      </c>
      <c r="O49" s="29" t="s">
        <v>2</v>
      </c>
      <c r="P49" s="37">
        <v>4</v>
      </c>
      <c r="Q49" s="37" t="s">
        <v>843</v>
      </c>
      <c r="R49" s="37" t="s">
        <v>836</v>
      </c>
      <c r="S49" t="str">
        <f>IFERROR(HYPERLINK("#'Main'!B"&amp;MATCH(TRIM(A49),Main!B:B,0),"Open"),HYPERLINK("#'Main'!B1","Open"))</f>
        <v>Open</v>
      </c>
      <c r="T49" t="str">
        <f>IFERROR(HYPERLINK("#'Technical Diagnostics'!A"&amp;MATCH(A49,'Technical Diagnostics'!A:A,0),"Open"),HYPERLINK("#'Technical Diagnostics'!A1","Open"))</f>
        <v>Open</v>
      </c>
    </row>
    <row r="50" spans="1:21" ht="30" customHeight="1" x14ac:dyDescent="0.25">
      <c r="A50" s="45" t="s">
        <v>166</v>
      </c>
      <c r="B50" s="28">
        <v>8</v>
      </c>
      <c r="C50" s="57" t="s">
        <v>760</v>
      </c>
      <c r="D50" s="28" t="s">
        <v>761</v>
      </c>
      <c r="E50" s="48" t="s">
        <v>152</v>
      </c>
      <c r="F50" s="28" t="s">
        <v>844</v>
      </c>
      <c r="G50" s="31">
        <v>37</v>
      </c>
      <c r="H50" s="28">
        <v>0</v>
      </c>
      <c r="I50" s="28" t="s">
        <v>845</v>
      </c>
      <c r="J50" s="28" t="s">
        <v>846</v>
      </c>
      <c r="K50" s="28" t="s">
        <v>129</v>
      </c>
      <c r="L50" s="28" t="s">
        <v>847</v>
      </c>
      <c r="M50" s="28" t="s">
        <v>156</v>
      </c>
      <c r="N50" s="28" t="s">
        <v>103</v>
      </c>
      <c r="O50" s="29" t="s">
        <v>2</v>
      </c>
      <c r="P50" s="28">
        <v>4</v>
      </c>
      <c r="Q50" s="28" t="s">
        <v>848</v>
      </c>
      <c r="R50" s="28" t="s">
        <v>849</v>
      </c>
      <c r="S50" s="36" t="str">
        <f>IFERROR(HYPERLINK("#'Main'!B"&amp;MATCH(TRIM(A50),Main!B:B,0),"Open"),HYPERLINK("#'Main'!B1","Open"))</f>
        <v>Open</v>
      </c>
      <c r="T50" s="36" t="str">
        <f>IFERROR(HYPERLINK("#'Technical Diagnostics'!A"&amp;MATCH(A50,'Technical Diagnostics'!A:A,0),"Open"),HYPERLINK("#'Technical Diagnostics'!A1","Open"))</f>
        <v>Open</v>
      </c>
      <c r="U50" s="36"/>
    </row>
    <row r="51" spans="1:21" ht="30" customHeight="1" x14ac:dyDescent="0.25">
      <c r="A51" s="46" t="s">
        <v>199</v>
      </c>
      <c r="B51" s="37">
        <v>84</v>
      </c>
      <c r="C51" s="58" t="s">
        <v>767</v>
      </c>
      <c r="D51" s="37" t="s">
        <v>761</v>
      </c>
      <c r="E51" s="48" t="s">
        <v>152</v>
      </c>
      <c r="F51" s="37" t="s">
        <v>844</v>
      </c>
      <c r="G51" s="38">
        <v>37</v>
      </c>
      <c r="H51" s="37">
        <v>0</v>
      </c>
      <c r="I51" s="37" t="s">
        <v>845</v>
      </c>
      <c r="J51" s="37" t="s">
        <v>846</v>
      </c>
      <c r="K51" s="37" t="s">
        <v>129</v>
      </c>
      <c r="L51" s="37" t="s">
        <v>847</v>
      </c>
      <c r="M51" s="37" t="s">
        <v>156</v>
      </c>
      <c r="N51" s="37" t="s">
        <v>103</v>
      </c>
      <c r="O51" s="29" t="s">
        <v>2</v>
      </c>
      <c r="P51" s="37">
        <v>4</v>
      </c>
      <c r="Q51" s="37" t="s">
        <v>850</v>
      </c>
      <c r="R51" s="37" t="s">
        <v>849</v>
      </c>
      <c r="S51" t="str">
        <f>IFERROR(HYPERLINK("#'Main'!B"&amp;MATCH(TRIM(A51),Main!B:B,0),"Open"),HYPERLINK("#'Main'!B1","Open"))</f>
        <v>Open</v>
      </c>
      <c r="T51" t="str">
        <f>IFERROR(HYPERLINK("#'Technical Diagnostics'!A"&amp;MATCH(A51,'Technical Diagnostics'!A:A,0),"Open"),HYPERLINK("#'Technical Diagnostics'!A1","Open"))</f>
        <v>Open</v>
      </c>
    </row>
    <row r="52" spans="1:21" ht="30" customHeight="1" x14ac:dyDescent="0.25">
      <c r="A52" s="45" t="s">
        <v>196</v>
      </c>
      <c r="B52" s="28">
        <v>28165</v>
      </c>
      <c r="C52" s="57" t="s">
        <v>769</v>
      </c>
      <c r="D52" s="28" t="s">
        <v>761</v>
      </c>
      <c r="E52" s="48" t="s">
        <v>152</v>
      </c>
      <c r="F52" s="28" t="s">
        <v>844</v>
      </c>
      <c r="G52" s="31">
        <v>37</v>
      </c>
      <c r="H52" s="28">
        <v>0</v>
      </c>
      <c r="I52" s="28" t="s">
        <v>845</v>
      </c>
      <c r="J52" s="28" t="s">
        <v>846</v>
      </c>
      <c r="K52" s="28" t="s">
        <v>129</v>
      </c>
      <c r="L52" s="28" t="s">
        <v>847</v>
      </c>
      <c r="M52" s="28" t="s">
        <v>156</v>
      </c>
      <c r="N52" s="28" t="s">
        <v>103</v>
      </c>
      <c r="O52" s="29" t="s">
        <v>2</v>
      </c>
      <c r="P52" s="28">
        <v>4</v>
      </c>
      <c r="Q52" s="28" t="s">
        <v>851</v>
      </c>
      <c r="R52" s="28" t="s">
        <v>849</v>
      </c>
      <c r="S52" s="36" t="str">
        <f>IFERROR(HYPERLINK("#'Main'!B"&amp;MATCH(TRIM(A52),Main!B:B,0),"Open"),HYPERLINK("#'Main'!B1","Open"))</f>
        <v>Open</v>
      </c>
      <c r="T52" s="36" t="str">
        <f>IFERROR(HYPERLINK("#'Technical Diagnostics'!A"&amp;MATCH(A52,'Technical Diagnostics'!A:A,0),"Open"),HYPERLINK("#'Technical Diagnostics'!A1","Open"))</f>
        <v>Open</v>
      </c>
      <c r="U52" s="36"/>
    </row>
    <row r="53" spans="1:21" ht="30" customHeight="1" x14ac:dyDescent="0.25">
      <c r="A53" s="46" t="s">
        <v>138</v>
      </c>
      <c r="B53" s="37">
        <v>16125</v>
      </c>
      <c r="C53" s="58" t="s">
        <v>771</v>
      </c>
      <c r="D53" s="37" t="s">
        <v>761</v>
      </c>
      <c r="E53" s="48" t="s">
        <v>152</v>
      </c>
      <c r="F53" s="37" t="s">
        <v>844</v>
      </c>
      <c r="G53" s="38">
        <v>37</v>
      </c>
      <c r="H53" s="37">
        <v>0</v>
      </c>
      <c r="I53" s="37" t="s">
        <v>845</v>
      </c>
      <c r="J53" s="37" t="s">
        <v>846</v>
      </c>
      <c r="K53" s="37" t="s">
        <v>129</v>
      </c>
      <c r="L53" s="37" t="s">
        <v>847</v>
      </c>
      <c r="M53" s="37" t="s">
        <v>156</v>
      </c>
      <c r="N53" s="37" t="s">
        <v>103</v>
      </c>
      <c r="O53" s="29" t="s">
        <v>2</v>
      </c>
      <c r="P53" s="37">
        <v>4</v>
      </c>
      <c r="Q53" s="37" t="s">
        <v>852</v>
      </c>
      <c r="R53" s="37" t="s">
        <v>849</v>
      </c>
      <c r="S53" t="str">
        <f>IFERROR(HYPERLINK("#'Main'!B"&amp;MATCH(TRIM(A53),Main!B:B,0),"Open"),HYPERLINK("#'Main'!B1","Open"))</f>
        <v>Open</v>
      </c>
      <c r="T53" t="str">
        <f>IFERROR(HYPERLINK("#'Technical Diagnostics'!A"&amp;MATCH(A53,'Technical Diagnostics'!A:A,0),"Open"),HYPERLINK("#'Technical Diagnostics'!A1","Open"))</f>
        <v>Open</v>
      </c>
    </row>
    <row r="54" spans="1:21" ht="30" customHeight="1" x14ac:dyDescent="0.25">
      <c r="A54" s="45" t="s">
        <v>198</v>
      </c>
      <c r="B54" s="28">
        <v>4494</v>
      </c>
      <c r="C54" s="57" t="s">
        <v>773</v>
      </c>
      <c r="D54" s="28" t="s">
        <v>761</v>
      </c>
      <c r="E54" s="48" t="s">
        <v>152</v>
      </c>
      <c r="F54" s="28" t="s">
        <v>844</v>
      </c>
      <c r="G54" s="31">
        <v>37</v>
      </c>
      <c r="H54" s="28">
        <v>0</v>
      </c>
      <c r="I54" s="28" t="s">
        <v>845</v>
      </c>
      <c r="J54" s="28" t="s">
        <v>846</v>
      </c>
      <c r="K54" s="28" t="s">
        <v>129</v>
      </c>
      <c r="L54" s="28" t="s">
        <v>847</v>
      </c>
      <c r="M54" s="28" t="s">
        <v>156</v>
      </c>
      <c r="N54" s="28" t="s">
        <v>103</v>
      </c>
      <c r="O54" s="29" t="s">
        <v>2</v>
      </c>
      <c r="P54" s="28">
        <v>4</v>
      </c>
      <c r="Q54" s="28" t="s">
        <v>853</v>
      </c>
      <c r="R54" s="28" t="s">
        <v>849</v>
      </c>
      <c r="S54" s="36" t="str">
        <f>IFERROR(HYPERLINK("#'Main'!B"&amp;MATCH(TRIM(A54),Main!B:B,0),"Open"),HYPERLINK("#'Main'!B1","Open"))</f>
        <v>Open</v>
      </c>
      <c r="T54" s="36" t="str">
        <f>IFERROR(HYPERLINK("#'Technical Diagnostics'!A"&amp;MATCH(A54,'Technical Diagnostics'!A:A,0),"Open"),HYPERLINK("#'Technical Diagnostics'!A1","Open"))</f>
        <v>Open</v>
      </c>
      <c r="U54" s="36"/>
    </row>
    <row r="55" spans="1:21" ht="30" customHeight="1" x14ac:dyDescent="0.25">
      <c r="A55" s="46" t="s">
        <v>146</v>
      </c>
      <c r="B55" s="37">
        <v>5619</v>
      </c>
      <c r="C55" s="58" t="s">
        <v>775</v>
      </c>
      <c r="D55" s="37" t="s">
        <v>761</v>
      </c>
      <c r="E55" s="48" t="s">
        <v>152</v>
      </c>
      <c r="F55" s="37" t="s">
        <v>844</v>
      </c>
      <c r="G55" s="38">
        <v>37</v>
      </c>
      <c r="H55" s="37">
        <v>0</v>
      </c>
      <c r="I55" s="37" t="s">
        <v>845</v>
      </c>
      <c r="J55" s="37" t="s">
        <v>846</v>
      </c>
      <c r="K55" s="37" t="s">
        <v>129</v>
      </c>
      <c r="L55" s="37" t="s">
        <v>847</v>
      </c>
      <c r="M55" s="37" t="s">
        <v>156</v>
      </c>
      <c r="N55" s="37" t="s">
        <v>103</v>
      </c>
      <c r="O55" s="29" t="s">
        <v>2</v>
      </c>
      <c r="P55" s="37">
        <v>4</v>
      </c>
      <c r="Q55" s="37" t="s">
        <v>854</v>
      </c>
      <c r="R55" s="37" t="s">
        <v>849</v>
      </c>
      <c r="S55" t="str">
        <f>IFERROR(HYPERLINK("#'Main'!B"&amp;MATCH(TRIM(A55),Main!B:B,0),"Open"),HYPERLINK("#'Main'!B1","Open"))</f>
        <v>Open</v>
      </c>
      <c r="T55" t="str">
        <f>IFERROR(HYPERLINK("#'Technical Diagnostics'!A"&amp;MATCH(A55,'Technical Diagnostics'!A:A,0),"Open"),HYPERLINK("#'Technical Diagnostics'!A1","Open"))</f>
        <v>Open</v>
      </c>
    </row>
    <row r="56" spans="1:21" ht="30" customHeight="1" x14ac:dyDescent="0.25">
      <c r="A56" s="45" t="s">
        <v>197</v>
      </c>
      <c r="B56" s="28">
        <v>4941</v>
      </c>
      <c r="C56" s="57" t="s">
        <v>777</v>
      </c>
      <c r="D56" s="28" t="s">
        <v>761</v>
      </c>
      <c r="E56" s="48" t="s">
        <v>152</v>
      </c>
      <c r="F56" s="28" t="s">
        <v>844</v>
      </c>
      <c r="G56" s="31">
        <v>37</v>
      </c>
      <c r="H56" s="28">
        <v>0</v>
      </c>
      <c r="I56" s="28" t="s">
        <v>845</v>
      </c>
      <c r="J56" s="28" t="s">
        <v>846</v>
      </c>
      <c r="K56" s="28" t="s">
        <v>129</v>
      </c>
      <c r="L56" s="28" t="s">
        <v>847</v>
      </c>
      <c r="M56" s="28" t="s">
        <v>156</v>
      </c>
      <c r="N56" s="28" t="s">
        <v>103</v>
      </c>
      <c r="O56" s="29" t="s">
        <v>2</v>
      </c>
      <c r="P56" s="28">
        <v>4</v>
      </c>
      <c r="Q56" s="28" t="s">
        <v>855</v>
      </c>
      <c r="R56" s="28" t="s">
        <v>849</v>
      </c>
      <c r="S56" s="36" t="str">
        <f>IFERROR(HYPERLINK("#'Main'!B"&amp;MATCH(TRIM(A56),Main!B:B,0),"Open"),HYPERLINK("#'Main'!B1","Open"))</f>
        <v>Open</v>
      </c>
      <c r="T56" s="36" t="str">
        <f>IFERROR(HYPERLINK("#'Technical Diagnostics'!A"&amp;MATCH(A56,'Technical Diagnostics'!A:A,0),"Open"),HYPERLINK("#'Technical Diagnostics'!A1","Open"))</f>
        <v>Open</v>
      </c>
      <c r="U56" s="36"/>
    </row>
    <row r="57" spans="1:21" ht="30" customHeight="1" x14ac:dyDescent="0.25">
      <c r="A57" s="46" t="s">
        <v>200</v>
      </c>
      <c r="B57" s="37">
        <v>12371</v>
      </c>
      <c r="C57" s="58" t="s">
        <v>779</v>
      </c>
      <c r="D57" s="37" t="s">
        <v>761</v>
      </c>
      <c r="E57" s="48" t="s">
        <v>152</v>
      </c>
      <c r="F57" s="37" t="s">
        <v>844</v>
      </c>
      <c r="G57" s="38">
        <v>37</v>
      </c>
      <c r="H57" s="37">
        <v>0</v>
      </c>
      <c r="I57" s="37" t="s">
        <v>845</v>
      </c>
      <c r="J57" s="37" t="s">
        <v>846</v>
      </c>
      <c r="K57" s="37" t="s">
        <v>129</v>
      </c>
      <c r="L57" s="37" t="s">
        <v>847</v>
      </c>
      <c r="M57" s="37" t="s">
        <v>156</v>
      </c>
      <c r="N57" s="37" t="s">
        <v>103</v>
      </c>
      <c r="O57" s="29" t="s">
        <v>2</v>
      </c>
      <c r="P57" s="37">
        <v>4</v>
      </c>
      <c r="Q57" s="37" t="s">
        <v>856</v>
      </c>
      <c r="R57" s="37" t="s">
        <v>849</v>
      </c>
      <c r="S57" t="str">
        <f>IFERROR(HYPERLINK("#'Main'!B"&amp;MATCH(TRIM(A57),Main!B:B,0),"Open"),HYPERLINK("#'Main'!B1","Open"))</f>
        <v>Open</v>
      </c>
      <c r="T57" t="str">
        <f>IFERROR(HYPERLINK("#'Technical Diagnostics'!A"&amp;MATCH(A57,'Technical Diagnostics'!A:A,0),"Open"),HYPERLINK("#'Technical Diagnostics'!A1","Open"))</f>
        <v>Open</v>
      </c>
    </row>
    <row r="58" spans="1:21" ht="30" customHeight="1" x14ac:dyDescent="0.25">
      <c r="A58" s="45" t="s">
        <v>201</v>
      </c>
      <c r="B58" s="28">
        <v>12954</v>
      </c>
      <c r="C58" s="57" t="s">
        <v>781</v>
      </c>
      <c r="D58" s="28" t="s">
        <v>761</v>
      </c>
      <c r="E58" s="48" t="s">
        <v>152</v>
      </c>
      <c r="F58" s="28" t="s">
        <v>844</v>
      </c>
      <c r="G58" s="31">
        <v>37</v>
      </c>
      <c r="H58" s="28">
        <v>0</v>
      </c>
      <c r="I58" s="28" t="s">
        <v>845</v>
      </c>
      <c r="J58" s="28" t="s">
        <v>846</v>
      </c>
      <c r="K58" s="28" t="s">
        <v>129</v>
      </c>
      <c r="L58" s="28" t="s">
        <v>847</v>
      </c>
      <c r="M58" s="28" t="s">
        <v>156</v>
      </c>
      <c r="N58" s="28" t="s">
        <v>103</v>
      </c>
      <c r="O58" s="29" t="s">
        <v>2</v>
      </c>
      <c r="P58" s="28">
        <v>4</v>
      </c>
      <c r="Q58" s="28" t="s">
        <v>857</v>
      </c>
      <c r="R58" s="28" t="s">
        <v>849</v>
      </c>
      <c r="S58" s="36" t="str">
        <f>IFERROR(HYPERLINK("#'Main'!B"&amp;MATCH(TRIM(A58),Main!B:B,0),"Open"),HYPERLINK("#'Main'!B1","Open"))</f>
        <v>Open</v>
      </c>
      <c r="T58" s="36" t="str">
        <f>IFERROR(HYPERLINK("#'Technical Diagnostics'!A"&amp;MATCH(A58,'Technical Diagnostics'!A:A,0),"Open"),HYPERLINK("#'Technical Diagnostics'!A1","Open"))</f>
        <v>Open</v>
      </c>
      <c r="U58" s="36"/>
    </row>
    <row r="59" spans="1:21" ht="30" customHeight="1" x14ac:dyDescent="0.25">
      <c r="A59" s="46" t="s">
        <v>148</v>
      </c>
      <c r="B59" s="37">
        <v>13164</v>
      </c>
      <c r="C59" s="58" t="s">
        <v>751</v>
      </c>
      <c r="D59" s="37" t="s">
        <v>761</v>
      </c>
      <c r="E59" s="48" t="s">
        <v>152</v>
      </c>
      <c r="F59" s="37" t="s">
        <v>844</v>
      </c>
      <c r="G59" s="38">
        <v>37</v>
      </c>
      <c r="H59" s="37">
        <v>0</v>
      </c>
      <c r="I59" s="37" t="s">
        <v>845</v>
      </c>
      <c r="J59" s="37" t="s">
        <v>846</v>
      </c>
      <c r="K59" s="37" t="s">
        <v>129</v>
      </c>
      <c r="L59" s="37" t="s">
        <v>847</v>
      </c>
      <c r="M59" s="37" t="s">
        <v>156</v>
      </c>
      <c r="N59" s="37" t="s">
        <v>103</v>
      </c>
      <c r="O59" s="29" t="s">
        <v>2</v>
      </c>
      <c r="P59" s="37">
        <v>4</v>
      </c>
      <c r="Q59" s="37" t="s">
        <v>858</v>
      </c>
      <c r="R59" s="37" t="s">
        <v>849</v>
      </c>
      <c r="S59" t="str">
        <f>IFERROR(HYPERLINK("#'Main'!B"&amp;MATCH(TRIM(A59),Main!B:B,0),"Open"),HYPERLINK("#'Main'!B1","Open"))</f>
        <v>Open</v>
      </c>
      <c r="T59" t="str">
        <f>IFERROR(HYPERLINK("#'Technical Diagnostics'!A"&amp;MATCH(A59,'Technical Diagnostics'!A:A,0),"Open"),HYPERLINK("#'Technical Diagnostics'!A1","Open"))</f>
        <v>Open</v>
      </c>
    </row>
    <row r="60" spans="1:21" ht="30" customHeight="1" x14ac:dyDescent="0.25">
      <c r="A60" s="45" t="s">
        <v>166</v>
      </c>
      <c r="B60" s="28">
        <v>8</v>
      </c>
      <c r="C60" s="57" t="s">
        <v>760</v>
      </c>
      <c r="D60" s="28" t="s">
        <v>784</v>
      </c>
      <c r="E60" s="48" t="s">
        <v>152</v>
      </c>
      <c r="F60" s="28" t="s">
        <v>859</v>
      </c>
      <c r="G60" s="31">
        <v>37</v>
      </c>
      <c r="H60" s="28">
        <v>5</v>
      </c>
      <c r="I60" s="28" t="s">
        <v>860</v>
      </c>
      <c r="J60" s="28" t="s">
        <v>861</v>
      </c>
      <c r="K60" s="28" t="s">
        <v>761</v>
      </c>
      <c r="L60" s="28" t="s">
        <v>862</v>
      </c>
      <c r="M60" s="28" t="s">
        <v>156</v>
      </c>
      <c r="N60" s="28" t="s">
        <v>103</v>
      </c>
      <c r="O60" s="29" t="s">
        <v>2</v>
      </c>
      <c r="P60" s="28">
        <v>4</v>
      </c>
      <c r="Q60" s="28" t="s">
        <v>863</v>
      </c>
      <c r="R60" s="28" t="s">
        <v>864</v>
      </c>
      <c r="S60" s="36" t="str">
        <f>IFERROR(HYPERLINK("#'Main'!B"&amp;MATCH(TRIM(A60),Main!B:B,0),"Open"),HYPERLINK("#'Main'!B1","Open"))</f>
        <v>Open</v>
      </c>
      <c r="T60" s="36" t="str">
        <f>IFERROR(HYPERLINK("#'Technical Diagnostics'!A"&amp;MATCH(A60,'Technical Diagnostics'!A:A,0),"Open"),HYPERLINK("#'Technical Diagnostics'!A1","Open"))</f>
        <v>Open</v>
      </c>
      <c r="U60" s="36"/>
    </row>
    <row r="61" spans="1:21" ht="30" customHeight="1" x14ac:dyDescent="0.25">
      <c r="A61" s="46" t="s">
        <v>166</v>
      </c>
      <c r="B61" s="37">
        <v>8</v>
      </c>
      <c r="C61" s="58" t="s">
        <v>760</v>
      </c>
      <c r="D61" s="37" t="s">
        <v>784</v>
      </c>
      <c r="E61" s="48" t="s">
        <v>152</v>
      </c>
      <c r="F61" s="37" t="s">
        <v>865</v>
      </c>
      <c r="G61" s="38">
        <v>37</v>
      </c>
      <c r="H61" s="37">
        <v>0</v>
      </c>
      <c r="I61" s="37" t="s">
        <v>866</v>
      </c>
      <c r="J61" s="37" t="s">
        <v>867</v>
      </c>
      <c r="K61" s="37" t="s">
        <v>129</v>
      </c>
      <c r="L61" s="37" t="s">
        <v>444</v>
      </c>
      <c r="M61" s="37" t="s">
        <v>156</v>
      </c>
      <c r="N61" s="37" t="s">
        <v>103</v>
      </c>
      <c r="O61" s="29" t="s">
        <v>2</v>
      </c>
      <c r="P61" s="37">
        <v>4</v>
      </c>
      <c r="Q61" s="37" t="s">
        <v>868</v>
      </c>
      <c r="R61" s="37" t="s">
        <v>869</v>
      </c>
      <c r="S61" t="str">
        <f>IFERROR(HYPERLINK("#'Main'!B"&amp;MATCH(TRIM(A61),Main!B:B,0),"Open"),HYPERLINK("#'Main'!B1","Open"))</f>
        <v>Open</v>
      </c>
      <c r="T61" t="str">
        <f>IFERROR(HYPERLINK("#'Technical Diagnostics'!A"&amp;MATCH(A61,'Technical Diagnostics'!A:A,0),"Open"),HYPERLINK("#'Technical Diagnostics'!A1","Open"))</f>
        <v>Open</v>
      </c>
    </row>
    <row r="62" spans="1:21" ht="30" customHeight="1" x14ac:dyDescent="0.25">
      <c r="A62" s="45" t="s">
        <v>199</v>
      </c>
      <c r="B62" s="28">
        <v>84</v>
      </c>
      <c r="C62" s="57" t="s">
        <v>767</v>
      </c>
      <c r="D62" s="28" t="s">
        <v>784</v>
      </c>
      <c r="E62" s="48" t="s">
        <v>152</v>
      </c>
      <c r="F62" s="28" t="s">
        <v>865</v>
      </c>
      <c r="G62" s="31">
        <v>37</v>
      </c>
      <c r="H62" s="28">
        <v>0</v>
      </c>
      <c r="I62" s="28" t="s">
        <v>866</v>
      </c>
      <c r="J62" s="28" t="s">
        <v>867</v>
      </c>
      <c r="K62" s="28" t="s">
        <v>129</v>
      </c>
      <c r="L62" s="28" t="s">
        <v>444</v>
      </c>
      <c r="M62" s="28" t="s">
        <v>156</v>
      </c>
      <c r="N62" s="28" t="s">
        <v>103</v>
      </c>
      <c r="O62" s="29" t="s">
        <v>2</v>
      </c>
      <c r="P62" s="28">
        <v>4</v>
      </c>
      <c r="Q62" s="28" t="s">
        <v>870</v>
      </c>
      <c r="R62" s="28" t="s">
        <v>869</v>
      </c>
      <c r="S62" s="36" t="str">
        <f>IFERROR(HYPERLINK("#'Main'!B"&amp;MATCH(TRIM(A62),Main!B:B,0),"Open"),HYPERLINK("#'Main'!B1","Open"))</f>
        <v>Open</v>
      </c>
      <c r="T62" s="36" t="str">
        <f>IFERROR(HYPERLINK("#'Technical Diagnostics'!A"&amp;MATCH(A62,'Technical Diagnostics'!A:A,0),"Open"),HYPERLINK("#'Technical Diagnostics'!A1","Open"))</f>
        <v>Open</v>
      </c>
      <c r="U62" s="36"/>
    </row>
    <row r="63" spans="1:21" ht="30" customHeight="1" x14ac:dyDescent="0.25">
      <c r="A63" s="46" t="s">
        <v>196</v>
      </c>
      <c r="B63" s="37">
        <v>28165</v>
      </c>
      <c r="C63" s="58" t="s">
        <v>769</v>
      </c>
      <c r="D63" s="37" t="s">
        <v>784</v>
      </c>
      <c r="E63" s="48" t="s">
        <v>152</v>
      </c>
      <c r="F63" s="37" t="s">
        <v>859</v>
      </c>
      <c r="G63" s="38">
        <v>37</v>
      </c>
      <c r="H63" s="37">
        <v>2</v>
      </c>
      <c r="I63" s="37" t="s">
        <v>860</v>
      </c>
      <c r="J63" s="37" t="s">
        <v>861</v>
      </c>
      <c r="K63" s="37" t="s">
        <v>761</v>
      </c>
      <c r="L63" s="37" t="s">
        <v>862</v>
      </c>
      <c r="M63" s="37" t="s">
        <v>156</v>
      </c>
      <c r="N63" s="37" t="s">
        <v>103</v>
      </c>
      <c r="O63" s="29" t="s">
        <v>2</v>
      </c>
      <c r="P63" s="37">
        <v>4</v>
      </c>
      <c r="Q63" s="37" t="s">
        <v>871</v>
      </c>
      <c r="R63" s="37" t="s">
        <v>864</v>
      </c>
      <c r="S63" t="str">
        <f>IFERROR(HYPERLINK("#'Main'!B"&amp;MATCH(TRIM(A63),Main!B:B,0),"Open"),HYPERLINK("#'Main'!B1","Open"))</f>
        <v>Open</v>
      </c>
      <c r="T63" t="str">
        <f>IFERROR(HYPERLINK("#'Technical Diagnostics'!A"&amp;MATCH(A63,'Technical Diagnostics'!A:A,0),"Open"),HYPERLINK("#'Technical Diagnostics'!A1","Open"))</f>
        <v>Open</v>
      </c>
    </row>
    <row r="64" spans="1:21" ht="30" customHeight="1" x14ac:dyDescent="0.25">
      <c r="A64" s="45" t="s">
        <v>196</v>
      </c>
      <c r="B64" s="28">
        <v>28165</v>
      </c>
      <c r="C64" s="57" t="s">
        <v>769</v>
      </c>
      <c r="D64" s="28" t="s">
        <v>784</v>
      </c>
      <c r="E64" s="48" t="s">
        <v>152</v>
      </c>
      <c r="F64" s="28" t="s">
        <v>865</v>
      </c>
      <c r="G64" s="31">
        <v>37</v>
      </c>
      <c r="H64" s="28">
        <v>0</v>
      </c>
      <c r="I64" s="28" t="s">
        <v>866</v>
      </c>
      <c r="J64" s="28" t="s">
        <v>867</v>
      </c>
      <c r="K64" s="28" t="s">
        <v>129</v>
      </c>
      <c r="L64" s="28" t="s">
        <v>444</v>
      </c>
      <c r="M64" s="28" t="s">
        <v>156</v>
      </c>
      <c r="N64" s="28" t="s">
        <v>103</v>
      </c>
      <c r="O64" s="29" t="s">
        <v>2</v>
      </c>
      <c r="P64" s="28">
        <v>4</v>
      </c>
      <c r="Q64" s="28" t="s">
        <v>872</v>
      </c>
      <c r="R64" s="28" t="s">
        <v>869</v>
      </c>
      <c r="S64" s="36" t="str">
        <f>IFERROR(HYPERLINK("#'Main'!B"&amp;MATCH(TRIM(A64),Main!B:B,0),"Open"),HYPERLINK("#'Main'!B1","Open"))</f>
        <v>Open</v>
      </c>
      <c r="T64" s="36" t="str">
        <f>IFERROR(HYPERLINK("#'Technical Diagnostics'!A"&amp;MATCH(A64,'Technical Diagnostics'!A:A,0),"Open"),HYPERLINK("#'Technical Diagnostics'!A1","Open"))</f>
        <v>Open</v>
      </c>
      <c r="U64" s="36"/>
    </row>
    <row r="65" spans="1:21" ht="30" customHeight="1" x14ac:dyDescent="0.25">
      <c r="A65" s="46" t="s">
        <v>138</v>
      </c>
      <c r="B65" s="37">
        <v>16125</v>
      </c>
      <c r="C65" s="58" t="s">
        <v>771</v>
      </c>
      <c r="D65" s="37" t="s">
        <v>784</v>
      </c>
      <c r="E65" s="48" t="s">
        <v>152</v>
      </c>
      <c r="F65" s="37" t="s">
        <v>859</v>
      </c>
      <c r="G65" s="38">
        <v>37</v>
      </c>
      <c r="H65" s="37">
        <v>2</v>
      </c>
      <c r="I65" s="37" t="s">
        <v>860</v>
      </c>
      <c r="J65" s="37" t="s">
        <v>861</v>
      </c>
      <c r="K65" s="37" t="s">
        <v>761</v>
      </c>
      <c r="L65" s="37" t="s">
        <v>862</v>
      </c>
      <c r="M65" s="37" t="s">
        <v>156</v>
      </c>
      <c r="N65" s="37" t="s">
        <v>103</v>
      </c>
      <c r="O65" s="29" t="s">
        <v>2</v>
      </c>
      <c r="P65" s="37">
        <v>4</v>
      </c>
      <c r="Q65" s="37" t="s">
        <v>873</v>
      </c>
      <c r="R65" s="37" t="s">
        <v>864</v>
      </c>
      <c r="S65" t="str">
        <f>IFERROR(HYPERLINK("#'Main'!B"&amp;MATCH(TRIM(A65),Main!B:B,0),"Open"),HYPERLINK("#'Main'!B1","Open"))</f>
        <v>Open</v>
      </c>
      <c r="T65" t="str">
        <f>IFERROR(HYPERLINK("#'Technical Diagnostics'!A"&amp;MATCH(A65,'Technical Diagnostics'!A:A,0),"Open"),HYPERLINK("#'Technical Diagnostics'!A1","Open"))</f>
        <v>Open</v>
      </c>
    </row>
    <row r="66" spans="1:21" ht="30" customHeight="1" x14ac:dyDescent="0.25">
      <c r="A66" s="45" t="s">
        <v>138</v>
      </c>
      <c r="B66" s="28">
        <v>16125</v>
      </c>
      <c r="C66" s="57" t="s">
        <v>771</v>
      </c>
      <c r="D66" s="28" t="s">
        <v>784</v>
      </c>
      <c r="E66" s="48" t="s">
        <v>152</v>
      </c>
      <c r="F66" s="28" t="s">
        <v>865</v>
      </c>
      <c r="G66" s="31">
        <v>37</v>
      </c>
      <c r="H66" s="28">
        <v>0</v>
      </c>
      <c r="I66" s="28" t="s">
        <v>866</v>
      </c>
      <c r="J66" s="28" t="s">
        <v>867</v>
      </c>
      <c r="K66" s="28" t="s">
        <v>129</v>
      </c>
      <c r="L66" s="28" t="s">
        <v>444</v>
      </c>
      <c r="M66" s="28" t="s">
        <v>156</v>
      </c>
      <c r="N66" s="28" t="s">
        <v>103</v>
      </c>
      <c r="O66" s="29" t="s">
        <v>2</v>
      </c>
      <c r="P66" s="28">
        <v>4</v>
      </c>
      <c r="Q66" s="28" t="s">
        <v>874</v>
      </c>
      <c r="R66" s="28" t="s">
        <v>869</v>
      </c>
      <c r="S66" s="36" t="str">
        <f>IFERROR(HYPERLINK("#'Main'!B"&amp;MATCH(TRIM(A66),Main!B:B,0),"Open"),HYPERLINK("#'Main'!B1","Open"))</f>
        <v>Open</v>
      </c>
      <c r="T66" s="36" t="str">
        <f>IFERROR(HYPERLINK("#'Technical Diagnostics'!A"&amp;MATCH(A66,'Technical Diagnostics'!A:A,0),"Open"),HYPERLINK("#'Technical Diagnostics'!A1","Open"))</f>
        <v>Open</v>
      </c>
      <c r="U66" s="36"/>
    </row>
    <row r="67" spans="1:21" ht="30" customHeight="1" x14ac:dyDescent="0.25">
      <c r="A67" s="46" t="s">
        <v>198</v>
      </c>
      <c r="B67" s="37">
        <v>4494</v>
      </c>
      <c r="C67" s="58" t="s">
        <v>773</v>
      </c>
      <c r="D67" s="37" t="s">
        <v>784</v>
      </c>
      <c r="E67" s="48" t="s">
        <v>152</v>
      </c>
      <c r="F67" s="37" t="s">
        <v>865</v>
      </c>
      <c r="G67" s="38">
        <v>37</v>
      </c>
      <c r="H67" s="37">
        <v>0</v>
      </c>
      <c r="I67" s="37" t="s">
        <v>866</v>
      </c>
      <c r="J67" s="37" t="s">
        <v>867</v>
      </c>
      <c r="K67" s="37" t="s">
        <v>129</v>
      </c>
      <c r="L67" s="37" t="s">
        <v>444</v>
      </c>
      <c r="M67" s="37" t="s">
        <v>156</v>
      </c>
      <c r="N67" s="37" t="s">
        <v>103</v>
      </c>
      <c r="O67" s="29" t="s">
        <v>2</v>
      </c>
      <c r="P67" s="37">
        <v>4</v>
      </c>
      <c r="Q67" s="37" t="s">
        <v>875</v>
      </c>
      <c r="R67" s="37" t="s">
        <v>869</v>
      </c>
      <c r="S67" t="str">
        <f>IFERROR(HYPERLINK("#'Main'!B"&amp;MATCH(TRIM(A67),Main!B:B,0),"Open"),HYPERLINK("#'Main'!B1","Open"))</f>
        <v>Open</v>
      </c>
      <c r="T67" t="str">
        <f>IFERROR(HYPERLINK("#'Technical Diagnostics'!A"&amp;MATCH(A67,'Technical Diagnostics'!A:A,0),"Open"),HYPERLINK("#'Technical Diagnostics'!A1","Open"))</f>
        <v>Open</v>
      </c>
    </row>
    <row r="68" spans="1:21" ht="30" customHeight="1" x14ac:dyDescent="0.25">
      <c r="A68" s="45" t="s">
        <v>146</v>
      </c>
      <c r="B68" s="28">
        <v>5619</v>
      </c>
      <c r="C68" s="57" t="s">
        <v>775</v>
      </c>
      <c r="D68" s="28" t="s">
        <v>784</v>
      </c>
      <c r="E68" s="48" t="s">
        <v>152</v>
      </c>
      <c r="F68" s="28" t="s">
        <v>865</v>
      </c>
      <c r="G68" s="31">
        <v>37</v>
      </c>
      <c r="H68" s="28">
        <v>0</v>
      </c>
      <c r="I68" s="28" t="s">
        <v>866</v>
      </c>
      <c r="J68" s="28" t="s">
        <v>867</v>
      </c>
      <c r="K68" s="28" t="s">
        <v>129</v>
      </c>
      <c r="L68" s="28" t="s">
        <v>444</v>
      </c>
      <c r="M68" s="28" t="s">
        <v>156</v>
      </c>
      <c r="N68" s="28" t="s">
        <v>103</v>
      </c>
      <c r="O68" s="29" t="s">
        <v>2</v>
      </c>
      <c r="P68" s="28">
        <v>4</v>
      </c>
      <c r="Q68" s="28" t="s">
        <v>876</v>
      </c>
      <c r="R68" s="28" t="s">
        <v>869</v>
      </c>
      <c r="S68" s="36" t="str">
        <f>IFERROR(HYPERLINK("#'Main'!B"&amp;MATCH(TRIM(A68),Main!B:B,0),"Open"),HYPERLINK("#'Main'!B1","Open"))</f>
        <v>Open</v>
      </c>
      <c r="T68" s="36" t="str">
        <f>IFERROR(HYPERLINK("#'Technical Diagnostics'!A"&amp;MATCH(A68,'Technical Diagnostics'!A:A,0),"Open"),HYPERLINK("#'Technical Diagnostics'!A1","Open"))</f>
        <v>Open</v>
      </c>
      <c r="U68" s="36"/>
    </row>
    <row r="69" spans="1:21" ht="30" customHeight="1" x14ac:dyDescent="0.25">
      <c r="A69" s="46" t="s">
        <v>197</v>
      </c>
      <c r="B69" s="37">
        <v>4941</v>
      </c>
      <c r="C69" s="58" t="s">
        <v>777</v>
      </c>
      <c r="D69" s="37" t="s">
        <v>784</v>
      </c>
      <c r="E69" s="48" t="s">
        <v>152</v>
      </c>
      <c r="F69" s="37" t="s">
        <v>865</v>
      </c>
      <c r="G69" s="38">
        <v>37</v>
      </c>
      <c r="H69" s="37">
        <v>0</v>
      </c>
      <c r="I69" s="37" t="s">
        <v>866</v>
      </c>
      <c r="J69" s="37" t="s">
        <v>867</v>
      </c>
      <c r="K69" s="37" t="s">
        <v>129</v>
      </c>
      <c r="L69" s="37" t="s">
        <v>444</v>
      </c>
      <c r="M69" s="37" t="s">
        <v>156</v>
      </c>
      <c r="N69" s="37" t="s">
        <v>103</v>
      </c>
      <c r="O69" s="29" t="s">
        <v>2</v>
      </c>
      <c r="P69" s="37">
        <v>4</v>
      </c>
      <c r="Q69" s="37" t="s">
        <v>877</v>
      </c>
      <c r="R69" s="37" t="s">
        <v>869</v>
      </c>
      <c r="S69" t="str">
        <f>IFERROR(HYPERLINK("#'Main'!B"&amp;MATCH(TRIM(A69),Main!B:B,0),"Open"),HYPERLINK("#'Main'!B1","Open"))</f>
        <v>Open</v>
      </c>
      <c r="T69" t="str">
        <f>IFERROR(HYPERLINK("#'Technical Diagnostics'!A"&amp;MATCH(A69,'Technical Diagnostics'!A:A,0),"Open"),HYPERLINK("#'Technical Diagnostics'!A1","Open"))</f>
        <v>Open</v>
      </c>
    </row>
    <row r="70" spans="1:21" ht="30" customHeight="1" x14ac:dyDescent="0.25">
      <c r="A70" s="45" t="s">
        <v>200</v>
      </c>
      <c r="B70" s="28">
        <v>12371</v>
      </c>
      <c r="C70" s="57" t="s">
        <v>779</v>
      </c>
      <c r="D70" s="28" t="s">
        <v>784</v>
      </c>
      <c r="E70" s="48" t="s">
        <v>152</v>
      </c>
      <c r="F70" s="28" t="s">
        <v>865</v>
      </c>
      <c r="G70" s="31">
        <v>37</v>
      </c>
      <c r="H70" s="28">
        <v>0</v>
      </c>
      <c r="I70" s="28" t="s">
        <v>866</v>
      </c>
      <c r="J70" s="28" t="s">
        <v>867</v>
      </c>
      <c r="K70" s="28" t="s">
        <v>129</v>
      </c>
      <c r="L70" s="28" t="s">
        <v>444</v>
      </c>
      <c r="M70" s="28" t="s">
        <v>156</v>
      </c>
      <c r="N70" s="28" t="s">
        <v>103</v>
      </c>
      <c r="O70" s="29" t="s">
        <v>2</v>
      </c>
      <c r="P70" s="28">
        <v>4</v>
      </c>
      <c r="Q70" s="28" t="s">
        <v>878</v>
      </c>
      <c r="R70" s="28" t="s">
        <v>869</v>
      </c>
      <c r="S70" s="36" t="str">
        <f>IFERROR(HYPERLINK("#'Main'!B"&amp;MATCH(TRIM(A70),Main!B:B,0),"Open"),HYPERLINK("#'Main'!B1","Open"))</f>
        <v>Open</v>
      </c>
      <c r="T70" s="36" t="str">
        <f>IFERROR(HYPERLINK("#'Technical Diagnostics'!A"&amp;MATCH(A70,'Technical Diagnostics'!A:A,0),"Open"),HYPERLINK("#'Technical Diagnostics'!A1","Open"))</f>
        <v>Open</v>
      </c>
      <c r="U70" s="36"/>
    </row>
    <row r="71" spans="1:21" ht="30" customHeight="1" x14ac:dyDescent="0.25">
      <c r="A71" s="46" t="s">
        <v>201</v>
      </c>
      <c r="B71" s="37">
        <v>12954</v>
      </c>
      <c r="C71" s="58" t="s">
        <v>781</v>
      </c>
      <c r="D71" s="37" t="s">
        <v>784</v>
      </c>
      <c r="E71" s="48" t="s">
        <v>152</v>
      </c>
      <c r="F71" s="37" t="s">
        <v>865</v>
      </c>
      <c r="G71" s="38">
        <v>37</v>
      </c>
      <c r="H71" s="37">
        <v>0</v>
      </c>
      <c r="I71" s="37" t="s">
        <v>866</v>
      </c>
      <c r="J71" s="37" t="s">
        <v>867</v>
      </c>
      <c r="K71" s="37" t="s">
        <v>129</v>
      </c>
      <c r="L71" s="37" t="s">
        <v>444</v>
      </c>
      <c r="M71" s="37" t="s">
        <v>156</v>
      </c>
      <c r="N71" s="37" t="s">
        <v>103</v>
      </c>
      <c r="O71" s="29" t="s">
        <v>2</v>
      </c>
      <c r="P71" s="37">
        <v>4</v>
      </c>
      <c r="Q71" s="37" t="s">
        <v>879</v>
      </c>
      <c r="R71" s="37" t="s">
        <v>869</v>
      </c>
      <c r="S71" t="str">
        <f>IFERROR(HYPERLINK("#'Main'!B"&amp;MATCH(TRIM(A71),Main!B:B,0),"Open"),HYPERLINK("#'Main'!B1","Open"))</f>
        <v>Open</v>
      </c>
      <c r="T71" t="str">
        <f>IFERROR(HYPERLINK("#'Technical Diagnostics'!A"&amp;MATCH(A71,'Technical Diagnostics'!A:A,0),"Open"),HYPERLINK("#'Technical Diagnostics'!A1","Open"))</f>
        <v>Open</v>
      </c>
    </row>
    <row r="72" spans="1:21" ht="30" customHeight="1" x14ac:dyDescent="0.25">
      <c r="A72" s="45" t="s">
        <v>148</v>
      </c>
      <c r="B72" s="28">
        <v>13164</v>
      </c>
      <c r="C72" s="57" t="s">
        <v>751</v>
      </c>
      <c r="D72" s="28" t="s">
        <v>784</v>
      </c>
      <c r="E72" s="48" t="s">
        <v>152</v>
      </c>
      <c r="F72" s="28" t="s">
        <v>865</v>
      </c>
      <c r="G72" s="31">
        <v>37</v>
      </c>
      <c r="H72" s="28">
        <v>0</v>
      </c>
      <c r="I72" s="28" t="s">
        <v>866</v>
      </c>
      <c r="J72" s="28" t="s">
        <v>867</v>
      </c>
      <c r="K72" s="28" t="s">
        <v>129</v>
      </c>
      <c r="L72" s="28" t="s">
        <v>444</v>
      </c>
      <c r="M72" s="28" t="s">
        <v>156</v>
      </c>
      <c r="N72" s="28" t="s">
        <v>103</v>
      </c>
      <c r="O72" s="29" t="s">
        <v>2</v>
      </c>
      <c r="P72" s="28">
        <v>4</v>
      </c>
      <c r="Q72" s="28" t="s">
        <v>880</v>
      </c>
      <c r="R72" s="28" t="s">
        <v>869</v>
      </c>
      <c r="S72" s="36" t="str">
        <f>IFERROR(HYPERLINK("#'Main'!B"&amp;MATCH(TRIM(A72),Main!B:B,0),"Open"),HYPERLINK("#'Main'!B1","Open"))</f>
        <v>Open</v>
      </c>
      <c r="T72" s="36" t="str">
        <f>IFERROR(HYPERLINK("#'Technical Diagnostics'!A"&amp;MATCH(A72,'Technical Diagnostics'!A:A,0),"Open"),HYPERLINK("#'Technical Diagnostics'!A1","Open"))</f>
        <v>Open</v>
      </c>
      <c r="U72" s="36"/>
    </row>
    <row r="73" spans="1:21" ht="45" customHeight="1" x14ac:dyDescent="0.25">
      <c r="A73" s="46" t="s">
        <v>166</v>
      </c>
      <c r="B73" s="37">
        <v>8</v>
      </c>
      <c r="C73" s="58" t="s">
        <v>760</v>
      </c>
      <c r="D73" s="37" t="s">
        <v>817</v>
      </c>
      <c r="E73" s="48" t="s">
        <v>152</v>
      </c>
      <c r="F73" s="37" t="s">
        <v>881</v>
      </c>
      <c r="G73" s="38">
        <v>37</v>
      </c>
      <c r="H73" s="37" t="b">
        <v>0</v>
      </c>
      <c r="I73" s="37" t="s">
        <v>882</v>
      </c>
      <c r="J73" s="37" t="s">
        <v>883</v>
      </c>
      <c r="K73" s="37" t="s">
        <v>129</v>
      </c>
      <c r="L73" s="37" t="s">
        <v>884</v>
      </c>
      <c r="M73" s="37" t="s">
        <v>156</v>
      </c>
      <c r="N73" s="37" t="s">
        <v>103</v>
      </c>
      <c r="O73" s="29" t="s">
        <v>2</v>
      </c>
      <c r="P73" s="37">
        <v>4</v>
      </c>
      <c r="Q73" s="37" t="s">
        <v>885</v>
      </c>
      <c r="R73" s="37" t="s">
        <v>886</v>
      </c>
      <c r="S73" t="str">
        <f>IFERROR(HYPERLINK("#'Main'!B"&amp;MATCH(TRIM(A73),Main!B:B,0),"Open"),HYPERLINK("#'Main'!B1","Open"))</f>
        <v>Open</v>
      </c>
      <c r="T73" t="str">
        <f>IFERROR(HYPERLINK("#'Technical Diagnostics'!A"&amp;MATCH(A73,'Technical Diagnostics'!A:A,0),"Open"),HYPERLINK("#'Technical Diagnostics'!A1","Open"))</f>
        <v>Open</v>
      </c>
    </row>
    <row r="74" spans="1:21" ht="45" customHeight="1" x14ac:dyDescent="0.25">
      <c r="A74" s="45" t="s">
        <v>199</v>
      </c>
      <c r="B74" s="28">
        <v>84</v>
      </c>
      <c r="C74" s="57" t="s">
        <v>767</v>
      </c>
      <c r="D74" s="28" t="s">
        <v>817</v>
      </c>
      <c r="E74" s="48" t="s">
        <v>152</v>
      </c>
      <c r="F74" s="28" t="s">
        <v>881</v>
      </c>
      <c r="G74" s="31">
        <v>37</v>
      </c>
      <c r="H74" s="28" t="b">
        <v>0</v>
      </c>
      <c r="I74" s="28" t="s">
        <v>882</v>
      </c>
      <c r="J74" s="28" t="s">
        <v>883</v>
      </c>
      <c r="K74" s="28" t="s">
        <v>129</v>
      </c>
      <c r="L74" s="28" t="s">
        <v>884</v>
      </c>
      <c r="M74" s="28" t="s">
        <v>156</v>
      </c>
      <c r="N74" s="28" t="s">
        <v>103</v>
      </c>
      <c r="O74" s="29" t="s">
        <v>2</v>
      </c>
      <c r="P74" s="28">
        <v>4</v>
      </c>
      <c r="Q74" s="28" t="s">
        <v>887</v>
      </c>
      <c r="R74" s="28" t="s">
        <v>886</v>
      </c>
      <c r="S74" s="36" t="str">
        <f>IFERROR(HYPERLINK("#'Main'!B"&amp;MATCH(TRIM(A74),Main!B:B,0),"Open"),HYPERLINK("#'Main'!B1","Open"))</f>
        <v>Open</v>
      </c>
      <c r="T74" s="36" t="str">
        <f>IFERROR(HYPERLINK("#'Technical Diagnostics'!A"&amp;MATCH(A74,'Technical Diagnostics'!A:A,0),"Open"),HYPERLINK("#'Technical Diagnostics'!A1","Open"))</f>
        <v>Open</v>
      </c>
      <c r="U74" s="36"/>
    </row>
    <row r="75" spans="1:21" ht="45" customHeight="1" x14ac:dyDescent="0.25">
      <c r="A75" s="46" t="s">
        <v>196</v>
      </c>
      <c r="B75" s="37">
        <v>28165</v>
      </c>
      <c r="C75" s="58" t="s">
        <v>769</v>
      </c>
      <c r="D75" s="37" t="s">
        <v>817</v>
      </c>
      <c r="E75" s="48" t="s">
        <v>152</v>
      </c>
      <c r="F75" s="37" t="s">
        <v>881</v>
      </c>
      <c r="G75" s="38">
        <v>37</v>
      </c>
      <c r="H75" s="37" t="b">
        <v>0</v>
      </c>
      <c r="I75" s="37" t="s">
        <v>882</v>
      </c>
      <c r="J75" s="37" t="s">
        <v>883</v>
      </c>
      <c r="K75" s="37" t="s">
        <v>129</v>
      </c>
      <c r="L75" s="37" t="s">
        <v>884</v>
      </c>
      <c r="M75" s="37" t="s">
        <v>156</v>
      </c>
      <c r="N75" s="37" t="s">
        <v>103</v>
      </c>
      <c r="O75" s="29" t="s">
        <v>2</v>
      </c>
      <c r="P75" s="37">
        <v>4</v>
      </c>
      <c r="Q75" s="37" t="s">
        <v>888</v>
      </c>
      <c r="R75" s="37" t="s">
        <v>886</v>
      </c>
      <c r="S75" t="str">
        <f>IFERROR(HYPERLINK("#'Main'!B"&amp;MATCH(TRIM(A75),Main!B:B,0),"Open"),HYPERLINK("#'Main'!B1","Open"))</f>
        <v>Open</v>
      </c>
      <c r="T75" t="str">
        <f>IFERROR(HYPERLINK("#'Technical Diagnostics'!A"&amp;MATCH(A75,'Technical Diagnostics'!A:A,0),"Open"),HYPERLINK("#'Technical Diagnostics'!A1","Open"))</f>
        <v>Open</v>
      </c>
    </row>
    <row r="76" spans="1:21" ht="45" customHeight="1" x14ac:dyDescent="0.25">
      <c r="A76" s="45" t="s">
        <v>138</v>
      </c>
      <c r="B76" s="28">
        <v>16125</v>
      </c>
      <c r="C76" s="57" t="s">
        <v>771</v>
      </c>
      <c r="D76" s="28" t="s">
        <v>817</v>
      </c>
      <c r="E76" s="48" t="s">
        <v>152</v>
      </c>
      <c r="F76" s="28" t="s">
        <v>881</v>
      </c>
      <c r="G76" s="31">
        <v>37</v>
      </c>
      <c r="H76" s="28" t="b">
        <v>0</v>
      </c>
      <c r="I76" s="28" t="s">
        <v>882</v>
      </c>
      <c r="J76" s="28" t="s">
        <v>883</v>
      </c>
      <c r="K76" s="28" t="s">
        <v>129</v>
      </c>
      <c r="L76" s="28" t="s">
        <v>884</v>
      </c>
      <c r="M76" s="28" t="s">
        <v>156</v>
      </c>
      <c r="N76" s="28" t="s">
        <v>103</v>
      </c>
      <c r="O76" s="29" t="s">
        <v>2</v>
      </c>
      <c r="P76" s="28">
        <v>4</v>
      </c>
      <c r="Q76" s="28" t="s">
        <v>889</v>
      </c>
      <c r="R76" s="28" t="s">
        <v>886</v>
      </c>
      <c r="S76" s="36" t="str">
        <f>IFERROR(HYPERLINK("#'Main'!B"&amp;MATCH(TRIM(A76),Main!B:B,0),"Open"),HYPERLINK("#'Main'!B1","Open"))</f>
        <v>Open</v>
      </c>
      <c r="T76" s="36" t="str">
        <f>IFERROR(HYPERLINK("#'Technical Diagnostics'!A"&amp;MATCH(A76,'Technical Diagnostics'!A:A,0),"Open"),HYPERLINK("#'Technical Diagnostics'!A1","Open"))</f>
        <v>Open</v>
      </c>
      <c r="U76" s="36"/>
    </row>
    <row r="77" spans="1:21" ht="45" customHeight="1" x14ac:dyDescent="0.25">
      <c r="A77" s="46" t="s">
        <v>198</v>
      </c>
      <c r="B77" s="37">
        <v>4494</v>
      </c>
      <c r="C77" s="58" t="s">
        <v>773</v>
      </c>
      <c r="D77" s="37" t="s">
        <v>817</v>
      </c>
      <c r="E77" s="48" t="s">
        <v>152</v>
      </c>
      <c r="F77" s="37" t="s">
        <v>881</v>
      </c>
      <c r="G77" s="38">
        <v>37</v>
      </c>
      <c r="H77" s="37" t="b">
        <v>0</v>
      </c>
      <c r="I77" s="37" t="s">
        <v>882</v>
      </c>
      <c r="J77" s="37" t="s">
        <v>883</v>
      </c>
      <c r="K77" s="37" t="s">
        <v>129</v>
      </c>
      <c r="L77" s="37" t="s">
        <v>884</v>
      </c>
      <c r="M77" s="37" t="s">
        <v>156</v>
      </c>
      <c r="N77" s="37" t="s">
        <v>103</v>
      </c>
      <c r="O77" s="29" t="s">
        <v>2</v>
      </c>
      <c r="P77" s="37">
        <v>4</v>
      </c>
      <c r="Q77" s="37" t="s">
        <v>890</v>
      </c>
      <c r="R77" s="37" t="s">
        <v>886</v>
      </c>
      <c r="S77" t="str">
        <f>IFERROR(HYPERLINK("#'Main'!B"&amp;MATCH(TRIM(A77),Main!B:B,0),"Open"),HYPERLINK("#'Main'!B1","Open"))</f>
        <v>Open</v>
      </c>
      <c r="T77" t="str">
        <f>IFERROR(HYPERLINK("#'Technical Diagnostics'!A"&amp;MATCH(A77,'Technical Diagnostics'!A:A,0),"Open"),HYPERLINK("#'Technical Diagnostics'!A1","Open"))</f>
        <v>Open</v>
      </c>
    </row>
    <row r="78" spans="1:21" ht="45" customHeight="1" x14ac:dyDescent="0.25">
      <c r="A78" s="45" t="s">
        <v>146</v>
      </c>
      <c r="B78" s="28">
        <v>5619</v>
      </c>
      <c r="C78" s="57" t="s">
        <v>775</v>
      </c>
      <c r="D78" s="28" t="s">
        <v>817</v>
      </c>
      <c r="E78" s="48" t="s">
        <v>152</v>
      </c>
      <c r="F78" s="28" t="s">
        <v>881</v>
      </c>
      <c r="G78" s="31">
        <v>37</v>
      </c>
      <c r="H78" s="28" t="b">
        <v>0</v>
      </c>
      <c r="I78" s="28" t="s">
        <v>882</v>
      </c>
      <c r="J78" s="28" t="s">
        <v>883</v>
      </c>
      <c r="K78" s="28" t="s">
        <v>129</v>
      </c>
      <c r="L78" s="28" t="s">
        <v>884</v>
      </c>
      <c r="M78" s="28" t="s">
        <v>156</v>
      </c>
      <c r="N78" s="28" t="s">
        <v>103</v>
      </c>
      <c r="O78" s="29" t="s">
        <v>2</v>
      </c>
      <c r="P78" s="28">
        <v>4</v>
      </c>
      <c r="Q78" s="28" t="s">
        <v>891</v>
      </c>
      <c r="R78" s="28" t="s">
        <v>886</v>
      </c>
      <c r="S78" s="36" t="str">
        <f>IFERROR(HYPERLINK("#'Main'!B"&amp;MATCH(TRIM(A78),Main!B:B,0),"Open"),HYPERLINK("#'Main'!B1","Open"))</f>
        <v>Open</v>
      </c>
      <c r="T78" s="36" t="str">
        <f>IFERROR(HYPERLINK("#'Technical Diagnostics'!A"&amp;MATCH(A78,'Technical Diagnostics'!A:A,0),"Open"),HYPERLINK("#'Technical Diagnostics'!A1","Open"))</f>
        <v>Open</v>
      </c>
      <c r="U78" s="36"/>
    </row>
    <row r="79" spans="1:21" ht="45" customHeight="1" x14ac:dyDescent="0.25">
      <c r="A79" s="46" t="s">
        <v>197</v>
      </c>
      <c r="B79" s="37">
        <v>4941</v>
      </c>
      <c r="C79" s="58" t="s">
        <v>777</v>
      </c>
      <c r="D79" s="37" t="s">
        <v>817</v>
      </c>
      <c r="E79" s="48" t="s">
        <v>152</v>
      </c>
      <c r="F79" s="37" t="s">
        <v>881</v>
      </c>
      <c r="G79" s="38">
        <v>37</v>
      </c>
      <c r="H79" s="37" t="b">
        <v>0</v>
      </c>
      <c r="I79" s="37" t="s">
        <v>882</v>
      </c>
      <c r="J79" s="37" t="s">
        <v>883</v>
      </c>
      <c r="K79" s="37" t="s">
        <v>129</v>
      </c>
      <c r="L79" s="37" t="s">
        <v>884</v>
      </c>
      <c r="M79" s="37" t="s">
        <v>156</v>
      </c>
      <c r="N79" s="37" t="s">
        <v>103</v>
      </c>
      <c r="O79" s="29" t="s">
        <v>2</v>
      </c>
      <c r="P79" s="37">
        <v>4</v>
      </c>
      <c r="Q79" s="37" t="s">
        <v>892</v>
      </c>
      <c r="R79" s="37" t="s">
        <v>886</v>
      </c>
      <c r="S79" t="str">
        <f>IFERROR(HYPERLINK("#'Main'!B"&amp;MATCH(TRIM(A79),Main!B:B,0),"Open"),HYPERLINK("#'Main'!B1","Open"))</f>
        <v>Open</v>
      </c>
      <c r="T79" t="str">
        <f>IFERROR(HYPERLINK("#'Technical Diagnostics'!A"&amp;MATCH(A79,'Technical Diagnostics'!A:A,0),"Open"),HYPERLINK("#'Technical Diagnostics'!A1","Open"))</f>
        <v>Open</v>
      </c>
    </row>
    <row r="80" spans="1:21" ht="45" customHeight="1" x14ac:dyDescent="0.25">
      <c r="A80" s="45" t="s">
        <v>200</v>
      </c>
      <c r="B80" s="28">
        <v>12371</v>
      </c>
      <c r="C80" s="57" t="s">
        <v>779</v>
      </c>
      <c r="D80" s="28" t="s">
        <v>817</v>
      </c>
      <c r="E80" s="48" t="s">
        <v>152</v>
      </c>
      <c r="F80" s="28" t="s">
        <v>881</v>
      </c>
      <c r="G80" s="31">
        <v>37</v>
      </c>
      <c r="H80" s="28" t="b">
        <v>0</v>
      </c>
      <c r="I80" s="28" t="s">
        <v>882</v>
      </c>
      <c r="J80" s="28" t="s">
        <v>883</v>
      </c>
      <c r="K80" s="28" t="s">
        <v>129</v>
      </c>
      <c r="L80" s="28" t="s">
        <v>884</v>
      </c>
      <c r="M80" s="28" t="s">
        <v>156</v>
      </c>
      <c r="N80" s="28" t="s">
        <v>103</v>
      </c>
      <c r="O80" s="29" t="s">
        <v>2</v>
      </c>
      <c r="P80" s="28">
        <v>4</v>
      </c>
      <c r="Q80" s="28" t="s">
        <v>893</v>
      </c>
      <c r="R80" s="28" t="s">
        <v>886</v>
      </c>
      <c r="S80" s="36" t="str">
        <f>IFERROR(HYPERLINK("#'Main'!B"&amp;MATCH(TRIM(A80),Main!B:B,0),"Open"),HYPERLINK("#'Main'!B1","Open"))</f>
        <v>Open</v>
      </c>
      <c r="T80" s="36" t="str">
        <f>IFERROR(HYPERLINK("#'Technical Diagnostics'!A"&amp;MATCH(A80,'Technical Diagnostics'!A:A,0),"Open"),HYPERLINK("#'Technical Diagnostics'!A1","Open"))</f>
        <v>Open</v>
      </c>
      <c r="U80" s="36"/>
    </row>
    <row r="81" spans="1:21" ht="45" customHeight="1" x14ac:dyDescent="0.25">
      <c r="A81" s="46" t="s">
        <v>201</v>
      </c>
      <c r="B81" s="37">
        <v>12954</v>
      </c>
      <c r="C81" s="58" t="s">
        <v>781</v>
      </c>
      <c r="D81" s="37" t="s">
        <v>817</v>
      </c>
      <c r="E81" s="48" t="s">
        <v>152</v>
      </c>
      <c r="F81" s="37" t="s">
        <v>881</v>
      </c>
      <c r="G81" s="38">
        <v>37</v>
      </c>
      <c r="H81" s="37" t="b">
        <v>0</v>
      </c>
      <c r="I81" s="37" t="s">
        <v>882</v>
      </c>
      <c r="J81" s="37" t="s">
        <v>883</v>
      </c>
      <c r="K81" s="37" t="s">
        <v>129</v>
      </c>
      <c r="L81" s="37" t="s">
        <v>884</v>
      </c>
      <c r="M81" s="37" t="s">
        <v>156</v>
      </c>
      <c r="N81" s="37" t="s">
        <v>103</v>
      </c>
      <c r="O81" s="29" t="s">
        <v>2</v>
      </c>
      <c r="P81" s="37">
        <v>4</v>
      </c>
      <c r="Q81" s="37" t="s">
        <v>894</v>
      </c>
      <c r="R81" s="37" t="s">
        <v>886</v>
      </c>
      <c r="S81" t="str">
        <f>IFERROR(HYPERLINK("#'Main'!B"&amp;MATCH(TRIM(A81),Main!B:B,0),"Open"),HYPERLINK("#'Main'!B1","Open"))</f>
        <v>Open</v>
      </c>
      <c r="T81" t="str">
        <f>IFERROR(HYPERLINK("#'Technical Diagnostics'!A"&amp;MATCH(A81,'Technical Diagnostics'!A:A,0),"Open"),HYPERLINK("#'Technical Diagnostics'!A1","Open"))</f>
        <v>Open</v>
      </c>
    </row>
    <row r="82" spans="1:21" ht="45" customHeight="1" x14ac:dyDescent="0.25">
      <c r="A82" s="45" t="s">
        <v>148</v>
      </c>
      <c r="B82" s="28">
        <v>13164</v>
      </c>
      <c r="C82" s="57" t="s">
        <v>751</v>
      </c>
      <c r="D82" s="28" t="s">
        <v>817</v>
      </c>
      <c r="E82" s="48" t="s">
        <v>152</v>
      </c>
      <c r="F82" s="28" t="s">
        <v>881</v>
      </c>
      <c r="G82" s="31">
        <v>37</v>
      </c>
      <c r="H82" s="28" t="b">
        <v>0</v>
      </c>
      <c r="I82" s="28" t="s">
        <v>882</v>
      </c>
      <c r="J82" s="28" t="s">
        <v>883</v>
      </c>
      <c r="K82" s="28" t="s">
        <v>129</v>
      </c>
      <c r="L82" s="28" t="s">
        <v>884</v>
      </c>
      <c r="M82" s="28" t="s">
        <v>156</v>
      </c>
      <c r="N82" s="28" t="s">
        <v>103</v>
      </c>
      <c r="O82" s="29" t="s">
        <v>2</v>
      </c>
      <c r="P82" s="28">
        <v>4</v>
      </c>
      <c r="Q82" s="28" t="s">
        <v>895</v>
      </c>
      <c r="R82" s="28" t="s">
        <v>886</v>
      </c>
      <c r="S82" s="36" t="str">
        <f>IFERROR(HYPERLINK("#'Main'!B"&amp;MATCH(TRIM(A82),Main!B:B,0),"Open"),HYPERLINK("#'Main'!B1","Open"))</f>
        <v>Open</v>
      </c>
      <c r="T82" s="36" t="str">
        <f>IFERROR(HYPERLINK("#'Technical Diagnostics'!A"&amp;MATCH(A82,'Technical Diagnostics'!A:A,0),"Open"),HYPERLINK("#'Technical Diagnostics'!A1","Open"))</f>
        <v>Open</v>
      </c>
      <c r="U82" s="36"/>
    </row>
    <row r="83" spans="1:21" ht="30" customHeight="1" x14ac:dyDescent="0.25">
      <c r="A83" s="46" t="s">
        <v>166</v>
      </c>
      <c r="B83" s="37">
        <v>8</v>
      </c>
      <c r="C83" s="58" t="s">
        <v>760</v>
      </c>
      <c r="D83" s="37" t="s">
        <v>896</v>
      </c>
      <c r="E83" s="48" t="s">
        <v>152</v>
      </c>
      <c r="F83" s="37" t="s">
        <v>897</v>
      </c>
      <c r="G83" s="38">
        <v>37</v>
      </c>
      <c r="H83" s="37">
        <v>66</v>
      </c>
      <c r="I83" s="37" t="s">
        <v>898</v>
      </c>
      <c r="J83" s="37" t="s">
        <v>899</v>
      </c>
      <c r="K83" s="40" t="s">
        <v>757</v>
      </c>
      <c r="L83" s="37" t="s">
        <v>896</v>
      </c>
      <c r="M83" s="37" t="s">
        <v>156</v>
      </c>
      <c r="N83" s="37" t="s">
        <v>103</v>
      </c>
      <c r="O83" s="29" t="s">
        <v>2</v>
      </c>
      <c r="P83" s="37">
        <v>4</v>
      </c>
      <c r="Q83" s="37" t="s">
        <v>900</v>
      </c>
      <c r="R83" s="37" t="s">
        <v>901</v>
      </c>
      <c r="S83" t="str">
        <f>IFERROR(HYPERLINK("#'Main'!B"&amp;MATCH(TRIM(A83),Main!B:B,0),"Open"),HYPERLINK("#'Main'!B1","Open"))</f>
        <v>Open</v>
      </c>
      <c r="T83" t="str">
        <f>IFERROR(HYPERLINK("#'Technical Diagnostics'!A"&amp;MATCH(A83,'Technical Diagnostics'!A:A,0),"Open"),HYPERLINK("#'Technical Diagnostics'!A1","Open"))</f>
        <v>Open</v>
      </c>
    </row>
    <row r="84" spans="1:21" ht="30" customHeight="1" x14ac:dyDescent="0.25">
      <c r="A84" s="45" t="s">
        <v>199</v>
      </c>
      <c r="B84" s="28">
        <v>84</v>
      </c>
      <c r="C84" s="57" t="s">
        <v>767</v>
      </c>
      <c r="D84" s="28" t="s">
        <v>896</v>
      </c>
      <c r="E84" s="48" t="s">
        <v>152</v>
      </c>
      <c r="F84" s="28" t="s">
        <v>897</v>
      </c>
      <c r="G84" s="31">
        <v>37</v>
      </c>
      <c r="H84" s="28">
        <v>107</v>
      </c>
      <c r="I84" s="28" t="s">
        <v>898</v>
      </c>
      <c r="J84" s="28" t="s">
        <v>899</v>
      </c>
      <c r="K84" s="33" t="s">
        <v>757</v>
      </c>
      <c r="L84" s="28" t="s">
        <v>896</v>
      </c>
      <c r="M84" s="28" t="s">
        <v>156</v>
      </c>
      <c r="N84" s="28" t="s">
        <v>103</v>
      </c>
      <c r="O84" s="29" t="s">
        <v>2</v>
      </c>
      <c r="P84" s="28">
        <v>4</v>
      </c>
      <c r="Q84" s="28" t="s">
        <v>902</v>
      </c>
      <c r="R84" s="28" t="s">
        <v>901</v>
      </c>
      <c r="S84" s="36" t="str">
        <f>IFERROR(HYPERLINK("#'Main'!B"&amp;MATCH(TRIM(A84),Main!B:B,0),"Open"),HYPERLINK("#'Main'!B1","Open"))</f>
        <v>Open</v>
      </c>
      <c r="T84" s="36" t="str">
        <f>IFERROR(HYPERLINK("#'Technical Diagnostics'!A"&amp;MATCH(A84,'Technical Diagnostics'!A:A,0),"Open"),HYPERLINK("#'Technical Diagnostics'!A1","Open"))</f>
        <v>Open</v>
      </c>
      <c r="U84" s="36"/>
    </row>
    <row r="85" spans="1:21" ht="30" customHeight="1" x14ac:dyDescent="0.25">
      <c r="A85" s="46" t="s">
        <v>196</v>
      </c>
      <c r="B85" s="37">
        <v>28165</v>
      </c>
      <c r="C85" s="58" t="s">
        <v>769</v>
      </c>
      <c r="D85" s="37" t="s">
        <v>896</v>
      </c>
      <c r="E85" s="48" t="s">
        <v>152</v>
      </c>
      <c r="F85" s="37" t="s">
        <v>897</v>
      </c>
      <c r="G85" s="38">
        <v>37</v>
      </c>
      <c r="H85" s="37">
        <v>81</v>
      </c>
      <c r="I85" s="37" t="s">
        <v>898</v>
      </c>
      <c r="J85" s="37" t="s">
        <v>899</v>
      </c>
      <c r="K85" s="40" t="s">
        <v>757</v>
      </c>
      <c r="L85" s="37" t="s">
        <v>896</v>
      </c>
      <c r="M85" s="37" t="s">
        <v>156</v>
      </c>
      <c r="N85" s="37" t="s">
        <v>103</v>
      </c>
      <c r="O85" s="29" t="s">
        <v>2</v>
      </c>
      <c r="P85" s="37">
        <v>4</v>
      </c>
      <c r="Q85" s="37" t="s">
        <v>903</v>
      </c>
      <c r="R85" s="37" t="s">
        <v>901</v>
      </c>
      <c r="S85" t="str">
        <f>IFERROR(HYPERLINK("#'Main'!B"&amp;MATCH(TRIM(A85),Main!B:B,0),"Open"),HYPERLINK("#'Main'!B1","Open"))</f>
        <v>Open</v>
      </c>
      <c r="T85" t="str">
        <f>IFERROR(HYPERLINK("#'Technical Diagnostics'!A"&amp;MATCH(A85,'Technical Diagnostics'!A:A,0),"Open"),HYPERLINK("#'Technical Diagnostics'!A1","Open"))</f>
        <v>Open</v>
      </c>
    </row>
    <row r="86" spans="1:21" ht="30" customHeight="1" x14ac:dyDescent="0.25">
      <c r="A86" s="45" t="s">
        <v>146</v>
      </c>
      <c r="B86" s="28">
        <v>5619</v>
      </c>
      <c r="C86" s="57" t="s">
        <v>775</v>
      </c>
      <c r="D86" s="28" t="s">
        <v>896</v>
      </c>
      <c r="E86" s="48" t="s">
        <v>152</v>
      </c>
      <c r="F86" s="28" t="s">
        <v>897</v>
      </c>
      <c r="G86" s="31">
        <v>37</v>
      </c>
      <c r="H86" s="28">
        <v>66</v>
      </c>
      <c r="I86" s="28" t="s">
        <v>898</v>
      </c>
      <c r="J86" s="28" t="s">
        <v>899</v>
      </c>
      <c r="K86" s="33" t="s">
        <v>757</v>
      </c>
      <c r="L86" s="28" t="s">
        <v>896</v>
      </c>
      <c r="M86" s="28" t="s">
        <v>156</v>
      </c>
      <c r="N86" s="28" t="s">
        <v>103</v>
      </c>
      <c r="O86" s="29" t="s">
        <v>2</v>
      </c>
      <c r="P86" s="28">
        <v>4</v>
      </c>
      <c r="Q86" s="28" t="s">
        <v>904</v>
      </c>
      <c r="R86" s="28" t="s">
        <v>901</v>
      </c>
      <c r="S86" s="36" t="str">
        <f>IFERROR(HYPERLINK("#'Main'!B"&amp;MATCH(TRIM(A86),Main!B:B,0),"Open"),HYPERLINK("#'Main'!B1","Open"))</f>
        <v>Open</v>
      </c>
      <c r="T86" s="36" t="str">
        <f>IFERROR(HYPERLINK("#'Technical Diagnostics'!A"&amp;MATCH(A86,'Technical Diagnostics'!A:A,0),"Open"),HYPERLINK("#'Technical Diagnostics'!A1","Open"))</f>
        <v>Open</v>
      </c>
      <c r="U86" s="36"/>
    </row>
    <row r="87" spans="1:21" ht="30" customHeight="1" x14ac:dyDescent="0.25">
      <c r="A87" s="46" t="s">
        <v>197</v>
      </c>
      <c r="B87" s="37">
        <v>4941</v>
      </c>
      <c r="C87" s="58" t="s">
        <v>777</v>
      </c>
      <c r="D87" s="37" t="s">
        <v>896</v>
      </c>
      <c r="E87" s="48" t="s">
        <v>152</v>
      </c>
      <c r="F87" s="37" t="s">
        <v>897</v>
      </c>
      <c r="G87" s="38">
        <v>37</v>
      </c>
      <c r="H87" s="37">
        <v>65</v>
      </c>
      <c r="I87" s="37" t="s">
        <v>898</v>
      </c>
      <c r="J87" s="37" t="s">
        <v>899</v>
      </c>
      <c r="K87" s="40" t="s">
        <v>757</v>
      </c>
      <c r="L87" s="37" t="s">
        <v>896</v>
      </c>
      <c r="M87" s="37" t="s">
        <v>156</v>
      </c>
      <c r="N87" s="37" t="s">
        <v>103</v>
      </c>
      <c r="O87" s="29" t="s">
        <v>2</v>
      </c>
      <c r="P87" s="37">
        <v>4</v>
      </c>
      <c r="Q87" s="37" t="s">
        <v>905</v>
      </c>
      <c r="R87" s="37" t="s">
        <v>901</v>
      </c>
      <c r="S87" t="str">
        <f>IFERROR(HYPERLINK("#'Main'!B"&amp;MATCH(TRIM(A87),Main!B:B,0),"Open"),HYPERLINK("#'Main'!B1","Open"))</f>
        <v>Open</v>
      </c>
      <c r="T87" t="str">
        <f>IFERROR(HYPERLINK("#'Technical Diagnostics'!A"&amp;MATCH(A87,'Technical Diagnostics'!A:A,0),"Open"),HYPERLINK("#'Technical Diagnostics'!A1","Open"))</f>
        <v>Open</v>
      </c>
    </row>
  </sheetData>
  <autoFilter ref="A1:U87" xr:uid="{00000000-0009-0000-0000-00000B000000}"/>
  <conditionalFormatting sqref="G2:G87">
    <cfRule type="cellIs" dxfId="22" priority="1" operator="greaterThanOrEqual">
      <formula>85</formula>
    </cfRule>
    <cfRule type="cellIs" dxfId="21" priority="2" operator="between">
      <formula>65</formula>
      <formula>84</formula>
    </cfRule>
  </conditionalFormatting>
  <conditionalFormatting sqref="M2:M87">
    <cfRule type="expression" dxfId="20" priority="3" stopIfTrue="1">
      <formula>LOWER(M2)="yes"</formula>
    </cfRule>
    <cfRule type="expression" dxfId="19" priority="4" stopIfTrue="1">
      <formula>LOWER(M2)="no"</formula>
    </cfRule>
  </conditionalFormatting>
  <conditionalFormatting sqref="O2:O87">
    <cfRule type="expression" dxfId="18" priority="5" stopIfTrue="1">
      <formula>LOWER(O2)="done"</formula>
    </cfRule>
    <cfRule type="expression" dxfId="17" priority="6" stopIfTrue="1">
      <formula>OR(LOWER(O2)="to do",LOWER(O2)="in progress",LOWER(O2)="in review")</formula>
    </cfRule>
  </conditionalFormatting>
  <dataValidations count="1">
    <dataValidation type="list" allowBlank="1" sqref="O2:O87" xr:uid="{00000000-0002-0000-0B00-000000000000}">
      <formula1>"To Do,In Progress,Fixed"</formula1>
    </dataValidation>
  </dataValidations>
  <hyperlinks>
    <hyperlink ref="U1" location="'Dashboard'!A1" display="BACK TO DASHBOARD" xr:uid="{00000000-0004-0000-0B00-000000000000}"/>
    <hyperlink ref="A2" r:id="rId1" xr:uid="{00000000-0004-0000-0B00-000001000000}"/>
    <hyperlink ref="C2" r:id="rId2" xr:uid="{00000000-0004-0000-0B00-000002000000}"/>
    <hyperlink ref="K2" location="'Main'!A1" display="Main" xr:uid="{00000000-0004-0000-0B00-000003000000}"/>
    <hyperlink ref="A3" r:id="rId3" xr:uid="{00000000-0004-0000-0B00-000004000000}"/>
    <hyperlink ref="C3" r:id="rId4" xr:uid="{00000000-0004-0000-0B00-000005000000}"/>
    <hyperlink ref="A4" r:id="rId5" xr:uid="{00000000-0004-0000-0B00-000006000000}"/>
    <hyperlink ref="C4" r:id="rId6" xr:uid="{00000000-0004-0000-0B00-000007000000}"/>
    <hyperlink ref="A5" r:id="rId7" xr:uid="{00000000-0004-0000-0B00-000008000000}"/>
    <hyperlink ref="C5" r:id="rId8" xr:uid="{00000000-0004-0000-0B00-000009000000}"/>
    <hyperlink ref="A6" r:id="rId9" xr:uid="{00000000-0004-0000-0B00-00000A000000}"/>
    <hyperlink ref="C6" r:id="rId10" xr:uid="{00000000-0004-0000-0B00-00000B000000}"/>
    <hyperlink ref="A7" r:id="rId11" xr:uid="{00000000-0004-0000-0B00-00000C000000}"/>
    <hyperlink ref="C7" r:id="rId12" xr:uid="{00000000-0004-0000-0B00-00000D000000}"/>
    <hyperlink ref="A8" r:id="rId13" xr:uid="{00000000-0004-0000-0B00-00000E000000}"/>
    <hyperlink ref="C8" r:id="rId14" xr:uid="{00000000-0004-0000-0B00-00000F000000}"/>
    <hyperlink ref="A9" r:id="rId15" xr:uid="{00000000-0004-0000-0B00-000010000000}"/>
    <hyperlink ref="C9" r:id="rId16" xr:uid="{00000000-0004-0000-0B00-000011000000}"/>
    <hyperlink ref="A10" r:id="rId17" xr:uid="{00000000-0004-0000-0B00-000012000000}"/>
    <hyperlink ref="C10" r:id="rId18" xr:uid="{00000000-0004-0000-0B00-000013000000}"/>
    <hyperlink ref="A11" r:id="rId19" xr:uid="{00000000-0004-0000-0B00-000014000000}"/>
    <hyperlink ref="C11" r:id="rId20" xr:uid="{00000000-0004-0000-0B00-000015000000}"/>
    <hyperlink ref="A12" r:id="rId21" xr:uid="{00000000-0004-0000-0B00-000016000000}"/>
    <hyperlink ref="C12" r:id="rId22" xr:uid="{00000000-0004-0000-0B00-000017000000}"/>
    <hyperlink ref="A13" r:id="rId23" xr:uid="{00000000-0004-0000-0B00-000018000000}"/>
    <hyperlink ref="C13" r:id="rId24" xr:uid="{00000000-0004-0000-0B00-000019000000}"/>
    <hyperlink ref="A14" r:id="rId25" xr:uid="{00000000-0004-0000-0B00-00001A000000}"/>
    <hyperlink ref="C14" r:id="rId26" xr:uid="{00000000-0004-0000-0B00-00001B000000}"/>
    <hyperlink ref="A15" r:id="rId27" xr:uid="{00000000-0004-0000-0B00-00001C000000}"/>
    <hyperlink ref="C15" r:id="rId28" xr:uid="{00000000-0004-0000-0B00-00001D000000}"/>
    <hyperlink ref="A16" r:id="rId29" xr:uid="{00000000-0004-0000-0B00-00001E000000}"/>
    <hyperlink ref="C16" r:id="rId30" xr:uid="{00000000-0004-0000-0B00-00001F000000}"/>
    <hyperlink ref="A17" r:id="rId31" xr:uid="{00000000-0004-0000-0B00-000020000000}"/>
    <hyperlink ref="C17" r:id="rId32" xr:uid="{00000000-0004-0000-0B00-000021000000}"/>
    <hyperlink ref="A18" r:id="rId33" xr:uid="{00000000-0004-0000-0B00-000022000000}"/>
    <hyperlink ref="C18" r:id="rId34" xr:uid="{00000000-0004-0000-0B00-000023000000}"/>
    <hyperlink ref="A19" r:id="rId35" xr:uid="{00000000-0004-0000-0B00-000024000000}"/>
    <hyperlink ref="C19" r:id="rId36" xr:uid="{00000000-0004-0000-0B00-000025000000}"/>
    <hyperlink ref="A20" r:id="rId37" xr:uid="{00000000-0004-0000-0B00-000026000000}"/>
    <hyperlink ref="C20" r:id="rId38" xr:uid="{00000000-0004-0000-0B00-000027000000}"/>
    <hyperlink ref="A21" r:id="rId39" xr:uid="{00000000-0004-0000-0B00-000028000000}"/>
    <hyperlink ref="C21" r:id="rId40" xr:uid="{00000000-0004-0000-0B00-000029000000}"/>
    <hyperlink ref="A22" r:id="rId41" xr:uid="{00000000-0004-0000-0B00-00002A000000}"/>
    <hyperlink ref="C22" r:id="rId42" xr:uid="{00000000-0004-0000-0B00-00002B000000}"/>
    <hyperlink ref="A23" r:id="rId43" xr:uid="{00000000-0004-0000-0B00-00002C000000}"/>
    <hyperlink ref="C23" r:id="rId44" xr:uid="{00000000-0004-0000-0B00-00002D000000}"/>
    <hyperlink ref="A24" r:id="rId45" xr:uid="{00000000-0004-0000-0B00-00002E000000}"/>
    <hyperlink ref="C24" r:id="rId46" xr:uid="{00000000-0004-0000-0B00-00002F000000}"/>
    <hyperlink ref="A25" r:id="rId47" xr:uid="{00000000-0004-0000-0B00-000030000000}"/>
    <hyperlink ref="C25" r:id="rId48" xr:uid="{00000000-0004-0000-0B00-000031000000}"/>
    <hyperlink ref="A26" r:id="rId49" xr:uid="{00000000-0004-0000-0B00-000032000000}"/>
    <hyperlink ref="C26" r:id="rId50" xr:uid="{00000000-0004-0000-0B00-000033000000}"/>
    <hyperlink ref="A27" r:id="rId51" xr:uid="{00000000-0004-0000-0B00-000034000000}"/>
    <hyperlink ref="C27" r:id="rId52" xr:uid="{00000000-0004-0000-0B00-000035000000}"/>
    <hyperlink ref="A28" r:id="rId53" xr:uid="{00000000-0004-0000-0B00-000036000000}"/>
    <hyperlink ref="C28" r:id="rId54" xr:uid="{00000000-0004-0000-0B00-000037000000}"/>
    <hyperlink ref="A29" r:id="rId55" xr:uid="{00000000-0004-0000-0B00-000038000000}"/>
    <hyperlink ref="C29" r:id="rId56" xr:uid="{00000000-0004-0000-0B00-000039000000}"/>
    <hyperlink ref="A30" r:id="rId57" xr:uid="{00000000-0004-0000-0B00-00003A000000}"/>
    <hyperlink ref="C30" r:id="rId58" xr:uid="{00000000-0004-0000-0B00-00003B000000}"/>
    <hyperlink ref="A31" r:id="rId59" xr:uid="{00000000-0004-0000-0B00-00003C000000}"/>
    <hyperlink ref="C31" r:id="rId60" xr:uid="{00000000-0004-0000-0B00-00003D000000}"/>
    <hyperlink ref="A32" r:id="rId61" xr:uid="{00000000-0004-0000-0B00-00003E000000}"/>
    <hyperlink ref="C32" r:id="rId62" xr:uid="{00000000-0004-0000-0B00-00003F000000}"/>
    <hyperlink ref="A33" r:id="rId63" xr:uid="{00000000-0004-0000-0B00-000040000000}"/>
    <hyperlink ref="C33" r:id="rId64" xr:uid="{00000000-0004-0000-0B00-000041000000}"/>
    <hyperlink ref="A34" r:id="rId65" xr:uid="{00000000-0004-0000-0B00-000042000000}"/>
    <hyperlink ref="C34" r:id="rId66" xr:uid="{00000000-0004-0000-0B00-000043000000}"/>
    <hyperlink ref="A35" r:id="rId67" xr:uid="{00000000-0004-0000-0B00-000044000000}"/>
    <hyperlink ref="C35" r:id="rId68" xr:uid="{00000000-0004-0000-0B00-000045000000}"/>
    <hyperlink ref="A36" r:id="rId69" xr:uid="{00000000-0004-0000-0B00-000046000000}"/>
    <hyperlink ref="C36" r:id="rId70" xr:uid="{00000000-0004-0000-0B00-000047000000}"/>
    <hyperlink ref="A37" r:id="rId71" xr:uid="{00000000-0004-0000-0B00-000048000000}"/>
    <hyperlink ref="C37" r:id="rId72" xr:uid="{00000000-0004-0000-0B00-000049000000}"/>
    <hyperlink ref="A38" r:id="rId73" xr:uid="{00000000-0004-0000-0B00-00004A000000}"/>
    <hyperlink ref="C38" r:id="rId74" xr:uid="{00000000-0004-0000-0B00-00004B000000}"/>
    <hyperlink ref="A39" r:id="rId75" xr:uid="{00000000-0004-0000-0B00-00004C000000}"/>
    <hyperlink ref="C39" r:id="rId76" xr:uid="{00000000-0004-0000-0B00-00004D000000}"/>
    <hyperlink ref="A40" r:id="rId77" xr:uid="{00000000-0004-0000-0B00-00004E000000}"/>
    <hyperlink ref="C40" r:id="rId78" xr:uid="{00000000-0004-0000-0B00-00004F000000}"/>
    <hyperlink ref="A41" r:id="rId79" xr:uid="{00000000-0004-0000-0B00-000050000000}"/>
    <hyperlink ref="C41" r:id="rId80" xr:uid="{00000000-0004-0000-0B00-000051000000}"/>
    <hyperlink ref="A42" r:id="rId81" xr:uid="{00000000-0004-0000-0B00-000052000000}"/>
    <hyperlink ref="C42" r:id="rId82" xr:uid="{00000000-0004-0000-0B00-000053000000}"/>
    <hyperlink ref="K42" location="'Main'!A1" display="Main" xr:uid="{00000000-0004-0000-0B00-000054000000}"/>
    <hyperlink ref="A43" r:id="rId83" xr:uid="{00000000-0004-0000-0B00-000055000000}"/>
    <hyperlink ref="C43" r:id="rId84" xr:uid="{00000000-0004-0000-0B00-000056000000}"/>
    <hyperlink ref="K43" location="'Main'!A1" display="Main" xr:uid="{00000000-0004-0000-0B00-000057000000}"/>
    <hyperlink ref="A44" r:id="rId85" xr:uid="{00000000-0004-0000-0B00-000058000000}"/>
    <hyperlink ref="C44" r:id="rId86" xr:uid="{00000000-0004-0000-0B00-000059000000}"/>
    <hyperlink ref="K44" location="'Main'!A1" display="Main" xr:uid="{00000000-0004-0000-0B00-00005A000000}"/>
    <hyperlink ref="A45" r:id="rId87" xr:uid="{00000000-0004-0000-0B00-00005B000000}"/>
    <hyperlink ref="C45" r:id="rId88" xr:uid="{00000000-0004-0000-0B00-00005C000000}"/>
    <hyperlink ref="K45" location="'Main'!A1" display="Main" xr:uid="{00000000-0004-0000-0B00-00005D000000}"/>
    <hyperlink ref="A46" r:id="rId89" xr:uid="{00000000-0004-0000-0B00-00005E000000}"/>
    <hyperlink ref="C46" r:id="rId90" xr:uid="{00000000-0004-0000-0B00-00005F000000}"/>
    <hyperlink ref="K46" location="'Main'!A1" display="Main" xr:uid="{00000000-0004-0000-0B00-000060000000}"/>
    <hyperlink ref="A47" r:id="rId91" xr:uid="{00000000-0004-0000-0B00-000061000000}"/>
    <hyperlink ref="C47" r:id="rId92" xr:uid="{00000000-0004-0000-0B00-000062000000}"/>
    <hyperlink ref="K47" location="'Main'!A1" display="Main" xr:uid="{00000000-0004-0000-0B00-000063000000}"/>
    <hyperlink ref="A48" r:id="rId93" xr:uid="{00000000-0004-0000-0B00-000064000000}"/>
    <hyperlink ref="C48" r:id="rId94" xr:uid="{00000000-0004-0000-0B00-000065000000}"/>
    <hyperlink ref="K48" location="'Main'!A1" display="Main" xr:uid="{00000000-0004-0000-0B00-000066000000}"/>
    <hyperlink ref="A49" r:id="rId95" xr:uid="{00000000-0004-0000-0B00-000067000000}"/>
    <hyperlink ref="C49" r:id="rId96" xr:uid="{00000000-0004-0000-0B00-000068000000}"/>
    <hyperlink ref="K49" location="'Main'!A1" display="Main" xr:uid="{00000000-0004-0000-0B00-000069000000}"/>
    <hyperlink ref="A50" r:id="rId97" xr:uid="{00000000-0004-0000-0B00-00006A000000}"/>
    <hyperlink ref="C50" r:id="rId98" xr:uid="{00000000-0004-0000-0B00-00006B000000}"/>
    <hyperlink ref="A51" r:id="rId99" xr:uid="{00000000-0004-0000-0B00-00006C000000}"/>
    <hyperlink ref="C51" r:id="rId100" xr:uid="{00000000-0004-0000-0B00-00006D000000}"/>
    <hyperlink ref="A52" r:id="rId101" xr:uid="{00000000-0004-0000-0B00-00006E000000}"/>
    <hyperlink ref="C52" r:id="rId102" xr:uid="{00000000-0004-0000-0B00-00006F000000}"/>
    <hyperlink ref="A53" r:id="rId103" xr:uid="{00000000-0004-0000-0B00-000070000000}"/>
    <hyperlink ref="C53" r:id="rId104" xr:uid="{00000000-0004-0000-0B00-000071000000}"/>
    <hyperlink ref="A54" r:id="rId105" xr:uid="{00000000-0004-0000-0B00-000072000000}"/>
    <hyperlink ref="C54" r:id="rId106" xr:uid="{00000000-0004-0000-0B00-000073000000}"/>
    <hyperlink ref="A55" r:id="rId107" xr:uid="{00000000-0004-0000-0B00-000074000000}"/>
    <hyperlink ref="C55" r:id="rId108" xr:uid="{00000000-0004-0000-0B00-000075000000}"/>
    <hyperlink ref="A56" r:id="rId109" xr:uid="{00000000-0004-0000-0B00-000076000000}"/>
    <hyperlink ref="C56" r:id="rId110" xr:uid="{00000000-0004-0000-0B00-000077000000}"/>
    <hyperlink ref="A57" r:id="rId111" xr:uid="{00000000-0004-0000-0B00-000078000000}"/>
    <hyperlink ref="C57" r:id="rId112" xr:uid="{00000000-0004-0000-0B00-000079000000}"/>
    <hyperlink ref="A58" r:id="rId113" xr:uid="{00000000-0004-0000-0B00-00007A000000}"/>
    <hyperlink ref="C58" r:id="rId114" xr:uid="{00000000-0004-0000-0B00-00007B000000}"/>
    <hyperlink ref="A59" r:id="rId115" xr:uid="{00000000-0004-0000-0B00-00007C000000}"/>
    <hyperlink ref="C59" r:id="rId116" xr:uid="{00000000-0004-0000-0B00-00007D000000}"/>
    <hyperlink ref="A60" r:id="rId117" xr:uid="{00000000-0004-0000-0B00-00007E000000}"/>
    <hyperlink ref="C60" r:id="rId118" xr:uid="{00000000-0004-0000-0B00-00007F000000}"/>
    <hyperlink ref="A61" r:id="rId119" xr:uid="{00000000-0004-0000-0B00-000080000000}"/>
    <hyperlink ref="C61" r:id="rId120" xr:uid="{00000000-0004-0000-0B00-000081000000}"/>
    <hyperlink ref="A62" r:id="rId121" xr:uid="{00000000-0004-0000-0B00-000082000000}"/>
    <hyperlink ref="C62" r:id="rId122" xr:uid="{00000000-0004-0000-0B00-000083000000}"/>
    <hyperlink ref="A63" r:id="rId123" xr:uid="{00000000-0004-0000-0B00-000084000000}"/>
    <hyperlink ref="C63" r:id="rId124" xr:uid="{00000000-0004-0000-0B00-000085000000}"/>
    <hyperlink ref="A64" r:id="rId125" xr:uid="{00000000-0004-0000-0B00-000086000000}"/>
    <hyperlink ref="C64" r:id="rId126" xr:uid="{00000000-0004-0000-0B00-000087000000}"/>
    <hyperlink ref="A65" r:id="rId127" xr:uid="{00000000-0004-0000-0B00-000088000000}"/>
    <hyperlink ref="C65" r:id="rId128" xr:uid="{00000000-0004-0000-0B00-000089000000}"/>
    <hyperlink ref="A66" r:id="rId129" xr:uid="{00000000-0004-0000-0B00-00008A000000}"/>
    <hyperlink ref="C66" r:id="rId130" xr:uid="{00000000-0004-0000-0B00-00008B000000}"/>
    <hyperlink ref="A67" r:id="rId131" xr:uid="{00000000-0004-0000-0B00-00008C000000}"/>
    <hyperlink ref="C67" r:id="rId132" xr:uid="{00000000-0004-0000-0B00-00008D000000}"/>
    <hyperlink ref="A68" r:id="rId133" xr:uid="{00000000-0004-0000-0B00-00008E000000}"/>
    <hyperlink ref="C68" r:id="rId134" xr:uid="{00000000-0004-0000-0B00-00008F000000}"/>
    <hyperlink ref="A69" r:id="rId135" xr:uid="{00000000-0004-0000-0B00-000090000000}"/>
    <hyperlink ref="C69" r:id="rId136" xr:uid="{00000000-0004-0000-0B00-000091000000}"/>
    <hyperlink ref="A70" r:id="rId137" xr:uid="{00000000-0004-0000-0B00-000092000000}"/>
    <hyperlink ref="C70" r:id="rId138" xr:uid="{00000000-0004-0000-0B00-000093000000}"/>
    <hyperlink ref="A71" r:id="rId139" xr:uid="{00000000-0004-0000-0B00-000094000000}"/>
    <hyperlink ref="C71" r:id="rId140" xr:uid="{00000000-0004-0000-0B00-000095000000}"/>
    <hyperlink ref="A72" r:id="rId141" xr:uid="{00000000-0004-0000-0B00-000096000000}"/>
    <hyperlink ref="C72" r:id="rId142" xr:uid="{00000000-0004-0000-0B00-000097000000}"/>
    <hyperlink ref="A73" r:id="rId143" xr:uid="{00000000-0004-0000-0B00-000098000000}"/>
    <hyperlink ref="C73" r:id="rId144" xr:uid="{00000000-0004-0000-0B00-000099000000}"/>
    <hyperlink ref="A74" r:id="rId145" xr:uid="{00000000-0004-0000-0B00-00009A000000}"/>
    <hyperlink ref="C74" r:id="rId146" xr:uid="{00000000-0004-0000-0B00-00009B000000}"/>
    <hyperlink ref="A75" r:id="rId147" xr:uid="{00000000-0004-0000-0B00-00009C000000}"/>
    <hyperlink ref="C75" r:id="rId148" xr:uid="{00000000-0004-0000-0B00-00009D000000}"/>
    <hyperlink ref="A76" r:id="rId149" xr:uid="{00000000-0004-0000-0B00-00009E000000}"/>
    <hyperlink ref="C76" r:id="rId150" xr:uid="{00000000-0004-0000-0B00-00009F000000}"/>
    <hyperlink ref="A77" r:id="rId151" xr:uid="{00000000-0004-0000-0B00-0000A0000000}"/>
    <hyperlink ref="C77" r:id="rId152" xr:uid="{00000000-0004-0000-0B00-0000A1000000}"/>
    <hyperlink ref="A78" r:id="rId153" xr:uid="{00000000-0004-0000-0B00-0000A2000000}"/>
    <hyperlink ref="C78" r:id="rId154" xr:uid="{00000000-0004-0000-0B00-0000A3000000}"/>
    <hyperlink ref="A79" r:id="rId155" xr:uid="{00000000-0004-0000-0B00-0000A4000000}"/>
    <hyperlink ref="C79" r:id="rId156" xr:uid="{00000000-0004-0000-0B00-0000A5000000}"/>
    <hyperlink ref="A80" r:id="rId157" xr:uid="{00000000-0004-0000-0B00-0000A6000000}"/>
    <hyperlink ref="C80" r:id="rId158" xr:uid="{00000000-0004-0000-0B00-0000A7000000}"/>
    <hyperlink ref="A81" r:id="rId159" xr:uid="{00000000-0004-0000-0B00-0000A8000000}"/>
    <hyperlink ref="C81" r:id="rId160" xr:uid="{00000000-0004-0000-0B00-0000A9000000}"/>
    <hyperlink ref="A82" r:id="rId161" xr:uid="{00000000-0004-0000-0B00-0000AA000000}"/>
    <hyperlink ref="C82" r:id="rId162" xr:uid="{00000000-0004-0000-0B00-0000AB000000}"/>
    <hyperlink ref="A83" r:id="rId163" xr:uid="{00000000-0004-0000-0B00-0000AC000000}"/>
    <hyperlink ref="C83" r:id="rId164" xr:uid="{00000000-0004-0000-0B00-0000AD000000}"/>
    <hyperlink ref="K83" location="'Main'!A1" display="Main" xr:uid="{00000000-0004-0000-0B00-0000AE000000}"/>
    <hyperlink ref="A84" r:id="rId165" xr:uid="{00000000-0004-0000-0B00-0000AF000000}"/>
    <hyperlink ref="C84" r:id="rId166" xr:uid="{00000000-0004-0000-0B00-0000B0000000}"/>
    <hyperlink ref="K84" location="'Main'!A1" display="Main" xr:uid="{00000000-0004-0000-0B00-0000B1000000}"/>
    <hyperlink ref="A85" r:id="rId167" xr:uid="{00000000-0004-0000-0B00-0000B2000000}"/>
    <hyperlink ref="C85" r:id="rId168" xr:uid="{00000000-0004-0000-0B00-0000B3000000}"/>
    <hyperlink ref="K85" location="'Main'!A1" display="Main" xr:uid="{00000000-0004-0000-0B00-0000B4000000}"/>
    <hyperlink ref="A86" r:id="rId169" xr:uid="{00000000-0004-0000-0B00-0000B5000000}"/>
    <hyperlink ref="C86" r:id="rId170" xr:uid="{00000000-0004-0000-0B00-0000B6000000}"/>
    <hyperlink ref="K86" location="'Main'!A1" display="Main" xr:uid="{00000000-0004-0000-0B00-0000B7000000}"/>
    <hyperlink ref="A87" r:id="rId171" xr:uid="{00000000-0004-0000-0B00-0000B8000000}"/>
    <hyperlink ref="C87" r:id="rId172" xr:uid="{00000000-0004-0000-0B00-0000B9000000}"/>
    <hyperlink ref="K87" location="'Main'!A1" display="Main" xr:uid="{00000000-0004-0000-0B00-0000BA000000}"/>
  </hyperlinks>
  <pageMargins left="0.75" right="0.75" top="1" bottom="1" header="0.5" footer="0.5"/>
  <legacyDrawing r:id="rId17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86"/>
  <sheetViews>
    <sheetView workbookViewId="0">
      <pane xSplit="2" ySplit="1" topLeftCell="C2" activePane="bottomRight" state="frozen"/>
      <selection pane="topRight"/>
      <selection pane="bottomLeft"/>
      <selection pane="bottomRight"/>
    </sheetView>
  </sheetViews>
  <sheetFormatPr defaultRowHeight="15" x14ac:dyDescent="0.25"/>
  <cols>
    <col min="1" max="1" width="60" customWidth="1"/>
    <col min="2" max="2" width="45" customWidth="1"/>
    <col min="3" max="3" width="13" customWidth="1"/>
    <col min="4" max="4" width="17" customWidth="1"/>
    <col min="5" max="5" width="19" customWidth="1"/>
    <col min="6" max="6" width="18" customWidth="1"/>
    <col min="7" max="7" width="24" customWidth="1"/>
    <col min="8" max="8" width="23" customWidth="1"/>
    <col min="9" max="9" width="40" customWidth="1"/>
    <col min="10" max="10" width="19" customWidth="1"/>
    <col min="11" max="11" width="22" customWidth="1"/>
    <col min="12" max="12" width="20" customWidth="1"/>
    <col min="13" max="13" width="21" customWidth="1"/>
    <col min="14" max="14" width="22" customWidth="1"/>
    <col min="15" max="15" width="20" customWidth="1"/>
    <col min="16" max="16" width="60" customWidth="1"/>
  </cols>
  <sheetData>
    <row r="1" spans="1:17" ht="45" x14ac:dyDescent="0.25">
      <c r="A1" s="26" t="s">
        <v>906</v>
      </c>
      <c r="B1" s="26" t="s">
        <v>423</v>
      </c>
      <c r="C1" s="26" t="s">
        <v>409</v>
      </c>
      <c r="D1" s="26" t="s">
        <v>907</v>
      </c>
      <c r="E1" s="26" t="s">
        <v>908</v>
      </c>
      <c r="F1" s="26" t="s">
        <v>909</v>
      </c>
      <c r="G1" s="26" t="s">
        <v>910</v>
      </c>
      <c r="H1" s="26" t="s">
        <v>911</v>
      </c>
      <c r="I1" s="26" t="s">
        <v>912</v>
      </c>
      <c r="J1" s="26" t="s">
        <v>913</v>
      </c>
      <c r="K1" s="26" t="s">
        <v>914</v>
      </c>
      <c r="L1" s="26" t="s">
        <v>915</v>
      </c>
      <c r="M1" s="26" t="s">
        <v>916</v>
      </c>
      <c r="N1" s="26" t="s">
        <v>917</v>
      </c>
      <c r="O1" s="26" t="s">
        <v>918</v>
      </c>
      <c r="P1" s="26" t="s">
        <v>919</v>
      </c>
      <c r="Q1" s="27" t="s">
        <v>87</v>
      </c>
    </row>
    <row r="2" spans="1:17" x14ac:dyDescent="0.25">
      <c r="A2" s="59" t="s">
        <v>166</v>
      </c>
      <c r="B2" s="32" t="s">
        <v>166</v>
      </c>
      <c r="C2" s="28">
        <v>200</v>
      </c>
      <c r="D2" s="28" t="b">
        <v>1</v>
      </c>
      <c r="E2" s="28" t="b">
        <v>1</v>
      </c>
      <c r="F2" s="28" t="s">
        <v>920</v>
      </c>
      <c r="G2" s="47" t="b">
        <v>0</v>
      </c>
      <c r="H2" s="32" t="b">
        <v>0</v>
      </c>
      <c r="I2" s="28" t="b">
        <v>0</v>
      </c>
      <c r="J2" s="60" t="b">
        <v>0</v>
      </c>
      <c r="K2" s="47" t="b">
        <v>0</v>
      </c>
      <c r="L2" s="47" t="b">
        <v>0</v>
      </c>
      <c r="M2" s="35" t="s">
        <v>921</v>
      </c>
      <c r="N2" s="28" t="s">
        <v>922</v>
      </c>
      <c r="O2" s="28" t="s">
        <v>923</v>
      </c>
      <c r="P2" s="28" t="s">
        <v>924</v>
      </c>
      <c r="Q2" s="36"/>
    </row>
    <row r="3" spans="1:17" ht="30" x14ac:dyDescent="0.25">
      <c r="A3" s="39" t="s">
        <v>925</v>
      </c>
      <c r="B3" s="39"/>
      <c r="C3" s="37"/>
      <c r="D3" s="37" t="b">
        <v>0</v>
      </c>
      <c r="E3" s="37" t="b">
        <v>1</v>
      </c>
      <c r="F3" s="37" t="s">
        <v>926</v>
      </c>
      <c r="G3" s="29" t="b">
        <v>1</v>
      </c>
      <c r="H3" s="39"/>
      <c r="I3" s="37"/>
      <c r="J3" s="60" t="b">
        <v>0</v>
      </c>
      <c r="K3" s="47" t="b">
        <v>0</v>
      </c>
      <c r="L3" s="47" t="b">
        <v>0</v>
      </c>
      <c r="M3" s="41" t="s">
        <v>927</v>
      </c>
      <c r="N3" s="37" t="s">
        <v>928</v>
      </c>
      <c r="O3" s="37" t="s">
        <v>929</v>
      </c>
      <c r="P3" s="37" t="s">
        <v>924</v>
      </c>
    </row>
    <row r="4" spans="1:17" x14ac:dyDescent="0.25">
      <c r="A4" s="32" t="s">
        <v>930</v>
      </c>
      <c r="B4" s="32"/>
      <c r="C4" s="28"/>
      <c r="D4" s="28" t="b">
        <v>0</v>
      </c>
      <c r="E4" s="28" t="b">
        <v>1</v>
      </c>
      <c r="F4" s="28" t="s">
        <v>926</v>
      </c>
      <c r="G4" s="29" t="b">
        <v>1</v>
      </c>
      <c r="H4" s="32"/>
      <c r="I4" s="28"/>
      <c r="J4" s="60" t="b">
        <v>0</v>
      </c>
      <c r="K4" s="47" t="b">
        <v>0</v>
      </c>
      <c r="L4" s="47" t="b">
        <v>0</v>
      </c>
      <c r="M4" s="35" t="s">
        <v>931</v>
      </c>
      <c r="N4" s="28" t="s">
        <v>928</v>
      </c>
      <c r="O4" s="28" t="s">
        <v>929</v>
      </c>
      <c r="P4" s="28" t="s">
        <v>924</v>
      </c>
      <c r="Q4" s="36"/>
    </row>
    <row r="5" spans="1:17" ht="30" x14ac:dyDescent="0.25">
      <c r="A5" s="39" t="s">
        <v>932</v>
      </c>
      <c r="B5" s="39"/>
      <c r="C5" s="37"/>
      <c r="D5" s="37" t="b">
        <v>0</v>
      </c>
      <c r="E5" s="37" t="b">
        <v>1</v>
      </c>
      <c r="F5" s="37" t="s">
        <v>926</v>
      </c>
      <c r="G5" s="29" t="b">
        <v>1</v>
      </c>
      <c r="H5" s="39"/>
      <c r="I5" s="37"/>
      <c r="J5" s="60" t="b">
        <v>0</v>
      </c>
      <c r="K5" s="47" t="b">
        <v>0</v>
      </c>
      <c r="L5" s="47" t="b">
        <v>0</v>
      </c>
      <c r="M5" s="41" t="s">
        <v>933</v>
      </c>
      <c r="N5" s="37" t="s">
        <v>928</v>
      </c>
      <c r="O5" s="37" t="s">
        <v>929</v>
      </c>
      <c r="P5" s="37" t="s">
        <v>924</v>
      </c>
    </row>
    <row r="6" spans="1:17" ht="30" x14ac:dyDescent="0.25">
      <c r="A6" s="32" t="s">
        <v>934</v>
      </c>
      <c r="B6" s="32"/>
      <c r="C6" s="28"/>
      <c r="D6" s="28" t="b">
        <v>0</v>
      </c>
      <c r="E6" s="28" t="b">
        <v>1</v>
      </c>
      <c r="F6" s="28" t="s">
        <v>926</v>
      </c>
      <c r="G6" s="29" t="b">
        <v>1</v>
      </c>
      <c r="H6" s="32"/>
      <c r="I6" s="28"/>
      <c r="J6" s="60" t="b">
        <v>0</v>
      </c>
      <c r="K6" s="47" t="b">
        <v>0</v>
      </c>
      <c r="L6" s="47" t="b">
        <v>0</v>
      </c>
      <c r="M6" s="35" t="s">
        <v>935</v>
      </c>
      <c r="N6" s="28" t="s">
        <v>928</v>
      </c>
      <c r="O6" s="28" t="s">
        <v>929</v>
      </c>
      <c r="P6" s="28" t="s">
        <v>924</v>
      </c>
      <c r="Q6" s="36"/>
    </row>
    <row r="7" spans="1:17" ht="30" x14ac:dyDescent="0.25">
      <c r="A7" s="39" t="s">
        <v>936</v>
      </c>
      <c r="B7" s="39"/>
      <c r="C7" s="37"/>
      <c r="D7" s="37" t="b">
        <v>0</v>
      </c>
      <c r="E7" s="37" t="b">
        <v>1</v>
      </c>
      <c r="F7" s="37" t="s">
        <v>926</v>
      </c>
      <c r="G7" s="29" t="b">
        <v>1</v>
      </c>
      <c r="H7" s="39"/>
      <c r="I7" s="37"/>
      <c r="J7" s="60" t="b">
        <v>0</v>
      </c>
      <c r="K7" s="47" t="b">
        <v>0</v>
      </c>
      <c r="L7" s="47" t="b">
        <v>0</v>
      </c>
      <c r="M7" s="41" t="s">
        <v>937</v>
      </c>
      <c r="N7" s="37" t="s">
        <v>928</v>
      </c>
      <c r="O7" s="37" t="s">
        <v>929</v>
      </c>
      <c r="P7" s="37" t="s">
        <v>924</v>
      </c>
    </row>
    <row r="8" spans="1:17" ht="30" x14ac:dyDescent="0.25">
      <c r="A8" s="32" t="s">
        <v>938</v>
      </c>
      <c r="B8" s="32"/>
      <c r="C8" s="28"/>
      <c r="D8" s="28" t="b">
        <v>0</v>
      </c>
      <c r="E8" s="28" t="b">
        <v>1</v>
      </c>
      <c r="F8" s="28" t="s">
        <v>926</v>
      </c>
      <c r="G8" s="29" t="b">
        <v>1</v>
      </c>
      <c r="H8" s="32"/>
      <c r="I8" s="28"/>
      <c r="J8" s="60" t="b">
        <v>0</v>
      </c>
      <c r="K8" s="47" t="b">
        <v>0</v>
      </c>
      <c r="L8" s="47" t="b">
        <v>0</v>
      </c>
      <c r="M8" s="35" t="s">
        <v>939</v>
      </c>
      <c r="N8" s="28" t="s">
        <v>928</v>
      </c>
      <c r="O8" s="28" t="s">
        <v>929</v>
      </c>
      <c r="P8" s="28" t="s">
        <v>924</v>
      </c>
      <c r="Q8" s="36"/>
    </row>
    <row r="9" spans="1:17" x14ac:dyDescent="0.25">
      <c r="A9" s="39" t="s">
        <v>940</v>
      </c>
      <c r="B9" s="39"/>
      <c r="C9" s="37"/>
      <c r="D9" s="37" t="b">
        <v>0</v>
      </c>
      <c r="E9" s="37" t="b">
        <v>1</v>
      </c>
      <c r="F9" s="37" t="s">
        <v>926</v>
      </c>
      <c r="G9" s="29" t="b">
        <v>1</v>
      </c>
      <c r="H9" s="39"/>
      <c r="I9" s="37"/>
      <c r="J9" s="60" t="b">
        <v>0</v>
      </c>
      <c r="K9" s="47" t="b">
        <v>0</v>
      </c>
      <c r="L9" s="47" t="b">
        <v>0</v>
      </c>
      <c r="M9" s="41" t="s">
        <v>941</v>
      </c>
      <c r="N9" s="37" t="s">
        <v>928</v>
      </c>
      <c r="O9" s="37" t="s">
        <v>929</v>
      </c>
      <c r="P9" s="37" t="s">
        <v>924</v>
      </c>
    </row>
    <row r="10" spans="1:17" x14ac:dyDescent="0.25">
      <c r="A10" s="32" t="s">
        <v>942</v>
      </c>
      <c r="B10" s="32"/>
      <c r="C10" s="28"/>
      <c r="D10" s="28" t="b">
        <v>0</v>
      </c>
      <c r="E10" s="28" t="b">
        <v>1</v>
      </c>
      <c r="F10" s="28" t="s">
        <v>926</v>
      </c>
      <c r="G10" s="29" t="b">
        <v>1</v>
      </c>
      <c r="H10" s="32"/>
      <c r="I10" s="28"/>
      <c r="J10" s="60" t="b">
        <v>0</v>
      </c>
      <c r="K10" s="47" t="b">
        <v>0</v>
      </c>
      <c r="L10" s="47" t="b">
        <v>0</v>
      </c>
      <c r="M10" s="35" t="s">
        <v>943</v>
      </c>
      <c r="N10" s="28" t="s">
        <v>928</v>
      </c>
      <c r="O10" s="28" t="s">
        <v>929</v>
      </c>
      <c r="P10" s="28" t="s">
        <v>924</v>
      </c>
      <c r="Q10" s="36"/>
    </row>
    <row r="11" spans="1:17" x14ac:dyDescent="0.25">
      <c r="A11" s="39" t="s">
        <v>944</v>
      </c>
      <c r="B11" s="39"/>
      <c r="C11" s="37"/>
      <c r="D11" s="37" t="b">
        <v>0</v>
      </c>
      <c r="E11" s="37" t="b">
        <v>1</v>
      </c>
      <c r="F11" s="37" t="s">
        <v>926</v>
      </c>
      <c r="G11" s="29" t="b">
        <v>1</v>
      </c>
      <c r="H11" s="39"/>
      <c r="I11" s="37"/>
      <c r="J11" s="60" t="b">
        <v>0</v>
      </c>
      <c r="K11" s="47" t="b">
        <v>0</v>
      </c>
      <c r="L11" s="47" t="b">
        <v>0</v>
      </c>
      <c r="M11" s="41" t="s">
        <v>945</v>
      </c>
      <c r="N11" s="37" t="s">
        <v>928</v>
      </c>
      <c r="O11" s="37" t="s">
        <v>929</v>
      </c>
      <c r="P11" s="37" t="s">
        <v>924</v>
      </c>
    </row>
    <row r="12" spans="1:17" x14ac:dyDescent="0.25">
      <c r="A12" s="32" t="s">
        <v>946</v>
      </c>
      <c r="B12" s="32"/>
      <c r="C12" s="28"/>
      <c r="D12" s="28" t="b">
        <v>0</v>
      </c>
      <c r="E12" s="28" t="b">
        <v>1</v>
      </c>
      <c r="F12" s="28" t="s">
        <v>926</v>
      </c>
      <c r="G12" s="29" t="b">
        <v>1</v>
      </c>
      <c r="H12" s="32"/>
      <c r="I12" s="28"/>
      <c r="J12" s="60" t="b">
        <v>0</v>
      </c>
      <c r="K12" s="47" t="b">
        <v>0</v>
      </c>
      <c r="L12" s="47" t="b">
        <v>0</v>
      </c>
      <c r="M12" s="35" t="s">
        <v>947</v>
      </c>
      <c r="N12" s="28" t="s">
        <v>928</v>
      </c>
      <c r="O12" s="28" t="s">
        <v>929</v>
      </c>
      <c r="P12" s="28" t="s">
        <v>924</v>
      </c>
      <c r="Q12" s="36"/>
    </row>
    <row r="13" spans="1:17" ht="30" customHeight="1" x14ac:dyDescent="0.25">
      <c r="A13" s="59" t="s">
        <v>948</v>
      </c>
      <c r="B13" s="39" t="s">
        <v>196</v>
      </c>
      <c r="C13" s="37">
        <v>200</v>
      </c>
      <c r="D13" s="37" t="b">
        <v>1</v>
      </c>
      <c r="E13" s="37" t="b">
        <v>1</v>
      </c>
      <c r="F13" s="37" t="s">
        <v>920</v>
      </c>
      <c r="G13" s="47" t="b">
        <v>0</v>
      </c>
      <c r="H13" s="39" t="b">
        <v>0</v>
      </c>
      <c r="I13" s="37" t="b">
        <v>0</v>
      </c>
      <c r="J13" s="60" t="b">
        <v>0</v>
      </c>
      <c r="K13" s="47" t="b">
        <v>0</v>
      </c>
      <c r="L13" s="47" t="b">
        <v>0</v>
      </c>
      <c r="M13" s="41" t="s">
        <v>949</v>
      </c>
      <c r="N13" s="37" t="s">
        <v>928</v>
      </c>
      <c r="O13" s="37" t="s">
        <v>929</v>
      </c>
      <c r="P13" s="37" t="s">
        <v>924</v>
      </c>
    </row>
    <row r="14" spans="1:17" x14ac:dyDescent="0.25">
      <c r="A14" s="32" t="s">
        <v>950</v>
      </c>
      <c r="B14" s="32"/>
      <c r="C14" s="28"/>
      <c r="D14" s="28" t="b">
        <v>0</v>
      </c>
      <c r="E14" s="28" t="b">
        <v>1</v>
      </c>
      <c r="F14" s="28" t="s">
        <v>926</v>
      </c>
      <c r="G14" s="29" t="b">
        <v>1</v>
      </c>
      <c r="H14" s="32"/>
      <c r="I14" s="28"/>
      <c r="J14" s="60" t="b">
        <v>0</v>
      </c>
      <c r="K14" s="47" t="b">
        <v>0</v>
      </c>
      <c r="L14" s="47" t="b">
        <v>0</v>
      </c>
      <c r="M14" s="35" t="s">
        <v>951</v>
      </c>
      <c r="N14" s="28" t="s">
        <v>928</v>
      </c>
      <c r="O14" s="28" t="s">
        <v>929</v>
      </c>
      <c r="P14" s="28" t="s">
        <v>924</v>
      </c>
      <c r="Q14" s="36"/>
    </row>
    <row r="15" spans="1:17" x14ac:dyDescent="0.25">
      <c r="A15" s="39" t="s">
        <v>952</v>
      </c>
      <c r="B15" s="39"/>
      <c r="C15" s="37"/>
      <c r="D15" s="37" t="b">
        <v>0</v>
      </c>
      <c r="E15" s="37" t="b">
        <v>1</v>
      </c>
      <c r="F15" s="37" t="s">
        <v>926</v>
      </c>
      <c r="G15" s="29" t="b">
        <v>1</v>
      </c>
      <c r="H15" s="39"/>
      <c r="I15" s="37"/>
      <c r="J15" s="60" t="b">
        <v>0</v>
      </c>
      <c r="K15" s="47" t="b">
        <v>0</v>
      </c>
      <c r="L15" s="47" t="b">
        <v>0</v>
      </c>
      <c r="M15" s="41" t="s">
        <v>953</v>
      </c>
      <c r="N15" s="37" t="s">
        <v>928</v>
      </c>
      <c r="O15" s="37" t="s">
        <v>929</v>
      </c>
      <c r="P15" s="37" t="s">
        <v>924</v>
      </c>
    </row>
    <row r="16" spans="1:17" ht="30" customHeight="1" x14ac:dyDescent="0.25">
      <c r="A16" s="59" t="s">
        <v>954</v>
      </c>
      <c r="B16" s="32" t="s">
        <v>199</v>
      </c>
      <c r="C16" s="28">
        <v>200</v>
      </c>
      <c r="D16" s="28" t="b">
        <v>1</v>
      </c>
      <c r="E16" s="28" t="b">
        <v>1</v>
      </c>
      <c r="F16" s="28" t="s">
        <v>920</v>
      </c>
      <c r="G16" s="47" t="b">
        <v>0</v>
      </c>
      <c r="H16" s="32" t="b">
        <v>0</v>
      </c>
      <c r="I16" s="28" t="b">
        <v>0</v>
      </c>
      <c r="J16" s="60" t="b">
        <v>0</v>
      </c>
      <c r="K16" s="47" t="b">
        <v>0</v>
      </c>
      <c r="L16" s="47" t="b">
        <v>0</v>
      </c>
      <c r="M16" s="35" t="s">
        <v>955</v>
      </c>
      <c r="N16" s="28" t="s">
        <v>928</v>
      </c>
      <c r="O16" s="28" t="s">
        <v>929</v>
      </c>
      <c r="P16" s="28" t="s">
        <v>924</v>
      </c>
      <c r="Q16" s="36"/>
    </row>
    <row r="17" spans="1:17" x14ac:dyDescent="0.25">
      <c r="A17" s="39" t="s">
        <v>956</v>
      </c>
      <c r="B17" s="39"/>
      <c r="C17" s="37"/>
      <c r="D17" s="37" t="b">
        <v>0</v>
      </c>
      <c r="E17" s="37" t="b">
        <v>1</v>
      </c>
      <c r="F17" s="37" t="s">
        <v>926</v>
      </c>
      <c r="G17" s="29" t="b">
        <v>1</v>
      </c>
      <c r="H17" s="39"/>
      <c r="I17" s="37"/>
      <c r="J17" s="60" t="b">
        <v>0</v>
      </c>
      <c r="K17" s="47" t="b">
        <v>0</v>
      </c>
      <c r="L17" s="47" t="b">
        <v>0</v>
      </c>
      <c r="M17" s="41" t="s">
        <v>957</v>
      </c>
      <c r="N17" s="37" t="s">
        <v>928</v>
      </c>
      <c r="O17" s="37" t="s">
        <v>929</v>
      </c>
      <c r="P17" s="37" t="s">
        <v>924</v>
      </c>
    </row>
    <row r="18" spans="1:17" x14ac:dyDescent="0.25">
      <c r="A18" s="32" t="s">
        <v>958</v>
      </c>
      <c r="B18" s="32"/>
      <c r="C18" s="28"/>
      <c r="D18" s="28" t="b">
        <v>0</v>
      </c>
      <c r="E18" s="28" t="b">
        <v>1</v>
      </c>
      <c r="F18" s="28" t="s">
        <v>926</v>
      </c>
      <c r="G18" s="29" t="b">
        <v>1</v>
      </c>
      <c r="H18" s="32"/>
      <c r="I18" s="28"/>
      <c r="J18" s="60" t="b">
        <v>0</v>
      </c>
      <c r="K18" s="47" t="b">
        <v>0</v>
      </c>
      <c r="L18" s="47" t="b">
        <v>0</v>
      </c>
      <c r="M18" s="35" t="s">
        <v>959</v>
      </c>
      <c r="N18" s="28" t="s">
        <v>928</v>
      </c>
      <c r="O18" s="28" t="s">
        <v>929</v>
      </c>
      <c r="P18" s="28" t="s">
        <v>924</v>
      </c>
      <c r="Q18" s="36"/>
    </row>
    <row r="19" spans="1:17" x14ac:dyDescent="0.25">
      <c r="A19" s="39" t="s">
        <v>960</v>
      </c>
      <c r="B19" s="39"/>
      <c r="C19" s="37"/>
      <c r="D19" s="37" t="b">
        <v>0</v>
      </c>
      <c r="E19" s="37" t="b">
        <v>1</v>
      </c>
      <c r="F19" s="37" t="s">
        <v>926</v>
      </c>
      <c r="G19" s="29" t="b">
        <v>1</v>
      </c>
      <c r="H19" s="39"/>
      <c r="I19" s="37"/>
      <c r="J19" s="60" t="b">
        <v>0</v>
      </c>
      <c r="K19" s="47" t="b">
        <v>0</v>
      </c>
      <c r="L19" s="47" t="b">
        <v>0</v>
      </c>
      <c r="M19" s="41" t="s">
        <v>961</v>
      </c>
      <c r="N19" s="37" t="s">
        <v>928</v>
      </c>
      <c r="O19" s="37" t="s">
        <v>929</v>
      </c>
      <c r="P19" s="37" t="s">
        <v>924</v>
      </c>
    </row>
    <row r="20" spans="1:17" ht="30" x14ac:dyDescent="0.25">
      <c r="A20" s="32" t="s">
        <v>962</v>
      </c>
      <c r="B20" s="32"/>
      <c r="C20" s="28"/>
      <c r="D20" s="28" t="b">
        <v>0</v>
      </c>
      <c r="E20" s="28" t="b">
        <v>1</v>
      </c>
      <c r="F20" s="28" t="s">
        <v>926</v>
      </c>
      <c r="G20" s="29" t="b">
        <v>1</v>
      </c>
      <c r="H20" s="32"/>
      <c r="I20" s="28"/>
      <c r="J20" s="60" t="b">
        <v>0</v>
      </c>
      <c r="K20" s="47" t="b">
        <v>0</v>
      </c>
      <c r="L20" s="47" t="b">
        <v>0</v>
      </c>
      <c r="M20" s="35" t="s">
        <v>963</v>
      </c>
      <c r="N20" s="28" t="s">
        <v>928</v>
      </c>
      <c r="O20" s="28" t="s">
        <v>929</v>
      </c>
      <c r="P20" s="28" t="s">
        <v>924</v>
      </c>
      <c r="Q20" s="36"/>
    </row>
    <row r="21" spans="1:17" ht="30" x14ac:dyDescent="0.25">
      <c r="A21" s="39" t="s">
        <v>964</v>
      </c>
      <c r="B21" s="39"/>
      <c r="C21" s="37"/>
      <c r="D21" s="37" t="b">
        <v>0</v>
      </c>
      <c r="E21" s="37" t="b">
        <v>1</v>
      </c>
      <c r="F21" s="37" t="s">
        <v>926</v>
      </c>
      <c r="G21" s="29" t="b">
        <v>1</v>
      </c>
      <c r="H21" s="39"/>
      <c r="I21" s="37"/>
      <c r="J21" s="60" t="b">
        <v>0</v>
      </c>
      <c r="K21" s="47" t="b">
        <v>0</v>
      </c>
      <c r="L21" s="47" t="b">
        <v>0</v>
      </c>
      <c r="M21" s="41" t="s">
        <v>965</v>
      </c>
      <c r="N21" s="37" t="s">
        <v>928</v>
      </c>
      <c r="O21" s="37" t="s">
        <v>929</v>
      </c>
      <c r="P21" s="37" t="s">
        <v>924</v>
      </c>
    </row>
    <row r="22" spans="1:17" ht="30" x14ac:dyDescent="0.25">
      <c r="A22" s="32" t="s">
        <v>966</v>
      </c>
      <c r="B22" s="32"/>
      <c r="C22" s="28"/>
      <c r="D22" s="28" t="b">
        <v>0</v>
      </c>
      <c r="E22" s="28" t="b">
        <v>1</v>
      </c>
      <c r="F22" s="28" t="s">
        <v>926</v>
      </c>
      <c r="G22" s="29" t="b">
        <v>1</v>
      </c>
      <c r="H22" s="32"/>
      <c r="I22" s="28"/>
      <c r="J22" s="60" t="b">
        <v>0</v>
      </c>
      <c r="K22" s="47" t="b">
        <v>0</v>
      </c>
      <c r="L22" s="47" t="b">
        <v>0</v>
      </c>
      <c r="M22" s="35" t="s">
        <v>967</v>
      </c>
      <c r="N22" s="28" t="s">
        <v>928</v>
      </c>
      <c r="O22" s="28" t="s">
        <v>929</v>
      </c>
      <c r="P22" s="28" t="s">
        <v>924</v>
      </c>
      <c r="Q22" s="36"/>
    </row>
    <row r="23" spans="1:17" ht="30" x14ac:dyDescent="0.25">
      <c r="A23" s="39" t="s">
        <v>968</v>
      </c>
      <c r="B23" s="39"/>
      <c r="C23" s="37"/>
      <c r="D23" s="37" t="b">
        <v>0</v>
      </c>
      <c r="E23" s="37" t="b">
        <v>1</v>
      </c>
      <c r="F23" s="37" t="s">
        <v>926</v>
      </c>
      <c r="G23" s="29" t="b">
        <v>1</v>
      </c>
      <c r="H23" s="39"/>
      <c r="I23" s="37"/>
      <c r="J23" s="60" t="b">
        <v>0</v>
      </c>
      <c r="K23" s="47" t="b">
        <v>0</v>
      </c>
      <c r="L23" s="47" t="b">
        <v>0</v>
      </c>
      <c r="M23" s="41" t="s">
        <v>969</v>
      </c>
      <c r="N23" s="37" t="s">
        <v>928</v>
      </c>
      <c r="O23" s="37" t="s">
        <v>929</v>
      </c>
      <c r="P23" s="37" t="s">
        <v>924</v>
      </c>
    </row>
    <row r="24" spans="1:17" ht="30" x14ac:dyDescent="0.25">
      <c r="A24" s="32" t="s">
        <v>970</v>
      </c>
      <c r="B24" s="32"/>
      <c r="C24" s="28"/>
      <c r="D24" s="28" t="b">
        <v>0</v>
      </c>
      <c r="E24" s="28" t="b">
        <v>1</v>
      </c>
      <c r="F24" s="28" t="s">
        <v>926</v>
      </c>
      <c r="G24" s="29" t="b">
        <v>1</v>
      </c>
      <c r="H24" s="32"/>
      <c r="I24" s="28"/>
      <c r="J24" s="60" t="b">
        <v>0</v>
      </c>
      <c r="K24" s="47" t="b">
        <v>0</v>
      </c>
      <c r="L24" s="47" t="b">
        <v>0</v>
      </c>
      <c r="M24" s="35" t="s">
        <v>971</v>
      </c>
      <c r="N24" s="28" t="s">
        <v>928</v>
      </c>
      <c r="O24" s="28" t="s">
        <v>929</v>
      </c>
      <c r="P24" s="28" t="s">
        <v>924</v>
      </c>
      <c r="Q24" s="36"/>
    </row>
    <row r="25" spans="1:17" ht="30" customHeight="1" x14ac:dyDescent="0.25">
      <c r="A25" s="59" t="s">
        <v>972</v>
      </c>
      <c r="B25" s="39" t="s">
        <v>198</v>
      </c>
      <c r="C25" s="37">
        <v>200</v>
      </c>
      <c r="D25" s="37" t="b">
        <v>1</v>
      </c>
      <c r="E25" s="37" t="b">
        <v>1</v>
      </c>
      <c r="F25" s="37" t="s">
        <v>920</v>
      </c>
      <c r="G25" s="47" t="b">
        <v>0</v>
      </c>
      <c r="H25" s="39" t="b">
        <v>0</v>
      </c>
      <c r="I25" s="37" t="b">
        <v>0</v>
      </c>
      <c r="J25" s="60" t="b">
        <v>0</v>
      </c>
      <c r="K25" s="47" t="b">
        <v>0</v>
      </c>
      <c r="L25" s="47" t="b">
        <v>0</v>
      </c>
      <c r="M25" s="41" t="s">
        <v>973</v>
      </c>
      <c r="N25" s="37" t="s">
        <v>928</v>
      </c>
      <c r="O25" s="37" t="s">
        <v>929</v>
      </c>
      <c r="P25" s="37" t="s">
        <v>924</v>
      </c>
    </row>
    <row r="26" spans="1:17" ht="30" x14ac:dyDescent="0.25">
      <c r="A26" s="32" t="s">
        <v>974</v>
      </c>
      <c r="B26" s="32"/>
      <c r="C26" s="28"/>
      <c r="D26" s="28" t="b">
        <v>0</v>
      </c>
      <c r="E26" s="28" t="b">
        <v>1</v>
      </c>
      <c r="F26" s="28" t="s">
        <v>926</v>
      </c>
      <c r="G26" s="29" t="b">
        <v>1</v>
      </c>
      <c r="H26" s="32"/>
      <c r="I26" s="28"/>
      <c r="J26" s="60" t="b">
        <v>0</v>
      </c>
      <c r="K26" s="47" t="b">
        <v>0</v>
      </c>
      <c r="L26" s="47" t="b">
        <v>0</v>
      </c>
      <c r="M26" s="35" t="s">
        <v>975</v>
      </c>
      <c r="N26" s="28" t="s">
        <v>928</v>
      </c>
      <c r="O26" s="28" t="s">
        <v>929</v>
      </c>
      <c r="P26" s="28" t="s">
        <v>924</v>
      </c>
      <c r="Q26" s="36"/>
    </row>
    <row r="27" spans="1:17" ht="30" x14ac:dyDescent="0.25">
      <c r="A27" s="39" t="s">
        <v>976</v>
      </c>
      <c r="B27" s="39"/>
      <c r="C27" s="37"/>
      <c r="D27" s="37" t="b">
        <v>0</v>
      </c>
      <c r="E27" s="37" t="b">
        <v>1</v>
      </c>
      <c r="F27" s="37" t="s">
        <v>926</v>
      </c>
      <c r="G27" s="29" t="b">
        <v>1</v>
      </c>
      <c r="H27" s="39"/>
      <c r="I27" s="37"/>
      <c r="J27" s="60" t="b">
        <v>0</v>
      </c>
      <c r="K27" s="47" t="b">
        <v>0</v>
      </c>
      <c r="L27" s="47" t="b">
        <v>0</v>
      </c>
      <c r="M27" s="41" t="s">
        <v>977</v>
      </c>
      <c r="N27" s="37" t="s">
        <v>928</v>
      </c>
      <c r="O27" s="37" t="s">
        <v>929</v>
      </c>
      <c r="P27" s="37" t="s">
        <v>924</v>
      </c>
    </row>
    <row r="28" spans="1:17" x14ac:dyDescent="0.25">
      <c r="A28" s="32" t="s">
        <v>978</v>
      </c>
      <c r="B28" s="32"/>
      <c r="C28" s="28"/>
      <c r="D28" s="28" t="b">
        <v>0</v>
      </c>
      <c r="E28" s="28" t="b">
        <v>1</v>
      </c>
      <c r="F28" s="28" t="s">
        <v>926</v>
      </c>
      <c r="G28" s="29" t="b">
        <v>1</v>
      </c>
      <c r="H28" s="32"/>
      <c r="I28" s="28"/>
      <c r="J28" s="60" t="b">
        <v>0</v>
      </c>
      <c r="K28" s="47" t="b">
        <v>0</v>
      </c>
      <c r="L28" s="47" t="b">
        <v>0</v>
      </c>
      <c r="M28" s="35" t="s">
        <v>979</v>
      </c>
      <c r="N28" s="28" t="s">
        <v>928</v>
      </c>
      <c r="O28" s="28" t="s">
        <v>929</v>
      </c>
      <c r="P28" s="28" t="s">
        <v>924</v>
      </c>
      <c r="Q28" s="36"/>
    </row>
    <row r="29" spans="1:17" ht="30" x14ac:dyDescent="0.25">
      <c r="A29" s="39" t="s">
        <v>980</v>
      </c>
      <c r="B29" s="39"/>
      <c r="C29" s="37"/>
      <c r="D29" s="37" t="b">
        <v>0</v>
      </c>
      <c r="E29" s="37" t="b">
        <v>1</v>
      </c>
      <c r="F29" s="37" t="s">
        <v>926</v>
      </c>
      <c r="G29" s="29" t="b">
        <v>1</v>
      </c>
      <c r="H29" s="39"/>
      <c r="I29" s="37"/>
      <c r="J29" s="60" t="b">
        <v>0</v>
      </c>
      <c r="K29" s="47" t="b">
        <v>0</v>
      </c>
      <c r="L29" s="47" t="b">
        <v>0</v>
      </c>
      <c r="M29" s="41" t="s">
        <v>981</v>
      </c>
      <c r="N29" s="37" t="s">
        <v>928</v>
      </c>
      <c r="O29" s="37" t="s">
        <v>929</v>
      </c>
      <c r="P29" s="37" t="s">
        <v>924</v>
      </c>
    </row>
    <row r="30" spans="1:17" ht="30" x14ac:dyDescent="0.25">
      <c r="A30" s="32" t="s">
        <v>982</v>
      </c>
      <c r="B30" s="32"/>
      <c r="C30" s="28"/>
      <c r="D30" s="28" t="b">
        <v>0</v>
      </c>
      <c r="E30" s="28" t="b">
        <v>1</v>
      </c>
      <c r="F30" s="28" t="s">
        <v>926</v>
      </c>
      <c r="G30" s="29" t="b">
        <v>1</v>
      </c>
      <c r="H30" s="32"/>
      <c r="I30" s="28"/>
      <c r="J30" s="60" t="b">
        <v>0</v>
      </c>
      <c r="K30" s="47" t="b">
        <v>0</v>
      </c>
      <c r="L30" s="47" t="b">
        <v>0</v>
      </c>
      <c r="M30" s="35" t="s">
        <v>983</v>
      </c>
      <c r="N30" s="28" t="s">
        <v>928</v>
      </c>
      <c r="O30" s="28" t="s">
        <v>929</v>
      </c>
      <c r="P30" s="28" t="s">
        <v>924</v>
      </c>
      <c r="Q30" s="36"/>
    </row>
    <row r="31" spans="1:17" ht="30" x14ac:dyDescent="0.25">
      <c r="A31" s="39" t="s">
        <v>984</v>
      </c>
      <c r="B31" s="39"/>
      <c r="C31" s="37"/>
      <c r="D31" s="37" t="b">
        <v>0</v>
      </c>
      <c r="E31" s="37" t="b">
        <v>1</v>
      </c>
      <c r="F31" s="37" t="s">
        <v>926</v>
      </c>
      <c r="G31" s="29" t="b">
        <v>1</v>
      </c>
      <c r="H31" s="39"/>
      <c r="I31" s="37"/>
      <c r="J31" s="60" t="b">
        <v>0</v>
      </c>
      <c r="K31" s="47" t="b">
        <v>0</v>
      </c>
      <c r="L31" s="47" t="b">
        <v>0</v>
      </c>
      <c r="M31" s="41" t="s">
        <v>985</v>
      </c>
      <c r="N31" s="37" t="s">
        <v>928</v>
      </c>
      <c r="O31" s="37" t="s">
        <v>929</v>
      </c>
      <c r="P31" s="37" t="s">
        <v>924</v>
      </c>
    </row>
    <row r="32" spans="1:17" x14ac:dyDescent="0.25">
      <c r="A32" s="32" t="s">
        <v>986</v>
      </c>
      <c r="B32" s="32"/>
      <c r="C32" s="28"/>
      <c r="D32" s="28" t="b">
        <v>0</v>
      </c>
      <c r="E32" s="28" t="b">
        <v>1</v>
      </c>
      <c r="F32" s="28" t="s">
        <v>926</v>
      </c>
      <c r="G32" s="29" t="b">
        <v>1</v>
      </c>
      <c r="H32" s="32"/>
      <c r="I32" s="28"/>
      <c r="J32" s="60" t="b">
        <v>0</v>
      </c>
      <c r="K32" s="47" t="b">
        <v>0</v>
      </c>
      <c r="L32" s="47" t="b">
        <v>0</v>
      </c>
      <c r="M32" s="35" t="s">
        <v>987</v>
      </c>
      <c r="N32" s="28" t="s">
        <v>928</v>
      </c>
      <c r="O32" s="28" t="s">
        <v>929</v>
      </c>
      <c r="P32" s="28" t="s">
        <v>924</v>
      </c>
      <c r="Q32" s="36"/>
    </row>
    <row r="33" spans="1:17" ht="30" customHeight="1" x14ac:dyDescent="0.25">
      <c r="A33" s="59" t="s">
        <v>988</v>
      </c>
      <c r="B33" s="39" t="s">
        <v>146</v>
      </c>
      <c r="C33" s="37">
        <v>200</v>
      </c>
      <c r="D33" s="37" t="b">
        <v>1</v>
      </c>
      <c r="E33" s="37" t="b">
        <v>1</v>
      </c>
      <c r="F33" s="37" t="s">
        <v>920</v>
      </c>
      <c r="G33" s="47" t="b">
        <v>0</v>
      </c>
      <c r="H33" s="39" t="b">
        <v>0</v>
      </c>
      <c r="I33" s="37" t="b">
        <v>0</v>
      </c>
      <c r="J33" s="60" t="b">
        <v>0</v>
      </c>
      <c r="K33" s="47" t="b">
        <v>0</v>
      </c>
      <c r="L33" s="47" t="b">
        <v>0</v>
      </c>
      <c r="M33" s="41" t="s">
        <v>989</v>
      </c>
      <c r="N33" s="37" t="s">
        <v>928</v>
      </c>
      <c r="O33" s="37" t="s">
        <v>929</v>
      </c>
      <c r="P33" s="37" t="s">
        <v>924</v>
      </c>
    </row>
    <row r="34" spans="1:17" x14ac:dyDescent="0.25">
      <c r="A34" s="32" t="s">
        <v>990</v>
      </c>
      <c r="B34" s="32"/>
      <c r="C34" s="28"/>
      <c r="D34" s="28" t="b">
        <v>0</v>
      </c>
      <c r="E34" s="28" t="b">
        <v>1</v>
      </c>
      <c r="F34" s="28" t="s">
        <v>926</v>
      </c>
      <c r="G34" s="29" t="b">
        <v>1</v>
      </c>
      <c r="H34" s="32"/>
      <c r="I34" s="28"/>
      <c r="J34" s="60" t="b">
        <v>0</v>
      </c>
      <c r="K34" s="47" t="b">
        <v>0</v>
      </c>
      <c r="L34" s="47" t="b">
        <v>0</v>
      </c>
      <c r="M34" s="35" t="s">
        <v>991</v>
      </c>
      <c r="N34" s="28" t="s">
        <v>928</v>
      </c>
      <c r="O34" s="28" t="s">
        <v>929</v>
      </c>
      <c r="P34" s="28" t="s">
        <v>924</v>
      </c>
      <c r="Q34" s="36"/>
    </row>
    <row r="35" spans="1:17" x14ac:dyDescent="0.25">
      <c r="A35" s="39" t="s">
        <v>992</v>
      </c>
      <c r="B35" s="39"/>
      <c r="C35" s="37"/>
      <c r="D35" s="37" t="b">
        <v>0</v>
      </c>
      <c r="E35" s="37" t="b">
        <v>1</v>
      </c>
      <c r="F35" s="37" t="s">
        <v>926</v>
      </c>
      <c r="G35" s="29" t="b">
        <v>1</v>
      </c>
      <c r="H35" s="39"/>
      <c r="I35" s="37"/>
      <c r="J35" s="60" t="b">
        <v>0</v>
      </c>
      <c r="K35" s="47" t="b">
        <v>0</v>
      </c>
      <c r="L35" s="47" t="b">
        <v>0</v>
      </c>
      <c r="M35" s="41" t="s">
        <v>993</v>
      </c>
      <c r="N35" s="37" t="s">
        <v>928</v>
      </c>
      <c r="O35" s="37" t="s">
        <v>929</v>
      </c>
      <c r="P35" s="37" t="s">
        <v>924</v>
      </c>
    </row>
    <row r="36" spans="1:17" ht="30" x14ac:dyDescent="0.25">
      <c r="A36" s="32" t="s">
        <v>994</v>
      </c>
      <c r="B36" s="32"/>
      <c r="C36" s="28"/>
      <c r="D36" s="28" t="b">
        <v>0</v>
      </c>
      <c r="E36" s="28" t="b">
        <v>1</v>
      </c>
      <c r="F36" s="28" t="s">
        <v>926</v>
      </c>
      <c r="G36" s="29" t="b">
        <v>1</v>
      </c>
      <c r="H36" s="32"/>
      <c r="I36" s="28"/>
      <c r="J36" s="60" t="b">
        <v>0</v>
      </c>
      <c r="K36" s="47" t="b">
        <v>0</v>
      </c>
      <c r="L36" s="47" t="b">
        <v>0</v>
      </c>
      <c r="M36" s="35" t="s">
        <v>995</v>
      </c>
      <c r="N36" s="28" t="s">
        <v>928</v>
      </c>
      <c r="O36" s="28" t="s">
        <v>929</v>
      </c>
      <c r="P36" s="28" t="s">
        <v>924</v>
      </c>
      <c r="Q36" s="36"/>
    </row>
    <row r="37" spans="1:17" ht="30" x14ac:dyDescent="0.25">
      <c r="A37" s="39" t="s">
        <v>996</v>
      </c>
      <c r="B37" s="39"/>
      <c r="C37" s="37"/>
      <c r="D37" s="37" t="b">
        <v>0</v>
      </c>
      <c r="E37" s="37" t="b">
        <v>1</v>
      </c>
      <c r="F37" s="37" t="s">
        <v>926</v>
      </c>
      <c r="G37" s="29" t="b">
        <v>1</v>
      </c>
      <c r="H37" s="39"/>
      <c r="I37" s="37"/>
      <c r="J37" s="60" t="b">
        <v>0</v>
      </c>
      <c r="K37" s="47" t="b">
        <v>0</v>
      </c>
      <c r="L37" s="47" t="b">
        <v>0</v>
      </c>
      <c r="M37" s="41" t="s">
        <v>997</v>
      </c>
      <c r="N37" s="37" t="s">
        <v>928</v>
      </c>
      <c r="O37" s="37" t="s">
        <v>929</v>
      </c>
      <c r="P37" s="37" t="s">
        <v>924</v>
      </c>
    </row>
    <row r="38" spans="1:17" ht="30" x14ac:dyDescent="0.25">
      <c r="A38" s="32" t="s">
        <v>998</v>
      </c>
      <c r="B38" s="32"/>
      <c r="C38" s="28"/>
      <c r="D38" s="28" t="b">
        <v>0</v>
      </c>
      <c r="E38" s="28" t="b">
        <v>1</v>
      </c>
      <c r="F38" s="28" t="s">
        <v>926</v>
      </c>
      <c r="G38" s="29" t="b">
        <v>1</v>
      </c>
      <c r="H38" s="32"/>
      <c r="I38" s="28"/>
      <c r="J38" s="60" t="b">
        <v>0</v>
      </c>
      <c r="K38" s="47" t="b">
        <v>0</v>
      </c>
      <c r="L38" s="47" t="b">
        <v>0</v>
      </c>
      <c r="M38" s="35" t="s">
        <v>999</v>
      </c>
      <c r="N38" s="28" t="s">
        <v>928</v>
      </c>
      <c r="O38" s="28" t="s">
        <v>929</v>
      </c>
      <c r="P38" s="28" t="s">
        <v>924</v>
      </c>
      <c r="Q38" s="36"/>
    </row>
    <row r="39" spans="1:17" ht="30" x14ac:dyDescent="0.25">
      <c r="A39" s="39" t="s">
        <v>1000</v>
      </c>
      <c r="B39" s="39"/>
      <c r="C39" s="37"/>
      <c r="D39" s="37" t="b">
        <v>0</v>
      </c>
      <c r="E39" s="37" t="b">
        <v>1</v>
      </c>
      <c r="F39" s="37" t="s">
        <v>926</v>
      </c>
      <c r="G39" s="29" t="b">
        <v>1</v>
      </c>
      <c r="H39" s="39"/>
      <c r="I39" s="37"/>
      <c r="J39" s="60" t="b">
        <v>0</v>
      </c>
      <c r="K39" s="47" t="b">
        <v>0</v>
      </c>
      <c r="L39" s="47" t="b">
        <v>0</v>
      </c>
      <c r="M39" s="41" t="s">
        <v>1001</v>
      </c>
      <c r="N39" s="37" t="s">
        <v>928</v>
      </c>
      <c r="O39" s="37" t="s">
        <v>929</v>
      </c>
      <c r="P39" s="37" t="s">
        <v>924</v>
      </c>
    </row>
    <row r="40" spans="1:17" ht="30" x14ac:dyDescent="0.25">
      <c r="A40" s="32" t="s">
        <v>1002</v>
      </c>
      <c r="B40" s="32"/>
      <c r="C40" s="28"/>
      <c r="D40" s="28" t="b">
        <v>0</v>
      </c>
      <c r="E40" s="28" t="b">
        <v>1</v>
      </c>
      <c r="F40" s="28" t="s">
        <v>926</v>
      </c>
      <c r="G40" s="29" t="b">
        <v>1</v>
      </c>
      <c r="H40" s="32"/>
      <c r="I40" s="28"/>
      <c r="J40" s="60" t="b">
        <v>0</v>
      </c>
      <c r="K40" s="47" t="b">
        <v>0</v>
      </c>
      <c r="L40" s="47" t="b">
        <v>0</v>
      </c>
      <c r="M40" s="35" t="s">
        <v>1003</v>
      </c>
      <c r="N40" s="28" t="s">
        <v>928</v>
      </c>
      <c r="O40" s="28" t="s">
        <v>929</v>
      </c>
      <c r="P40" s="28" t="s">
        <v>924</v>
      </c>
      <c r="Q40" s="36"/>
    </row>
    <row r="41" spans="1:17" ht="30" customHeight="1" x14ac:dyDescent="0.25">
      <c r="A41" s="59" t="s">
        <v>1004</v>
      </c>
      <c r="B41" s="39" t="s">
        <v>138</v>
      </c>
      <c r="C41" s="37">
        <v>200</v>
      </c>
      <c r="D41" s="37" t="b">
        <v>1</v>
      </c>
      <c r="E41" s="37" t="b">
        <v>1</v>
      </c>
      <c r="F41" s="37" t="s">
        <v>920</v>
      </c>
      <c r="G41" s="47" t="b">
        <v>0</v>
      </c>
      <c r="H41" s="39" t="b">
        <v>0</v>
      </c>
      <c r="I41" s="37" t="b">
        <v>0</v>
      </c>
      <c r="J41" s="60" t="b">
        <v>0</v>
      </c>
      <c r="K41" s="47" t="b">
        <v>0</v>
      </c>
      <c r="L41" s="47" t="b">
        <v>0</v>
      </c>
      <c r="M41" s="41" t="s">
        <v>1005</v>
      </c>
      <c r="N41" s="37" t="s">
        <v>928</v>
      </c>
      <c r="O41" s="37" t="s">
        <v>929</v>
      </c>
      <c r="P41" s="37" t="s">
        <v>924</v>
      </c>
    </row>
    <row r="42" spans="1:17" ht="30" customHeight="1" x14ac:dyDescent="0.25">
      <c r="A42" s="59" t="s">
        <v>1006</v>
      </c>
      <c r="B42" s="32" t="s">
        <v>200</v>
      </c>
      <c r="C42" s="28">
        <v>200</v>
      </c>
      <c r="D42" s="28" t="b">
        <v>1</v>
      </c>
      <c r="E42" s="28" t="b">
        <v>1</v>
      </c>
      <c r="F42" s="28" t="s">
        <v>920</v>
      </c>
      <c r="G42" s="47" t="b">
        <v>0</v>
      </c>
      <c r="H42" s="32" t="b">
        <v>0</v>
      </c>
      <c r="I42" s="28" t="b">
        <v>0</v>
      </c>
      <c r="J42" s="60" t="b">
        <v>0</v>
      </c>
      <c r="K42" s="47" t="b">
        <v>0</v>
      </c>
      <c r="L42" s="47" t="b">
        <v>0</v>
      </c>
      <c r="M42" s="35" t="s">
        <v>1007</v>
      </c>
      <c r="N42" s="28" t="s">
        <v>928</v>
      </c>
      <c r="O42" s="28" t="s">
        <v>929</v>
      </c>
      <c r="P42" s="28" t="s">
        <v>924</v>
      </c>
      <c r="Q42" s="36"/>
    </row>
    <row r="43" spans="1:17" ht="30" x14ac:dyDescent="0.25">
      <c r="A43" s="39" t="s">
        <v>1008</v>
      </c>
      <c r="B43" s="39"/>
      <c r="C43" s="37"/>
      <c r="D43" s="37" t="b">
        <v>0</v>
      </c>
      <c r="E43" s="37" t="b">
        <v>1</v>
      </c>
      <c r="F43" s="37" t="s">
        <v>926</v>
      </c>
      <c r="G43" s="29" t="b">
        <v>1</v>
      </c>
      <c r="H43" s="39"/>
      <c r="I43" s="37"/>
      <c r="J43" s="60" t="b">
        <v>0</v>
      </c>
      <c r="K43" s="47" t="b">
        <v>0</v>
      </c>
      <c r="L43" s="47" t="b">
        <v>0</v>
      </c>
      <c r="M43" s="41" t="s">
        <v>1009</v>
      </c>
      <c r="N43" s="37" t="s">
        <v>928</v>
      </c>
      <c r="O43" s="37" t="s">
        <v>929</v>
      </c>
      <c r="P43" s="37" t="s">
        <v>924</v>
      </c>
    </row>
    <row r="44" spans="1:17" ht="30" x14ac:dyDescent="0.25">
      <c r="A44" s="32" t="s">
        <v>1010</v>
      </c>
      <c r="B44" s="32"/>
      <c r="C44" s="28"/>
      <c r="D44" s="28" t="b">
        <v>0</v>
      </c>
      <c r="E44" s="28" t="b">
        <v>1</v>
      </c>
      <c r="F44" s="28" t="s">
        <v>926</v>
      </c>
      <c r="G44" s="29" t="b">
        <v>1</v>
      </c>
      <c r="H44" s="32"/>
      <c r="I44" s="28"/>
      <c r="J44" s="60" t="b">
        <v>0</v>
      </c>
      <c r="K44" s="47" t="b">
        <v>0</v>
      </c>
      <c r="L44" s="47" t="b">
        <v>0</v>
      </c>
      <c r="M44" s="35" t="s">
        <v>1011</v>
      </c>
      <c r="N44" s="28" t="s">
        <v>928</v>
      </c>
      <c r="O44" s="28" t="s">
        <v>929</v>
      </c>
      <c r="P44" s="28" t="s">
        <v>924</v>
      </c>
      <c r="Q44" s="36"/>
    </row>
    <row r="45" spans="1:17" ht="30" x14ac:dyDescent="0.25">
      <c r="A45" s="39" t="s">
        <v>1012</v>
      </c>
      <c r="B45" s="39"/>
      <c r="C45" s="37"/>
      <c r="D45" s="37" t="b">
        <v>0</v>
      </c>
      <c r="E45" s="37" t="b">
        <v>1</v>
      </c>
      <c r="F45" s="37" t="s">
        <v>926</v>
      </c>
      <c r="G45" s="29" t="b">
        <v>1</v>
      </c>
      <c r="H45" s="39"/>
      <c r="I45" s="37"/>
      <c r="J45" s="60" t="b">
        <v>0</v>
      </c>
      <c r="K45" s="47" t="b">
        <v>0</v>
      </c>
      <c r="L45" s="47" t="b">
        <v>0</v>
      </c>
      <c r="M45" s="41" t="s">
        <v>1013</v>
      </c>
      <c r="N45" s="37" t="s">
        <v>928</v>
      </c>
      <c r="O45" s="37" t="s">
        <v>929</v>
      </c>
      <c r="P45" s="37" t="s">
        <v>924</v>
      </c>
    </row>
    <row r="46" spans="1:17" ht="30" x14ac:dyDescent="0.25">
      <c r="A46" s="32" t="s">
        <v>1014</v>
      </c>
      <c r="B46" s="32"/>
      <c r="C46" s="28"/>
      <c r="D46" s="28" t="b">
        <v>0</v>
      </c>
      <c r="E46" s="28" t="b">
        <v>1</v>
      </c>
      <c r="F46" s="28" t="s">
        <v>926</v>
      </c>
      <c r="G46" s="29" t="b">
        <v>1</v>
      </c>
      <c r="H46" s="32"/>
      <c r="I46" s="28"/>
      <c r="J46" s="60" t="b">
        <v>0</v>
      </c>
      <c r="K46" s="47" t="b">
        <v>0</v>
      </c>
      <c r="L46" s="47" t="b">
        <v>0</v>
      </c>
      <c r="M46" s="35" t="s">
        <v>1015</v>
      </c>
      <c r="N46" s="28" t="s">
        <v>928</v>
      </c>
      <c r="O46" s="28" t="s">
        <v>929</v>
      </c>
      <c r="P46" s="28" t="s">
        <v>924</v>
      </c>
      <c r="Q46" s="36"/>
    </row>
    <row r="47" spans="1:17" ht="30" x14ac:dyDescent="0.25">
      <c r="A47" s="39" t="s">
        <v>1016</v>
      </c>
      <c r="B47" s="39"/>
      <c r="C47" s="37"/>
      <c r="D47" s="37" t="b">
        <v>0</v>
      </c>
      <c r="E47" s="37" t="b">
        <v>1</v>
      </c>
      <c r="F47" s="37" t="s">
        <v>926</v>
      </c>
      <c r="G47" s="29" t="b">
        <v>1</v>
      </c>
      <c r="H47" s="39"/>
      <c r="I47" s="37"/>
      <c r="J47" s="60" t="b">
        <v>0</v>
      </c>
      <c r="K47" s="47" t="b">
        <v>0</v>
      </c>
      <c r="L47" s="47" t="b">
        <v>0</v>
      </c>
      <c r="M47" s="41" t="s">
        <v>1017</v>
      </c>
      <c r="N47" s="37" t="s">
        <v>928</v>
      </c>
      <c r="O47" s="37" t="s">
        <v>929</v>
      </c>
      <c r="P47" s="37" t="s">
        <v>924</v>
      </c>
    </row>
    <row r="48" spans="1:17" ht="30" x14ac:dyDescent="0.25">
      <c r="A48" s="32" t="s">
        <v>1018</v>
      </c>
      <c r="B48" s="32"/>
      <c r="C48" s="28"/>
      <c r="D48" s="28" t="b">
        <v>0</v>
      </c>
      <c r="E48" s="28" t="b">
        <v>1</v>
      </c>
      <c r="F48" s="28" t="s">
        <v>926</v>
      </c>
      <c r="G48" s="29" t="b">
        <v>1</v>
      </c>
      <c r="H48" s="32"/>
      <c r="I48" s="28"/>
      <c r="J48" s="60" t="b">
        <v>0</v>
      </c>
      <c r="K48" s="47" t="b">
        <v>0</v>
      </c>
      <c r="L48" s="47" t="b">
        <v>0</v>
      </c>
      <c r="M48" s="35" t="s">
        <v>1019</v>
      </c>
      <c r="N48" s="28" t="s">
        <v>928</v>
      </c>
      <c r="O48" s="28" t="s">
        <v>929</v>
      </c>
      <c r="P48" s="28" t="s">
        <v>924</v>
      </c>
      <c r="Q48" s="36"/>
    </row>
    <row r="49" spans="1:17" ht="30" x14ac:dyDescent="0.25">
      <c r="A49" s="39" t="s">
        <v>1020</v>
      </c>
      <c r="B49" s="39"/>
      <c r="C49" s="37"/>
      <c r="D49" s="37" t="b">
        <v>0</v>
      </c>
      <c r="E49" s="37" t="b">
        <v>1</v>
      </c>
      <c r="F49" s="37" t="s">
        <v>926</v>
      </c>
      <c r="G49" s="29" t="b">
        <v>1</v>
      </c>
      <c r="H49" s="39"/>
      <c r="I49" s="37"/>
      <c r="J49" s="60" t="b">
        <v>0</v>
      </c>
      <c r="K49" s="47" t="b">
        <v>0</v>
      </c>
      <c r="L49" s="47" t="b">
        <v>0</v>
      </c>
      <c r="M49" s="41" t="s">
        <v>1021</v>
      </c>
      <c r="N49" s="37" t="s">
        <v>928</v>
      </c>
      <c r="O49" s="37" t="s">
        <v>929</v>
      </c>
      <c r="P49" s="37" t="s">
        <v>924</v>
      </c>
    </row>
    <row r="50" spans="1:17" ht="30" x14ac:dyDescent="0.25">
      <c r="A50" s="32" t="s">
        <v>1022</v>
      </c>
      <c r="B50" s="32"/>
      <c r="C50" s="28"/>
      <c r="D50" s="28" t="b">
        <v>0</v>
      </c>
      <c r="E50" s="28" t="b">
        <v>1</v>
      </c>
      <c r="F50" s="28" t="s">
        <v>926</v>
      </c>
      <c r="G50" s="29" t="b">
        <v>1</v>
      </c>
      <c r="H50" s="32"/>
      <c r="I50" s="28"/>
      <c r="J50" s="60" t="b">
        <v>0</v>
      </c>
      <c r="K50" s="47" t="b">
        <v>0</v>
      </c>
      <c r="L50" s="47" t="b">
        <v>0</v>
      </c>
      <c r="M50" s="35" t="s">
        <v>1023</v>
      </c>
      <c r="N50" s="28" t="s">
        <v>928</v>
      </c>
      <c r="O50" s="28" t="s">
        <v>929</v>
      </c>
      <c r="P50" s="28" t="s">
        <v>924</v>
      </c>
      <c r="Q50" s="36"/>
    </row>
    <row r="51" spans="1:17" ht="30" x14ac:dyDescent="0.25">
      <c r="A51" s="39" t="s">
        <v>1024</v>
      </c>
      <c r="B51" s="39"/>
      <c r="C51" s="37"/>
      <c r="D51" s="37" t="b">
        <v>0</v>
      </c>
      <c r="E51" s="37" t="b">
        <v>1</v>
      </c>
      <c r="F51" s="37" t="s">
        <v>926</v>
      </c>
      <c r="G51" s="29" t="b">
        <v>1</v>
      </c>
      <c r="H51" s="39"/>
      <c r="I51" s="37"/>
      <c r="J51" s="60" t="b">
        <v>0</v>
      </c>
      <c r="K51" s="47" t="b">
        <v>0</v>
      </c>
      <c r="L51" s="47" t="b">
        <v>0</v>
      </c>
      <c r="M51" s="41" t="s">
        <v>1025</v>
      </c>
      <c r="N51" s="37" t="s">
        <v>928</v>
      </c>
      <c r="O51" s="37" t="s">
        <v>929</v>
      </c>
      <c r="P51" s="37" t="s">
        <v>924</v>
      </c>
    </row>
    <row r="52" spans="1:17" ht="30" x14ac:dyDescent="0.25">
      <c r="A52" s="32" t="s">
        <v>1026</v>
      </c>
      <c r="B52" s="32"/>
      <c r="C52" s="28"/>
      <c r="D52" s="28" t="b">
        <v>0</v>
      </c>
      <c r="E52" s="28" t="b">
        <v>1</v>
      </c>
      <c r="F52" s="28" t="s">
        <v>926</v>
      </c>
      <c r="G52" s="29" t="b">
        <v>1</v>
      </c>
      <c r="H52" s="32"/>
      <c r="I52" s="28"/>
      <c r="J52" s="60" t="b">
        <v>0</v>
      </c>
      <c r="K52" s="47" t="b">
        <v>0</v>
      </c>
      <c r="L52" s="47" t="b">
        <v>0</v>
      </c>
      <c r="M52" s="35" t="s">
        <v>1027</v>
      </c>
      <c r="N52" s="28" t="s">
        <v>928</v>
      </c>
      <c r="O52" s="28" t="s">
        <v>929</v>
      </c>
      <c r="P52" s="28" t="s">
        <v>924</v>
      </c>
      <c r="Q52" s="36"/>
    </row>
    <row r="53" spans="1:17" ht="30" x14ac:dyDescent="0.25">
      <c r="A53" s="39" t="s">
        <v>1028</v>
      </c>
      <c r="B53" s="39"/>
      <c r="C53" s="37"/>
      <c r="D53" s="37" t="b">
        <v>0</v>
      </c>
      <c r="E53" s="37" t="b">
        <v>1</v>
      </c>
      <c r="F53" s="37" t="s">
        <v>926</v>
      </c>
      <c r="G53" s="29" t="b">
        <v>1</v>
      </c>
      <c r="H53" s="39"/>
      <c r="I53" s="37"/>
      <c r="J53" s="60" t="b">
        <v>0</v>
      </c>
      <c r="K53" s="47" t="b">
        <v>0</v>
      </c>
      <c r="L53" s="47" t="b">
        <v>0</v>
      </c>
      <c r="M53" s="41" t="s">
        <v>1029</v>
      </c>
      <c r="N53" s="37" t="s">
        <v>928</v>
      </c>
      <c r="O53" s="37" t="s">
        <v>929</v>
      </c>
      <c r="P53" s="37" t="s">
        <v>924</v>
      </c>
    </row>
    <row r="54" spans="1:17" x14ac:dyDescent="0.25">
      <c r="A54" s="32" t="s">
        <v>1030</v>
      </c>
      <c r="B54" s="32"/>
      <c r="C54" s="28"/>
      <c r="D54" s="28" t="b">
        <v>0</v>
      </c>
      <c r="E54" s="28" t="b">
        <v>1</v>
      </c>
      <c r="F54" s="28" t="s">
        <v>926</v>
      </c>
      <c r="G54" s="29" t="b">
        <v>1</v>
      </c>
      <c r="H54" s="32"/>
      <c r="I54" s="28"/>
      <c r="J54" s="60" t="b">
        <v>0</v>
      </c>
      <c r="K54" s="47" t="b">
        <v>0</v>
      </c>
      <c r="L54" s="47" t="b">
        <v>0</v>
      </c>
      <c r="M54" s="35" t="s">
        <v>1031</v>
      </c>
      <c r="N54" s="28" t="s">
        <v>928</v>
      </c>
      <c r="O54" s="28" t="s">
        <v>929</v>
      </c>
      <c r="P54" s="28" t="s">
        <v>924</v>
      </c>
      <c r="Q54" s="36"/>
    </row>
    <row r="55" spans="1:17" x14ac:dyDescent="0.25">
      <c r="A55" s="39" t="s">
        <v>1032</v>
      </c>
      <c r="B55" s="39"/>
      <c r="C55" s="37"/>
      <c r="D55" s="37" t="b">
        <v>0</v>
      </c>
      <c r="E55" s="37" t="b">
        <v>1</v>
      </c>
      <c r="F55" s="37" t="s">
        <v>926</v>
      </c>
      <c r="G55" s="29" t="b">
        <v>1</v>
      </c>
      <c r="H55" s="39"/>
      <c r="I55" s="37"/>
      <c r="J55" s="60" t="b">
        <v>0</v>
      </c>
      <c r="K55" s="47" t="b">
        <v>0</v>
      </c>
      <c r="L55" s="47" t="b">
        <v>0</v>
      </c>
      <c r="M55" s="41" t="s">
        <v>1033</v>
      </c>
      <c r="N55" s="37" t="s">
        <v>928</v>
      </c>
      <c r="O55" s="37" t="s">
        <v>929</v>
      </c>
      <c r="P55" s="37" t="s">
        <v>924</v>
      </c>
    </row>
    <row r="56" spans="1:17" ht="30" x14ac:dyDescent="0.25">
      <c r="A56" s="32" t="s">
        <v>1034</v>
      </c>
      <c r="B56" s="32"/>
      <c r="C56" s="28"/>
      <c r="D56" s="28" t="b">
        <v>0</v>
      </c>
      <c r="E56" s="28" t="b">
        <v>1</v>
      </c>
      <c r="F56" s="28" t="s">
        <v>926</v>
      </c>
      <c r="G56" s="29" t="b">
        <v>1</v>
      </c>
      <c r="H56" s="32"/>
      <c r="I56" s="28"/>
      <c r="J56" s="60" t="b">
        <v>0</v>
      </c>
      <c r="K56" s="47" t="b">
        <v>0</v>
      </c>
      <c r="L56" s="47" t="b">
        <v>0</v>
      </c>
      <c r="M56" s="35" t="s">
        <v>1035</v>
      </c>
      <c r="N56" s="28" t="s">
        <v>928</v>
      </c>
      <c r="O56" s="28" t="s">
        <v>929</v>
      </c>
      <c r="P56" s="28" t="s">
        <v>924</v>
      </c>
      <c r="Q56" s="36"/>
    </row>
    <row r="57" spans="1:17" ht="30" x14ac:dyDescent="0.25">
      <c r="A57" s="39" t="s">
        <v>1036</v>
      </c>
      <c r="B57" s="39"/>
      <c r="C57" s="37"/>
      <c r="D57" s="37" t="b">
        <v>0</v>
      </c>
      <c r="E57" s="37" t="b">
        <v>1</v>
      </c>
      <c r="F57" s="37" t="s">
        <v>926</v>
      </c>
      <c r="G57" s="29" t="b">
        <v>1</v>
      </c>
      <c r="H57" s="39"/>
      <c r="I57" s="37"/>
      <c r="J57" s="60" t="b">
        <v>0</v>
      </c>
      <c r="K57" s="47" t="b">
        <v>0</v>
      </c>
      <c r="L57" s="47" t="b">
        <v>0</v>
      </c>
      <c r="M57" s="41" t="s">
        <v>1037</v>
      </c>
      <c r="N57" s="37" t="s">
        <v>928</v>
      </c>
      <c r="O57" s="37" t="s">
        <v>929</v>
      </c>
      <c r="P57" s="37" t="s">
        <v>924</v>
      </c>
    </row>
    <row r="58" spans="1:17" x14ac:dyDescent="0.25">
      <c r="A58" s="32" t="s">
        <v>1038</v>
      </c>
      <c r="B58" s="32"/>
      <c r="C58" s="28"/>
      <c r="D58" s="28" t="b">
        <v>0</v>
      </c>
      <c r="E58" s="28" t="b">
        <v>1</v>
      </c>
      <c r="F58" s="28" t="s">
        <v>926</v>
      </c>
      <c r="G58" s="29" t="b">
        <v>1</v>
      </c>
      <c r="H58" s="32"/>
      <c r="I58" s="28"/>
      <c r="J58" s="60" t="b">
        <v>0</v>
      </c>
      <c r="K58" s="47" t="b">
        <v>0</v>
      </c>
      <c r="L58" s="47" t="b">
        <v>0</v>
      </c>
      <c r="M58" s="35" t="s">
        <v>1039</v>
      </c>
      <c r="N58" s="28" t="s">
        <v>928</v>
      </c>
      <c r="O58" s="28" t="s">
        <v>929</v>
      </c>
      <c r="P58" s="28" t="s">
        <v>924</v>
      </c>
      <c r="Q58" s="36"/>
    </row>
    <row r="59" spans="1:17" ht="30" x14ac:dyDescent="0.25">
      <c r="A59" s="39" t="s">
        <v>1040</v>
      </c>
      <c r="B59" s="39"/>
      <c r="C59" s="37"/>
      <c r="D59" s="37" t="b">
        <v>0</v>
      </c>
      <c r="E59" s="37" t="b">
        <v>1</v>
      </c>
      <c r="F59" s="37" t="s">
        <v>926</v>
      </c>
      <c r="G59" s="29" t="b">
        <v>1</v>
      </c>
      <c r="H59" s="39"/>
      <c r="I59" s="37"/>
      <c r="J59" s="60" t="b">
        <v>0</v>
      </c>
      <c r="K59" s="47" t="b">
        <v>0</v>
      </c>
      <c r="L59" s="47" t="b">
        <v>0</v>
      </c>
      <c r="M59" s="41" t="s">
        <v>1041</v>
      </c>
      <c r="N59" s="37" t="s">
        <v>928</v>
      </c>
      <c r="O59" s="37" t="s">
        <v>929</v>
      </c>
      <c r="P59" s="37" t="s">
        <v>924</v>
      </c>
    </row>
    <row r="60" spans="1:17" ht="30" x14ac:dyDescent="0.25">
      <c r="A60" s="32" t="s">
        <v>1042</v>
      </c>
      <c r="B60" s="32"/>
      <c r="C60" s="28"/>
      <c r="D60" s="28" t="b">
        <v>0</v>
      </c>
      <c r="E60" s="28" t="b">
        <v>1</v>
      </c>
      <c r="F60" s="28" t="s">
        <v>926</v>
      </c>
      <c r="G60" s="29" t="b">
        <v>1</v>
      </c>
      <c r="H60" s="32"/>
      <c r="I60" s="28"/>
      <c r="J60" s="60" t="b">
        <v>0</v>
      </c>
      <c r="K60" s="47" t="b">
        <v>0</v>
      </c>
      <c r="L60" s="47" t="b">
        <v>0</v>
      </c>
      <c r="M60" s="35" t="s">
        <v>1043</v>
      </c>
      <c r="N60" s="28" t="s">
        <v>928</v>
      </c>
      <c r="O60" s="28" t="s">
        <v>929</v>
      </c>
      <c r="P60" s="28" t="s">
        <v>924</v>
      </c>
      <c r="Q60" s="36"/>
    </row>
    <row r="61" spans="1:17" ht="30" x14ac:dyDescent="0.25">
      <c r="A61" s="39" t="s">
        <v>1044</v>
      </c>
      <c r="B61" s="39"/>
      <c r="C61" s="37"/>
      <c r="D61" s="37" t="b">
        <v>0</v>
      </c>
      <c r="E61" s="37" t="b">
        <v>1</v>
      </c>
      <c r="F61" s="37" t="s">
        <v>926</v>
      </c>
      <c r="G61" s="29" t="b">
        <v>1</v>
      </c>
      <c r="H61" s="39"/>
      <c r="I61" s="37"/>
      <c r="J61" s="60" t="b">
        <v>0</v>
      </c>
      <c r="K61" s="47" t="b">
        <v>0</v>
      </c>
      <c r="L61" s="47" t="b">
        <v>0</v>
      </c>
      <c r="M61" s="41" t="s">
        <v>1045</v>
      </c>
      <c r="N61" s="37" t="s">
        <v>928</v>
      </c>
      <c r="O61" s="37" t="s">
        <v>929</v>
      </c>
      <c r="P61" s="37" t="s">
        <v>924</v>
      </c>
    </row>
    <row r="62" spans="1:17" x14ac:dyDescent="0.25">
      <c r="A62" s="32" t="s">
        <v>1046</v>
      </c>
      <c r="B62" s="32"/>
      <c r="C62" s="28"/>
      <c r="D62" s="28" t="b">
        <v>0</v>
      </c>
      <c r="E62" s="28" t="b">
        <v>1</v>
      </c>
      <c r="F62" s="28" t="s">
        <v>926</v>
      </c>
      <c r="G62" s="29" t="b">
        <v>1</v>
      </c>
      <c r="H62" s="32"/>
      <c r="I62" s="28"/>
      <c r="J62" s="60" t="b">
        <v>0</v>
      </c>
      <c r="K62" s="47" t="b">
        <v>0</v>
      </c>
      <c r="L62" s="47" t="b">
        <v>0</v>
      </c>
      <c r="M62" s="35" t="s">
        <v>1047</v>
      </c>
      <c r="N62" s="28" t="s">
        <v>928</v>
      </c>
      <c r="O62" s="28" t="s">
        <v>929</v>
      </c>
      <c r="P62" s="28" t="s">
        <v>924</v>
      </c>
      <c r="Q62" s="36"/>
    </row>
    <row r="63" spans="1:17" ht="30" x14ac:dyDescent="0.25">
      <c r="A63" s="39" t="s">
        <v>1048</v>
      </c>
      <c r="B63" s="39"/>
      <c r="C63" s="37"/>
      <c r="D63" s="37" t="b">
        <v>0</v>
      </c>
      <c r="E63" s="37" t="b">
        <v>1</v>
      </c>
      <c r="F63" s="37" t="s">
        <v>926</v>
      </c>
      <c r="G63" s="29" t="b">
        <v>1</v>
      </c>
      <c r="H63" s="39"/>
      <c r="I63" s="37"/>
      <c r="J63" s="60" t="b">
        <v>0</v>
      </c>
      <c r="K63" s="47" t="b">
        <v>0</v>
      </c>
      <c r="L63" s="47" t="b">
        <v>0</v>
      </c>
      <c r="M63" s="41" t="s">
        <v>1049</v>
      </c>
      <c r="N63" s="37" t="s">
        <v>928</v>
      </c>
      <c r="O63" s="37" t="s">
        <v>929</v>
      </c>
      <c r="P63" s="37" t="s">
        <v>924</v>
      </c>
    </row>
    <row r="64" spans="1:17" ht="30" customHeight="1" x14ac:dyDescent="0.25">
      <c r="A64" s="59" t="s">
        <v>1050</v>
      </c>
      <c r="B64" s="32" t="s">
        <v>201</v>
      </c>
      <c r="C64" s="28">
        <v>200</v>
      </c>
      <c r="D64" s="28" t="b">
        <v>1</v>
      </c>
      <c r="E64" s="28" t="b">
        <v>1</v>
      </c>
      <c r="F64" s="28" t="s">
        <v>920</v>
      </c>
      <c r="G64" s="47" t="b">
        <v>0</v>
      </c>
      <c r="H64" s="32" t="b">
        <v>0</v>
      </c>
      <c r="I64" s="28" t="b">
        <v>0</v>
      </c>
      <c r="J64" s="60" t="b">
        <v>0</v>
      </c>
      <c r="K64" s="47" t="b">
        <v>0</v>
      </c>
      <c r="L64" s="47" t="b">
        <v>0</v>
      </c>
      <c r="M64" s="35" t="s">
        <v>1051</v>
      </c>
      <c r="N64" s="28" t="s">
        <v>928</v>
      </c>
      <c r="O64" s="28" t="s">
        <v>929</v>
      </c>
      <c r="P64" s="28" t="s">
        <v>924</v>
      </c>
      <c r="Q64" s="36"/>
    </row>
    <row r="65" spans="1:17" ht="30" x14ac:dyDescent="0.25">
      <c r="A65" s="39" t="s">
        <v>1052</v>
      </c>
      <c r="B65" s="39"/>
      <c r="C65" s="37"/>
      <c r="D65" s="37" t="b">
        <v>0</v>
      </c>
      <c r="E65" s="37" t="b">
        <v>1</v>
      </c>
      <c r="F65" s="37" t="s">
        <v>926</v>
      </c>
      <c r="G65" s="29" t="b">
        <v>1</v>
      </c>
      <c r="H65" s="39"/>
      <c r="I65" s="37"/>
      <c r="J65" s="60" t="b">
        <v>0</v>
      </c>
      <c r="K65" s="47" t="b">
        <v>0</v>
      </c>
      <c r="L65" s="47" t="b">
        <v>0</v>
      </c>
      <c r="M65" s="41" t="s">
        <v>1053</v>
      </c>
      <c r="N65" s="37" t="s">
        <v>928</v>
      </c>
      <c r="O65" s="37" t="s">
        <v>929</v>
      </c>
      <c r="P65" s="37" t="s">
        <v>924</v>
      </c>
    </row>
    <row r="66" spans="1:17" ht="30" x14ac:dyDescent="0.25">
      <c r="A66" s="32" t="s">
        <v>1054</v>
      </c>
      <c r="B66" s="32"/>
      <c r="C66" s="28"/>
      <c r="D66" s="28" t="b">
        <v>0</v>
      </c>
      <c r="E66" s="28" t="b">
        <v>1</v>
      </c>
      <c r="F66" s="28" t="s">
        <v>926</v>
      </c>
      <c r="G66" s="29" t="b">
        <v>1</v>
      </c>
      <c r="H66" s="32"/>
      <c r="I66" s="28"/>
      <c r="J66" s="60" t="b">
        <v>0</v>
      </c>
      <c r="K66" s="47" t="b">
        <v>0</v>
      </c>
      <c r="L66" s="47" t="b">
        <v>0</v>
      </c>
      <c r="M66" s="35" t="s">
        <v>1055</v>
      </c>
      <c r="N66" s="28" t="s">
        <v>928</v>
      </c>
      <c r="O66" s="28" t="s">
        <v>929</v>
      </c>
      <c r="P66" s="28" t="s">
        <v>924</v>
      </c>
      <c r="Q66" s="36"/>
    </row>
    <row r="67" spans="1:17" ht="30" x14ac:dyDescent="0.25">
      <c r="A67" s="39" t="s">
        <v>1056</v>
      </c>
      <c r="B67" s="39"/>
      <c r="C67" s="37"/>
      <c r="D67" s="37" t="b">
        <v>0</v>
      </c>
      <c r="E67" s="37" t="b">
        <v>1</v>
      </c>
      <c r="F67" s="37" t="s">
        <v>926</v>
      </c>
      <c r="G67" s="29" t="b">
        <v>1</v>
      </c>
      <c r="H67" s="39"/>
      <c r="I67" s="37"/>
      <c r="J67" s="60" t="b">
        <v>0</v>
      </c>
      <c r="K67" s="47" t="b">
        <v>0</v>
      </c>
      <c r="L67" s="47" t="b">
        <v>0</v>
      </c>
      <c r="M67" s="41" t="s">
        <v>1057</v>
      </c>
      <c r="N67" s="37" t="s">
        <v>928</v>
      </c>
      <c r="O67" s="37" t="s">
        <v>929</v>
      </c>
      <c r="P67" s="37" t="s">
        <v>924</v>
      </c>
    </row>
    <row r="68" spans="1:17" ht="30" x14ac:dyDescent="0.25">
      <c r="A68" s="32" t="s">
        <v>1058</v>
      </c>
      <c r="B68" s="32"/>
      <c r="C68" s="28"/>
      <c r="D68" s="28" t="b">
        <v>0</v>
      </c>
      <c r="E68" s="28" t="b">
        <v>1</v>
      </c>
      <c r="F68" s="28" t="s">
        <v>926</v>
      </c>
      <c r="G68" s="29" t="b">
        <v>1</v>
      </c>
      <c r="H68" s="32"/>
      <c r="I68" s="28"/>
      <c r="J68" s="60" t="b">
        <v>0</v>
      </c>
      <c r="K68" s="47" t="b">
        <v>0</v>
      </c>
      <c r="L68" s="47" t="b">
        <v>0</v>
      </c>
      <c r="M68" s="35" t="s">
        <v>1059</v>
      </c>
      <c r="N68" s="28" t="s">
        <v>928</v>
      </c>
      <c r="O68" s="28" t="s">
        <v>929</v>
      </c>
      <c r="P68" s="28" t="s">
        <v>924</v>
      </c>
      <c r="Q68" s="36"/>
    </row>
    <row r="69" spans="1:17" ht="30" customHeight="1" x14ac:dyDescent="0.25">
      <c r="A69" s="59" t="s">
        <v>1060</v>
      </c>
      <c r="B69" s="39" t="s">
        <v>148</v>
      </c>
      <c r="C69" s="37">
        <v>200</v>
      </c>
      <c r="D69" s="37" t="b">
        <v>1</v>
      </c>
      <c r="E69" s="37" t="b">
        <v>1</v>
      </c>
      <c r="F69" s="37" t="s">
        <v>920</v>
      </c>
      <c r="G69" s="47" t="b">
        <v>0</v>
      </c>
      <c r="H69" s="39" t="b">
        <v>0</v>
      </c>
      <c r="I69" s="37" t="b">
        <v>0</v>
      </c>
      <c r="J69" s="60" t="b">
        <v>0</v>
      </c>
      <c r="K69" s="47" t="b">
        <v>0</v>
      </c>
      <c r="L69" s="47" t="b">
        <v>0</v>
      </c>
      <c r="M69" s="41" t="s">
        <v>1061</v>
      </c>
      <c r="N69" s="37" t="s">
        <v>928</v>
      </c>
      <c r="O69" s="37" t="s">
        <v>929</v>
      </c>
      <c r="P69" s="37" t="s">
        <v>924</v>
      </c>
    </row>
    <row r="70" spans="1:17" ht="30" x14ac:dyDescent="0.25">
      <c r="A70" s="32" t="s">
        <v>1062</v>
      </c>
      <c r="B70" s="32"/>
      <c r="C70" s="28"/>
      <c r="D70" s="28" t="b">
        <v>0</v>
      </c>
      <c r="E70" s="28" t="b">
        <v>1</v>
      </c>
      <c r="F70" s="28" t="s">
        <v>926</v>
      </c>
      <c r="G70" s="29" t="b">
        <v>1</v>
      </c>
      <c r="H70" s="32"/>
      <c r="I70" s="28"/>
      <c r="J70" s="60" t="b">
        <v>0</v>
      </c>
      <c r="K70" s="47" t="b">
        <v>0</v>
      </c>
      <c r="L70" s="47" t="b">
        <v>0</v>
      </c>
      <c r="M70" s="35" t="s">
        <v>1063</v>
      </c>
      <c r="N70" s="28" t="s">
        <v>928</v>
      </c>
      <c r="O70" s="28" t="s">
        <v>929</v>
      </c>
      <c r="P70" s="28" t="s">
        <v>924</v>
      </c>
      <c r="Q70" s="36"/>
    </row>
    <row r="71" spans="1:17" ht="30" x14ac:dyDescent="0.25">
      <c r="A71" s="39" t="s">
        <v>1064</v>
      </c>
      <c r="B71" s="39"/>
      <c r="C71" s="37"/>
      <c r="D71" s="37" t="b">
        <v>0</v>
      </c>
      <c r="E71" s="37" t="b">
        <v>1</v>
      </c>
      <c r="F71" s="37" t="s">
        <v>926</v>
      </c>
      <c r="G71" s="29" t="b">
        <v>1</v>
      </c>
      <c r="H71" s="39"/>
      <c r="I71" s="37"/>
      <c r="J71" s="60" t="b">
        <v>0</v>
      </c>
      <c r="K71" s="47" t="b">
        <v>0</v>
      </c>
      <c r="L71" s="47" t="b">
        <v>0</v>
      </c>
      <c r="M71" s="41" t="s">
        <v>1065</v>
      </c>
      <c r="N71" s="37" t="s">
        <v>928</v>
      </c>
      <c r="O71" s="37" t="s">
        <v>929</v>
      </c>
      <c r="P71" s="37" t="s">
        <v>924</v>
      </c>
    </row>
    <row r="72" spans="1:17" ht="30" x14ac:dyDescent="0.25">
      <c r="A72" s="32" t="s">
        <v>1066</v>
      </c>
      <c r="B72" s="32"/>
      <c r="C72" s="28"/>
      <c r="D72" s="28" t="b">
        <v>0</v>
      </c>
      <c r="E72" s="28" t="b">
        <v>1</v>
      </c>
      <c r="F72" s="28" t="s">
        <v>926</v>
      </c>
      <c r="G72" s="29" t="b">
        <v>1</v>
      </c>
      <c r="H72" s="32"/>
      <c r="I72" s="28"/>
      <c r="J72" s="60" t="b">
        <v>0</v>
      </c>
      <c r="K72" s="47" t="b">
        <v>0</v>
      </c>
      <c r="L72" s="47" t="b">
        <v>0</v>
      </c>
      <c r="M72" s="35" t="s">
        <v>1067</v>
      </c>
      <c r="N72" s="28" t="s">
        <v>928</v>
      </c>
      <c r="O72" s="28" t="s">
        <v>929</v>
      </c>
      <c r="P72" s="28" t="s">
        <v>924</v>
      </c>
      <c r="Q72" s="36"/>
    </row>
    <row r="73" spans="1:17" ht="30" x14ac:dyDescent="0.25">
      <c r="A73" s="39" t="s">
        <v>1068</v>
      </c>
      <c r="B73" s="39"/>
      <c r="C73" s="37"/>
      <c r="D73" s="37" t="b">
        <v>0</v>
      </c>
      <c r="E73" s="37" t="b">
        <v>1</v>
      </c>
      <c r="F73" s="37" t="s">
        <v>926</v>
      </c>
      <c r="G73" s="29" t="b">
        <v>1</v>
      </c>
      <c r="H73" s="39"/>
      <c r="I73" s="37"/>
      <c r="J73" s="60" t="b">
        <v>0</v>
      </c>
      <c r="K73" s="47" t="b">
        <v>0</v>
      </c>
      <c r="L73" s="47" t="b">
        <v>0</v>
      </c>
      <c r="M73" s="41" t="s">
        <v>1069</v>
      </c>
      <c r="N73" s="37" t="s">
        <v>928</v>
      </c>
      <c r="O73" s="37" t="s">
        <v>929</v>
      </c>
      <c r="P73" s="37" t="s">
        <v>924</v>
      </c>
    </row>
    <row r="74" spans="1:17" x14ac:dyDescent="0.25">
      <c r="A74" s="32" t="s">
        <v>1070</v>
      </c>
      <c r="B74" s="32"/>
      <c r="C74" s="28"/>
      <c r="D74" s="28" t="b">
        <v>0</v>
      </c>
      <c r="E74" s="28" t="b">
        <v>1</v>
      </c>
      <c r="F74" s="28" t="s">
        <v>926</v>
      </c>
      <c r="G74" s="29" t="b">
        <v>1</v>
      </c>
      <c r="H74" s="32"/>
      <c r="I74" s="28"/>
      <c r="J74" s="60" t="b">
        <v>0</v>
      </c>
      <c r="K74" s="47" t="b">
        <v>0</v>
      </c>
      <c r="L74" s="47" t="b">
        <v>0</v>
      </c>
      <c r="M74" s="35" t="s">
        <v>1071</v>
      </c>
      <c r="N74" s="28" t="s">
        <v>928</v>
      </c>
      <c r="O74" s="28" t="s">
        <v>929</v>
      </c>
      <c r="P74" s="28" t="s">
        <v>924</v>
      </c>
      <c r="Q74" s="36"/>
    </row>
    <row r="75" spans="1:17" ht="30" x14ac:dyDescent="0.25">
      <c r="A75" s="39" t="s">
        <v>1072</v>
      </c>
      <c r="B75" s="39"/>
      <c r="C75" s="37"/>
      <c r="D75" s="37" t="b">
        <v>0</v>
      </c>
      <c r="E75" s="37" t="b">
        <v>1</v>
      </c>
      <c r="F75" s="37" t="s">
        <v>926</v>
      </c>
      <c r="G75" s="29" t="b">
        <v>1</v>
      </c>
      <c r="H75" s="39"/>
      <c r="I75" s="37"/>
      <c r="J75" s="60" t="b">
        <v>0</v>
      </c>
      <c r="K75" s="47" t="b">
        <v>0</v>
      </c>
      <c r="L75" s="47" t="b">
        <v>0</v>
      </c>
      <c r="M75" s="41" t="s">
        <v>1073</v>
      </c>
      <c r="N75" s="37" t="s">
        <v>928</v>
      </c>
      <c r="O75" s="37" t="s">
        <v>929</v>
      </c>
      <c r="P75" s="37" t="s">
        <v>924</v>
      </c>
    </row>
    <row r="76" spans="1:17" ht="30" x14ac:dyDescent="0.25">
      <c r="A76" s="32" t="s">
        <v>1074</v>
      </c>
      <c r="B76" s="32"/>
      <c r="C76" s="28"/>
      <c r="D76" s="28" t="b">
        <v>0</v>
      </c>
      <c r="E76" s="28" t="b">
        <v>1</v>
      </c>
      <c r="F76" s="28" t="s">
        <v>926</v>
      </c>
      <c r="G76" s="29" t="b">
        <v>1</v>
      </c>
      <c r="H76" s="32"/>
      <c r="I76" s="28"/>
      <c r="J76" s="60" t="b">
        <v>0</v>
      </c>
      <c r="K76" s="47" t="b">
        <v>0</v>
      </c>
      <c r="L76" s="47" t="b">
        <v>0</v>
      </c>
      <c r="M76" s="35" t="s">
        <v>1075</v>
      </c>
      <c r="N76" s="28" t="s">
        <v>928</v>
      </c>
      <c r="O76" s="28" t="s">
        <v>929</v>
      </c>
      <c r="P76" s="28" t="s">
        <v>924</v>
      </c>
      <c r="Q76" s="36"/>
    </row>
    <row r="77" spans="1:17" x14ac:dyDescent="0.25">
      <c r="A77" s="39" t="s">
        <v>1076</v>
      </c>
      <c r="B77" s="39"/>
      <c r="C77" s="37"/>
      <c r="D77" s="37" t="b">
        <v>0</v>
      </c>
      <c r="E77" s="37" t="b">
        <v>1</v>
      </c>
      <c r="F77" s="37" t="s">
        <v>926</v>
      </c>
      <c r="G77" s="29" t="b">
        <v>1</v>
      </c>
      <c r="H77" s="39"/>
      <c r="I77" s="37"/>
      <c r="J77" s="60" t="b">
        <v>0</v>
      </c>
      <c r="K77" s="47" t="b">
        <v>0</v>
      </c>
      <c r="L77" s="47" t="b">
        <v>0</v>
      </c>
      <c r="M77" s="41" t="s">
        <v>1077</v>
      </c>
      <c r="N77" s="37" t="s">
        <v>928</v>
      </c>
      <c r="O77" s="37" t="s">
        <v>929</v>
      </c>
      <c r="P77" s="37" t="s">
        <v>924</v>
      </c>
    </row>
    <row r="78" spans="1:17" ht="30" x14ac:dyDescent="0.25">
      <c r="A78" s="32" t="s">
        <v>1078</v>
      </c>
      <c r="B78" s="32"/>
      <c r="C78" s="28"/>
      <c r="D78" s="28" t="b">
        <v>0</v>
      </c>
      <c r="E78" s="28" t="b">
        <v>1</v>
      </c>
      <c r="F78" s="28" t="s">
        <v>926</v>
      </c>
      <c r="G78" s="29" t="b">
        <v>1</v>
      </c>
      <c r="H78" s="32"/>
      <c r="I78" s="28"/>
      <c r="J78" s="60" t="b">
        <v>0</v>
      </c>
      <c r="K78" s="47" t="b">
        <v>0</v>
      </c>
      <c r="L78" s="47" t="b">
        <v>0</v>
      </c>
      <c r="M78" s="35" t="s">
        <v>1079</v>
      </c>
      <c r="N78" s="28" t="s">
        <v>928</v>
      </c>
      <c r="O78" s="28" t="s">
        <v>929</v>
      </c>
      <c r="P78" s="28" t="s">
        <v>924</v>
      </c>
      <c r="Q78" s="36"/>
    </row>
    <row r="79" spans="1:17" ht="30" x14ac:dyDescent="0.25">
      <c r="A79" s="39" t="s">
        <v>1080</v>
      </c>
      <c r="B79" s="39"/>
      <c r="C79" s="37"/>
      <c r="D79" s="37" t="b">
        <v>0</v>
      </c>
      <c r="E79" s="37" t="b">
        <v>1</v>
      </c>
      <c r="F79" s="37" t="s">
        <v>926</v>
      </c>
      <c r="G79" s="29" t="b">
        <v>1</v>
      </c>
      <c r="H79" s="39"/>
      <c r="I79" s="37"/>
      <c r="J79" s="60" t="b">
        <v>0</v>
      </c>
      <c r="K79" s="47" t="b">
        <v>0</v>
      </c>
      <c r="L79" s="47" t="b">
        <v>0</v>
      </c>
      <c r="M79" s="41" t="s">
        <v>1081</v>
      </c>
      <c r="N79" s="37" t="s">
        <v>928</v>
      </c>
      <c r="O79" s="37" t="s">
        <v>929</v>
      </c>
      <c r="P79" s="37" t="s">
        <v>924</v>
      </c>
    </row>
    <row r="80" spans="1:17" ht="30" x14ac:dyDescent="0.25">
      <c r="A80" s="32" t="s">
        <v>1082</v>
      </c>
      <c r="B80" s="32"/>
      <c r="C80" s="28"/>
      <c r="D80" s="28" t="b">
        <v>0</v>
      </c>
      <c r="E80" s="28" t="b">
        <v>1</v>
      </c>
      <c r="F80" s="28" t="s">
        <v>926</v>
      </c>
      <c r="G80" s="29" t="b">
        <v>1</v>
      </c>
      <c r="H80" s="32"/>
      <c r="I80" s="28"/>
      <c r="J80" s="60" t="b">
        <v>0</v>
      </c>
      <c r="K80" s="47" t="b">
        <v>0</v>
      </c>
      <c r="L80" s="47" t="b">
        <v>0</v>
      </c>
      <c r="M80" s="35" t="s">
        <v>1083</v>
      </c>
      <c r="N80" s="28" t="s">
        <v>928</v>
      </c>
      <c r="O80" s="28" t="s">
        <v>929</v>
      </c>
      <c r="P80" s="28" t="s">
        <v>924</v>
      </c>
      <c r="Q80" s="36"/>
    </row>
    <row r="81" spans="1:17" x14ac:dyDescent="0.25">
      <c r="A81" s="39" t="s">
        <v>1084</v>
      </c>
      <c r="B81" s="39"/>
      <c r="C81" s="37"/>
      <c r="D81" s="37" t="b">
        <v>0</v>
      </c>
      <c r="E81" s="37" t="b">
        <v>1</v>
      </c>
      <c r="F81" s="37" t="s">
        <v>926</v>
      </c>
      <c r="G81" s="29" t="b">
        <v>1</v>
      </c>
      <c r="H81" s="39"/>
      <c r="I81" s="37"/>
      <c r="J81" s="60" t="b">
        <v>0</v>
      </c>
      <c r="K81" s="47" t="b">
        <v>0</v>
      </c>
      <c r="L81" s="47" t="b">
        <v>0</v>
      </c>
      <c r="M81" s="41" t="s">
        <v>1085</v>
      </c>
      <c r="N81" s="37" t="s">
        <v>928</v>
      </c>
      <c r="O81" s="37" t="s">
        <v>929</v>
      </c>
      <c r="P81" s="37" t="s">
        <v>924</v>
      </c>
    </row>
    <row r="82" spans="1:17" x14ac:dyDescent="0.25">
      <c r="A82" s="32" t="s">
        <v>1086</v>
      </c>
      <c r="B82" s="32"/>
      <c r="C82" s="28"/>
      <c r="D82" s="28" t="b">
        <v>0</v>
      </c>
      <c r="E82" s="28" t="b">
        <v>1</v>
      </c>
      <c r="F82" s="28" t="s">
        <v>926</v>
      </c>
      <c r="G82" s="29" t="b">
        <v>1</v>
      </c>
      <c r="H82" s="32"/>
      <c r="I82" s="28"/>
      <c r="J82" s="60" t="b">
        <v>0</v>
      </c>
      <c r="K82" s="47" t="b">
        <v>0</v>
      </c>
      <c r="L82" s="47" t="b">
        <v>0</v>
      </c>
      <c r="M82" s="35" t="s">
        <v>1087</v>
      </c>
      <c r="N82" s="28" t="s">
        <v>928</v>
      </c>
      <c r="O82" s="28" t="s">
        <v>929</v>
      </c>
      <c r="P82" s="28" t="s">
        <v>924</v>
      </c>
      <c r="Q82" s="36"/>
    </row>
    <row r="83" spans="1:17" ht="30" x14ac:dyDescent="0.25">
      <c r="A83" s="39" t="s">
        <v>1088</v>
      </c>
      <c r="B83" s="39"/>
      <c r="C83" s="37"/>
      <c r="D83" s="37" t="b">
        <v>0</v>
      </c>
      <c r="E83" s="37" t="b">
        <v>1</v>
      </c>
      <c r="F83" s="37" t="s">
        <v>926</v>
      </c>
      <c r="G83" s="29" t="b">
        <v>1</v>
      </c>
      <c r="H83" s="39"/>
      <c r="I83" s="37"/>
      <c r="J83" s="60" t="b">
        <v>0</v>
      </c>
      <c r="K83" s="47" t="b">
        <v>0</v>
      </c>
      <c r="L83" s="47" t="b">
        <v>0</v>
      </c>
      <c r="M83" s="41" t="s">
        <v>1089</v>
      </c>
      <c r="N83" s="37" t="s">
        <v>928</v>
      </c>
      <c r="O83" s="37" t="s">
        <v>929</v>
      </c>
      <c r="P83" s="37" t="s">
        <v>924</v>
      </c>
    </row>
    <row r="84" spans="1:17" ht="30" customHeight="1" x14ac:dyDescent="0.25">
      <c r="A84" s="59" t="s">
        <v>1090</v>
      </c>
      <c r="B84" s="32" t="s">
        <v>197</v>
      </c>
      <c r="C84" s="28">
        <v>200</v>
      </c>
      <c r="D84" s="28" t="b">
        <v>1</v>
      </c>
      <c r="E84" s="28" t="b">
        <v>1</v>
      </c>
      <c r="F84" s="28" t="s">
        <v>920</v>
      </c>
      <c r="G84" s="47" t="b">
        <v>0</v>
      </c>
      <c r="H84" s="32" t="b">
        <v>0</v>
      </c>
      <c r="I84" s="28" t="b">
        <v>0</v>
      </c>
      <c r="J84" s="60" t="b">
        <v>0</v>
      </c>
      <c r="K84" s="47" t="b">
        <v>0</v>
      </c>
      <c r="L84" s="47" t="b">
        <v>0</v>
      </c>
      <c r="M84" s="35" t="s">
        <v>1091</v>
      </c>
      <c r="N84" s="28" t="s">
        <v>928</v>
      </c>
      <c r="O84" s="28" t="s">
        <v>929</v>
      </c>
      <c r="P84" s="28" t="s">
        <v>924</v>
      </c>
      <c r="Q84" s="36"/>
    </row>
    <row r="85" spans="1:17" x14ac:dyDescent="0.25">
      <c r="A85" s="39" t="s">
        <v>1092</v>
      </c>
      <c r="B85" s="39"/>
      <c r="C85" s="37"/>
      <c r="D85" s="37" t="b">
        <v>0</v>
      </c>
      <c r="E85" s="37" t="b">
        <v>1</v>
      </c>
      <c r="F85" s="37" t="s">
        <v>926</v>
      </c>
      <c r="G85" s="29" t="b">
        <v>1</v>
      </c>
      <c r="H85" s="39"/>
      <c r="I85" s="37"/>
      <c r="J85" s="60" t="b">
        <v>0</v>
      </c>
      <c r="K85" s="47" t="b">
        <v>0</v>
      </c>
      <c r="L85" s="47" t="b">
        <v>0</v>
      </c>
      <c r="M85" s="41" t="s">
        <v>1093</v>
      </c>
      <c r="N85" s="37" t="s">
        <v>928</v>
      </c>
      <c r="O85" s="37" t="s">
        <v>929</v>
      </c>
      <c r="P85" s="37" t="s">
        <v>924</v>
      </c>
    </row>
    <row r="86" spans="1:17" x14ac:dyDescent="0.25">
      <c r="A86" s="32" t="s">
        <v>1094</v>
      </c>
      <c r="B86" s="32"/>
      <c r="C86" s="28"/>
      <c r="D86" s="28" t="b">
        <v>0</v>
      </c>
      <c r="E86" s="28" t="b">
        <v>1</v>
      </c>
      <c r="F86" s="28" t="s">
        <v>926</v>
      </c>
      <c r="G86" s="29" t="b">
        <v>1</v>
      </c>
      <c r="H86" s="32"/>
      <c r="I86" s="28"/>
      <c r="J86" s="60" t="b">
        <v>0</v>
      </c>
      <c r="K86" s="47" t="b">
        <v>0</v>
      </c>
      <c r="L86" s="47" t="b">
        <v>0</v>
      </c>
      <c r="M86" s="35" t="s">
        <v>1095</v>
      </c>
      <c r="N86" s="28" t="s">
        <v>928</v>
      </c>
      <c r="O86" s="28" t="s">
        <v>929</v>
      </c>
      <c r="P86" s="28" t="s">
        <v>924</v>
      </c>
      <c r="Q86" s="36"/>
    </row>
  </sheetData>
  <autoFilter ref="A1:Q86" xr:uid="{00000000-0009-0000-0000-00000C000000}"/>
  <conditionalFormatting sqref="C2:C86">
    <cfRule type="cellIs" dxfId="16" priority="1" operator="equal">
      <formula>200</formula>
    </cfRule>
    <cfRule type="cellIs" dxfId="15" priority="2" operator="between">
      <formula>300</formula>
      <formula>399</formula>
    </cfRule>
    <cfRule type="cellIs" dxfId="14" priority="3" operator="greaterThanOrEqual">
      <formula>400</formula>
    </cfRule>
  </conditionalFormatting>
  <hyperlinks>
    <hyperlink ref="Q1" location="'Dashboard'!A1" display="BACK TO DASHBOARD" xr:uid="{00000000-0004-0000-0C00-000000000000}"/>
  </hyperlinks>
  <pageMargins left="0.75" right="0.75" top="1" bottom="1" header="0.5" footer="0.5"/>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2"/>
  <sheetViews>
    <sheetView workbookViewId="0">
      <pane xSplit="2" ySplit="1" topLeftCell="C2" activePane="bottomRight" state="frozen"/>
      <selection pane="topRight"/>
      <selection pane="bottomLeft"/>
      <selection pane="bottomRight"/>
    </sheetView>
  </sheetViews>
  <sheetFormatPr defaultRowHeight="15" x14ac:dyDescent="0.25"/>
  <cols>
    <col min="1" max="1" width="17" customWidth="1"/>
    <col min="2" max="2" width="56" customWidth="1"/>
    <col min="3" max="3" width="5" customWidth="1"/>
  </cols>
  <sheetData>
    <row r="1" spans="1:5" ht="45" x14ac:dyDescent="0.25">
      <c r="A1" s="26" t="s">
        <v>282</v>
      </c>
      <c r="B1" s="26" t="s">
        <v>279</v>
      </c>
      <c r="C1" s="26" t="s">
        <v>70</v>
      </c>
      <c r="D1" s="26" t="s">
        <v>85</v>
      </c>
      <c r="E1" s="27" t="s">
        <v>87</v>
      </c>
    </row>
    <row r="2" spans="1:5" x14ac:dyDescent="0.25">
      <c r="A2" s="47"/>
      <c r="B2" s="28" t="s">
        <v>1096</v>
      </c>
      <c r="C2" s="32"/>
      <c r="D2" s="36" t="str">
        <f>IFERROR(HYPERLINK("#'Main'!B"&amp;MATCH(TRIM(C2),Main!B:B,0),"Open"),HYPERLINK("#'Main'!B1","Open"))</f>
        <v>Open</v>
      </c>
      <c r="E2" s="36"/>
    </row>
  </sheetData>
  <hyperlinks>
    <hyperlink ref="E1" location="'Dashboard'!A1" display="BACK TO DASHBOARD" xr:uid="{00000000-0004-0000-0D00-000000000000}"/>
  </hyperlinks>
  <pageMargins left="0.75" right="0.75" top="1" bottom="1" header="0.5" footer="0.5"/>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39"/>
  <sheetViews>
    <sheetView workbookViewId="0">
      <pane xSplit="2" ySplit="1" topLeftCell="C2" activePane="bottomRight" state="frozen"/>
      <selection pane="topRight"/>
      <selection pane="bottomLeft"/>
      <selection pane="bottomRight"/>
    </sheetView>
  </sheetViews>
  <sheetFormatPr defaultRowHeight="15" x14ac:dyDescent="0.25"/>
  <cols>
    <col min="1" max="1" width="51" customWidth="1"/>
    <col min="2" max="2" width="7" customWidth="1"/>
  </cols>
  <sheetData>
    <row r="1" spans="1:3" ht="45" x14ac:dyDescent="0.25">
      <c r="A1" s="26" t="s">
        <v>1097</v>
      </c>
      <c r="B1" s="26" t="s">
        <v>25</v>
      </c>
      <c r="C1" s="27" t="s">
        <v>87</v>
      </c>
    </row>
    <row r="2" spans="1:3" x14ac:dyDescent="0.25">
      <c r="A2" s="47" t="s">
        <v>1098</v>
      </c>
      <c r="B2" s="28">
        <v>84</v>
      </c>
      <c r="C2" s="36"/>
    </row>
    <row r="3" spans="1:3" x14ac:dyDescent="0.25">
      <c r="A3" s="47" t="s">
        <v>1099</v>
      </c>
      <c r="B3" s="37">
        <v>0</v>
      </c>
    </row>
    <row r="4" spans="1:3" x14ac:dyDescent="0.25">
      <c r="A4" s="47" t="s">
        <v>1100</v>
      </c>
      <c r="B4" s="28">
        <v>0</v>
      </c>
      <c r="C4" s="36"/>
    </row>
    <row r="5" spans="1:3" x14ac:dyDescent="0.25">
      <c r="A5" s="47" t="s">
        <v>1101</v>
      </c>
      <c r="B5" s="37">
        <v>0</v>
      </c>
    </row>
    <row r="6" spans="1:3" x14ac:dyDescent="0.25">
      <c r="A6" s="47" t="s">
        <v>1102</v>
      </c>
      <c r="B6" s="28">
        <v>0</v>
      </c>
      <c r="C6" s="36"/>
    </row>
    <row r="7" spans="1:3" x14ac:dyDescent="0.25">
      <c r="A7" s="47" t="s">
        <v>1103</v>
      </c>
      <c r="B7" s="37">
        <v>0</v>
      </c>
    </row>
    <row r="8" spans="1:3" x14ac:dyDescent="0.25">
      <c r="A8" s="47" t="s">
        <v>1104</v>
      </c>
      <c r="B8" s="28">
        <v>0</v>
      </c>
      <c r="C8" s="36"/>
    </row>
    <row r="9" spans="1:3" x14ac:dyDescent="0.25">
      <c r="A9" s="47" t="s">
        <v>1105</v>
      </c>
      <c r="B9" s="37">
        <v>0</v>
      </c>
    </row>
    <row r="10" spans="1:3" x14ac:dyDescent="0.25">
      <c r="A10" s="47" t="s">
        <v>1106</v>
      </c>
      <c r="B10" s="28">
        <v>0</v>
      </c>
      <c r="C10" s="36"/>
    </row>
    <row r="11" spans="1:3" x14ac:dyDescent="0.25">
      <c r="A11" s="47" t="s">
        <v>1107</v>
      </c>
      <c r="B11" s="37">
        <v>0</v>
      </c>
    </row>
    <row r="12" spans="1:3" x14ac:dyDescent="0.25">
      <c r="A12" s="47" t="s">
        <v>1108</v>
      </c>
      <c r="B12" s="28">
        <v>0</v>
      </c>
      <c r="C12" s="36"/>
    </row>
    <row r="13" spans="1:3" x14ac:dyDescent="0.25">
      <c r="A13" s="47" t="s">
        <v>1109</v>
      </c>
      <c r="B13" s="37">
        <v>0</v>
      </c>
    </row>
    <row r="14" spans="1:3" x14ac:dyDescent="0.25">
      <c r="A14" s="47" t="s">
        <v>1110</v>
      </c>
      <c r="B14" s="28">
        <v>1</v>
      </c>
      <c r="C14" s="36"/>
    </row>
    <row r="15" spans="1:3" x14ac:dyDescent="0.25">
      <c r="A15" s="47" t="s">
        <v>1111</v>
      </c>
      <c r="B15" s="37">
        <v>4</v>
      </c>
    </row>
    <row r="16" spans="1:3" x14ac:dyDescent="0.25">
      <c r="A16" s="47" t="s">
        <v>1112</v>
      </c>
      <c r="B16" s="28">
        <v>3</v>
      </c>
      <c r="C16" s="36"/>
    </row>
    <row r="17" spans="1:3" x14ac:dyDescent="0.25">
      <c r="A17" s="47" t="s">
        <v>1113</v>
      </c>
      <c r="B17" s="37">
        <v>0</v>
      </c>
    </row>
    <row r="18" spans="1:3" x14ac:dyDescent="0.25">
      <c r="A18" s="47" t="s">
        <v>1114</v>
      </c>
      <c r="B18" s="28">
        <v>0</v>
      </c>
      <c r="C18" s="36"/>
    </row>
    <row r="19" spans="1:3" x14ac:dyDescent="0.25">
      <c r="A19" s="47" t="s">
        <v>1115</v>
      </c>
      <c r="B19" s="37">
        <v>0</v>
      </c>
    </row>
    <row r="20" spans="1:3" x14ac:dyDescent="0.25">
      <c r="A20" s="47" t="s">
        <v>1116</v>
      </c>
      <c r="B20" s="28">
        <v>10</v>
      </c>
      <c r="C20" s="36"/>
    </row>
    <row r="21" spans="1:3" x14ac:dyDescent="0.25">
      <c r="A21" s="47" t="s">
        <v>1117</v>
      </c>
      <c r="B21" s="37">
        <v>0</v>
      </c>
    </row>
    <row r="22" spans="1:3" x14ac:dyDescent="0.25">
      <c r="A22" s="47" t="s">
        <v>1118</v>
      </c>
      <c r="B22" s="28">
        <v>0</v>
      </c>
      <c r="C22" s="36"/>
    </row>
    <row r="23" spans="1:3" x14ac:dyDescent="0.25">
      <c r="A23" s="47" t="s">
        <v>1119</v>
      </c>
      <c r="B23" s="37">
        <v>0</v>
      </c>
    </row>
    <row r="24" spans="1:3" x14ac:dyDescent="0.25">
      <c r="A24" s="47" t="s">
        <v>1120</v>
      </c>
      <c r="B24" s="28">
        <v>0</v>
      </c>
      <c r="C24" s="36"/>
    </row>
    <row r="25" spans="1:3" x14ac:dyDescent="0.25">
      <c r="A25" s="47" t="s">
        <v>1121</v>
      </c>
      <c r="B25" s="37">
        <v>1</v>
      </c>
    </row>
    <row r="26" spans="1:3" x14ac:dyDescent="0.25">
      <c r="A26" s="47" t="s">
        <v>1122</v>
      </c>
      <c r="B26" s="28">
        <v>0</v>
      </c>
      <c r="C26" s="36"/>
    </row>
    <row r="27" spans="1:3" x14ac:dyDescent="0.25">
      <c r="A27" s="47" t="s">
        <v>1123</v>
      </c>
      <c r="B27" s="37">
        <v>0</v>
      </c>
    </row>
    <row r="28" spans="1:3" x14ac:dyDescent="0.25">
      <c r="A28" s="47" t="s">
        <v>1124</v>
      </c>
      <c r="B28" s="28">
        <v>0</v>
      </c>
      <c r="C28" s="36"/>
    </row>
    <row r="29" spans="1:3" x14ac:dyDescent="0.25">
      <c r="A29" s="47" t="s">
        <v>1125</v>
      </c>
      <c r="B29" s="37">
        <v>10</v>
      </c>
    </row>
    <row r="30" spans="1:3" x14ac:dyDescent="0.25">
      <c r="A30" s="47" t="s">
        <v>1126</v>
      </c>
      <c r="B30" s="28">
        <v>5</v>
      </c>
      <c r="C30" s="36"/>
    </row>
    <row r="31" spans="1:3" x14ac:dyDescent="0.25">
      <c r="A31" s="47" t="s">
        <v>1127</v>
      </c>
      <c r="B31" s="37">
        <v>10</v>
      </c>
    </row>
    <row r="32" spans="1:3" x14ac:dyDescent="0.25">
      <c r="A32" s="47" t="s">
        <v>1128</v>
      </c>
      <c r="B32" s="28">
        <v>10</v>
      </c>
      <c r="C32" s="36"/>
    </row>
    <row r="33" spans="1:3" x14ac:dyDescent="0.25">
      <c r="A33" s="47" t="s">
        <v>1129</v>
      </c>
      <c r="B33" s="37">
        <v>10</v>
      </c>
    </row>
    <row r="34" spans="1:3" x14ac:dyDescent="0.25">
      <c r="A34" s="47" t="s">
        <v>1130</v>
      </c>
      <c r="B34" s="28">
        <v>10</v>
      </c>
      <c r="C34" s="36"/>
    </row>
    <row r="35" spans="1:3" x14ac:dyDescent="0.25">
      <c r="A35" s="47" t="s">
        <v>1131</v>
      </c>
      <c r="B35" s="37">
        <v>0</v>
      </c>
    </row>
    <row r="36" spans="1:3" x14ac:dyDescent="0.25">
      <c r="A36" s="47" t="s">
        <v>1132</v>
      </c>
      <c r="B36" s="28">
        <v>0</v>
      </c>
      <c r="C36" s="36"/>
    </row>
    <row r="37" spans="1:3" x14ac:dyDescent="0.25">
      <c r="A37" s="47" t="s">
        <v>1133</v>
      </c>
      <c r="B37" s="37">
        <v>0</v>
      </c>
    </row>
    <row r="38" spans="1:3" x14ac:dyDescent="0.25">
      <c r="A38" s="47" t="s">
        <v>1134</v>
      </c>
      <c r="B38" s="28">
        <v>0</v>
      </c>
      <c r="C38" s="36"/>
    </row>
    <row r="39" spans="1:3" x14ac:dyDescent="0.25">
      <c r="A39" s="47" t="s">
        <v>1135</v>
      </c>
      <c r="B39" s="37">
        <v>10</v>
      </c>
    </row>
  </sheetData>
  <hyperlinks>
    <hyperlink ref="C1" location="'Dashboard'!A1" display="BACK TO DASHBOARD" xr:uid="{00000000-0004-0000-0E00-000000000000}"/>
  </hyperlinks>
  <pageMargins left="0.75" right="0.75" top="1" bottom="1" header="0.5" footer="0.5"/>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10"/>
  <sheetViews>
    <sheetView workbookViewId="0">
      <pane xSplit="2" ySplit="1" topLeftCell="C2" activePane="bottomRight" state="frozen"/>
      <selection pane="topRight"/>
      <selection pane="bottomLeft"/>
      <selection pane="bottomRight"/>
    </sheetView>
  </sheetViews>
  <sheetFormatPr defaultRowHeight="15" x14ac:dyDescent="0.25"/>
  <cols>
    <col min="1" max="2" width="21" customWidth="1"/>
  </cols>
  <sheetData>
    <row r="1" spans="1:3" ht="45" x14ac:dyDescent="0.25">
      <c r="A1" s="26" t="s">
        <v>1136</v>
      </c>
      <c r="B1" s="26" t="s">
        <v>23</v>
      </c>
      <c r="C1" s="27" t="s">
        <v>87</v>
      </c>
    </row>
    <row r="2" spans="1:3" x14ac:dyDescent="0.25">
      <c r="A2" s="47" t="s">
        <v>1137</v>
      </c>
      <c r="B2" s="31" t="s">
        <v>1138</v>
      </c>
      <c r="C2" s="36"/>
    </row>
    <row r="3" spans="1:3" x14ac:dyDescent="0.25">
      <c r="A3" s="47" t="s">
        <v>1139</v>
      </c>
      <c r="B3" s="38">
        <v>10</v>
      </c>
    </row>
    <row r="4" spans="1:3" x14ac:dyDescent="0.25">
      <c r="A4" s="47" t="s">
        <v>1140</v>
      </c>
      <c r="B4" s="31" t="s">
        <v>1141</v>
      </c>
      <c r="C4" s="36"/>
    </row>
    <row r="5" spans="1:3" x14ac:dyDescent="0.25">
      <c r="A5" s="47" t="s">
        <v>1142</v>
      </c>
      <c r="B5" s="38">
        <v>4</v>
      </c>
    </row>
    <row r="6" spans="1:3" x14ac:dyDescent="0.25">
      <c r="A6" s="47" t="s">
        <v>1143</v>
      </c>
      <c r="B6" s="31">
        <v>1.5</v>
      </c>
      <c r="C6" s="36"/>
    </row>
    <row r="7" spans="1:3" x14ac:dyDescent="0.25">
      <c r="A7" s="47" t="s">
        <v>1144</v>
      </c>
      <c r="B7" s="38">
        <v>3</v>
      </c>
    </row>
    <row r="8" spans="1:3" x14ac:dyDescent="0.25">
      <c r="A8" s="47" t="s">
        <v>1145</v>
      </c>
      <c r="B8" s="31">
        <v>20</v>
      </c>
      <c r="C8" s="36"/>
    </row>
    <row r="9" spans="1:3" x14ac:dyDescent="0.25">
      <c r="A9" s="47" t="s">
        <v>1146</v>
      </c>
      <c r="B9" s="38">
        <v>0</v>
      </c>
    </row>
    <row r="10" spans="1:3" x14ac:dyDescent="0.25">
      <c r="A10" s="47" t="s">
        <v>1147</v>
      </c>
      <c r="B10" s="31" t="s">
        <v>1148</v>
      </c>
      <c r="C10" s="36"/>
    </row>
  </sheetData>
  <hyperlinks>
    <hyperlink ref="C1" location="'Dashboard'!A1" display="BACK TO DASHBOARD" xr:uid="{00000000-0004-0000-0F00-000000000000}"/>
  </hyperlinks>
  <pageMargins left="0.75" right="0.75" top="1" bottom="1" header="0.5" footer="0.5"/>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D11"/>
  <sheetViews>
    <sheetView workbookViewId="0">
      <pane xSplit="2" ySplit="1" topLeftCell="C2" activePane="bottomRight" state="frozen"/>
      <selection pane="topRight"/>
      <selection pane="bottomLeft"/>
      <selection pane="bottomRight" activeCell="BD1" sqref="BD1"/>
    </sheetView>
  </sheetViews>
  <sheetFormatPr defaultRowHeight="15" outlineLevelCol="1" x14ac:dyDescent="0.25"/>
  <cols>
    <col min="1" max="1" width="13" customWidth="1"/>
    <col min="2" max="2" width="36" customWidth="1"/>
    <col min="3" max="3" width="13" customWidth="1"/>
    <col min="4" max="4" width="14" customWidth="1"/>
    <col min="5" max="5" width="15" customWidth="1"/>
    <col min="6" max="7" width="60" hidden="1" customWidth="1" outlineLevel="1"/>
    <col min="8" max="8" width="19" customWidth="1" collapsed="1"/>
    <col min="9" max="9" width="18" customWidth="1"/>
    <col min="10" max="10" width="16" customWidth="1"/>
    <col min="11" max="11" width="15" customWidth="1"/>
    <col min="12" max="12" width="18" hidden="1" customWidth="1" outlineLevel="1"/>
    <col min="13" max="13" width="19" hidden="1" customWidth="1" outlineLevel="1"/>
    <col min="14" max="14" width="14" hidden="1" customWidth="1" outlineLevel="1"/>
    <col min="15" max="15" width="18" hidden="1" customWidth="1" outlineLevel="1"/>
    <col min="16" max="16" width="60" hidden="1" customWidth="1" outlineLevel="1"/>
    <col min="17" max="17" width="19" hidden="1" customWidth="1"/>
    <col min="18" max="18" width="15" customWidth="1"/>
    <col min="19" max="19" width="12" hidden="1" customWidth="1" outlineLevel="1"/>
    <col min="20" max="20" width="11" hidden="1" customWidth="1" outlineLevel="1"/>
    <col min="21" max="21" width="12" hidden="1" customWidth="1" outlineLevel="1"/>
    <col min="22" max="22" width="11" hidden="1" customWidth="1" outlineLevel="1"/>
    <col min="23" max="23" width="12" hidden="1" customWidth="1" outlineLevel="1"/>
    <col min="24" max="24" width="11" hidden="1" customWidth="1" outlineLevel="1"/>
    <col min="25" max="25" width="12" hidden="1" customWidth="1" outlineLevel="1"/>
    <col min="26" max="26" width="11" hidden="1" customWidth="1" outlineLevel="1"/>
    <col min="27" max="27" width="12" hidden="1" customWidth="1" outlineLevel="1"/>
    <col min="28" max="28" width="11" hidden="1" customWidth="1" outlineLevel="1"/>
    <col min="29" max="29" width="12" hidden="1" customWidth="1" outlineLevel="1"/>
    <col min="30" max="30" width="11" hidden="1" customWidth="1" outlineLevel="1"/>
    <col min="31" max="31" width="13" hidden="1" customWidth="1" outlineLevel="1"/>
    <col min="32" max="32" width="9" hidden="1" customWidth="1" outlineLevel="1"/>
    <col min="33" max="33" width="14" hidden="1" customWidth="1" outlineLevel="1"/>
    <col min="34" max="34" width="26" hidden="1" customWidth="1" outlineLevel="1"/>
    <col min="35" max="35" width="19" hidden="1" customWidth="1" outlineLevel="1"/>
    <col min="36" max="36" width="18" hidden="1" customWidth="1" outlineLevel="1"/>
    <col min="37" max="37" width="16" hidden="1" customWidth="1" outlineLevel="1"/>
    <col min="38" max="38" width="12" hidden="1" customWidth="1" outlineLevel="1"/>
    <col min="39" max="39" width="17" hidden="1" customWidth="1" outlineLevel="1"/>
    <col min="40" max="40" width="12" hidden="1" customWidth="1" outlineLevel="1"/>
    <col min="41" max="41" width="17" hidden="1" customWidth="1" outlineLevel="1"/>
    <col min="42" max="42" width="9" hidden="1" customWidth="1" outlineLevel="1"/>
    <col min="43" max="43" width="18" hidden="1" customWidth="1" outlineLevel="1"/>
    <col min="44" max="44" width="13" hidden="1" customWidth="1" outlineLevel="1"/>
    <col min="45" max="45" width="14" hidden="1" customWidth="1" outlineLevel="1"/>
    <col min="46" max="47" width="19" hidden="1" customWidth="1" outlineLevel="1"/>
    <col min="48" max="48" width="17" hidden="1" customWidth="1" outlineLevel="1"/>
    <col min="49" max="50" width="18" hidden="1" customWidth="1" outlineLevel="1"/>
    <col min="51" max="51" width="12" hidden="1" customWidth="1" outlineLevel="1"/>
    <col min="52" max="52" width="11" hidden="1" customWidth="1" outlineLevel="1"/>
    <col min="53" max="53" width="60" hidden="1" customWidth="1" outlineLevel="1"/>
    <col min="54" max="54" width="19" customWidth="1" collapsed="1"/>
  </cols>
  <sheetData>
    <row r="1" spans="1:56" ht="45" x14ac:dyDescent="0.25">
      <c r="A1" s="26" t="s">
        <v>1149</v>
      </c>
      <c r="B1" s="26" t="s">
        <v>70</v>
      </c>
      <c r="C1" s="26" t="s">
        <v>409</v>
      </c>
      <c r="D1" s="26" t="s">
        <v>59</v>
      </c>
      <c r="E1" s="26" t="s">
        <v>1150</v>
      </c>
      <c r="F1" s="26" t="s">
        <v>896</v>
      </c>
      <c r="G1" s="26" t="s">
        <v>682</v>
      </c>
      <c r="H1" s="26" t="s">
        <v>1151</v>
      </c>
      <c r="I1" s="26" t="s">
        <v>182</v>
      </c>
      <c r="J1" s="26" t="s">
        <v>181</v>
      </c>
      <c r="K1" s="26" t="s">
        <v>81</v>
      </c>
      <c r="L1" s="26" t="s">
        <v>411</v>
      </c>
      <c r="M1" s="26" t="s">
        <v>412</v>
      </c>
      <c r="N1" s="26" t="s">
        <v>1152</v>
      </c>
      <c r="O1" s="26" t="s">
        <v>1153</v>
      </c>
      <c r="P1" s="26" t="s">
        <v>1154</v>
      </c>
      <c r="Q1" s="26" t="s">
        <v>1155</v>
      </c>
      <c r="R1" s="26" t="s">
        <v>1156</v>
      </c>
      <c r="S1" s="26" t="s">
        <v>1157</v>
      </c>
      <c r="T1" s="26" t="s">
        <v>1158</v>
      </c>
      <c r="U1" s="26" t="s">
        <v>1159</v>
      </c>
      <c r="V1" s="26" t="s">
        <v>1160</v>
      </c>
      <c r="W1" s="26" t="s">
        <v>1161</v>
      </c>
      <c r="X1" s="26" t="s">
        <v>1162</v>
      </c>
      <c r="Y1" s="26" t="s">
        <v>1163</v>
      </c>
      <c r="Z1" s="26" t="s">
        <v>1164</v>
      </c>
      <c r="AA1" s="26" t="s">
        <v>1165</v>
      </c>
      <c r="AB1" s="26" t="s">
        <v>1166</v>
      </c>
      <c r="AC1" s="26" t="s">
        <v>1167</v>
      </c>
      <c r="AD1" s="26" t="s">
        <v>1168</v>
      </c>
      <c r="AE1" s="26" t="s">
        <v>1169</v>
      </c>
      <c r="AF1" s="26" t="s">
        <v>1170</v>
      </c>
      <c r="AG1" s="26" t="s">
        <v>1171</v>
      </c>
      <c r="AH1" s="26" t="s">
        <v>1172</v>
      </c>
      <c r="AI1" s="26" t="s">
        <v>418</v>
      </c>
      <c r="AJ1" s="26" t="s">
        <v>419</v>
      </c>
      <c r="AK1" s="26" t="s">
        <v>420</v>
      </c>
      <c r="AL1" s="26" t="s">
        <v>421</v>
      </c>
      <c r="AM1" s="26" t="s">
        <v>422</v>
      </c>
      <c r="AN1" s="26" t="s">
        <v>1173</v>
      </c>
      <c r="AO1" s="26" t="s">
        <v>183</v>
      </c>
      <c r="AP1" s="26" t="s">
        <v>184</v>
      </c>
      <c r="AQ1" s="26" t="s">
        <v>1174</v>
      </c>
      <c r="AR1" s="26" t="s">
        <v>464</v>
      </c>
      <c r="AS1" s="26" t="s">
        <v>1175</v>
      </c>
      <c r="AT1" s="26" t="s">
        <v>465</v>
      </c>
      <c r="AU1" s="26" t="s">
        <v>908</v>
      </c>
      <c r="AV1" s="26" t="s">
        <v>907</v>
      </c>
      <c r="AW1" s="26" t="s">
        <v>909</v>
      </c>
      <c r="AX1" s="26" t="s">
        <v>206</v>
      </c>
      <c r="AY1" s="26" t="s">
        <v>207</v>
      </c>
      <c r="AZ1" s="26" t="s">
        <v>205</v>
      </c>
      <c r="BA1" s="26" t="s">
        <v>1176</v>
      </c>
      <c r="BB1" s="27" t="s">
        <v>87</v>
      </c>
      <c r="BC1" s="26" t="s">
        <v>1177</v>
      </c>
      <c r="BD1" s="27" t="s">
        <v>1178</v>
      </c>
    </row>
    <row r="2" spans="1:56" ht="31.5" x14ac:dyDescent="0.25">
      <c r="A2" s="28" t="s">
        <v>1179</v>
      </c>
      <c r="B2" s="45" t="s">
        <v>166</v>
      </c>
      <c r="C2" s="47">
        <v>200</v>
      </c>
      <c r="D2" s="28" t="s">
        <v>194</v>
      </c>
      <c r="E2" s="28">
        <v>6.3E-2</v>
      </c>
      <c r="F2" s="28" t="s">
        <v>230</v>
      </c>
      <c r="G2" s="28" t="s">
        <v>231</v>
      </c>
      <c r="H2" s="28">
        <v>37</v>
      </c>
      <c r="I2" s="50">
        <v>60</v>
      </c>
      <c r="J2" s="42" t="s">
        <v>50</v>
      </c>
      <c r="K2" s="28" t="s">
        <v>97</v>
      </c>
      <c r="L2" s="28" t="s">
        <v>429</v>
      </c>
      <c r="M2" s="28" t="s">
        <v>430</v>
      </c>
      <c r="N2" s="28">
        <v>66</v>
      </c>
      <c r="O2" s="28">
        <v>152</v>
      </c>
      <c r="P2" s="28" t="s">
        <v>1180</v>
      </c>
      <c r="Q2" s="28" t="b">
        <v>0</v>
      </c>
      <c r="R2" s="28"/>
      <c r="S2" s="28"/>
      <c r="T2" s="28">
        <v>0</v>
      </c>
      <c r="U2" s="28"/>
      <c r="V2" s="28">
        <v>0</v>
      </c>
      <c r="W2" s="28"/>
      <c r="X2" s="28">
        <v>0</v>
      </c>
      <c r="Y2" s="28"/>
      <c r="Z2" s="28">
        <v>0</v>
      </c>
      <c r="AA2" s="28"/>
      <c r="AB2" s="28">
        <v>0</v>
      </c>
      <c r="AC2" s="28"/>
      <c r="AD2" s="28">
        <v>0</v>
      </c>
      <c r="AE2" s="28">
        <v>0</v>
      </c>
      <c r="AF2" s="28"/>
      <c r="AG2" s="28" t="s">
        <v>1181</v>
      </c>
      <c r="AH2" s="28">
        <v>100</v>
      </c>
      <c r="AI2" s="28">
        <v>0</v>
      </c>
      <c r="AJ2" s="28">
        <v>0</v>
      </c>
      <c r="AK2" s="28">
        <v>0</v>
      </c>
      <c r="AL2" s="28">
        <v>0</v>
      </c>
      <c r="AM2" s="28">
        <v>0</v>
      </c>
      <c r="AN2" s="28">
        <v>0</v>
      </c>
      <c r="AO2" s="28">
        <v>0</v>
      </c>
      <c r="AP2" s="28">
        <v>0</v>
      </c>
      <c r="AQ2" s="28">
        <v>0</v>
      </c>
      <c r="AR2" s="28">
        <v>0</v>
      </c>
      <c r="AS2" s="28" t="b">
        <v>0</v>
      </c>
      <c r="AT2" s="28">
        <v>0.28744900000000001</v>
      </c>
      <c r="AU2" s="28" t="b">
        <v>1</v>
      </c>
      <c r="AV2" s="28" t="b">
        <v>1</v>
      </c>
      <c r="AW2" s="28" t="s">
        <v>920</v>
      </c>
      <c r="AX2" s="29">
        <v>60</v>
      </c>
      <c r="AY2" s="42">
        <v>78.08</v>
      </c>
      <c r="AZ2" s="29">
        <v>64.52</v>
      </c>
      <c r="BA2" s="28" t="str">
        <f>IFERROR(HYPERLINK("#'Technical Diagnostics'!A"&amp;MATCH(B2,'Technical Diagnostics'!A:A,0),"Open Technical"),HYPERLINK("#'Technical Diagnostics'!A1","Open Technical"))</f>
        <v>Open Technical</v>
      </c>
      <c r="BB2" s="28"/>
      <c r="BC2" s="36" t="str">
        <f>IFERROR(HYPERLINK("#'Technical Diagnostics'!A"&amp;MATCH(B2,'Technical Diagnostics'!A:A,0),"Open Technical"),HYPERLINK("#'Technical Diagnostics'!A1","Open Technical"))</f>
        <v>Open Technical</v>
      </c>
      <c r="BD2" s="36"/>
    </row>
    <row r="3" spans="1:56" ht="30" customHeight="1" x14ac:dyDescent="0.25">
      <c r="A3" s="37" t="s">
        <v>1179</v>
      </c>
      <c r="B3" s="46" t="s">
        <v>199</v>
      </c>
      <c r="C3" s="47">
        <v>200</v>
      </c>
      <c r="D3" s="37" t="s">
        <v>194</v>
      </c>
      <c r="E3" s="37">
        <v>9.7000000000000003E-2</v>
      </c>
      <c r="F3" s="37" t="s">
        <v>235</v>
      </c>
      <c r="G3" s="37" t="s">
        <v>236</v>
      </c>
      <c r="H3" s="37">
        <v>235</v>
      </c>
      <c r="I3" s="51">
        <v>70</v>
      </c>
      <c r="J3" s="42" t="s">
        <v>50</v>
      </c>
      <c r="K3" s="37" t="s">
        <v>97</v>
      </c>
      <c r="L3" s="37" t="s">
        <v>429</v>
      </c>
      <c r="M3" s="37" t="s">
        <v>430</v>
      </c>
      <c r="N3" s="37">
        <v>107</v>
      </c>
      <c r="O3" s="37">
        <v>405</v>
      </c>
      <c r="P3" s="37" t="s">
        <v>1180</v>
      </c>
      <c r="Q3" s="37" t="b">
        <v>0</v>
      </c>
      <c r="R3" s="37"/>
      <c r="S3" s="37"/>
      <c r="T3" s="37">
        <v>0</v>
      </c>
      <c r="U3" s="37"/>
      <c r="V3" s="37">
        <v>0</v>
      </c>
      <c r="W3" s="37"/>
      <c r="X3" s="37">
        <v>0</v>
      </c>
      <c r="Y3" s="37"/>
      <c r="Z3" s="37">
        <v>0</v>
      </c>
      <c r="AA3" s="37"/>
      <c r="AB3" s="37">
        <v>0</v>
      </c>
      <c r="AC3" s="37"/>
      <c r="AD3" s="37">
        <v>0</v>
      </c>
      <c r="AE3" s="37">
        <v>0</v>
      </c>
      <c r="AF3" s="37"/>
      <c r="AG3" s="37" t="s">
        <v>1181</v>
      </c>
      <c r="AH3" s="37">
        <v>70</v>
      </c>
      <c r="AI3" s="37">
        <v>0</v>
      </c>
      <c r="AJ3" s="37">
        <v>0</v>
      </c>
      <c r="AK3" s="37">
        <v>0</v>
      </c>
      <c r="AL3" s="37">
        <v>0</v>
      </c>
      <c r="AM3" s="37">
        <v>0</v>
      </c>
      <c r="AN3" s="37">
        <v>0</v>
      </c>
      <c r="AO3" s="37">
        <v>0</v>
      </c>
      <c r="AP3" s="37">
        <v>0</v>
      </c>
      <c r="AQ3" s="37">
        <v>0</v>
      </c>
      <c r="AR3" s="37">
        <v>1</v>
      </c>
      <c r="AS3" s="37" t="b">
        <v>0</v>
      </c>
      <c r="AT3" s="37">
        <v>0.271899</v>
      </c>
      <c r="AU3" s="37" t="b">
        <v>1</v>
      </c>
      <c r="AV3" s="37" t="b">
        <v>1</v>
      </c>
      <c r="AW3" s="37" t="s">
        <v>920</v>
      </c>
      <c r="AX3" s="42">
        <v>70</v>
      </c>
      <c r="AY3" s="47">
        <v>94.58</v>
      </c>
      <c r="AZ3" s="42">
        <v>76.150000000000006</v>
      </c>
      <c r="BA3" s="37" t="str">
        <f>IFERROR(HYPERLINK("#'Technical Diagnostics'!A"&amp;MATCH(B3,'Technical Diagnostics'!A:A,0),"Open Technical"),HYPERLINK("#'Technical Diagnostics'!A1","Open Technical"))</f>
        <v>Open Technical</v>
      </c>
      <c r="BB3" s="37"/>
      <c r="BC3" t="str">
        <f>IFERROR(HYPERLINK("#'Technical Diagnostics'!A"&amp;MATCH(B3,'Technical Diagnostics'!A:A,0),"Open Technical"),HYPERLINK("#'Technical Diagnostics'!A1","Open Technical"))</f>
        <v>Open Technical</v>
      </c>
    </row>
    <row r="4" spans="1:56" ht="30" customHeight="1" x14ac:dyDescent="0.25">
      <c r="A4" s="28" t="s">
        <v>1179</v>
      </c>
      <c r="B4" s="45" t="s">
        <v>196</v>
      </c>
      <c r="C4" s="47">
        <v>200</v>
      </c>
      <c r="D4" s="28" t="s">
        <v>194</v>
      </c>
      <c r="E4" s="28">
        <v>9.4E-2</v>
      </c>
      <c r="F4" s="28" t="s">
        <v>241</v>
      </c>
      <c r="G4" s="28" t="s">
        <v>242</v>
      </c>
      <c r="H4" s="28">
        <v>339</v>
      </c>
      <c r="I4" s="50">
        <v>60</v>
      </c>
      <c r="J4" s="42" t="s">
        <v>50</v>
      </c>
      <c r="K4" s="28" t="s">
        <v>97</v>
      </c>
      <c r="L4" s="28" t="s">
        <v>429</v>
      </c>
      <c r="M4" s="28" t="s">
        <v>430</v>
      </c>
      <c r="N4" s="28">
        <v>81</v>
      </c>
      <c r="O4" s="28">
        <v>423</v>
      </c>
      <c r="P4" s="28" t="s">
        <v>1180</v>
      </c>
      <c r="Q4" s="28" t="b">
        <v>0</v>
      </c>
      <c r="R4" s="28"/>
      <c r="S4" s="28"/>
      <c r="T4" s="28">
        <v>0</v>
      </c>
      <c r="U4" s="28"/>
      <c r="V4" s="28">
        <v>0</v>
      </c>
      <c r="W4" s="28"/>
      <c r="X4" s="28">
        <v>0</v>
      </c>
      <c r="Y4" s="28"/>
      <c r="Z4" s="28">
        <v>0</v>
      </c>
      <c r="AA4" s="28"/>
      <c r="AB4" s="28">
        <v>0</v>
      </c>
      <c r="AC4" s="28"/>
      <c r="AD4" s="28">
        <v>0</v>
      </c>
      <c r="AE4" s="28">
        <v>0</v>
      </c>
      <c r="AF4" s="28"/>
      <c r="AG4" s="28" t="s">
        <v>1181</v>
      </c>
      <c r="AH4" s="28">
        <v>60</v>
      </c>
      <c r="AI4" s="28">
        <v>0</v>
      </c>
      <c r="AJ4" s="28">
        <v>0</v>
      </c>
      <c r="AK4" s="28">
        <v>0</v>
      </c>
      <c r="AL4" s="28">
        <v>0</v>
      </c>
      <c r="AM4" s="28">
        <v>0</v>
      </c>
      <c r="AN4" s="28">
        <v>0</v>
      </c>
      <c r="AO4" s="28">
        <v>0</v>
      </c>
      <c r="AP4" s="28">
        <v>0</v>
      </c>
      <c r="AQ4" s="28">
        <v>0</v>
      </c>
      <c r="AR4" s="28">
        <v>1</v>
      </c>
      <c r="AS4" s="28" t="b">
        <v>0</v>
      </c>
      <c r="AT4" s="28">
        <v>0.271899</v>
      </c>
      <c r="AU4" s="28" t="b">
        <v>1</v>
      </c>
      <c r="AV4" s="28" t="b">
        <v>1</v>
      </c>
      <c r="AW4" s="28" t="s">
        <v>920</v>
      </c>
      <c r="AX4" s="29">
        <v>60</v>
      </c>
      <c r="AY4" s="47">
        <v>100</v>
      </c>
      <c r="AZ4" s="42">
        <v>70</v>
      </c>
      <c r="BA4" s="28" t="str">
        <f>IFERROR(HYPERLINK("#'Technical Diagnostics'!A"&amp;MATCH(B4,'Technical Diagnostics'!A:A,0),"Open Technical"),HYPERLINK("#'Technical Diagnostics'!A1","Open Technical"))</f>
        <v>Open Technical</v>
      </c>
      <c r="BB4" s="28"/>
      <c r="BC4" s="36" t="str">
        <f>IFERROR(HYPERLINK("#'Technical Diagnostics'!A"&amp;MATCH(B4,'Technical Diagnostics'!A:A,0),"Open Technical"),HYPERLINK("#'Technical Diagnostics'!A1","Open Technical"))</f>
        <v>Open Technical</v>
      </c>
      <c r="BD4" s="36"/>
    </row>
    <row r="5" spans="1:56" ht="30" customHeight="1" x14ac:dyDescent="0.25">
      <c r="A5" s="37" t="s">
        <v>1179</v>
      </c>
      <c r="B5" s="46" t="s">
        <v>138</v>
      </c>
      <c r="C5" s="47">
        <v>200</v>
      </c>
      <c r="D5" s="37" t="s">
        <v>194</v>
      </c>
      <c r="E5" s="37">
        <v>0.115</v>
      </c>
      <c r="F5" s="37" t="s">
        <v>247</v>
      </c>
      <c r="G5" s="37" t="s">
        <v>248</v>
      </c>
      <c r="H5" s="37">
        <v>1637</v>
      </c>
      <c r="I5" s="51">
        <v>60</v>
      </c>
      <c r="J5" s="42" t="s">
        <v>50</v>
      </c>
      <c r="K5" s="37" t="s">
        <v>97</v>
      </c>
      <c r="L5" s="37" t="s">
        <v>429</v>
      </c>
      <c r="M5" s="37" t="s">
        <v>430</v>
      </c>
      <c r="N5" s="37">
        <v>49</v>
      </c>
      <c r="O5" s="37">
        <v>406</v>
      </c>
      <c r="P5" s="37" t="s">
        <v>1182</v>
      </c>
      <c r="Q5" s="37" t="b">
        <v>0</v>
      </c>
      <c r="R5" s="37"/>
      <c r="S5" s="37"/>
      <c r="T5" s="37">
        <v>0</v>
      </c>
      <c r="U5" s="37"/>
      <c r="V5" s="37">
        <v>0</v>
      </c>
      <c r="W5" s="37"/>
      <c r="X5" s="37">
        <v>0</v>
      </c>
      <c r="Y5" s="37"/>
      <c r="Z5" s="37">
        <v>0</v>
      </c>
      <c r="AA5" s="37"/>
      <c r="AB5" s="37">
        <v>0</v>
      </c>
      <c r="AC5" s="37"/>
      <c r="AD5" s="37">
        <v>0</v>
      </c>
      <c r="AE5" s="37">
        <v>0</v>
      </c>
      <c r="AF5" s="37"/>
      <c r="AG5" s="37" t="s">
        <v>1181</v>
      </c>
      <c r="AH5" s="37">
        <v>100</v>
      </c>
      <c r="AI5" s="37">
        <v>0</v>
      </c>
      <c r="AJ5" s="37">
        <v>0</v>
      </c>
      <c r="AK5" s="37">
        <v>0</v>
      </c>
      <c r="AL5" s="37">
        <v>0</v>
      </c>
      <c r="AM5" s="37">
        <v>0</v>
      </c>
      <c r="AN5" s="37">
        <v>0</v>
      </c>
      <c r="AO5" s="37">
        <v>0</v>
      </c>
      <c r="AP5" s="37">
        <v>0</v>
      </c>
      <c r="AQ5" s="37">
        <v>0</v>
      </c>
      <c r="AR5" s="37"/>
      <c r="AS5" s="37" t="b">
        <v>1</v>
      </c>
      <c r="AT5" s="37">
        <v>1.9664999999999998E-2</v>
      </c>
      <c r="AU5" s="37" t="b">
        <v>1</v>
      </c>
      <c r="AV5" s="37" t="b">
        <v>1</v>
      </c>
      <c r="AW5" s="37" t="s">
        <v>920</v>
      </c>
      <c r="AX5" s="29">
        <v>60</v>
      </c>
      <c r="AY5" s="47">
        <v>100</v>
      </c>
      <c r="AZ5" s="42">
        <v>70</v>
      </c>
      <c r="BA5" s="37" t="str">
        <f>IFERROR(HYPERLINK("#'Technical Diagnostics'!A"&amp;MATCH(B5,'Technical Diagnostics'!A:A,0),"Open Technical"),HYPERLINK("#'Technical Diagnostics'!A1","Open Technical"))</f>
        <v>Open Technical</v>
      </c>
      <c r="BB5" s="37"/>
      <c r="BC5" t="str">
        <f>IFERROR(HYPERLINK("#'Technical Diagnostics'!A"&amp;MATCH(B5,'Technical Diagnostics'!A:A,0),"Open Technical"),HYPERLINK("#'Technical Diagnostics'!A1","Open Technical"))</f>
        <v>Open Technical</v>
      </c>
    </row>
    <row r="6" spans="1:56" ht="30" customHeight="1" x14ac:dyDescent="0.25">
      <c r="A6" s="28" t="s">
        <v>1179</v>
      </c>
      <c r="B6" s="45" t="s">
        <v>198</v>
      </c>
      <c r="C6" s="47">
        <v>200</v>
      </c>
      <c r="D6" s="28" t="s">
        <v>194</v>
      </c>
      <c r="E6" s="28">
        <v>0.06</v>
      </c>
      <c r="F6" s="28" t="s">
        <v>252</v>
      </c>
      <c r="G6" s="28" t="s">
        <v>253</v>
      </c>
      <c r="H6" s="28">
        <v>32</v>
      </c>
      <c r="I6" s="50">
        <v>60</v>
      </c>
      <c r="J6" s="42" t="s">
        <v>50</v>
      </c>
      <c r="K6" s="28" t="s">
        <v>97</v>
      </c>
      <c r="L6" s="28" t="s">
        <v>429</v>
      </c>
      <c r="M6" s="28" t="s">
        <v>430</v>
      </c>
      <c r="N6" s="28">
        <v>53</v>
      </c>
      <c r="O6" s="28">
        <v>387</v>
      </c>
      <c r="P6" s="28" t="s">
        <v>1180</v>
      </c>
      <c r="Q6" s="28" t="b">
        <v>0</v>
      </c>
      <c r="R6" s="28"/>
      <c r="S6" s="28"/>
      <c r="T6" s="28">
        <v>0</v>
      </c>
      <c r="U6" s="28"/>
      <c r="V6" s="28">
        <v>0</v>
      </c>
      <c r="W6" s="28"/>
      <c r="X6" s="28">
        <v>0</v>
      </c>
      <c r="Y6" s="28"/>
      <c r="Z6" s="28">
        <v>0</v>
      </c>
      <c r="AA6" s="28"/>
      <c r="AB6" s="28">
        <v>0</v>
      </c>
      <c r="AC6" s="28"/>
      <c r="AD6" s="28">
        <v>0</v>
      </c>
      <c r="AE6" s="28">
        <v>0</v>
      </c>
      <c r="AF6" s="28"/>
      <c r="AG6" s="28" t="s">
        <v>1181</v>
      </c>
      <c r="AH6" s="28">
        <v>100</v>
      </c>
      <c r="AI6" s="28">
        <v>0</v>
      </c>
      <c r="AJ6" s="28">
        <v>0</v>
      </c>
      <c r="AK6" s="28">
        <v>0</v>
      </c>
      <c r="AL6" s="28">
        <v>0</v>
      </c>
      <c r="AM6" s="28">
        <v>0</v>
      </c>
      <c r="AN6" s="28">
        <v>0</v>
      </c>
      <c r="AO6" s="28">
        <v>0</v>
      </c>
      <c r="AP6" s="28">
        <v>0</v>
      </c>
      <c r="AQ6" s="28">
        <v>0</v>
      </c>
      <c r="AR6" s="28"/>
      <c r="AS6" s="28" t="b">
        <v>1</v>
      </c>
      <c r="AT6" s="28">
        <v>1.9664999999999998E-2</v>
      </c>
      <c r="AU6" s="28" t="b">
        <v>1</v>
      </c>
      <c r="AV6" s="28" t="b">
        <v>1</v>
      </c>
      <c r="AW6" s="28" t="s">
        <v>920</v>
      </c>
      <c r="AX6" s="29">
        <v>60</v>
      </c>
      <c r="AY6" s="29">
        <v>47.67</v>
      </c>
      <c r="AZ6" s="29">
        <v>56.92</v>
      </c>
      <c r="BA6" s="28" t="str">
        <f>IFERROR(HYPERLINK("#'Technical Diagnostics'!A"&amp;MATCH(B6,'Technical Diagnostics'!A:A,0),"Open Technical"),HYPERLINK("#'Technical Diagnostics'!A1","Open Technical"))</f>
        <v>Open Technical</v>
      </c>
      <c r="BB6" s="28"/>
      <c r="BC6" s="36" t="str">
        <f>IFERROR(HYPERLINK("#'Technical Diagnostics'!A"&amp;MATCH(B6,'Technical Diagnostics'!A:A,0),"Open Technical"),HYPERLINK("#'Technical Diagnostics'!A1","Open Technical"))</f>
        <v>Open Technical</v>
      </c>
      <c r="BD6" s="36"/>
    </row>
    <row r="7" spans="1:56" ht="30" customHeight="1" x14ac:dyDescent="0.25">
      <c r="A7" s="37" t="s">
        <v>1179</v>
      </c>
      <c r="B7" s="46" t="s">
        <v>146</v>
      </c>
      <c r="C7" s="47">
        <v>200</v>
      </c>
      <c r="D7" s="37" t="s">
        <v>194</v>
      </c>
      <c r="E7" s="37">
        <v>0.28599999999999998</v>
      </c>
      <c r="F7" s="37" t="s">
        <v>257</v>
      </c>
      <c r="G7" s="37" t="s">
        <v>258</v>
      </c>
      <c r="H7" s="37">
        <v>120</v>
      </c>
      <c r="I7" s="51">
        <v>60</v>
      </c>
      <c r="J7" s="42" t="s">
        <v>50</v>
      </c>
      <c r="K7" s="37" t="s">
        <v>97</v>
      </c>
      <c r="L7" s="37" t="s">
        <v>429</v>
      </c>
      <c r="M7" s="37" t="s">
        <v>430</v>
      </c>
      <c r="N7" s="37">
        <v>66</v>
      </c>
      <c r="O7" s="37">
        <v>335</v>
      </c>
      <c r="P7" s="37" t="s">
        <v>1180</v>
      </c>
      <c r="Q7" s="37" t="b">
        <v>0</v>
      </c>
      <c r="R7" s="37"/>
      <c r="S7" s="37"/>
      <c r="T7" s="37">
        <v>0</v>
      </c>
      <c r="U7" s="37"/>
      <c r="V7" s="37">
        <v>0</v>
      </c>
      <c r="W7" s="37"/>
      <c r="X7" s="37">
        <v>0</v>
      </c>
      <c r="Y7" s="37"/>
      <c r="Z7" s="37">
        <v>0</v>
      </c>
      <c r="AA7" s="37"/>
      <c r="AB7" s="37">
        <v>0</v>
      </c>
      <c r="AC7" s="37"/>
      <c r="AD7" s="37">
        <v>0</v>
      </c>
      <c r="AE7" s="37">
        <v>0</v>
      </c>
      <c r="AF7" s="37"/>
      <c r="AG7" s="37" t="s">
        <v>1181</v>
      </c>
      <c r="AH7" s="37">
        <v>30</v>
      </c>
      <c r="AI7" s="37">
        <v>0</v>
      </c>
      <c r="AJ7" s="37">
        <v>0</v>
      </c>
      <c r="AK7" s="37">
        <v>0</v>
      </c>
      <c r="AL7" s="37">
        <v>0</v>
      </c>
      <c r="AM7" s="37">
        <v>0</v>
      </c>
      <c r="AN7" s="37">
        <v>0</v>
      </c>
      <c r="AO7" s="37">
        <v>0</v>
      </c>
      <c r="AP7" s="37">
        <v>0</v>
      </c>
      <c r="AQ7" s="37">
        <v>0</v>
      </c>
      <c r="AR7" s="37"/>
      <c r="AS7" s="37" t="b">
        <v>1</v>
      </c>
      <c r="AT7" s="37">
        <v>1.9664999999999998E-2</v>
      </c>
      <c r="AU7" s="37" t="b">
        <v>1</v>
      </c>
      <c r="AV7" s="37" t="b">
        <v>1</v>
      </c>
      <c r="AW7" s="37" t="s">
        <v>920</v>
      </c>
      <c r="AX7" s="29">
        <v>60</v>
      </c>
      <c r="AY7" s="29">
        <v>55</v>
      </c>
      <c r="AZ7" s="29">
        <v>58.75</v>
      </c>
      <c r="BA7" s="37" t="str">
        <f>IFERROR(HYPERLINK("#'Technical Diagnostics'!A"&amp;MATCH(B7,'Technical Diagnostics'!A:A,0),"Open Technical"),HYPERLINK("#'Technical Diagnostics'!A1","Open Technical"))</f>
        <v>Open Technical</v>
      </c>
      <c r="BB7" s="37"/>
      <c r="BC7" t="str">
        <f>IFERROR(HYPERLINK("#'Technical Diagnostics'!A"&amp;MATCH(B7,'Technical Diagnostics'!A:A,0),"Open Technical"),HYPERLINK("#'Technical Diagnostics'!A1","Open Technical"))</f>
        <v>Open Technical</v>
      </c>
    </row>
    <row r="8" spans="1:56" ht="30" customHeight="1" x14ac:dyDescent="0.25">
      <c r="A8" s="28" t="s">
        <v>1179</v>
      </c>
      <c r="B8" s="45" t="s">
        <v>197</v>
      </c>
      <c r="C8" s="47">
        <v>200</v>
      </c>
      <c r="D8" s="28" t="s">
        <v>194</v>
      </c>
      <c r="E8" s="28">
        <v>6.9000000000000006E-2</v>
      </c>
      <c r="F8" s="28" t="s">
        <v>261</v>
      </c>
      <c r="G8" s="28" t="s">
        <v>262</v>
      </c>
      <c r="H8" s="28">
        <v>367</v>
      </c>
      <c r="I8" s="50">
        <v>60</v>
      </c>
      <c r="J8" s="42" t="s">
        <v>50</v>
      </c>
      <c r="K8" s="28" t="s">
        <v>97</v>
      </c>
      <c r="L8" s="28" t="s">
        <v>429</v>
      </c>
      <c r="M8" s="28" t="s">
        <v>430</v>
      </c>
      <c r="N8" s="28">
        <v>65</v>
      </c>
      <c r="O8" s="28">
        <v>337</v>
      </c>
      <c r="P8" s="28" t="s">
        <v>1180</v>
      </c>
      <c r="Q8" s="28" t="b">
        <v>0</v>
      </c>
      <c r="R8" s="28"/>
      <c r="S8" s="28"/>
      <c r="T8" s="28">
        <v>0</v>
      </c>
      <c r="U8" s="28"/>
      <c r="V8" s="28">
        <v>0</v>
      </c>
      <c r="W8" s="28"/>
      <c r="X8" s="28">
        <v>0</v>
      </c>
      <c r="Y8" s="28"/>
      <c r="Z8" s="28">
        <v>0</v>
      </c>
      <c r="AA8" s="28"/>
      <c r="AB8" s="28">
        <v>0</v>
      </c>
      <c r="AC8" s="28"/>
      <c r="AD8" s="28">
        <v>0</v>
      </c>
      <c r="AE8" s="28">
        <v>0</v>
      </c>
      <c r="AF8" s="28"/>
      <c r="AG8" s="28" t="s">
        <v>1181</v>
      </c>
      <c r="AH8" s="28">
        <v>100</v>
      </c>
      <c r="AI8" s="28">
        <v>0</v>
      </c>
      <c r="AJ8" s="28">
        <v>0</v>
      </c>
      <c r="AK8" s="28">
        <v>0</v>
      </c>
      <c r="AL8" s="28">
        <v>0</v>
      </c>
      <c r="AM8" s="28">
        <v>0</v>
      </c>
      <c r="AN8" s="28">
        <v>0</v>
      </c>
      <c r="AO8" s="28">
        <v>0</v>
      </c>
      <c r="AP8" s="28">
        <v>0</v>
      </c>
      <c r="AQ8" s="28">
        <v>0</v>
      </c>
      <c r="AR8" s="28"/>
      <c r="AS8" s="28" t="b">
        <v>1</v>
      </c>
      <c r="AT8" s="28">
        <v>1.9664999999999998E-2</v>
      </c>
      <c r="AU8" s="28" t="b">
        <v>1</v>
      </c>
      <c r="AV8" s="28" t="b">
        <v>1</v>
      </c>
      <c r="AW8" s="28" t="s">
        <v>920</v>
      </c>
      <c r="AX8" s="29">
        <v>60</v>
      </c>
      <c r="AY8" s="42">
        <v>70</v>
      </c>
      <c r="AZ8" s="29">
        <v>62.5</v>
      </c>
      <c r="BA8" s="28" t="str">
        <f>IFERROR(HYPERLINK("#'Technical Diagnostics'!A"&amp;MATCH(B8,'Technical Diagnostics'!A:A,0),"Open Technical"),HYPERLINK("#'Technical Diagnostics'!A1","Open Technical"))</f>
        <v>Open Technical</v>
      </c>
      <c r="BB8" s="28"/>
      <c r="BC8" s="36" t="str">
        <f>IFERROR(HYPERLINK("#'Technical Diagnostics'!A"&amp;MATCH(B8,'Technical Diagnostics'!A:A,0),"Open Technical"),HYPERLINK("#'Technical Diagnostics'!A1","Open Technical"))</f>
        <v>Open Technical</v>
      </c>
      <c r="BD8" s="36"/>
    </row>
    <row r="9" spans="1:56" ht="30" customHeight="1" x14ac:dyDescent="0.25">
      <c r="A9" s="37" t="s">
        <v>1179</v>
      </c>
      <c r="B9" s="46" t="s">
        <v>200</v>
      </c>
      <c r="C9" s="47">
        <v>200</v>
      </c>
      <c r="D9" s="37" t="s">
        <v>194</v>
      </c>
      <c r="E9" s="37">
        <v>0.10199999999999999</v>
      </c>
      <c r="F9" s="37" t="s">
        <v>266</v>
      </c>
      <c r="G9" s="37" t="s">
        <v>267</v>
      </c>
      <c r="H9" s="37">
        <v>415</v>
      </c>
      <c r="I9" s="51">
        <v>70</v>
      </c>
      <c r="J9" s="42" t="s">
        <v>50</v>
      </c>
      <c r="K9" s="37" t="s">
        <v>97</v>
      </c>
      <c r="L9" s="37" t="s">
        <v>429</v>
      </c>
      <c r="M9" s="37" t="s">
        <v>430</v>
      </c>
      <c r="N9" s="37">
        <v>53</v>
      </c>
      <c r="O9" s="37">
        <v>398</v>
      </c>
      <c r="P9" s="37" t="s">
        <v>1182</v>
      </c>
      <c r="Q9" s="37" t="b">
        <v>0</v>
      </c>
      <c r="R9" s="37"/>
      <c r="S9" s="37"/>
      <c r="T9" s="37">
        <v>0</v>
      </c>
      <c r="U9" s="37"/>
      <c r="V9" s="37">
        <v>0</v>
      </c>
      <c r="W9" s="37"/>
      <c r="X9" s="37">
        <v>0</v>
      </c>
      <c r="Y9" s="37"/>
      <c r="Z9" s="37">
        <v>0</v>
      </c>
      <c r="AA9" s="37"/>
      <c r="AB9" s="37">
        <v>0</v>
      </c>
      <c r="AC9" s="37"/>
      <c r="AD9" s="37">
        <v>0</v>
      </c>
      <c r="AE9" s="37">
        <v>0</v>
      </c>
      <c r="AF9" s="37"/>
      <c r="AG9" s="37" t="s">
        <v>1181</v>
      </c>
      <c r="AH9" s="37">
        <v>80</v>
      </c>
      <c r="AI9" s="37">
        <v>0</v>
      </c>
      <c r="AJ9" s="37">
        <v>0</v>
      </c>
      <c r="AK9" s="37">
        <v>0</v>
      </c>
      <c r="AL9" s="37">
        <v>0</v>
      </c>
      <c r="AM9" s="37">
        <v>0</v>
      </c>
      <c r="AN9" s="37">
        <v>0</v>
      </c>
      <c r="AO9" s="37">
        <v>0</v>
      </c>
      <c r="AP9" s="37">
        <v>0</v>
      </c>
      <c r="AQ9" s="37">
        <v>0</v>
      </c>
      <c r="AR9" s="37"/>
      <c r="AS9" s="37" t="b">
        <v>0</v>
      </c>
      <c r="AT9" s="37">
        <v>3.5214000000000002E-2</v>
      </c>
      <c r="AU9" s="37" t="b">
        <v>1</v>
      </c>
      <c r="AV9" s="37" t="b">
        <v>1</v>
      </c>
      <c r="AW9" s="37" t="s">
        <v>920</v>
      </c>
      <c r="AX9" s="42">
        <v>70</v>
      </c>
      <c r="AY9" s="47">
        <v>100</v>
      </c>
      <c r="AZ9" s="42">
        <v>77.5</v>
      </c>
      <c r="BA9" s="37" t="str">
        <f>IFERROR(HYPERLINK("#'Technical Diagnostics'!A"&amp;MATCH(B9,'Technical Diagnostics'!A:A,0),"Open Technical"),HYPERLINK("#'Technical Diagnostics'!A1","Open Technical"))</f>
        <v>Open Technical</v>
      </c>
      <c r="BB9" s="37"/>
      <c r="BC9" t="str">
        <f>IFERROR(HYPERLINK("#'Technical Diagnostics'!A"&amp;MATCH(B9,'Technical Diagnostics'!A:A,0),"Open Technical"),HYPERLINK("#'Technical Diagnostics'!A1","Open Technical"))</f>
        <v>Open Technical</v>
      </c>
    </row>
    <row r="10" spans="1:56" ht="30" customHeight="1" x14ac:dyDescent="0.25">
      <c r="A10" s="28" t="s">
        <v>1179</v>
      </c>
      <c r="B10" s="45" t="s">
        <v>201</v>
      </c>
      <c r="C10" s="47">
        <v>200</v>
      </c>
      <c r="D10" s="28" t="s">
        <v>194</v>
      </c>
      <c r="E10" s="28">
        <v>0.216</v>
      </c>
      <c r="F10" s="28" t="s">
        <v>272</v>
      </c>
      <c r="G10" s="28" t="s">
        <v>273</v>
      </c>
      <c r="H10" s="28">
        <v>326</v>
      </c>
      <c r="I10" s="50">
        <v>70</v>
      </c>
      <c r="J10" s="42" t="s">
        <v>50</v>
      </c>
      <c r="K10" s="28" t="s">
        <v>97</v>
      </c>
      <c r="L10" s="28" t="s">
        <v>429</v>
      </c>
      <c r="M10" s="28" t="s">
        <v>430</v>
      </c>
      <c r="N10" s="28">
        <v>44</v>
      </c>
      <c r="O10" s="28">
        <v>432</v>
      </c>
      <c r="P10" s="28" t="s">
        <v>1182</v>
      </c>
      <c r="Q10" s="28" t="b">
        <v>0</v>
      </c>
      <c r="R10" s="28"/>
      <c r="S10" s="28"/>
      <c r="T10" s="28">
        <v>0</v>
      </c>
      <c r="U10" s="28"/>
      <c r="V10" s="28">
        <v>0</v>
      </c>
      <c r="W10" s="28"/>
      <c r="X10" s="28">
        <v>0</v>
      </c>
      <c r="Y10" s="28"/>
      <c r="Z10" s="28">
        <v>0</v>
      </c>
      <c r="AA10" s="28"/>
      <c r="AB10" s="28">
        <v>0</v>
      </c>
      <c r="AC10" s="28"/>
      <c r="AD10" s="28">
        <v>0</v>
      </c>
      <c r="AE10" s="28">
        <v>0</v>
      </c>
      <c r="AF10" s="28"/>
      <c r="AG10" s="28" t="s">
        <v>1181</v>
      </c>
      <c r="AH10" s="28">
        <v>40</v>
      </c>
      <c r="AI10" s="28">
        <v>0</v>
      </c>
      <c r="AJ10" s="28">
        <v>0</v>
      </c>
      <c r="AK10" s="28">
        <v>0</v>
      </c>
      <c r="AL10" s="28">
        <v>0</v>
      </c>
      <c r="AM10" s="28">
        <v>0</v>
      </c>
      <c r="AN10" s="28">
        <v>0</v>
      </c>
      <c r="AO10" s="28">
        <v>0</v>
      </c>
      <c r="AP10" s="28">
        <v>0</v>
      </c>
      <c r="AQ10" s="28">
        <v>0</v>
      </c>
      <c r="AR10" s="28"/>
      <c r="AS10" s="28" t="b">
        <v>0</v>
      </c>
      <c r="AT10" s="28">
        <v>3.5214000000000002E-2</v>
      </c>
      <c r="AU10" s="28" t="b">
        <v>1</v>
      </c>
      <c r="AV10" s="28" t="b">
        <v>1</v>
      </c>
      <c r="AW10" s="28" t="s">
        <v>920</v>
      </c>
      <c r="AX10" s="42">
        <v>70</v>
      </c>
      <c r="AY10" s="47">
        <v>100</v>
      </c>
      <c r="AZ10" s="42">
        <v>77.5</v>
      </c>
      <c r="BA10" s="28" t="str">
        <f>IFERROR(HYPERLINK("#'Technical Diagnostics'!A"&amp;MATCH(B10,'Technical Diagnostics'!A:A,0),"Open Technical"),HYPERLINK("#'Technical Diagnostics'!A1","Open Technical"))</f>
        <v>Open Technical</v>
      </c>
      <c r="BB10" s="28"/>
      <c r="BC10" s="36" t="str">
        <f>IFERROR(HYPERLINK("#'Technical Diagnostics'!A"&amp;MATCH(B10,'Technical Diagnostics'!A:A,0),"Open Technical"),HYPERLINK("#'Technical Diagnostics'!A1","Open Technical"))</f>
        <v>Open Technical</v>
      </c>
      <c r="BD10" s="36"/>
    </row>
    <row r="11" spans="1:56" ht="30" customHeight="1" x14ac:dyDescent="0.25">
      <c r="A11" s="37" t="s">
        <v>1179</v>
      </c>
      <c r="B11" s="46" t="s">
        <v>148</v>
      </c>
      <c r="C11" s="47">
        <v>200</v>
      </c>
      <c r="D11" s="37" t="s">
        <v>194</v>
      </c>
      <c r="E11" s="37">
        <v>8.4000000000000005E-2</v>
      </c>
      <c r="F11" s="37" t="s">
        <v>277</v>
      </c>
      <c r="G11" s="37"/>
      <c r="H11" s="37">
        <v>31</v>
      </c>
      <c r="I11" s="51">
        <v>50</v>
      </c>
      <c r="J11" s="42" t="s">
        <v>50</v>
      </c>
      <c r="K11" s="37" t="s">
        <v>97</v>
      </c>
      <c r="L11" s="37" t="s">
        <v>429</v>
      </c>
      <c r="M11" s="37" t="s">
        <v>430</v>
      </c>
      <c r="N11" s="37">
        <v>55</v>
      </c>
      <c r="O11" s="37">
        <v>0</v>
      </c>
      <c r="P11" s="37" t="s">
        <v>1182</v>
      </c>
      <c r="Q11" s="37" t="b">
        <v>0</v>
      </c>
      <c r="R11" s="37"/>
      <c r="S11" s="37"/>
      <c r="T11" s="37">
        <v>0</v>
      </c>
      <c r="U11" s="37"/>
      <c r="V11" s="37">
        <v>0</v>
      </c>
      <c r="W11" s="37"/>
      <c r="X11" s="37">
        <v>0</v>
      </c>
      <c r="Y11" s="37"/>
      <c r="Z11" s="37">
        <v>0</v>
      </c>
      <c r="AA11" s="37"/>
      <c r="AB11" s="37">
        <v>0</v>
      </c>
      <c r="AC11" s="37"/>
      <c r="AD11" s="37">
        <v>0</v>
      </c>
      <c r="AE11" s="37">
        <v>0</v>
      </c>
      <c r="AF11" s="37"/>
      <c r="AG11" s="37" t="s">
        <v>1181</v>
      </c>
      <c r="AH11" s="37">
        <v>30</v>
      </c>
      <c r="AI11" s="37">
        <v>0</v>
      </c>
      <c r="AJ11" s="37">
        <v>0</v>
      </c>
      <c r="AK11" s="37">
        <v>0</v>
      </c>
      <c r="AL11" s="37">
        <v>0</v>
      </c>
      <c r="AM11" s="37">
        <v>0</v>
      </c>
      <c r="AN11" s="37">
        <v>0</v>
      </c>
      <c r="AO11" s="37">
        <v>0</v>
      </c>
      <c r="AP11" s="37">
        <v>0</v>
      </c>
      <c r="AQ11" s="37">
        <v>0</v>
      </c>
      <c r="AR11" s="37"/>
      <c r="AS11" s="37" t="b">
        <v>1</v>
      </c>
      <c r="AT11" s="37">
        <v>1.9664999999999998E-2</v>
      </c>
      <c r="AU11" s="37" t="b">
        <v>1</v>
      </c>
      <c r="AV11" s="37" t="b">
        <v>1</v>
      </c>
      <c r="AW11" s="37" t="s">
        <v>920</v>
      </c>
      <c r="AX11" s="29">
        <v>50</v>
      </c>
      <c r="AY11" s="29">
        <v>27.58</v>
      </c>
      <c r="AZ11" s="29">
        <v>44.4</v>
      </c>
      <c r="BA11" s="37" t="str">
        <f>IFERROR(HYPERLINK("#'Technical Diagnostics'!A"&amp;MATCH(B11,'Technical Diagnostics'!A:A,0),"Open Technical"),HYPERLINK("#'Technical Diagnostics'!A1","Open Technical"))</f>
        <v>Open Technical</v>
      </c>
      <c r="BB11" s="37"/>
      <c r="BC11" t="str">
        <f>IFERROR(HYPERLINK("#'Technical Diagnostics'!A"&amp;MATCH(B11,'Technical Diagnostics'!A:A,0),"Open Technical"),HYPERLINK("#'Technical Diagnostics'!A1","Open Technical"))</f>
        <v>Open Technical</v>
      </c>
    </row>
  </sheetData>
  <autoFilter ref="A1:BD11" xr:uid="{00000000-0009-0000-0000-000010000000}"/>
  <conditionalFormatting sqref="C2:C11">
    <cfRule type="cellIs" dxfId="13" priority="1" operator="equal">
      <formula>200</formula>
    </cfRule>
    <cfRule type="cellIs" dxfId="12" priority="2" operator="between">
      <formula>300</formula>
      <formula>399</formula>
    </cfRule>
    <cfRule type="cellIs" dxfId="11" priority="3" operator="greaterThanOrEqual">
      <formula>400</formula>
    </cfRule>
  </conditionalFormatting>
  <conditionalFormatting sqref="E2:E11">
    <cfRule type="colorScale" priority="4">
      <colorScale>
        <cfvo type="min"/>
        <cfvo type="percentile" val="50"/>
        <cfvo type="max"/>
        <color rgb="FF63BE7B"/>
        <color rgb="FFFFEB84"/>
        <color rgb="FFF8696B"/>
      </colorScale>
    </cfRule>
    <cfRule type="dataBar" priority="5">
      <dataBar>
        <cfvo type="min"/>
        <cfvo type="max"/>
        <color rgb="FF638EC6"/>
      </dataBar>
    </cfRule>
    <cfRule type="colorScale" priority="19">
      <colorScale>
        <cfvo type="min"/>
        <cfvo type="percentile" val="50"/>
        <cfvo type="max"/>
        <color rgb="FF63BE7B"/>
        <color rgb="FFFFEB84"/>
        <color rgb="FFF8696B"/>
      </colorScale>
    </cfRule>
    <cfRule type="dataBar" priority="20">
      <dataBar>
        <cfvo type="min"/>
        <cfvo type="max"/>
        <color rgb="FF638EC6"/>
      </dataBar>
    </cfRule>
  </conditionalFormatting>
  <conditionalFormatting sqref="H2:H11">
    <cfRule type="dataBar" priority="6">
      <dataBar>
        <cfvo type="min"/>
        <cfvo type="max"/>
        <color rgb="FF638EC6"/>
      </dataBar>
    </cfRule>
    <cfRule type="colorScale" priority="14">
      <colorScale>
        <cfvo type="num" val="0"/>
        <cfvo type="num" val="150"/>
        <cfvo type="num" val="300"/>
        <color rgb="FFF8696B"/>
        <color rgb="FFFFEB84"/>
        <color rgb="FF63BE7B"/>
      </colorScale>
    </cfRule>
    <cfRule type="dataBar" priority="21">
      <dataBar>
        <cfvo type="min"/>
        <cfvo type="max"/>
        <color rgb="FF638EC6"/>
      </dataBar>
    </cfRule>
    <cfRule type="colorScale" priority="29">
      <colorScale>
        <cfvo type="num" val="0"/>
        <cfvo type="num" val="150"/>
        <cfvo type="num" val="300"/>
        <color rgb="FFF8696B"/>
        <color rgb="FFFFEB84"/>
        <color rgb="FF63BE7B"/>
      </colorScale>
    </cfRule>
  </conditionalFormatting>
  <conditionalFormatting sqref="I2:I11">
    <cfRule type="colorScale" priority="7">
      <colorScale>
        <cfvo type="min"/>
        <cfvo type="percentile" val="50"/>
        <cfvo type="max"/>
        <color rgb="FFF8696B"/>
        <color rgb="FFFFEB84"/>
        <color rgb="FF63BE7B"/>
      </colorScale>
    </cfRule>
    <cfRule type="colorScale" priority="13">
      <colorScale>
        <cfvo type="num" val="0"/>
        <cfvo type="num" val="50"/>
        <cfvo type="num" val="100"/>
        <color rgb="FFF8696B"/>
        <color rgb="FFFFEB84"/>
        <color rgb="FF63BE7B"/>
      </colorScale>
    </cfRule>
    <cfRule type="colorScale" priority="22">
      <colorScale>
        <cfvo type="min"/>
        <cfvo type="percentile" val="50"/>
        <cfvo type="max"/>
        <color rgb="FFF8696B"/>
        <color rgb="FFFFEB84"/>
        <color rgb="FF63BE7B"/>
      </colorScale>
    </cfRule>
    <cfRule type="colorScale" priority="28">
      <colorScale>
        <cfvo type="num" val="0"/>
        <cfvo type="num" val="50"/>
        <cfvo type="num" val="100"/>
        <color rgb="FFF8696B"/>
        <color rgb="FFFFEB84"/>
        <color rgb="FF63BE7B"/>
      </colorScale>
    </cfRule>
  </conditionalFormatting>
  <conditionalFormatting sqref="J2:J11">
    <cfRule type="expression" dxfId="10" priority="10" stopIfTrue="1">
      <formula>LOWER(J2)="critical"</formula>
    </cfRule>
    <cfRule type="expression" dxfId="9" priority="11" stopIfTrue="1">
      <formula>LOWER(J2)="warning"</formula>
    </cfRule>
    <cfRule type="expression" dxfId="8" priority="12" stopIfTrue="1">
      <formula>OR(LOWER(J2)="pass",LOWER(J2)="observation")</formula>
    </cfRule>
    <cfRule type="expression" dxfId="7" priority="25" stopIfTrue="1">
      <formula>LOWER(J2)="critical"</formula>
    </cfRule>
    <cfRule type="expression" dxfId="6" priority="26" stopIfTrue="1">
      <formula>LOWER(J2)="warning"</formula>
    </cfRule>
    <cfRule type="expression" dxfId="5" priority="27" stopIfTrue="1">
      <formula>OR(LOWER(J2)="pass",LOWER(J2)="observation")</formula>
    </cfRule>
  </conditionalFormatting>
  <conditionalFormatting sqref="K2:K11">
    <cfRule type="expression" dxfId="4" priority="8" stopIfTrue="1">
      <formula>LOWER(K2)="yes"</formula>
    </cfRule>
    <cfRule type="expression" dxfId="3" priority="9" stopIfTrue="1">
      <formula>LOWER(K2)="no"</formula>
    </cfRule>
    <cfRule type="expression" dxfId="2" priority="23" stopIfTrue="1">
      <formula>LOWER(K2)="yes"</formula>
    </cfRule>
    <cfRule type="expression" dxfId="1" priority="24" stopIfTrue="1">
      <formula>LOWER(K2)="no"</formula>
    </cfRule>
  </conditionalFormatting>
  <conditionalFormatting sqref="O2:O11">
    <cfRule type="cellIs" dxfId="0" priority="15" operator="greaterThan">
      <formula>160</formula>
    </cfRule>
  </conditionalFormatting>
  <hyperlinks>
    <hyperlink ref="BB1" location="'Dashboard'!A1" display="BACK TO DASHBOARD" xr:uid="{00000000-0004-0000-1000-000000000000}"/>
    <hyperlink ref="BD1" location="'Dashboard'!A1" display="BACK TO DASHBOARD_1" xr:uid="{00000000-0004-0000-1000-000001000000}"/>
    <hyperlink ref="B2" r:id="rId1" xr:uid="{00000000-0004-0000-1000-000002000000}"/>
    <hyperlink ref="B3" r:id="rId2" xr:uid="{00000000-0004-0000-1000-000003000000}"/>
    <hyperlink ref="B4" r:id="rId3" xr:uid="{00000000-0004-0000-1000-000004000000}"/>
    <hyperlink ref="B5" r:id="rId4" xr:uid="{00000000-0004-0000-1000-000005000000}"/>
    <hyperlink ref="B6" r:id="rId5" xr:uid="{00000000-0004-0000-1000-000006000000}"/>
    <hyperlink ref="B7" r:id="rId6" xr:uid="{00000000-0004-0000-1000-000007000000}"/>
    <hyperlink ref="B8" r:id="rId7" xr:uid="{00000000-0004-0000-1000-000008000000}"/>
    <hyperlink ref="B9" r:id="rId8" xr:uid="{00000000-0004-0000-1000-000009000000}"/>
    <hyperlink ref="B10" r:id="rId9" xr:uid="{00000000-0004-0000-1000-00000A000000}"/>
    <hyperlink ref="B11" r:id="rId10" xr:uid="{00000000-0004-0000-1000-00000B000000}"/>
  </hyperlinks>
  <pageMargins left="0.75" right="0.75" top="1" bottom="1" header="0.5" footer="0.5"/>
  <legacyDrawing r:id="rId1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Table of Contents</vt:lpstr>
      <vt:lpstr>Dashboard</vt:lpstr>
      <vt:lpstr>FixPlan</vt:lpstr>
      <vt:lpstr>Priority URLs</vt:lpstr>
      <vt:lpstr>Content Optimisation Hub</vt:lpstr>
      <vt:lpstr>Issue Register</vt:lpstr>
      <vt:lpstr>Technical Diagnostics</vt:lpstr>
      <vt:lpstr>Content &amp; AI Readiness</vt:lpstr>
      <vt:lpstr>Link Intelligence</vt:lpstr>
      <vt:lpstr>Template &amp; Duplication Risks</vt:lpstr>
      <vt:lpstr>Playbook</vt:lpstr>
      <vt:lpstr>AIOSEO</vt:lpstr>
      <vt:lpstr>SitemapQA</vt:lpstr>
      <vt:lpstr>ResolvedIssues</vt:lpstr>
      <vt:lpstr>DeltaFromPreviousRun</vt:lpstr>
      <vt:lpstr>RunMetadata</vt:lpstr>
      <vt:lpstr>Main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anon ddr</cp:lastModifiedBy>
  <dcterms:created xsi:type="dcterms:W3CDTF">2026-05-09T08:11:45Z</dcterms:created>
  <dcterms:modified xsi:type="dcterms:W3CDTF">2026-05-09T08:13:52Z</dcterms:modified>
</cp:coreProperties>
</file>